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celec\Desktop\"/>
    </mc:Choice>
  </mc:AlternateContent>
  <xr:revisionPtr revIDLastSave="0" documentId="13_ncr:1_{A627739C-DCA0-462E-A3D4-88C982BD5ECD}" xr6:coauthVersionLast="47" xr6:coauthVersionMax="47" xr10:uidLastSave="{00000000-0000-0000-0000-000000000000}"/>
  <bookViews>
    <workbookView xWindow="105" yWindow="540" windowWidth="10770" windowHeight="9930" xr2:uid="{178E965E-FF98-4B44-84FF-F2AA2F4C89A9}"/>
  </bookViews>
  <sheets>
    <sheet name="PRINT" sheetId="2" r:id="rId1"/>
    <sheet name="COPYPO" sheetId="8" r:id="rId2"/>
    <sheet name="XFILES" sheetId="4" r:id="rId3"/>
    <sheet name="XMAIL" sheetId="5" r:id="rId4"/>
    <sheet name="XLABEL" sheetId="6" r:id="rId5"/>
    <sheet name="clip" sheetId="9" r:id="rId6"/>
    <sheet name="set" sheetId="1" r:id="rId7"/>
    <sheet name="PRINT (2)" sheetId="12" r:id="rId8"/>
    <sheet name="ERR" sheetId="10" r:id="rId9"/>
    <sheet name="cap" sheetId="11" r:id="rId10"/>
    <sheet name="st" sheetId="13" r:id="rId11"/>
  </sheets>
  <functionGroups builtInGroupCount="19"/>
  <definedNames>
    <definedName name="_xlnm._FilterDatabase" localSheetId="8" hidden="1">ERR!$A$1:$K$889</definedName>
    <definedName name="_xlnm.Print_Area" localSheetId="8">ERR!$A$1:$N$112</definedName>
    <definedName name="_xlnm.Print_Area" localSheetId="0">st!$A$1:$G$17</definedName>
    <definedName name="_xlnm.Print_Area" localSheetId="4">XLABEL!$A$1:$E$1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8" i="1" l="1"/>
  <c r="D56" i="1"/>
  <c r="C56" i="1"/>
  <c r="A1" i="6"/>
</calcChain>
</file>

<file path=xl/sharedStrings.xml><?xml version="1.0" encoding="utf-8"?>
<sst xmlns="http://schemas.openxmlformats.org/spreadsheetml/2006/main" count="12290" uniqueCount="1119">
  <si>
    <t>ScreenResolutionY</t>
  </si>
  <si>
    <t>ScreenResolutionX</t>
  </si>
  <si>
    <t>MOUSE</t>
  </si>
  <si>
    <t>DELAY</t>
  </si>
  <si>
    <t>TAB</t>
  </si>
  <si>
    <t>TEXT</t>
  </si>
  <si>
    <t>PASTE</t>
  </si>
  <si>
    <t>COPY</t>
  </si>
  <si>
    <t>SELECTTEXT</t>
  </si>
  <si>
    <t>WINSELECT</t>
  </si>
  <si>
    <t>OPENEDGEAPPONSPECIFICLINK</t>
  </si>
  <si>
    <t>TERMINATEAPP</t>
  </si>
  <si>
    <t xml:space="preserve"> mouse &amp; window &amp; delay sequence loop COMMANDS: OPENEDGEAPPONSPECIFICLINK
DELAY
MOUSE
MOUSE
TAB
COPY
PASTE
TEXT
SELECTTEXT
TERMINATEAPP
</t>
  </si>
  <si>
    <t>SETCLIPBOARDWITFILENAME</t>
  </si>
  <si>
    <t>ENTER</t>
  </si>
  <si>
    <t>APPACTIVATE</t>
  </si>
  <si>
    <t>APPENDCLIPBOARDTOMEMSHEET</t>
  </si>
  <si>
    <t>SETCLIPBOARD</t>
  </si>
  <si>
    <t>PRINTFILES</t>
  </si>
  <si>
    <t>ENTREGA</t>
  </si>
  <si>
    <t>I/O</t>
  </si>
  <si>
    <t>LLEGADAS</t>
  </si>
  <si>
    <t>EXPRESS</t>
  </si>
  <si>
    <t>FOLDER TXT</t>
  </si>
  <si>
    <t>P6</t>
  </si>
  <si>
    <t>P4</t>
  </si>
  <si>
    <t>PLANTAS</t>
  </si>
  <si>
    <t>SELLADAS</t>
  </si>
  <si>
    <t>ESTE</t>
  </si>
  <si>
    <t>XXXX</t>
  </si>
  <si>
    <t>CARPETA 20240125 TIEMPO 171213 XXXX LLEGADA</t>
  </si>
  <si>
    <t>OPENPDF</t>
  </si>
  <si>
    <t>RUN</t>
  </si>
  <si>
    <t>CANTIDAD DE COPIAS POR NOMBRE DE ARCHIVO</t>
  </si>
  <si>
    <t>REMISION</t>
  </si>
  <si>
    <t>PO</t>
  </si>
  <si>
    <t>IN-STRING</t>
  </si>
  <si>
    <t>selene.dominguez@segisa.com.mx; eduardo.zapata@segisa.com.mx</t>
  </si>
  <si>
    <t>jcasas@sigadgroup.com; ijcasas00@gmail.com</t>
  </si>
  <si>
    <t>jcasas@sigadgroup.com; ijcasas00@gmail.com;asierra@sigadgroup.com</t>
  </si>
  <si>
    <t>C:\Users\Miscelec\Downloads\SEGISA\ENTREGAS\CARPETA 20240201 TIEMPO 135806 P6 ENTREGA\SELLADAS\</t>
  </si>
  <si>
    <t>FILES JOBS CUANDO SE GENERA LOS FOLDERS MUEVE LOS ARCHIVOS</t>
  </si>
  <si>
    <t>CARPETA 20240201 TIEMPO 144958 P6 ENTREGA</t>
  </si>
  <si>
    <t>C:\Users\Miscelec\Downloads\SEGISA\ENTREGAS\CARPETA 20240201 TIEMPO 144958 P6 ENTREGA\</t>
  </si>
  <si>
    <t>C:\Users\Miscelec\Downloads\SEGISA\ENTREGAS\CARPETA 20240201 TIEMPO 144958 P6 ENTREGA\SELLADAS\</t>
  </si>
  <si>
    <t>address</t>
  </si>
  <si>
    <t>DBLCLK TO EMAIL</t>
  </si>
  <si>
    <t>VK_SNAPSHOT</t>
  </si>
  <si>
    <t>WINDOWMAXIMIZE</t>
  </si>
  <si>
    <t>SNNIPER IMAGE SNIPPER</t>
  </si>
  <si>
    <t>OCR ACCIONES DE TEXTO</t>
  </si>
  <si>
    <t>SNNIPER</t>
  </si>
  <si>
    <t>COPIAR TODO EL TEXTO</t>
  </si>
  <si>
    <t>WINDOW HANDLE FOR WINDOWMAXIMIZE</t>
  </si>
  <si>
    <t xml:space="preserve">mem append on shhet, row APPENDCLIPBOARDTOMEMSHEET </t>
  </si>
  <si>
    <t>MOUSEX</t>
  </si>
  <si>
    <t>MOUSEY</t>
  </si>
  <si>
    <t>MSGBOX</t>
  </si>
  <si>
    <t>maximize</t>
  </si>
  <si>
    <t>ALTSPACEx</t>
  </si>
  <si>
    <t>select over window</t>
  </si>
  <si>
    <t>select window from task bar</t>
  </si>
  <si>
    <t>103-T5</t>
  </si>
  <si>
    <t>103-T10.5</t>
  </si>
  <si>
    <t>103-T7</t>
  </si>
  <si>
    <t>103-T9</t>
  </si>
  <si>
    <t>X</t>
  </si>
  <si>
    <t>x</t>
  </si>
  <si>
    <t>Pieza</t>
  </si>
  <si>
    <t>MOUSEDOWN</t>
  </si>
  <si>
    <t>MOUSEUP</t>
  </si>
  <si>
    <t>MOUSEMOVE</t>
  </si>
  <si>
    <t>CLIPBORDAPPEND</t>
  </si>
  <si>
    <t>APPENDCLIPBOARDTOMEMSHEETFRAGMENTED</t>
  </si>
  <si>
    <t>SQR</t>
  </si>
  <si>
    <t>CANTIDADDEPIEZAS</t>
  </si>
  <si>
    <t>ALTF4</t>
  </si>
  <si>
    <t>ALTTAB</t>
  </si>
  <si>
    <t>REMYCFIDO</t>
  </si>
  <si>
    <t>OPENINTERNETEXPLORER</t>
  </si>
  <si>
    <t>2PRECIOUNITARIOIf ThisWorkbook.Sheets("set").Cells(i, 1).Value = "APPENDCLIPBOARDTOMEMSHEETFRAGMENTED" Then@PRECIOTOTALNTIDAD UBICA@100.00@@acionado@</t>
  </si>
  <si>
    <t>COPY FROM HERE</t>
  </si>
  <si>
    <t>ID</t>
  </si>
  <si>
    <t>O.C.</t>
  </si>
  <si>
    <t>NUMERO DE REMISION</t>
  </si>
  <si>
    <t>cantidad</t>
  </si>
  <si>
    <t>UNIDAD</t>
  </si>
  <si>
    <t>NUMERO DE ARTICULO</t>
  </si>
  <si>
    <t>DESCRIPCION DEL ARTICULO</t>
  </si>
  <si>
    <t>MARCA DEL MATERIAL</t>
  </si>
  <si>
    <t>INGRESO DE MATERIAL  BOOL I/O</t>
  </si>
  <si>
    <t>FECHA DEL ULTIMO MOVIMIENTO</t>
  </si>
  <si>
    <t>FECHA DE FACTURA</t>
  </si>
  <si>
    <t>NOTAS</t>
  </si>
  <si>
    <t xml:space="preserve">BULTO </t>
  </si>
  <si>
    <t>CAJAS</t>
  </si>
  <si>
    <t>PARCIAL</t>
  </si>
  <si>
    <t>EXCEPCIONES pn REQUIERE PARES  Y NO EN PIEZAS</t>
  </si>
  <si>
    <t>PLANTA # REQUIERE PARES  Y NO EN PIEZAS</t>
  </si>
  <si>
    <t>SEGISA INVENTARIO DE NUMEROS DE PARTE</t>
  </si>
  <si>
    <t>MATERIALS IN</t>
  </si>
  <si>
    <t>MATERIALS OUT</t>
  </si>
  <si>
    <t>CODIGO PROVEEDOR</t>
  </si>
  <si>
    <t>033K080C-15000B</t>
  </si>
  <si>
    <t>LIJA GRANO 80</t>
  </si>
  <si>
    <t>KLIGSPOR</t>
  </si>
  <si>
    <t>N</t>
  </si>
  <si>
    <t>033K060C-15000B</t>
  </si>
  <si>
    <t>LIJA GRANO 60</t>
  </si>
  <si>
    <t>SXKW18</t>
  </si>
  <si>
    <t>033K500B-15000B</t>
  </si>
  <si>
    <t>LIJA GRANO 500</t>
  </si>
  <si>
    <t>DUMMY</t>
  </si>
  <si>
    <t>073K800W-15000B</t>
  </si>
  <si>
    <t>LIJA GRANO 800</t>
  </si>
  <si>
    <t>QRC036AO300</t>
  </si>
  <si>
    <t>LIJA GRANO 36</t>
  </si>
  <si>
    <t>073KC00W-15000B</t>
  </si>
  <si>
    <t>LIJA GRANO 1200</t>
  </si>
  <si>
    <t>033K320B-15000B</t>
  </si>
  <si>
    <t>LIJA 320</t>
  </si>
  <si>
    <t>033K220B-15000B</t>
  </si>
  <si>
    <t>LIJA 220***</t>
  </si>
  <si>
    <t>033K120C-15000B</t>
  </si>
  <si>
    <t>LIJA 120</t>
  </si>
  <si>
    <t>033K400B-15000B</t>
  </si>
  <si>
    <t>LIJA 400</t>
  </si>
  <si>
    <t>Dispens</t>
  </si>
  <si>
    <t>705PFE-TL</t>
  </si>
  <si>
    <t>DISPENSADOR GUANTES DE NITRILO TALLA L</t>
  </si>
  <si>
    <t>GLOBAL GLOVE</t>
  </si>
  <si>
    <t>705PFE-TM</t>
  </si>
  <si>
    <t>DISPENSADOR GUANTES DE NITRILO TALLA M</t>
  </si>
  <si>
    <t>705PFE-TXL</t>
  </si>
  <si>
    <t>DISPENSADOR GUANTES DE NITRILO TALLA XL</t>
  </si>
  <si>
    <t>Par</t>
  </si>
  <si>
    <t>PUG-111-T7</t>
  </si>
  <si>
    <t>GUANTE ANTICORTE GRIS RECUBIERTO POLIURETANO</t>
  </si>
  <si>
    <t>PUG</t>
  </si>
  <si>
    <t>PUG-111-T8</t>
  </si>
  <si>
    <t>PUG-111-T9</t>
  </si>
  <si>
    <t>PUG-111-T10</t>
  </si>
  <si>
    <t>201+</t>
  </si>
  <si>
    <t xml:space="preserve">MASKIN TAPE 48MMx55m </t>
  </si>
  <si>
    <t>3M</t>
  </si>
  <si>
    <t>RESPIRADOR 95N N95</t>
  </si>
  <si>
    <t>9010i</t>
  </si>
  <si>
    <t>RESPIRADOR ES EL LOGO 3M ROJO MS900105117  DESECHABLE 9010 NMX</t>
  </si>
  <si>
    <t>RESPIRADOR MEDIA CARA 3M</t>
  </si>
  <si>
    <t>CARTUCHO PARA VAPORES ORGANICOS 3M</t>
  </si>
  <si>
    <t>RESPIRADOR CARA COMPLETA 3M TALLA MEDIANA</t>
  </si>
  <si>
    <t>FJ70516-H6</t>
  </si>
  <si>
    <t>SBP6KMP RESPALDOS 6 PULGADAS*6 ORIFICIOS FJ70516-H6</t>
  </si>
  <si>
    <t>IR0012</t>
  </si>
  <si>
    <t>RESPALDO 5-5/8 GRIP-CENTER3102 SCREW</t>
  </si>
  <si>
    <t>GSS-2" BRUSH-35</t>
  </si>
  <si>
    <t>BROCHA</t>
  </si>
  <si>
    <t>GSS-4IN BRUSH</t>
  </si>
  <si>
    <t>6</t>
  </si>
  <si>
    <t>CT501</t>
  </si>
  <si>
    <t>CINTA TRANSPARENTE OFFILAND 2" X 100 CT501</t>
  </si>
  <si>
    <t>OFFILAND</t>
  </si>
  <si>
    <t>MANGAS 18" POLIESTER ALTA TEMPERATURA</t>
  </si>
  <si>
    <t>LPLC</t>
  </si>
  <si>
    <t>LENTE PROTECCION CLARO LIGEROX  SEGURIDAD LPLCY</t>
  </si>
  <si>
    <t>LIJEROX</t>
  </si>
  <si>
    <t>FLEJE-001</t>
  </si>
  <si>
    <t>FLEJE</t>
  </si>
  <si>
    <t>1824167-2</t>
  </si>
  <si>
    <t xml:space="preserve">MICA PROTECTORA PARA VISOR </t>
  </si>
  <si>
    <t>033K100C-15000B</t>
  </si>
  <si>
    <t>LIJA DE GRANO 100</t>
  </si>
  <si>
    <t>033K150B-15000B</t>
  </si>
  <si>
    <t>LIJA 150</t>
  </si>
  <si>
    <t>Kg</t>
  </si>
  <si>
    <t>2458047-KG</t>
  </si>
  <si>
    <t xml:space="preserve">TRAPO USO INDUSTRIAL </t>
  </si>
  <si>
    <t>10</t>
  </si>
  <si>
    <t>RETENEDOR PARA PREFILTROS 3M</t>
  </si>
  <si>
    <t>311-1250</t>
  </si>
  <si>
    <t>TAPON AUD YELLOW NEON EARSOFT</t>
  </si>
  <si>
    <t>CHALECO VERDE NEON RESCATISTA</t>
  </si>
  <si>
    <t>B07SFV1G4H</t>
  </si>
  <si>
    <t>SILVATO DE ENTRENADOR</t>
  </si>
  <si>
    <t>LIJA 36</t>
  </si>
  <si>
    <t>LIJA220</t>
  </si>
  <si>
    <t>GUANTES DE NITRILO TALLA L</t>
  </si>
  <si>
    <t xml:space="preserve">TAPE TRASPARENTE OFFILAND </t>
  </si>
  <si>
    <t>LIJA80</t>
  </si>
  <si>
    <t>LIJA 60</t>
  </si>
  <si>
    <t>A59886</t>
  </si>
  <si>
    <t>SG86</t>
  </si>
  <si>
    <t>GUANTES DE NITRILO TALLA M</t>
  </si>
  <si>
    <t>DISPENSADORES LASTIMADOS Cant 5</t>
  </si>
  <si>
    <t>OC88</t>
  </si>
  <si>
    <t>RESPIRADOR DESECHABLE 9010 NMX</t>
  </si>
  <si>
    <t>DICSCREPANCIA EN NUMEROS DE SEGISA PARCIALES INCOMPLETABLES</t>
  </si>
  <si>
    <t>OC81</t>
  </si>
  <si>
    <t>RETENEDOR PARA PREFILTROS 501</t>
  </si>
  <si>
    <t>6885 MICAS PROTECTORAS 70070709103</t>
  </si>
  <si>
    <t>discrepancia de 26</t>
  </si>
  <si>
    <t>5P71</t>
  </si>
  <si>
    <t>5P71 P95 PREFILTRO CAJA CON 1OO, 70070757417</t>
  </si>
  <si>
    <t>6001 CARTUCHO P/VAP.ORG. EASI-CARE</t>
  </si>
  <si>
    <t>lija36</t>
  </si>
  <si>
    <t>RETENEDOR PARA PREFILTROS</t>
  </si>
  <si>
    <t>RESPALDO DE VINIL DE 6 CON 6 ORIFICIOS VELCRO 5/16-24 SERIE FJ MEDIANO</t>
  </si>
  <si>
    <t>RESPIRADOR MEDIA CARA T MED</t>
  </si>
  <si>
    <t>ZAPATO SEGURIDAD</t>
  </si>
  <si>
    <t>LOPZAN</t>
  </si>
  <si>
    <t>DAR DE ALTA ZAPATOS</t>
  </si>
  <si>
    <t>LIJA 220</t>
  </si>
  <si>
    <t>DISPENSADOR GUANTE DE NITRILO</t>
  </si>
  <si>
    <t>se entrtego a planta 6 y deveria ser a planta 4 ERA CORRECTO SE ACLARARA CON EL DE COMPRAS DE TPI</t>
  </si>
  <si>
    <t>LENTE MICA CLARA SEGURIDAD</t>
  </si>
  <si>
    <t>103-T2.5</t>
  </si>
  <si>
    <t>103-T6</t>
  </si>
  <si>
    <t>103-T7.5</t>
  </si>
  <si>
    <t>103-T8.5</t>
  </si>
  <si>
    <t>103-T9.5</t>
  </si>
  <si>
    <t>103-T10</t>
  </si>
  <si>
    <t>DOUBLE CHECK Y AJUSTO INVENTARIO</t>
  </si>
  <si>
    <t>RESPIRADOR ES EL LOGO 3M ROJO MS900105117</t>
  </si>
  <si>
    <t>A60096</t>
  </si>
  <si>
    <t>LUGAR EXPEDICION 32127</t>
  </si>
  <si>
    <t>103-T3</t>
  </si>
  <si>
    <t>103-T3.5</t>
  </si>
  <si>
    <t>103-T5.5</t>
  </si>
  <si>
    <t>103-T11</t>
  </si>
  <si>
    <t>103-T11.5</t>
  </si>
  <si>
    <t>103-T12</t>
  </si>
  <si>
    <t>ENVIO</t>
  </si>
  <si>
    <t>NATURAL</t>
  </si>
  <si>
    <t>RAFIA BLANCA</t>
  </si>
  <si>
    <t>CALIBRE 2</t>
  </si>
  <si>
    <t>FV-45117</t>
  </si>
  <si>
    <t>023151</t>
  </si>
  <si>
    <t>022955</t>
  </si>
  <si>
    <t>A-60329</t>
  </si>
  <si>
    <t>SG98</t>
  </si>
  <si>
    <t>41218656</t>
  </si>
  <si>
    <t>MANGAS 18" PLIESTER ALTA TEMPERATURA</t>
  </si>
  <si>
    <t>41217265</t>
  </si>
  <si>
    <t>41219042</t>
  </si>
  <si>
    <t>41219002</t>
  </si>
  <si>
    <t>41217223</t>
  </si>
  <si>
    <t>41217180</t>
  </si>
  <si>
    <t>41218896</t>
  </si>
  <si>
    <t>41218405</t>
  </si>
  <si>
    <t>41218860</t>
  </si>
  <si>
    <t>ORDEN INTERNA</t>
  </si>
  <si>
    <t>4217223</t>
  </si>
  <si>
    <t>41219171</t>
  </si>
  <si>
    <t>LUGAR DE EXPEDICION</t>
  </si>
  <si>
    <t>23/10/2023</t>
  </si>
  <si>
    <t>15/11/2023</t>
  </si>
  <si>
    <t xml:space="preserve">CINTA ADHESIVA </t>
  </si>
  <si>
    <t>CAJA CON 24 PIEZAS FALTANTE</t>
  </si>
  <si>
    <t>CAJA CON 24 PIEZAS FALTANTE SE DESCONTO DEL SISTEMA</t>
  </si>
  <si>
    <t xml:space="preserve">41217865 </t>
  </si>
  <si>
    <t xml:space="preserve">41218896 </t>
  </si>
  <si>
    <t xml:space="preserve">41217314 </t>
  </si>
  <si>
    <t xml:space="preserve">41218860 </t>
  </si>
  <si>
    <t xml:space="preserve">41217334 </t>
  </si>
  <si>
    <t xml:space="preserve">41218857 </t>
  </si>
  <si>
    <t>CINTA ADHESIVA OFFILAND</t>
  </si>
  <si>
    <t xml:space="preserve">41219171 </t>
  </si>
  <si>
    <t xml:space="preserve">41217265 </t>
  </si>
  <si>
    <t>00/00/00</t>
  </si>
  <si>
    <t xml:space="preserve">41217223 </t>
  </si>
  <si>
    <t xml:space="preserve">41219252 </t>
  </si>
  <si>
    <t>95</t>
  </si>
  <si>
    <t>LUGAR EXPEDICION 32575</t>
  </si>
  <si>
    <t>18/10/2023</t>
  </si>
  <si>
    <t>033K600B-15000B</t>
  </si>
  <si>
    <t xml:space="preserve"> LIJA 600</t>
  </si>
  <si>
    <t>PRIMERA LLEGADA</t>
  </si>
  <si>
    <t xml:space="preserve">SE ENTREGO POR PARES Y NO POR PIEZAS FECHA DE ENTREGA EL21DE SEPTIEMBRE +26 PIEZAS </t>
  </si>
  <si>
    <t>033K180B-15000B</t>
  </si>
  <si>
    <t>LIJA 180</t>
  </si>
  <si>
    <t xml:space="preserve">F 17683 </t>
  </si>
  <si>
    <t xml:space="preserve">Sg 102 </t>
  </si>
  <si>
    <t>025739</t>
  </si>
  <si>
    <t>808109</t>
  </si>
  <si>
    <t>OC98</t>
  </si>
  <si>
    <t>16/11/2023</t>
  </si>
  <si>
    <t>41219254</t>
  </si>
  <si>
    <t>41218407</t>
  </si>
  <si>
    <t xml:space="preserve">41218898 </t>
  </si>
  <si>
    <t xml:space="preserve">41219002 </t>
  </si>
  <si>
    <t xml:space="preserve">41219042 </t>
  </si>
  <si>
    <t>A60442</t>
  </si>
  <si>
    <t>SG99</t>
  </si>
  <si>
    <t>4</t>
  </si>
  <si>
    <t>4638999</t>
  </si>
  <si>
    <t>SBP6KMP RESPALDOS 6 PULGADAS*6 ORIFICIOS</t>
  </si>
  <si>
    <t>4636626</t>
  </si>
  <si>
    <t>41218301</t>
  </si>
  <si>
    <t>027863</t>
  </si>
  <si>
    <t>811599</t>
  </si>
  <si>
    <t>OC91</t>
  </si>
  <si>
    <t>23/11/2023</t>
  </si>
  <si>
    <t>027581</t>
  </si>
  <si>
    <t>789381</t>
  </si>
  <si>
    <t>027582</t>
  </si>
  <si>
    <t>803617</t>
  </si>
  <si>
    <t>027862</t>
  </si>
  <si>
    <t>804884</t>
  </si>
  <si>
    <t>OC90</t>
  </si>
  <si>
    <t>41217865</t>
  </si>
  <si>
    <t>41217334</t>
  </si>
  <si>
    <t>41219252</t>
  </si>
  <si>
    <t>NO LA FIRMO CESAR</t>
  </si>
  <si>
    <t>41218898</t>
  </si>
  <si>
    <t>9550</t>
  </si>
  <si>
    <t>21/11/2023</t>
  </si>
  <si>
    <t xml:space="preserve">FC 464257 </t>
  </si>
  <si>
    <t xml:space="preserve">Orden interna </t>
  </si>
  <si>
    <t>24/11/2023</t>
  </si>
  <si>
    <t xml:space="preserve">4121942 </t>
  </si>
  <si>
    <t>1300out  discrepancia de -40</t>
  </si>
  <si>
    <t xml:space="preserve">FC 4642360   </t>
  </si>
  <si>
    <t xml:space="preserve">134953 </t>
  </si>
  <si>
    <t>TEST PLAN</t>
  </si>
  <si>
    <t>XXX</t>
  </si>
  <si>
    <t>412171221</t>
  </si>
  <si>
    <t>41217314</t>
  </si>
  <si>
    <t>41218857</t>
  </si>
  <si>
    <t>030397</t>
  </si>
  <si>
    <t>29/11/2023</t>
  </si>
  <si>
    <t>1938</t>
  </si>
  <si>
    <t>103-T8</t>
  </si>
  <si>
    <t>103-T4</t>
  </si>
  <si>
    <t>103-T4.5</t>
  </si>
  <si>
    <t>103-T2</t>
  </si>
  <si>
    <t>28/11/2023</t>
  </si>
  <si>
    <t>41219432</t>
  </si>
  <si>
    <t>41218897</t>
  </si>
  <si>
    <t>41219377</t>
  </si>
  <si>
    <t>41217317</t>
  </si>
  <si>
    <t>FC4645078</t>
  </si>
  <si>
    <t>ORDEN INT</t>
  </si>
  <si>
    <t>30/11/2023</t>
  </si>
  <si>
    <t>1926</t>
  </si>
  <si>
    <t>FC4645647</t>
  </si>
  <si>
    <t>INT</t>
  </si>
  <si>
    <t>41217864</t>
  </si>
  <si>
    <t>1948</t>
  </si>
  <si>
    <t>LUGAR DE EXPEDICION37205</t>
  </si>
  <si>
    <t>TOT 216</t>
  </si>
  <si>
    <t>103-T6.5</t>
  </si>
  <si>
    <t>LUGA</t>
  </si>
  <si>
    <t>TOT</t>
  </si>
  <si>
    <t>41219444</t>
  </si>
  <si>
    <t>41219386</t>
  </si>
  <si>
    <t>6001</t>
  </si>
  <si>
    <t>41219425</t>
  </si>
  <si>
    <t>81066</t>
  </si>
  <si>
    <t>9549</t>
  </si>
  <si>
    <t>oc</t>
  </si>
  <si>
    <t>620+G376</t>
  </si>
  <si>
    <t>A61246</t>
  </si>
  <si>
    <t>A61245</t>
  </si>
  <si>
    <t>SG108</t>
  </si>
  <si>
    <t>41217485</t>
  </si>
  <si>
    <t>pend</t>
  </si>
  <si>
    <t>PEND</t>
  </si>
  <si>
    <t>FC4652550</t>
  </si>
  <si>
    <t>OC INT</t>
  </si>
  <si>
    <t>14/12/2023</t>
  </si>
  <si>
    <t>1963</t>
  </si>
  <si>
    <t>exp</t>
  </si>
  <si>
    <t>ok</t>
  </si>
  <si>
    <t>5988374</t>
  </si>
  <si>
    <t>rem</t>
  </si>
  <si>
    <t>22/12/2023</t>
  </si>
  <si>
    <t>41219694</t>
  </si>
  <si>
    <t>NO HAY ORDEN DE COMPRA</t>
  </si>
  <si>
    <t>41218145</t>
  </si>
  <si>
    <t>41218868</t>
  </si>
  <si>
    <t>41217605</t>
  </si>
  <si>
    <t>041265</t>
  </si>
  <si>
    <t>789382</t>
  </si>
  <si>
    <t>041081</t>
  </si>
  <si>
    <t>822840</t>
  </si>
  <si>
    <t>041080</t>
  </si>
  <si>
    <t>822838</t>
  </si>
  <si>
    <t>1995</t>
  </si>
  <si>
    <t>03/01/2024</t>
  </si>
  <si>
    <t>41219744</t>
  </si>
  <si>
    <t>41218064</t>
  </si>
  <si>
    <t>412190002</t>
  </si>
  <si>
    <t>F18718</t>
  </si>
  <si>
    <t>2530</t>
  </si>
  <si>
    <t>CLIEN</t>
  </si>
  <si>
    <t>41114878</t>
  </si>
  <si>
    <t>1696</t>
  </si>
  <si>
    <t>41218317</t>
  </si>
  <si>
    <t>A61981</t>
  </si>
  <si>
    <t>SG144</t>
  </si>
  <si>
    <t>OC</t>
  </si>
  <si>
    <t>16/01/2024</t>
  </si>
  <si>
    <t>41219754</t>
  </si>
  <si>
    <t>41217695</t>
  </si>
  <si>
    <t>045553</t>
  </si>
  <si>
    <t>17/01/2024</t>
  </si>
  <si>
    <t>41217700</t>
  </si>
  <si>
    <t>FC4665856</t>
  </si>
  <si>
    <t>18/01/2024</t>
  </si>
  <si>
    <t>FC4665256</t>
  </si>
  <si>
    <t>41217777</t>
  </si>
  <si>
    <t>41219872</t>
  </si>
  <si>
    <t>41219951</t>
  </si>
  <si>
    <t>41219949</t>
  </si>
  <si>
    <t>1368</t>
  </si>
  <si>
    <t>raul fernandez</t>
  </si>
  <si>
    <t>OMAR LEMUS</t>
  </si>
  <si>
    <t>41220007</t>
  </si>
  <si>
    <t>41220010</t>
  </si>
  <si>
    <t>A62803</t>
  </si>
  <si>
    <t>FV-45540</t>
  </si>
  <si>
    <t>RAul fernandez</t>
  </si>
  <si>
    <t>FC4678419</t>
  </si>
  <si>
    <t>41220015</t>
  </si>
  <si>
    <t>41219554</t>
  </si>
  <si>
    <t>9408</t>
  </si>
  <si>
    <t>ACTUALIZE SHEET(cap) copiar y pegar datos de INVENTARIOma, no hay PO con ese numero de parte se busco solo e numero de articulo</t>
  </si>
  <si>
    <t>SE ENTREGARON 5 DISPENSADORES TALLA M</t>
  </si>
  <si>
    <t>no hay pn</t>
  </si>
  <si>
    <t>054950</t>
  </si>
  <si>
    <t>14/02/2024</t>
  </si>
  <si>
    <t>2040</t>
  </si>
  <si>
    <t>15/02/2024</t>
  </si>
  <si>
    <t>FC4681389</t>
  </si>
  <si>
    <t>inventario</t>
  </si>
  <si>
    <t>5110 DISP</t>
  </si>
  <si>
    <t>240 DISP</t>
  </si>
  <si>
    <t>8 DISP</t>
  </si>
  <si>
    <t>9552</t>
  </si>
  <si>
    <t>20/02/2024</t>
  </si>
  <si>
    <t>057787</t>
  </si>
  <si>
    <t>057786</t>
  </si>
  <si>
    <t>2046</t>
  </si>
  <si>
    <t>LISTGROUPSSETS</t>
  </si>
  <si>
    <t xml:space="preserve">2113_x000D_
</t>
  </si>
  <si>
    <t xml:space="preserve">2111_x000D_
</t>
  </si>
  <si>
    <t>5p71</t>
  </si>
  <si>
    <t>GSS-2" BRUSH-3</t>
  </si>
  <si>
    <t>033K120C</t>
  </si>
  <si>
    <t>COTIZACION</t>
  </si>
  <si>
    <t>discontinuidad de articulo</t>
  </si>
  <si>
    <t xml:space="preserve">_x000D_
</t>
  </si>
  <si>
    <t xml:space="preserve">COTIZACION_x000D_
</t>
  </si>
  <si>
    <t>discrepancia</t>
  </si>
  <si>
    <t>F19380</t>
  </si>
  <si>
    <t>BYLACK</t>
  </si>
  <si>
    <t>4850</t>
  </si>
  <si>
    <t>1008</t>
  </si>
  <si>
    <t>220 discrepancia</t>
  </si>
  <si>
    <t>4352</t>
  </si>
  <si>
    <t>656 discrepancia</t>
  </si>
  <si>
    <t>2658</t>
  </si>
  <si>
    <t>844 discrepancia</t>
  </si>
  <si>
    <t>0 discrepancia</t>
  </si>
  <si>
    <t>41217793</t>
  </si>
  <si>
    <t>8666</t>
  </si>
  <si>
    <t>41217336</t>
  </si>
  <si>
    <t>789363</t>
  </si>
  <si>
    <t>797939</t>
  </si>
  <si>
    <t>31191500</t>
  </si>
  <si>
    <t>41217882</t>
  </si>
  <si>
    <t>41217698</t>
  </si>
  <si>
    <t>41220022</t>
  </si>
  <si>
    <t>41220183</t>
  </si>
  <si>
    <t>41217401</t>
  </si>
  <si>
    <t>41220289</t>
  </si>
  <si>
    <t>41220281</t>
  </si>
  <si>
    <t>File Size (bytes)</t>
  </si>
  <si>
    <t>File Type</t>
  </si>
  <si>
    <t>Date Created</t>
  </si>
  <si>
    <t>Date Last Accessed</t>
  </si>
  <si>
    <t>Date Last Modified</t>
  </si>
  <si>
    <t>6200</t>
  </si>
  <si>
    <t>6800</t>
  </si>
  <si>
    <t>6885</t>
  </si>
  <si>
    <t>501</t>
  </si>
  <si>
    <t>17948</t>
  </si>
  <si>
    <t>17023</t>
  </si>
  <si>
    <t>17947</t>
  </si>
  <si>
    <t>17022</t>
  </si>
  <si>
    <t>111023</t>
  </si>
  <si>
    <t>4630423</t>
  </si>
  <si>
    <t>9422</t>
  </si>
  <si>
    <t>9412</t>
  </si>
  <si>
    <t>53113</t>
  </si>
  <si>
    <t>9452</t>
  </si>
  <si>
    <t>9446</t>
  </si>
  <si>
    <t>OK</t>
  </si>
  <si>
    <t>f19919</t>
  </si>
  <si>
    <t>27/02/2024</t>
  </si>
  <si>
    <t>A63442</t>
  </si>
  <si>
    <t>29/02/2024</t>
  </si>
  <si>
    <t>CAJAS CERRADAS</t>
  </si>
  <si>
    <t>BULTOS CERRADO</t>
  </si>
  <si>
    <t>MSGBOX NOTIFICACIONES</t>
  </si>
  <si>
    <t>MINIMOS</t>
  </si>
  <si>
    <t>MAXIMOS</t>
  </si>
  <si>
    <t>2</t>
  </si>
  <si>
    <t>ReplaceCommasInStr = Replace(STRINGTXT, ",", ".")</t>
  </si>
  <si>
    <t>correction in strings</t>
  </si>
  <si>
    <t>SEGISA</t>
  </si>
  <si>
    <t>100</t>
  </si>
  <si>
    <t>DISCREPANCIA DE 1000 PIESAS RESPECTO AL PRIMER INVENTARIO 24/10/2023 TOTAL 2200</t>
  </si>
  <si>
    <t>31400-27000 RETORNAR A PROVEEDOR</t>
  </si>
  <si>
    <t>50</t>
  </si>
  <si>
    <t>12</t>
  </si>
  <si>
    <t>CHECK PAPEL</t>
  </si>
  <si>
    <t>24</t>
  </si>
  <si>
    <t>+1 BOX INVENTARIO DE LAS CAJAS VIEJAS++ DISCREPANCIA SEGISA Y  ALMACEN</t>
  </si>
  <si>
    <t>8</t>
  </si>
  <si>
    <t>ABATE LENGUAS</t>
  </si>
  <si>
    <t>25</t>
  </si>
  <si>
    <t>200</t>
  </si>
  <si>
    <t>20</t>
  </si>
  <si>
    <t>SAFE-FIT</t>
  </si>
  <si>
    <t>LIGEROX</t>
  </si>
  <si>
    <t>a63313</t>
  </si>
  <si>
    <t>FC4690353</t>
  </si>
  <si>
    <t>sinoc</t>
  </si>
  <si>
    <t>cant</t>
  </si>
  <si>
    <t>063553</t>
  </si>
  <si>
    <t>9624</t>
  </si>
  <si>
    <t>ENTREGADO</t>
  </si>
  <si>
    <t>FC 4692394</t>
  </si>
  <si>
    <t>9949</t>
  </si>
  <si>
    <t>DESCRIPCION ERRONEA DATO DE SEGISA</t>
  </si>
  <si>
    <t>9948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</si>
  <si>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</si>
  <si>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</si>
  <si>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</si>
  <si>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</si>
  <si>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</si>
  <si>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</si>
  <si>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</si>
  <si>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</si>
  <si>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</si>
  <si>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</si>
  <si>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</si>
  <si>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1697</t>
  </si>
  <si>
    <t>1698</t>
  </si>
  <si>
    <t>1699</t>
  </si>
  <si>
    <t>1716</t>
  </si>
  <si>
    <t>TR-104</t>
  </si>
  <si>
    <t>CANTIDAD AL   MOVIMIENTO</t>
  </si>
  <si>
    <t>LLEGADAS FACTURA EN CAJAS NO POR DISPENSADOR</t>
  </si>
  <si>
    <t>CANTx2 PARA planta 6 requiere pares '6001</t>
  </si>
  <si>
    <t>OFFILAND, CT501 CINTA TRANSPARENTE  2" X 100</t>
  </si>
  <si>
    <t>bolsa plastico</t>
  </si>
  <si>
    <t>FC 4696832</t>
  </si>
  <si>
    <t>2024-03-15T05:37:27</t>
  </si>
  <si>
    <t>21/03/2024</t>
  </si>
  <si>
    <t>41220619</t>
  </si>
  <si>
    <t>se ajusto inventario</t>
  </si>
  <si>
    <t xml:space="preserve">#: OMAR </t>
  </si>
  <si>
    <t>doble captura</t>
  </si>
  <si>
    <t>DOBLE CAPTURA</t>
  </si>
  <si>
    <t>faltaron 400 piezas pendientes de la remision 615 22/04/2024  8:29:35</t>
  </si>
  <si>
    <t>41210722</t>
  </si>
  <si>
    <t>072797</t>
  </si>
  <si>
    <t>27/03/2024</t>
  </si>
  <si>
    <t>x0</t>
  </si>
  <si>
    <t>1568</t>
  </si>
  <si>
    <t>1569</t>
  </si>
  <si>
    <t>1570</t>
  </si>
  <si>
    <t>A64555</t>
  </si>
  <si>
    <t>1571</t>
  </si>
  <si>
    <t>1572</t>
  </si>
  <si>
    <t>1573</t>
  </si>
  <si>
    <t xml:space="preserve">#: RAUL </t>
  </si>
  <si>
    <t>612</t>
  </si>
  <si>
    <t>01/abr./2024 09:56:56</t>
  </si>
  <si>
    <t>F20619</t>
  </si>
  <si>
    <t>FC 4705346</t>
  </si>
  <si>
    <t>2024-04-02T12:58:38</t>
  </si>
  <si>
    <t>075338</t>
  </si>
  <si>
    <t>075339</t>
  </si>
  <si>
    <t>075340</t>
  </si>
  <si>
    <t>1579</t>
  </si>
  <si>
    <t>1580</t>
  </si>
  <si>
    <t>se cancelo</t>
  </si>
  <si>
    <t>1581</t>
  </si>
  <si>
    <t>1630</t>
  </si>
  <si>
    <t>seacabaron -40 se cancelo</t>
  </si>
  <si>
    <t>1632</t>
  </si>
  <si>
    <t>1633</t>
  </si>
  <si>
    <t>1634</t>
  </si>
  <si>
    <t>seacabaron -40  nujeva fac</t>
  </si>
  <si>
    <t>1636</t>
  </si>
  <si>
    <t>1637</t>
  </si>
  <si>
    <t>1638</t>
  </si>
  <si>
    <t>1639</t>
  </si>
  <si>
    <t>1640</t>
  </si>
  <si>
    <t>1641</t>
  </si>
  <si>
    <t>1642</t>
  </si>
  <si>
    <t>1644</t>
  </si>
  <si>
    <t>1645</t>
  </si>
  <si>
    <t>1646</t>
  </si>
  <si>
    <t>1647</t>
  </si>
  <si>
    <t>1648</t>
  </si>
  <si>
    <t>1649</t>
  </si>
  <si>
    <t>1651</t>
  </si>
  <si>
    <t>1653</t>
  </si>
  <si>
    <t>1655</t>
  </si>
  <si>
    <t>2139</t>
  </si>
  <si>
    <t>1663</t>
  </si>
  <si>
    <t>1664</t>
  </si>
  <si>
    <t>A 64808</t>
  </si>
  <si>
    <t>11/Abr/2024 09:46:33</t>
  </si>
  <si>
    <t>077895</t>
  </si>
  <si>
    <t>2024-04-10T14:42:52</t>
  </si>
  <si>
    <t>1665</t>
  </si>
  <si>
    <t>1666</t>
  </si>
  <si>
    <t>1667</t>
  </si>
  <si>
    <t>1668</t>
  </si>
  <si>
    <t>FC 4711642</t>
  </si>
  <si>
    <t>FC 4711133</t>
  </si>
  <si>
    <t>FC 4711012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</si>
  <si>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</si>
  <si>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</si>
  <si>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</si>
  <si>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</si>
  <si>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</si>
  <si>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</si>
  <si>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</si>
  <si>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</si>
  <si>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</si>
  <si>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</si>
  <si>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</si>
  <si>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</si>
  <si>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</si>
  <si>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</si>
  <si>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</si>
  <si>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</si>
  <si>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</si>
  <si>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</si>
  <si>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</si>
  <si>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</si>
  <si>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</si>
  <si>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</si>
  <si>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</si>
  <si>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planta 6 requiere pares '6001</t>
  </si>
  <si>
    <t>-2000 PIEZAS PLANTA 6</t>
  </si>
  <si>
    <t>FV - 45874</t>
  </si>
  <si>
    <t>17/04/24</t>
  </si>
  <si>
    <t>622</t>
  </si>
  <si>
    <t>623</t>
  </si>
  <si>
    <t>624</t>
  </si>
  <si>
    <t>15/Abr/2024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</si>
  <si>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</si>
  <si>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</si>
  <si>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</si>
  <si>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</si>
  <si>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</si>
  <si>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</si>
  <si>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</si>
  <si>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</si>
  <si>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</si>
  <si>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</si>
  <si>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</si>
  <si>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</si>
  <si>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</si>
  <si>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A 65114</t>
  </si>
  <si>
    <t>22/Abr/2024 09:36:00</t>
  </si>
  <si>
    <t>FC 4714776</t>
  </si>
  <si>
    <t>2024-04-19T05:39:41</t>
  </si>
  <si>
    <t>FC 4713984</t>
  </si>
  <si>
    <t>2024-04-18T05:43:24</t>
  </si>
  <si>
    <t>agregado por dispensadores no por cajas</t>
  </si>
  <si>
    <t>9980</t>
  </si>
  <si>
    <t>23/04/2024</t>
  </si>
  <si>
    <t>638</t>
  </si>
  <si>
    <t>639</t>
  </si>
  <si>
    <t>640</t>
  </si>
  <si>
    <t>641</t>
  </si>
  <si>
    <t>2024-04-25T15:15:26</t>
  </si>
  <si>
    <t>2024-04-24T14:36:21</t>
  </si>
  <si>
    <t>642</t>
  </si>
  <si>
    <t>643</t>
  </si>
  <si>
    <t>644</t>
  </si>
  <si>
    <t>645</t>
  </si>
  <si>
    <t>A 65344</t>
  </si>
  <si>
    <t>29/Abr/2024</t>
  </si>
  <si>
    <t>DESM. ALTA TEMPERATURA</t>
  </si>
  <si>
    <t>PLASTIFORMAS</t>
  </si>
  <si>
    <t>24/04/2024</t>
  </si>
  <si>
    <t>QUITAR ETIQUETAS DE IDENTIFICACION</t>
  </si>
  <si>
    <t>1714</t>
  </si>
  <si>
    <t>1715</t>
  </si>
  <si>
    <t>FOUND</t>
  </si>
  <si>
    <t>pdf</t>
  </si>
  <si>
    <t>1759</t>
  </si>
  <si>
    <t>1760</t>
  </si>
  <si>
    <t>File Name</t>
  </si>
  <si>
    <t>1762</t>
  </si>
  <si>
    <t>1763</t>
  </si>
  <si>
    <t>1764</t>
  </si>
  <si>
    <t>BORRAR ESTA ALARMA AL RESOLVER, PEDIR O ACTUALIZAR SHEET(cap) copiar y pegar datos de INVENTARIOma, no hay PO con ese numero de parte se busco solo eL numero de articulo</t>
  </si>
  <si>
    <t>1765</t>
  </si>
  <si>
    <t>1766</t>
  </si>
  <si>
    <t xml:space="preserve">13111201 PELICULA ESTIRABLE 18 X 800 CAL 50 FLEJE </t>
  </si>
  <si>
    <t>1736</t>
  </si>
  <si>
    <t>1737</t>
  </si>
  <si>
    <t>1738</t>
  </si>
  <si>
    <t>1739</t>
  </si>
  <si>
    <t>1740</t>
  </si>
  <si>
    <t>2024-05-02T12:06:59</t>
  </si>
  <si>
    <t>1741</t>
  </si>
  <si>
    <t>1742</t>
  </si>
  <si>
    <t>1743</t>
  </si>
  <si>
    <t>1744</t>
  </si>
  <si>
    <t>1745</t>
  </si>
  <si>
    <t># : omar</t>
  </si>
  <si>
    <t>646</t>
  </si>
  <si>
    <t xml:space="preserve">#: omar </t>
  </si>
  <si>
    <t>647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</si>
  <si>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</si>
  <si>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</si>
  <si>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</si>
  <si>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</si>
  <si>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</si>
  <si>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</si>
  <si>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</si>
  <si>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</si>
  <si>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</si>
  <si>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</si>
  <si>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</si>
  <si>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</si>
  <si>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</si>
  <si>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FC 4722131</t>
  </si>
  <si>
    <t>2024-05-03T13:13:04</t>
  </si>
  <si>
    <t>A 65541</t>
  </si>
  <si>
    <t>A 65719</t>
  </si>
  <si>
    <t>2024-05-08T15:29:47</t>
  </si>
  <si>
    <t>2024-05-0BT15:29:46</t>
  </si>
  <si>
    <t xml:space="preserve">13111201 PELICULA ESTIRABLE 18 X 800 CAL 50 FLEJE-001 </t>
  </si>
  <si>
    <t>C:\Users\Miscelec\Downloads\FACTURA-1176.pdf</t>
  </si>
  <si>
    <t>C:\Users\Miscelec\Downloads\FACTURA-1770.pdf</t>
  </si>
  <si>
    <t>C:\Users\Miscelec\Downloads\FACTURA-1772.pdf</t>
  </si>
  <si>
    <t>C:\Users\Miscelec\Downloads\FACTURA-1773.pdf</t>
  </si>
  <si>
    <t>C:\Users\Miscelec\Downloads\FACTURA-1774.pdf</t>
  </si>
  <si>
    <t>C:\Users\Miscelec\Downloads\FACTURA-1775.pdf</t>
  </si>
  <si>
    <t>C:\Users\Miscelec\Downloads\FACTURA-1777.pdf</t>
  </si>
  <si>
    <t>C:\Users\Miscelec\Downloads\FACTURA-1778.pdf</t>
  </si>
  <si>
    <t>C:\Users\Miscelec\Downloads\FACTURA-1780.pdf</t>
  </si>
  <si>
    <t>41220789.pdf</t>
  </si>
  <si>
    <t>C:\Users\Miscelec\Downloads\SEGISA\ENTREGAS\CARPETA 20240422 TIEMPO 112903 P4 ENTREGA\41220789.pdf</t>
  </si>
  <si>
    <t>41220788.pdf</t>
  </si>
  <si>
    <t>C:\Users\Miscelec\Downloads\SEGISA\ENTREGAS\CARPETA 20240418 TIEMPO 121217 P4 ENTREGA\41220788.pdf</t>
  </si>
  <si>
    <t>PO_709_41220317.pdf</t>
  </si>
  <si>
    <t>C:\Users\Miscelec\Downloads\SEGISA\ENTREGAS\CARPETA 20240402 TIEMPO 080652 P4 ENTREGA\PO_709_41220317.pdf</t>
  </si>
  <si>
    <t>PO 41220908 SEGISA.pdf</t>
  </si>
  <si>
    <t>C:\Users\Miscelec\Downloads\SEGISA\ENTREGAS\CARPETA 20240509 TIEMPO 121827 P4 ENTREGA\PO 41220908 SEGISA.pdf</t>
  </si>
  <si>
    <t>41220335.pdf</t>
  </si>
  <si>
    <t>C:\Users\Miscelec\Downloads\SEGISA\ENTREGAS\CARPETA 20240328 TIEMPO 133041 P4 ENTREGA\41220335.pdf</t>
  </si>
  <si>
    <t>41220338.pdf</t>
  </si>
  <si>
    <t>C:\Users\Miscelec\Downloads\SEGISA\ENTREGAS\CARPETA 20240402 TIEMPO 080652 P4 ENTREGA\41220338.pdf</t>
  </si>
  <si>
    <t>PO 41220910 SEGISA.pdf</t>
  </si>
  <si>
    <t>C:\Users\Miscelec\Downloads\SEGISA\ENTREGAS\CARPETA 20240425 TIEMPO 102237 P4 ENTREGA\PO 41220910 SEGISA.pdf</t>
  </si>
  <si>
    <t>41220883.pdf</t>
  </si>
  <si>
    <t>C:\Users\Miscelec\Downloads\SEGISA\ENTREGAS\CARPETA 20240509 TIEMPO 121827 P4 ENTREGA\41220883.pdf</t>
  </si>
  <si>
    <t>PO 41219252 SEGISA.pdf</t>
  </si>
  <si>
    <t>C:\Users\Miscelec\Downloads\SEGISA\ENTREGAS\302 ENTREGA A TPI P4 ENERO 24 2024\PO 41219252 SEGISA.pdf</t>
  </si>
  <si>
    <t>41219951.pdf</t>
  </si>
  <si>
    <t>C:\Users\Miscelec\Downloads\facsp4marzo212024\41219951.pdf</t>
  </si>
  <si>
    <t>41219425.pdf</t>
  </si>
  <si>
    <t>C:\Users\Miscelec\Downloads\facsp4marzo212024\41219425.pdf</t>
  </si>
  <si>
    <t>41220347.pdf</t>
  </si>
  <si>
    <t>C:\Users\Miscelec\Downloads\facsp4marzo212024\41220347.pdf</t>
  </si>
  <si>
    <t>1782</t>
  </si>
  <si>
    <t>C:\Users\Miscelec\Downloads\FACTURA-1782.pdf</t>
  </si>
  <si>
    <t>REMYCFIDOVENTA DE CREDITO@@CHIHUAHUA Agente:14@@O.C. #:41220007@@Factura CFDI#: 1782@@SERIE: IMAT@FECHA/LUGAR EXPEDICION@@FECHA:15/05/2024 01:34:00p. m.@F.CERTIF .: 15/05/2024 01:34:04p.m.@FOLIO FISCAL:@E08D3D54-0D3B-4A66-89C3-E2B1@B3307666@@CD TUAREZ CHTHUAHUL@CANTIDADDEPIEZASNota:planta b@@CLAVE@SAT@1 46181504@@CANTIDAD UBICA@40.00@@Documento Relacionado@NUMERODEPARTECACION@@Base@136.00@@ARTICULO@705PFE-TM@@Impuesto@002 IVA@@AMEX0812@NITRILO T@TiD@@NOMBE@</t>
  </si>
  <si>
    <t>1783</t>
  </si>
  <si>
    <t>C:\Users\Miscelec\Downloads\FACTURA-1783.pdf</t>
  </si>
  <si>
    <t>REMYCFIDO-A@@7@@VENTA DE CREDITO@@CHIHUAHUA Agente:14@@O.C. #:41221106@@Factura CFDI#: 1783@@SERIE: IMAT@FECHA/LUGAR EXPEDICION@@FECHA:15/05/2024 01:34:45p. m.@F.CERTIF .: 15/05/2024 01:34:48p. m.@FOLIO FISCAL:@4369632B-7274-4DA7-BEE1-53912@BF212D4@CANTIDADDEPIEZASNota : PLANTA 6@@CLAVE@SAT@1 31191500@@CANTIDAD UBIC@100.00@@Documento Relacionado@NUMERODEPARTEARTICULO@@Base@25.00@@ICACION@033K500B-1500 AMEX019@ORIFICIO@GRANO 5@Ti@@Impuesto@0D2 IVA@@OR@OMRRE@</t>
  </si>
  <si>
    <t>1784</t>
  </si>
  <si>
    <t>C:\Users\Miscelec\Downloads\FACTURA-1784.pdf</t>
  </si>
  <si>
    <t>REMYCFIDO-A@@VENTA DE CREDITO@@CHIHUAHUA Agente:14@@O.C. #:41221115@@Factura CFDI#: 1784@@SERIE: IMAT@FECHA/LUGAR EXPEDICION@@FECHA:15/05/2024 01:35:23p. m.@F.CERTIF .: 15/05/2024 01:35:26p.m.@FOLIO FISCAL:@FE47264B-5091-4D6A-96B1-F5D40@6D188C5@CANTIDADDEPIEZASNota: PLANTA 6@@CLAVE@SAT@1 31191500@@CANTIDAD UBICA@5.600.00@@1@@Documento Relacionado@NUMERODEPARTEARTICULO@@Base@1,400.00@@CACION@033K120C-1500 AMEX0184@ORIFICIOS@GRANO 12@Tin@@Impuesto@002 IVA@@Serubi &amp;ind@ORI@NOMBRE@</t>
  </si>
  <si>
    <t>1785</t>
  </si>
  <si>
    <t>C:\Users\Miscelec\Downloads\FACTURA-1785.pdf</t>
  </si>
  <si>
    <t>REMYCFIDOVENTA DE CREDITO@@Z,CHIHUAHUA Agente:14@627@@ral@@51-A@@5@@O.C. #:41219432@@Factura CFDI#: 1785@@SERIE: IMAT@FECHA/LUGAR EXPEDICION@@FECHA:15/05/2024 01:36:04p. m.@F.CERTIF .: 15/05/2024 01:36:07p. m@FOLIO FISCAL:@126E84D5-1043-4B11-B51B-470F11@924175@CANTIDADDEPIEZASNota : PLANTA 6@@PH@1@@CLAVE@SAT@31191500@@CANTIDAD UBI@5.000.00@@Documento Relacionado@NUMERODEPARTEARTICULO@@BICACION@033K060C-1500 AMEX0@ORIFICI@GRANO@@Base@1.250.00@@Impuesto@002 IVA@@Safes@OR@NOMBRE.@</t>
  </si>
  <si>
    <t>1786</t>
  </si>
  <si>
    <t>C:\Users\Miscelec\Downloads\FACTURA-1786.pdf</t>
  </si>
  <si>
    <t>REMYCFIDOVENTA DE CREDITO@@CHIHUAHUA Agente:14@7@@1-A@@O.C. #:41219444@@Factura CFDI#: 1786@@SERIE: IMAT@FECHA/LUGAR EXPEDICION@@FECHA:15/05/2024 01:47:08p. m.@F.CERTIF .: 15/05/2024 01:47:11p. m.@FOLIO FISCAL:@6FA094B0-F139-4389-8896-9D9F86@67AD1D@CANTIDADDEPIEZASNota: PLANTA 6@@P#@1@@CLAVE@SAT@31191500@@CANTIDAD UBIC@2.900.00@@Documento Relacionado@NUMERODEPARTEARTICULO@@ICACION@033K400B-1500 AMEX019@ORIFICIO@GRANO 4@@Base@725.00@@Impuesto@002 IVA@@SE@ORI@NOMBRE@</t>
  </si>
  <si>
    <t>nuevo</t>
  </si>
  <si>
    <t>C:\Users\Miscelec\Downloads\683.pdf</t>
  </si>
  <si>
    <t>1990</t>
  </si>
  <si>
    <t>31201522 OFFILAND, CT501 CINTA TRANSPARENTE  2" X 100</t>
  </si>
  <si>
    <t>mangas alarma por planta</t>
  </si>
  <si>
    <t>DESCRIPCION ERRONEA DATO DE SEGISA REEMPLAZAR A PLANTA 6</t>
  </si>
  <si>
    <t>1779</t>
  </si>
  <si>
    <t>1776</t>
  </si>
  <si>
    <t>1770</t>
  </si>
  <si>
    <t>1771</t>
  </si>
  <si>
    <t>1772</t>
  </si>
  <si>
    <t>1773</t>
  </si>
  <si>
    <t>1774</t>
  </si>
  <si>
    <t>1775</t>
  </si>
  <si>
    <t>1777</t>
  </si>
  <si>
    <t>1778</t>
  </si>
  <si>
    <t>1780</t>
  </si>
  <si>
    <t>1781</t>
  </si>
  <si>
    <t>CAJA CON -4</t>
  </si>
  <si>
    <t>1788</t>
  </si>
  <si>
    <t>1787</t>
  </si>
  <si>
    <t>1789</t>
  </si>
  <si>
    <t>648</t>
  </si>
  <si>
    <t>649</t>
  </si>
  <si>
    <t>MASKING TAPE USO</t>
  </si>
  <si>
    <t>2024-05-15T15:15:58</t>
  </si>
  <si>
    <t>A 65971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</si>
  <si>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</si>
  <si>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</si>
  <si>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</si>
  <si>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</si>
  <si>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</si>
  <si>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</si>
  <si>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</si>
  <si>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</si>
  <si>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</si>
  <si>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</si>
  <si>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</si>
  <si>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</si>
  <si>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</si>
  <si>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663cancelada</t>
  </si>
  <si>
    <t>664</t>
  </si>
  <si>
    <t>665</t>
  </si>
  <si>
    <t>24/05/24</t>
  </si>
  <si>
    <t>FC 4730012</t>
  </si>
  <si>
    <t>2024-05-20T13:17:42</t>
  </si>
  <si>
    <t>F21824</t>
  </si>
  <si>
    <t>22/may./2024</t>
  </si>
  <si>
    <t>A 66110</t>
  </si>
  <si>
    <t>09445B</t>
  </si>
  <si>
    <t>2024-05-23T13:55:53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</si>
  <si>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</si>
  <si>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</si>
  <si>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</si>
  <si>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</si>
  <si>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</si>
  <si>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</si>
  <si>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</si>
  <si>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</si>
  <si>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</si>
  <si>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</si>
  <si>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</si>
  <si>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</si>
  <si>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CAJA CON (-4)</t>
  </si>
  <si>
    <t>678</t>
  </si>
  <si>
    <t>680</t>
  </si>
  <si>
    <t>681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</si>
  <si>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</si>
  <si>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</si>
  <si>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</si>
  <si>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</si>
  <si>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</si>
  <si>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</si>
  <si>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</si>
  <si>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</si>
  <si>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</si>
  <si>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</si>
  <si>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</si>
  <si>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</si>
  <si>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</si>
  <si>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</si>
  <si>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</si>
  <si>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2024-05-29T20:14:34</t>
  </si>
  <si>
    <t>2024-05-29T16:25:21</t>
  </si>
  <si>
    <t>1842</t>
  </si>
  <si>
    <t>1841</t>
  </si>
  <si>
    <t>1847</t>
  </si>
  <si>
    <t>1848</t>
  </si>
  <si>
    <t>A00590</t>
  </si>
  <si>
    <t>2024-06-06T11:43:46</t>
  </si>
  <si>
    <t>2024-06-08T11:46:39</t>
  </si>
  <si>
    <t>1857</t>
  </si>
  <si>
    <t>1858</t>
  </si>
  <si>
    <t>682</t>
  </si>
  <si>
    <t>A03007</t>
  </si>
  <si>
    <t>2024-06-12T17:22:19</t>
  </si>
  <si>
    <t>FV -46130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</si>
  <si>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</si>
  <si>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</si>
  <si>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</si>
  <si>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</si>
  <si>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</si>
  <si>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</si>
  <si>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</si>
  <si>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</si>
  <si>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</si>
  <si>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</si>
  <si>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</si>
  <si>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</si>
  <si>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</si>
  <si>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</si>
  <si>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</si>
  <si>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</si>
  <si>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</si>
  <si>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</si>
  <si>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</si>
  <si>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</si>
  <si>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</si>
  <si>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</si>
  <si>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706</t>
  </si>
  <si>
    <t>708</t>
  </si>
  <si>
    <t>709</t>
  </si>
  <si>
    <t>710</t>
  </si>
  <si>
    <t>711</t>
  </si>
  <si>
    <t>712</t>
  </si>
  <si>
    <t>713</t>
  </si>
  <si>
    <t>67282 A</t>
  </si>
  <si>
    <t>FC 4746022</t>
  </si>
  <si>
    <t>2024-06-20T15:51:31</t>
  </si>
  <si>
    <t>FC 4746784</t>
  </si>
  <si>
    <t>2024-06-21T09:57:04</t>
  </si>
  <si>
    <t>725</t>
  </si>
  <si>
    <t>726</t>
  </si>
  <si>
    <t>A05897</t>
  </si>
  <si>
    <t>2024-06-20T15:29:18</t>
  </si>
  <si>
    <t>PAQUETERIA EXPRESS</t>
  </si>
  <si>
    <t>RASTREO 9661191804538</t>
  </si>
  <si>
    <t>SOLICITUD DE SERVICIO MAM01AA0087477</t>
  </si>
  <si>
    <t>A09443</t>
  </si>
  <si>
    <t>2024-06-27T17:01:04</t>
  </si>
  <si>
    <t>FC 4747569</t>
  </si>
  <si>
    <t>2024-06-24T16:02:22</t>
  </si>
  <si>
    <t>1919</t>
  </si>
  <si>
    <t>1920</t>
  </si>
  <si>
    <t>1921</t>
  </si>
  <si>
    <t>1922</t>
  </si>
  <si>
    <t>1936</t>
  </si>
  <si>
    <t>1937</t>
  </si>
  <si>
    <t>1939</t>
  </si>
  <si>
    <t>1940</t>
  </si>
  <si>
    <t>A12525</t>
  </si>
  <si>
    <t>2024-07-04T17:30:29</t>
  </si>
  <si>
    <t>A10062</t>
  </si>
  <si>
    <t>2024-06-28T15:18:34</t>
  </si>
  <si>
    <t>1956</t>
  </si>
  <si>
    <t>1957</t>
  </si>
  <si>
    <t>1958</t>
  </si>
  <si>
    <t>1959</t>
  </si>
  <si>
    <t>1960</t>
  </si>
  <si>
    <t>727</t>
  </si>
  <si>
    <t>728</t>
  </si>
  <si>
    <t>729</t>
  </si>
  <si>
    <t>730</t>
  </si>
  <si>
    <t>10614</t>
  </si>
  <si>
    <t>18/07/2024</t>
  </si>
  <si>
    <t>732</t>
  </si>
  <si>
    <t>FC 4759587</t>
  </si>
  <si>
    <t>2024-07-18T16:02:10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</si>
  <si>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</si>
  <si>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</si>
  <si>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</si>
  <si>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</si>
  <si>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</si>
  <si>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</si>
  <si>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</si>
  <si>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</si>
  <si>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</si>
  <si>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</si>
  <si>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#:5/0@@R</t>
  </si>
  <si>
    <t>745</t>
  </si>
  <si>
    <t>746</t>
  </si>
  <si>
    <t>747</t>
  </si>
  <si>
    <t>748</t>
  </si>
  <si>
    <t>749</t>
  </si>
  <si>
    <t>ajuste fsico -4</t>
  </si>
  <si>
    <t>750</t>
  </si>
  <si>
    <t>FV -46328</t>
  </si>
  <si>
    <t>751</t>
  </si>
  <si>
    <t>752</t>
  </si>
  <si>
    <t>753</t>
  </si>
  <si>
    <t>1972</t>
  </si>
  <si>
    <t>1973</t>
  </si>
  <si>
    <t>1988</t>
  </si>
  <si>
    <t>1989</t>
  </si>
  <si>
    <t>753 CANCELADA SE REGRESARON 10 DISP</t>
  </si>
  <si>
    <t>FC 4766341</t>
  </si>
  <si>
    <t>2024-08-01T05:35:28</t>
  </si>
  <si>
    <t>2134</t>
  </si>
  <si>
    <t>2135</t>
  </si>
  <si>
    <t>2136</t>
  </si>
  <si>
    <t>2137</t>
  </si>
  <si>
    <t>2138</t>
  </si>
  <si>
    <t>FALTA PO</t>
  </si>
  <si>
    <t>ALTASS-SEGISA, ENVIOS, PLANTA, FOLIOS, FACTURAS. Inventario</t>
  </si>
  <si>
    <t>A29777</t>
  </si>
  <si>
    <t>LLEGADA&amp;ALTA</t>
  </si>
  <si>
    <t>8210MX</t>
  </si>
  <si>
    <t>RESPIRADOR N95</t>
  </si>
  <si>
    <t>2024-08-22T16:41:09</t>
  </si>
  <si>
    <t>2018</t>
  </si>
  <si>
    <t>2019</t>
  </si>
  <si>
    <t>2020</t>
  </si>
  <si>
    <t>2033</t>
  </si>
  <si>
    <t>fc0def4c-dd83-4396-ab2d-b887f0d7182e</t>
  </si>
  <si>
    <t>FC 4770055</t>
  </si>
  <si>
    <t>2024-08-08T12:12:53</t>
  </si>
  <si>
    <t>2035</t>
  </si>
  <si>
    <t>2036</t>
  </si>
  <si>
    <t>2037</t>
  </si>
  <si>
    <t>#:envio@juarez</t>
  </si>
  <si>
    <t>#:envio@</t>
  </si>
  <si>
    <t>2049</t>
  </si>
  <si>
    <t>FC 4774240</t>
  </si>
  <si>
    <t>2024-08-16T12:18:22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</si>
  <si>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</si>
  <si>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</si>
  <si>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</si>
  <si>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</si>
  <si>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</si>
  <si>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</si>
  <si>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</si>
  <si>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</si>
  <si>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</si>
  <si>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</si>
  <si>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</si>
  <si>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</si>
  <si>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</si>
  <si>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</si>
  <si>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</si>
  <si>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</si>
  <si>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20/08/2024</t>
  </si>
  <si>
    <t>se enviaron 3000 a juarez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</si>
  <si>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</si>
  <si>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</si>
  <si>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</si>
  <si>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</si>
  <si>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</si>
  <si>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</si>
  <si>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</si>
  <si>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</si>
  <si>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</si>
  <si>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</si>
  <si>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</si>
  <si>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</si>
  <si>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</si>
  <si>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</si>
  <si>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2050</t>
  </si>
  <si>
    <t>2081</t>
  </si>
  <si>
    <t>2082</t>
  </si>
  <si>
    <t>2083</t>
  </si>
  <si>
    <t>2084</t>
  </si>
  <si>
    <t>2091</t>
  </si>
  <si>
    <t>2092</t>
  </si>
  <si>
    <t>2093</t>
  </si>
  <si>
    <t>2094</t>
  </si>
  <si>
    <t>2095</t>
  </si>
  <si>
    <t>2096</t>
  </si>
  <si>
    <t>2097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</si>
  <si>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</si>
  <si>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</si>
  <si>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</si>
  <si>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</si>
  <si>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</si>
  <si>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</si>
  <si>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</si>
  <si>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</si>
  <si>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</si>
  <si>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</si>
  <si>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</si>
  <si>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</si>
  <si>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</si>
  <si>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</si>
  <si>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</si>
  <si>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</si>
  <si>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FV - 46627</t>
  </si>
  <si>
    <t>18/Seo/2024 10:19:37</t>
  </si>
  <si>
    <t>800</t>
  </si>
  <si>
    <t>801</t>
  </si>
  <si>
    <t>A 70422</t>
  </si>
  <si>
    <t>F24735</t>
  </si>
  <si>
    <t>24/sep./2024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</si>
  <si>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</si>
  <si>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</si>
  <si>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</si>
  <si>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</si>
  <si>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</si>
  <si>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</si>
  <si>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</si>
  <si>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</si>
  <si>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</si>
  <si>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</si>
  <si>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</si>
  <si>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</si>
  <si>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</si>
  <si>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cancelada</t>
  </si>
  <si>
    <t>815</t>
  </si>
  <si>
    <t>816</t>
  </si>
  <si>
    <t>817</t>
  </si>
  <si>
    <t>A42997</t>
  </si>
  <si>
    <t>2024-09-26T16:45:59</t>
  </si>
  <si>
    <t>A42995</t>
  </si>
  <si>
    <t>2024-09-26T16:45:58</t>
  </si>
  <si>
    <t>A42996</t>
  </si>
  <si>
    <t>A42994</t>
  </si>
  <si>
    <t>retorno chihuhua</t>
  </si>
  <si>
    <t>2105</t>
  </si>
  <si>
    <t>2106</t>
  </si>
  <si>
    <t>2107</t>
  </si>
  <si>
    <t>INV/2024/03326</t>
  </si>
  <si>
    <t>30/09/2024</t>
  </si>
  <si>
    <t>C:\Users\Miscelec\Downloads\SEGISA\ENTREGAS\CARPETA 20241010 TIEMPO 103807 P4 ENTREGA\PO 41221897 SEGISA.pdf</t>
  </si>
  <si>
    <t>PO 41221897 SEGISA.pdf</t>
  </si>
  <si>
    <t>2216</t>
  </si>
  <si>
    <t>C:\Users\Miscelec\Downloads\I-IMAT2216.pdf</t>
  </si>
  <si>
    <t>2217</t>
  </si>
  <si>
    <t>C:\Users\Miscelec\Downloads\I-IMAT2217.pdf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</si>
</sst>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1" xfId="0" applyBorder="1"/>
    <xf numFmtId="0" fontId="0" fillId="2" borderId="1" xfId="0" applyFill="1" applyBorder="1"/>
    <xf numFmtId="1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2" xfId="0" applyBorder="1"/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3" fillId="0" borderId="0" xfId="0" applyFont="1"/>
    <xf numFmtId="0" fontId="4" fillId="0" borderId="0" xfId="1" applyFont="1" applyFill="1" applyBorder="1"/>
    <xf numFmtId="0" fontId="0" fillId="0" borderId="3" xfId="0" applyBorder="1"/>
    <xf numFmtId="0" fontId="1" fillId="4" borderId="1" xfId="1" applyFill="1" applyBorder="1" applyAlignment="1">
      <alignment wrapText="1"/>
    </xf>
    <xf numFmtId="1" fontId="0" fillId="0" borderId="1" xfId="0" applyNumberFormat="1" applyBorder="1" applyAlignment="1">
      <alignment horizontal="left"/>
    </xf>
    <xf numFmtId="0" fontId="0" fillId="0" borderId="1" xfId="0" applyBorder="1" applyAlignment="1">
      <alignment wrapText="1"/>
    </xf>
    <xf numFmtId="49" fontId="0" fillId="0" borderId="1" xfId="0" applyNumberFormat="1" applyBorder="1"/>
    <xf numFmtId="1" fontId="0" fillId="0" borderId="1" xfId="0" applyNumberFormat="1" applyBorder="1"/>
    <xf numFmtId="14" fontId="0" fillId="0" borderId="1" xfId="0" applyNumberFormat="1" applyBorder="1"/>
    <xf numFmtId="2" fontId="0" fillId="0" borderId="1" xfId="0" applyNumberFormat="1" applyBorder="1"/>
    <xf numFmtId="22" fontId="0" fillId="0" borderId="1" xfId="0" applyNumberFormat="1" applyBorder="1"/>
    <xf numFmtId="0" fontId="0" fillId="0" borderId="1" xfId="0" quotePrefix="1" applyBorder="1"/>
    <xf numFmtId="0" fontId="0" fillId="9" borderId="1" xfId="0" applyFill="1" applyBorder="1"/>
    <xf numFmtId="0" fontId="0" fillId="6" borderId="0" xfId="0" applyFill="1"/>
    <xf numFmtId="0" fontId="0" fillId="8" borderId="4" xfId="0" applyFill="1" applyBorder="1"/>
    <xf numFmtId="0" fontId="0" fillId="0" borderId="4" xfId="0" applyBorder="1"/>
    <xf numFmtId="0" fontId="0" fillId="0" borderId="5" xfId="0" applyBorder="1"/>
    <xf numFmtId="49" fontId="0" fillId="11" borderId="1" xfId="0" applyNumberFormat="1" applyFill="1" applyBorder="1"/>
    <xf numFmtId="1" fontId="0" fillId="6" borderId="1" xfId="0" applyNumberFormat="1" applyFill="1" applyBorder="1"/>
    <xf numFmtId="49" fontId="0" fillId="9" borderId="1" xfId="0" applyNumberFormat="1" applyFill="1" applyBorder="1"/>
    <xf numFmtId="1" fontId="0" fillId="9" borderId="1" xfId="0" applyNumberFormat="1" applyFill="1" applyBorder="1"/>
    <xf numFmtId="0" fontId="0" fillId="9" borderId="1" xfId="0" quotePrefix="1" applyFill="1" applyBorder="1"/>
    <xf numFmtId="0" fontId="0" fillId="9" borderId="0" xfId="0" applyFill="1"/>
    <xf numFmtId="0" fontId="0" fillId="0" borderId="0" xfId="0" quotePrefix="1"/>
    <xf numFmtId="0" fontId="0" fillId="12" borderId="1" xfId="0" quotePrefix="1" applyFill="1" applyBorder="1"/>
    <xf numFmtId="0" fontId="0" fillId="9" borderId="0" xfId="0" applyFill="1" applyAlignment="1">
      <alignment wrapText="1"/>
    </xf>
    <xf numFmtId="49" fontId="0" fillId="0" borderId="1" xfId="0" quotePrefix="1" applyNumberFormat="1" applyBorder="1"/>
    <xf numFmtId="1" fontId="0" fillId="0" borderId="1" xfId="0" quotePrefix="1" applyNumberFormat="1" applyBorder="1"/>
    <xf numFmtId="1" fontId="0" fillId="10" borderId="1" xfId="0" applyNumberFormat="1" applyFill="1" applyBorder="1"/>
    <xf numFmtId="1" fontId="5" fillId="6" borderId="1" xfId="0" applyNumberFormat="1" applyFont="1" applyFill="1" applyBorder="1"/>
    <xf numFmtId="1" fontId="0" fillId="5" borderId="1" xfId="0" applyNumberFormat="1" applyFill="1" applyBorder="1"/>
    <xf numFmtId="0" fontId="0" fillId="11" borderId="1" xfId="0" applyFill="1" applyBorder="1"/>
    <xf numFmtId="49" fontId="0" fillId="6" borderId="1" xfId="0" applyNumberFormat="1" applyFill="1" applyBorder="1"/>
    <xf numFmtId="49" fontId="0" fillId="8" borderId="1" xfId="0" quotePrefix="1" applyNumberFormat="1" applyFill="1" applyBorder="1"/>
    <xf numFmtId="49" fontId="0" fillId="8" borderId="1" xfId="0" applyNumberFormat="1" applyFill="1" applyBorder="1"/>
    <xf numFmtId="1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49" fontId="0" fillId="9" borderId="1" xfId="0" quotePrefix="1" applyNumberFormat="1" applyFill="1" applyBorder="1"/>
    <xf numFmtId="49" fontId="0" fillId="0" borderId="1" xfId="0" quotePrefix="1" applyNumberFormat="1" applyBorder="1" applyAlignment="1">
      <alignment horizontal="right" wrapText="1"/>
    </xf>
    <xf numFmtId="0" fontId="0" fillId="0" borderId="1" xfId="0" quotePrefix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0" fillId="0" borderId="1" xfId="0" quotePrefix="1" applyBorder="1" applyAlignment="1">
      <alignment vertical="center"/>
    </xf>
    <xf numFmtId="49" fontId="0" fillId="0" borderId="1" xfId="0" applyNumberFormat="1" applyBorder="1" applyAlignment="1">
      <alignment horizontal="right" wrapText="1"/>
    </xf>
    <xf numFmtId="0" fontId="0" fillId="0" borderId="1" xfId="0" quotePrefix="1" applyBorder="1" applyAlignment="1">
      <alignment wrapText="1"/>
    </xf>
    <xf numFmtId="22" fontId="0" fillId="11" borderId="1" xfId="0" applyNumberFormat="1" applyFill="1" applyBorder="1"/>
    <xf numFmtId="1" fontId="0" fillId="12" borderId="1" xfId="0" applyNumberForma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/>
    </xf>
    <xf numFmtId="1" fontId="5" fillId="12" borderId="1" xfId="0" applyNumberFormat="1" applyFont="1" applyFill="1" applyBorder="1"/>
    <xf numFmtId="0" fontId="0" fillId="9" borderId="6" xfId="0" applyFill="1" applyBorder="1"/>
    <xf numFmtId="0" fontId="0" fillId="13" borderId="1" xfId="0" applyFill="1" applyBorder="1"/>
    <xf numFmtId="0" fontId="0" fillId="5" borderId="0" xfId="0" applyFill="1"/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7" xfId="0" applyBorder="1"/>
    <xf numFmtId="0" fontId="0" fillId="0" borderId="1" xfId="0" applyBorder="1" applyAlignment="1">
      <alignment horizontal="left"/>
    </xf>
    <xf numFmtId="0" fontId="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21AD6-7AB8-4B4D-9ABA-CB4DFCA0282D}">
  <sheetPr codeName="Hoja2"/>
  <dimension ref="A1:AD44"/>
  <sheetViews>
    <sheetView tabSelected="1" zoomScaleNormal="100" workbookViewId="0">
      <selection activeCell="I10" sqref="I10"/>
    </sheetView>
  </sheetViews>
  <sheetFormatPr baseColWidth="10" defaultRowHeight="15" x14ac:dyDescent="0.25"/>
  <cols>
    <col min="1" max="1" width="5.7109375" customWidth="1"/>
    <col min="2" max="2" width="4" customWidth="1"/>
    <col min="3" max="3" width="10.42578125" customWidth="1"/>
    <col min="4" max="4" width="6.140625" customWidth="1"/>
    <col min="5" max="5" width="7.5703125" customWidth="1"/>
    <col min="6" max="6" width="4.85546875" customWidth="1"/>
    <col min="7" max="7" width="16.42578125" style="65" bestFit="1" customWidth="1"/>
    <col min="9" max="9" width="14.28515625" customWidth="1"/>
    <col min="13" max="13" width="52.7109375" customWidth="1"/>
    <col min="15" max="15" width="17.85546875" customWidth="1"/>
  </cols>
  <sheetData>
    <row r="1" spans="1:30" ht="21.75" customHeight="1" x14ac:dyDescent="0.25">
      <c r="A1" s="1"/>
      <c r="B1" s="64"/>
      <c r="G1" s="65" t="s">
        <v>81</v>
      </c>
      <c r="H1" t="s">
        <v>443</v>
      </c>
      <c r="O1" t="s">
        <v>702</v>
      </c>
      <c r="P1" t="s">
        <v>477</v>
      </c>
      <c r="Q1" t="s">
        <v>478</v>
      </c>
      <c r="R1" t="s">
        <v>479</v>
      </c>
      <c r="S1" t="s">
        <v>480</v>
      </c>
      <c r="T1" t="s">
        <v>481</v>
      </c>
    </row>
    <row r="2" spans="1:30" x14ac:dyDescent="0.25">
      <c r="A2" s="1" t="s">
        <v>706</v>
      </c>
      <c r="B2" s="1"/>
      <c r="C2">
        <v>41222087</v>
      </c>
      <c r="D2" t="s">
        <v>1115</v>
      </c>
      <c r="E2">
        <v>36</v>
      </c>
      <c r="G2" s="65" t="s">
        <v>552</v>
      </c>
      <c r="H2" t="s">
        <v>1113</v>
      </c>
      <c r="K2" s="9"/>
      <c r="M2" s="67"/>
      <c r="N2" t="s">
        <v>1116</v>
      </c>
      <c r="O2" t="s">
        <v>1114</v>
      </c>
      <c r="P2" t="s">
        <v>698</v>
      </c>
      <c r="Q2">
        <v>1</v>
      </c>
      <c r="U2" t="s">
        <v>699</v>
      </c>
      <c r="V2" t="s">
        <v>1113</v>
      </c>
      <c r="W2" t="s">
        <v>1113</v>
      </c>
      <c r="AD2" t="s">
        <v>794</v>
      </c>
    </row>
    <row r="3" spans="1:30" x14ac:dyDescent="0.25">
      <c r="A3" s="1" t="s">
        <v>706</v>
      </c>
      <c r="B3" s="1"/>
      <c r="C3">
        <v>41221897</v>
      </c>
      <c r="D3" t="s">
        <v>1117</v>
      </c>
      <c r="E3">
        <v>500</v>
      </c>
      <c r="G3" s="65" t="s">
        <v>153</v>
      </c>
      <c r="H3" t="s">
        <v>1116</v>
      </c>
      <c r="K3" s="9"/>
      <c r="M3" s="67"/>
      <c r="N3" t="s">
        <v>1118</v>
      </c>
      <c r="W3" t="s">
        <v>1116</v>
      </c>
    </row>
    <row r="4" spans="1:30" x14ac:dyDescent="0.25">
      <c r="A4" s="1"/>
      <c r="B4" s="1"/>
      <c r="E4">
        <v>10000</v>
      </c>
      <c r="H4" t="s">
        <v>1118</v>
      </c>
      <c r="K4" s="9"/>
      <c r="M4" s="67"/>
      <c r="W4" t="s">
        <v>1118</v>
      </c>
    </row>
    <row r="5" spans="1:30" x14ac:dyDescent="0.25">
      <c r="A5" s="1"/>
      <c r="B5" s="1"/>
      <c r="H5" t="s">
        <v>1116</v>
      </c>
      <c r="K5" s="9"/>
      <c r="M5" s="67"/>
      <c r="W5" t="s">
        <v>1116</v>
      </c>
    </row>
    <row r="6" spans="1:30" x14ac:dyDescent="0.25">
      <c r="A6" s="1"/>
      <c r="B6" s="1"/>
      <c r="H6" t="s">
        <v>1118</v>
      </c>
      <c r="K6" s="9"/>
      <c r="M6" s="67"/>
      <c r="W6" t="s">
        <v>1118</v>
      </c>
    </row>
    <row r="7" spans="1:30" x14ac:dyDescent="0.25">
      <c r="A7" s="1"/>
      <c r="B7" s="1"/>
      <c r="K7" s="9"/>
      <c r="M7" s="67"/>
    </row>
    <row r="8" spans="1:30" x14ac:dyDescent="0.25">
      <c r="A8" s="1"/>
      <c r="B8" s="1"/>
      <c r="K8" s="9"/>
      <c r="M8" s="67"/>
    </row>
    <row r="9" spans="1:30" x14ac:dyDescent="0.25">
      <c r="A9" s="1"/>
      <c r="B9" s="1"/>
      <c r="K9" s="9"/>
      <c r="M9" s="67"/>
    </row>
    <row r="10" spans="1:30" x14ac:dyDescent="0.25">
      <c r="A10" s="1"/>
      <c r="B10" s="1"/>
      <c r="K10" s="9"/>
      <c r="M10" s="67"/>
    </row>
    <row r="11" spans="1:30" x14ac:dyDescent="0.25">
      <c r="A11" s="1"/>
      <c r="B11" s="1"/>
      <c r="K11" s="9"/>
      <c r="M11" s="67"/>
    </row>
    <row r="12" spans="1:30" x14ac:dyDescent="0.25">
      <c r="A12" s="1"/>
      <c r="B12" s="1"/>
      <c r="K12" s="9"/>
      <c r="M12" s="67"/>
    </row>
    <row r="13" spans="1:30" x14ac:dyDescent="0.25">
      <c r="A13" s="1"/>
      <c r="B13" s="1"/>
      <c r="K13" s="9"/>
      <c r="M13" s="67"/>
    </row>
    <row r="14" spans="1:30" x14ac:dyDescent="0.25">
      <c r="A14" s="1"/>
      <c r="B14" s="1"/>
      <c r="K14" s="9"/>
      <c r="M14" s="67"/>
    </row>
    <row r="15" spans="1:30" x14ac:dyDescent="0.25">
      <c r="A15" s="1"/>
      <c r="B15" s="1"/>
      <c r="K15" s="9"/>
      <c r="M15" s="67"/>
    </row>
    <row r="16" spans="1:30" x14ac:dyDescent="0.25">
      <c r="A16" s="1"/>
      <c r="B16" s="1"/>
      <c r="K16" s="9"/>
      <c r="M16" s="67"/>
    </row>
    <row r="17" spans="1:13" x14ac:dyDescent="0.25">
      <c r="A17" s="1"/>
      <c r="B17" s="1"/>
      <c r="K17" s="9"/>
      <c r="M17" s="67"/>
    </row>
    <row r="18" spans="1:13" x14ac:dyDescent="0.25">
      <c r="B18" s="66"/>
    </row>
    <row r="19" spans="1:13" x14ac:dyDescent="0.25">
      <c r="B19" s="1"/>
    </row>
    <row r="20" spans="1:13" x14ac:dyDescent="0.25">
      <c r="B20" s="1"/>
    </row>
    <row r="21" spans="1:13" x14ac:dyDescent="0.25">
      <c r="B21" s="1"/>
    </row>
    <row r="22" spans="1:13" x14ac:dyDescent="0.25">
      <c r="B22" s="1"/>
    </row>
    <row r="23" spans="1:13" x14ac:dyDescent="0.25">
      <c r="B23" s="1"/>
    </row>
    <row r="24" spans="1:13" x14ac:dyDescent="0.25">
      <c r="B24" s="1"/>
    </row>
    <row r="25" spans="1:13" x14ac:dyDescent="0.25">
      <c r="B25" s="1"/>
    </row>
    <row r="26" spans="1:13" x14ac:dyDescent="0.25">
      <c r="B26" s="1"/>
    </row>
    <row r="27" spans="1:13" x14ac:dyDescent="0.25">
      <c r="B27" s="1"/>
    </row>
    <row r="28" spans="1:13" x14ac:dyDescent="0.25">
      <c r="B28" s="1"/>
    </row>
    <row r="29" spans="1:13" x14ac:dyDescent="0.25">
      <c r="B29" s="1"/>
    </row>
    <row r="30" spans="1:13" x14ac:dyDescent="0.25">
      <c r="B30" s="1"/>
    </row>
    <row r="31" spans="1:13" x14ac:dyDescent="0.25">
      <c r="B31" s="1"/>
    </row>
    <row r="32" spans="1:13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2E88-B062-499A-A90B-8D9CF7C5AF11}">
  <sheetPr codeName="Hoja7"/>
  <dimension ref="B1:H19"/>
  <sheetViews>
    <sheetView workbookViewId="0">
      <selection activeCell="B19" sqref="B19"/>
    </sheetView>
  </sheetViews>
  <sheetFormatPr baseColWidth="10" defaultRowHeight="15" x14ac:dyDescent="0.25"/>
  <cols>
    <col min="2" max="2" width="48.7109375" bestFit="1" customWidth="1"/>
    <col min="3" max="3" width="37.140625" bestFit="1" customWidth="1"/>
  </cols>
  <sheetData>
    <row r="1" spans="2:8" x14ac:dyDescent="0.25">
      <c r="H1" t="s">
        <v>443</v>
      </c>
    </row>
    <row r="2" spans="2:8" x14ac:dyDescent="0.25">
      <c r="B2">
        <v>41221789</v>
      </c>
    </row>
    <row r="3" spans="2:8" x14ac:dyDescent="0.25">
      <c r="B3">
        <v>41221736</v>
      </c>
    </row>
    <row r="4" spans="2:8" x14ac:dyDescent="0.25">
      <c r="B4" s="33">
        <v>41221787</v>
      </c>
      <c r="C4" s="33"/>
      <c r="D4" s="33"/>
    </row>
    <row r="5" spans="2:8" x14ac:dyDescent="0.25">
      <c r="B5">
        <v>41221741</v>
      </c>
      <c r="C5" s="33"/>
      <c r="D5" s="33"/>
    </row>
    <row r="6" spans="2:8" x14ac:dyDescent="0.25">
      <c r="B6">
        <v>41221698</v>
      </c>
      <c r="C6" s="33"/>
      <c r="D6" s="33"/>
    </row>
    <row r="7" spans="2:8" x14ac:dyDescent="0.25">
      <c r="B7">
        <v>41221742</v>
      </c>
      <c r="C7" s="33"/>
      <c r="D7" s="33"/>
    </row>
    <row r="8" spans="2:8" x14ac:dyDescent="0.25">
      <c r="B8">
        <v>41221574</v>
      </c>
      <c r="C8" s="33"/>
      <c r="D8" s="33"/>
    </row>
    <row r="9" spans="2:8" x14ac:dyDescent="0.25">
      <c r="C9" s="33"/>
      <c r="D9" s="33"/>
    </row>
    <row r="10" spans="2:8" x14ac:dyDescent="0.25">
      <c r="C10" s="33"/>
      <c r="D10" s="33"/>
    </row>
    <row r="11" spans="2:8" x14ac:dyDescent="0.25">
      <c r="C11" s="33"/>
      <c r="D11" s="33"/>
    </row>
    <row r="12" spans="2:8" x14ac:dyDescent="0.25">
      <c r="C12" s="33"/>
      <c r="D12" s="33"/>
    </row>
    <row r="13" spans="2:8" x14ac:dyDescent="0.25">
      <c r="C13" s="33"/>
      <c r="D13" s="33"/>
    </row>
    <row r="14" spans="2:8" x14ac:dyDescent="0.25">
      <c r="C14" s="33"/>
      <c r="D14" s="33"/>
    </row>
    <row r="15" spans="2:8" x14ac:dyDescent="0.25">
      <c r="C15" s="33"/>
      <c r="D15" s="33"/>
    </row>
    <row r="16" spans="2:8" x14ac:dyDescent="0.25">
      <c r="C16" s="33"/>
      <c r="D16" s="33"/>
    </row>
    <row r="17" spans="3:4" x14ac:dyDescent="0.25">
      <c r="C17" s="33"/>
      <c r="D17" s="33"/>
    </row>
    <row r="18" spans="3:4" x14ac:dyDescent="0.25">
      <c r="C18" s="33"/>
      <c r="D18" s="33"/>
    </row>
    <row r="19" spans="3:4" x14ac:dyDescent="0.25">
      <c r="C19" s="33"/>
      <c r="D19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4066-C876-49AE-9058-BCF23063DCCB}">
  <sheetPr codeName="Hoja4"/>
  <dimension ref="A1:J4"/>
  <sheetViews>
    <sheetView workbookViewId="0">
      <selection activeCell="D14" sqref="D14"/>
    </sheetView>
  </sheetViews>
  <sheetFormatPr baseColWidth="10" defaultRowHeight="15" x14ac:dyDescent="0.25"/>
  <cols>
    <col min="5" max="6" width="3.140625" customWidth="1"/>
    <col min="7" max="7" width="11.28515625" customWidth="1"/>
    <col min="8" max="8" width="9" customWidth="1"/>
    <col min="9" max="9" width="10.140625" customWidth="1"/>
    <col min="10" max="10" width="99.5703125" bestFit="1" customWidth="1"/>
  </cols>
  <sheetData>
    <row r="1" spans="1:10" x14ac:dyDescent="0.25">
      <c r="A1" s="8" t="s">
        <v>20</v>
      </c>
      <c r="B1" s="8" t="s">
        <v>26</v>
      </c>
      <c r="C1" s="8" t="s">
        <v>26</v>
      </c>
      <c r="D1" s="8" t="s">
        <v>26</v>
      </c>
      <c r="E1" s="8"/>
      <c r="F1" s="8"/>
      <c r="G1" s="8" t="s">
        <v>23</v>
      </c>
      <c r="H1" s="8" t="s">
        <v>27</v>
      </c>
      <c r="I1" s="8" t="s">
        <v>41</v>
      </c>
      <c r="J1" s="8" t="s">
        <v>40</v>
      </c>
    </row>
    <row r="2" spans="1:10" x14ac:dyDescent="0.25">
      <c r="A2" s="8" t="s">
        <v>19</v>
      </c>
      <c r="B2" s="9" t="s">
        <v>25</v>
      </c>
      <c r="C2" s="9" t="s">
        <v>24</v>
      </c>
      <c r="D2" s="9"/>
      <c r="E2" s="1"/>
      <c r="F2" s="1"/>
      <c r="G2" s="1" t="s">
        <v>42</v>
      </c>
      <c r="H2" s="8" t="s">
        <v>27</v>
      </c>
      <c r="I2" s="1" t="s">
        <v>43</v>
      </c>
      <c r="J2" s="9"/>
    </row>
    <row r="3" spans="1:10" x14ac:dyDescent="0.25">
      <c r="A3" s="8" t="s">
        <v>21</v>
      </c>
      <c r="B3" s="9" t="s">
        <v>22</v>
      </c>
      <c r="C3" s="9" t="s">
        <v>29</v>
      </c>
      <c r="D3" s="9" t="s">
        <v>28</v>
      </c>
      <c r="E3" s="1"/>
      <c r="F3" s="1"/>
      <c r="G3" s="1" t="s">
        <v>30</v>
      </c>
      <c r="H3" s="8" t="s">
        <v>27</v>
      </c>
      <c r="I3" s="1"/>
      <c r="J3" s="9"/>
    </row>
    <row r="4" spans="1:10" x14ac:dyDescent="0.25">
      <c r="A4" s="1"/>
      <c r="B4" s="1"/>
      <c r="C4" s="1"/>
      <c r="D4" s="1"/>
      <c r="E4" s="1"/>
      <c r="F4" s="1"/>
      <c r="G4" s="1"/>
      <c r="H4" s="8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784D7-3219-4E36-A471-3B3F77D5706D}">
  <sheetPr codeName="Hoja5"/>
  <dimension ref="A1:K22"/>
  <sheetViews>
    <sheetView workbookViewId="0">
      <selection activeCell="J16" sqref="J16"/>
    </sheetView>
  </sheetViews>
  <sheetFormatPr baseColWidth="10" defaultRowHeight="15" x14ac:dyDescent="0.25"/>
  <cols>
    <col min="1" max="8" width="0.5703125" customWidth="1"/>
    <col min="9" max="9" width="42.140625" customWidth="1"/>
    <col min="10" max="10" width="99.5703125" bestFit="1" customWidth="1"/>
    <col min="11" max="11" width="25.28515625" bestFit="1" customWidth="1"/>
  </cols>
  <sheetData>
    <row r="1" spans="1:11" x14ac:dyDescent="0.25">
      <c r="A1" s="11"/>
      <c r="B1" s="11"/>
      <c r="C1" s="11"/>
      <c r="D1" s="11"/>
      <c r="E1" s="11"/>
      <c r="F1" s="11"/>
      <c r="G1" s="11"/>
      <c r="H1" s="11"/>
      <c r="I1" s="9" t="s">
        <v>45</v>
      </c>
      <c r="J1" s="9" t="s">
        <v>46</v>
      </c>
      <c r="K1" s="8"/>
    </row>
    <row r="2" spans="1:11" x14ac:dyDescent="0.25">
      <c r="A2" s="11"/>
      <c r="B2" s="11"/>
      <c r="C2" s="12"/>
      <c r="D2" s="11"/>
      <c r="E2" s="11"/>
      <c r="F2" s="11"/>
      <c r="G2" s="11"/>
      <c r="H2" s="11"/>
      <c r="I2" s="9" t="s">
        <v>38</v>
      </c>
      <c r="J2" s="9" t="s">
        <v>44</v>
      </c>
      <c r="K2" s="1"/>
    </row>
    <row r="3" spans="1:11" x14ac:dyDescent="0.25">
      <c r="A3" s="11"/>
      <c r="B3" s="11"/>
      <c r="C3" s="11"/>
      <c r="D3" s="11"/>
      <c r="E3" s="11"/>
      <c r="F3" s="11"/>
      <c r="G3" s="11"/>
      <c r="H3" s="11"/>
      <c r="I3" s="13" t="s">
        <v>37</v>
      </c>
    </row>
    <row r="4" spans="1:11" x14ac:dyDescent="0.25">
      <c r="A4" s="11"/>
      <c r="B4" s="11"/>
      <c r="C4" s="11"/>
      <c r="D4" s="11"/>
      <c r="E4" s="11"/>
      <c r="F4" s="11"/>
      <c r="G4" s="11"/>
      <c r="H4" s="11"/>
      <c r="I4" s="7" t="s">
        <v>39</v>
      </c>
    </row>
    <row r="5" spans="1:11" x14ac:dyDescent="0.25">
      <c r="A5" s="11"/>
      <c r="B5" s="11"/>
      <c r="C5" s="11"/>
      <c r="D5" s="11"/>
      <c r="E5" s="11"/>
      <c r="F5" s="11"/>
      <c r="G5" s="11"/>
      <c r="H5" s="11"/>
    </row>
    <row r="6" spans="1:11" x14ac:dyDescent="0.25">
      <c r="A6" s="11"/>
      <c r="B6" s="11"/>
      <c r="C6" s="11"/>
      <c r="D6" s="11"/>
      <c r="E6" s="11"/>
      <c r="F6" s="11"/>
      <c r="G6" s="11"/>
      <c r="H6" s="11"/>
    </row>
    <row r="7" spans="1:11" x14ac:dyDescent="0.25">
      <c r="A7" s="11"/>
      <c r="B7" s="11"/>
      <c r="C7" s="11"/>
      <c r="D7" s="11"/>
      <c r="E7" s="11"/>
      <c r="F7" s="11"/>
      <c r="G7" s="11"/>
      <c r="H7" s="11"/>
    </row>
    <row r="8" spans="1:11" x14ac:dyDescent="0.25">
      <c r="A8" s="11"/>
      <c r="B8" s="11"/>
      <c r="C8" s="11"/>
      <c r="D8" s="11"/>
      <c r="E8" s="11"/>
      <c r="F8" s="11"/>
      <c r="G8" s="11"/>
      <c r="H8" s="11"/>
    </row>
    <row r="9" spans="1:11" x14ac:dyDescent="0.25">
      <c r="A9" s="11"/>
      <c r="B9" s="11"/>
      <c r="C9" s="11"/>
      <c r="D9" s="11"/>
      <c r="E9" s="11"/>
      <c r="F9" s="11"/>
      <c r="G9" s="11"/>
      <c r="H9" s="11"/>
    </row>
    <row r="10" spans="1:11" x14ac:dyDescent="0.25">
      <c r="A10" s="11"/>
      <c r="B10" s="11"/>
      <c r="C10" s="11"/>
      <c r="D10" s="11"/>
      <c r="E10" s="11"/>
      <c r="F10" s="11"/>
      <c r="G10" s="11"/>
      <c r="H10" s="11"/>
    </row>
    <row r="11" spans="1:11" x14ac:dyDescent="0.25">
      <c r="A11" s="11"/>
      <c r="B11" s="11"/>
      <c r="C11" s="11"/>
      <c r="D11" s="11"/>
      <c r="E11" s="11"/>
      <c r="F11" s="11"/>
      <c r="G11" s="11"/>
      <c r="H11" s="11"/>
    </row>
    <row r="12" spans="1:11" x14ac:dyDescent="0.25">
      <c r="A12" s="11"/>
      <c r="B12" s="11"/>
      <c r="C12" s="11"/>
      <c r="D12" s="11"/>
      <c r="E12" s="11"/>
      <c r="F12" s="11"/>
      <c r="G12" s="11"/>
      <c r="H12" s="11"/>
    </row>
    <row r="13" spans="1:11" x14ac:dyDescent="0.25">
      <c r="A13" s="11"/>
      <c r="B13" s="11"/>
      <c r="C13" s="11"/>
      <c r="D13" s="11"/>
      <c r="E13" s="11"/>
      <c r="F13" s="11"/>
      <c r="G13" s="11"/>
      <c r="H13" s="11"/>
    </row>
    <row r="14" spans="1:11" x14ac:dyDescent="0.25">
      <c r="A14" s="11"/>
      <c r="B14" s="11"/>
      <c r="C14" s="11"/>
      <c r="D14" s="11"/>
      <c r="E14" s="11"/>
      <c r="F14" s="11"/>
      <c r="G14" s="11"/>
      <c r="H14" s="11"/>
    </row>
    <row r="15" spans="1:11" x14ac:dyDescent="0.25">
      <c r="A15" s="11"/>
      <c r="B15" s="11"/>
      <c r="C15" s="11"/>
      <c r="D15" s="11"/>
      <c r="E15" s="11"/>
      <c r="F15" s="11"/>
      <c r="G15" s="11"/>
      <c r="H15" s="11"/>
    </row>
    <row r="16" spans="1:11" x14ac:dyDescent="0.25">
      <c r="A16" s="11"/>
      <c r="B16" s="11"/>
      <c r="C16" s="11"/>
      <c r="D16" s="11"/>
      <c r="E16" s="11"/>
      <c r="F16" s="11"/>
      <c r="G16" s="11"/>
      <c r="H16" s="11"/>
    </row>
    <row r="17" spans="1:8" x14ac:dyDescent="0.25">
      <c r="A17" s="11"/>
      <c r="B17" s="11"/>
      <c r="C17" s="11"/>
      <c r="D17" s="11"/>
      <c r="E17" s="11"/>
      <c r="F17" s="11"/>
      <c r="G17" s="11"/>
      <c r="H17" s="11"/>
    </row>
    <row r="18" spans="1:8" x14ac:dyDescent="0.25">
      <c r="A18" s="11"/>
      <c r="B18" s="11"/>
      <c r="C18" s="11"/>
      <c r="D18" s="11"/>
      <c r="E18" s="11"/>
      <c r="F18" s="11"/>
      <c r="G18" s="11"/>
      <c r="H18" s="11"/>
    </row>
    <row r="19" spans="1:8" x14ac:dyDescent="0.25">
      <c r="A19" s="11"/>
      <c r="B19" s="11"/>
      <c r="C19" s="11"/>
      <c r="D19" s="11"/>
      <c r="E19" s="11"/>
      <c r="F19" s="11"/>
      <c r="G19" s="11"/>
      <c r="H19" s="11"/>
    </row>
    <row r="20" spans="1:8" x14ac:dyDescent="0.25">
      <c r="A20" s="11"/>
      <c r="B20" s="11"/>
      <c r="C20" s="11"/>
      <c r="D20" s="11"/>
      <c r="E20" s="11"/>
      <c r="F20" s="11"/>
      <c r="G20" s="11"/>
      <c r="H20" s="11"/>
    </row>
    <row r="21" spans="1:8" x14ac:dyDescent="0.25">
      <c r="A21" s="11"/>
      <c r="B21" s="11"/>
      <c r="C21" s="11"/>
      <c r="D21" s="11"/>
      <c r="E21" s="11"/>
      <c r="F21" s="11"/>
      <c r="G21" s="11"/>
      <c r="H21" s="11"/>
    </row>
    <row r="22" spans="1:8" x14ac:dyDescent="0.25">
      <c r="A22" s="11"/>
      <c r="B22" s="11"/>
      <c r="C22" s="11"/>
      <c r="D22" s="11"/>
      <c r="E22" s="11"/>
      <c r="F22" s="11"/>
      <c r="G22" s="11"/>
      <c r="H22" s="11"/>
    </row>
  </sheetData>
  <sortState xmlns:xlrd2="http://schemas.microsoft.com/office/spreadsheetml/2017/richdata2" ref="A1:A19">
    <sortCondition ref="A1:A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A6A8-FD29-443E-A78A-7097A943A5C1}">
  <sheetPr codeName="Hoja3"/>
  <dimension ref="A1"/>
  <sheetViews>
    <sheetView view="pageBreakPreview" zoomScale="60" zoomScaleNormal="100" workbookViewId="0">
      <selection activeCell="H34" sqref="H34"/>
    </sheetView>
  </sheetViews>
  <sheetFormatPr baseColWidth="10" defaultRowHeight="15" x14ac:dyDescent="0.25"/>
  <sheetData>
    <row r="1" spans="1:1" x14ac:dyDescent="0.25">
      <c r="A1" t="str">
        <f>XFILES!G2</f>
        <v>CARPETA 20240201 TIEMPO 144958 P6 ENTREGA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11E3-DA23-40E1-AE14-C286EEBAA47D}">
  <sheetPr codeName="Hoja8"/>
  <dimension ref="A1:N126"/>
  <sheetViews>
    <sheetView workbookViewId="0">
      <selection activeCell="L14" sqref="L14"/>
    </sheetView>
  </sheetViews>
  <sheetFormatPr baseColWidth="10" defaultRowHeight="15" x14ac:dyDescent="0.25"/>
  <cols>
    <col min="5" max="5" width="16.7109375" customWidth="1"/>
  </cols>
  <sheetData>
    <row r="1" spans="1:5" ht="14.25" customHeight="1" x14ac:dyDescent="0.25">
      <c r="A1" s="6" t="s">
        <v>451</v>
      </c>
    </row>
    <row r="2" spans="1:5" ht="14.25" customHeight="1" x14ac:dyDescent="0.25">
      <c r="A2" s="6">
        <v>41220007</v>
      </c>
      <c r="B2">
        <v>571</v>
      </c>
      <c r="C2">
        <v>40</v>
      </c>
      <c r="E2" t="s">
        <v>131</v>
      </c>
    </row>
    <row r="3" spans="1:5" ht="14.25" customHeight="1" x14ac:dyDescent="0.25">
      <c r="A3" s="6"/>
      <c r="C3" t="s">
        <v>103</v>
      </c>
    </row>
    <row r="4" spans="1:5" ht="14.25" customHeight="1" x14ac:dyDescent="0.25"/>
    <row r="5" spans="1:5" ht="14.25" customHeight="1" x14ac:dyDescent="0.25"/>
    <row r="6" spans="1:5" ht="14.25" customHeight="1" x14ac:dyDescent="0.25"/>
    <row r="7" spans="1:5" ht="14.25" customHeight="1" x14ac:dyDescent="0.25"/>
    <row r="8" spans="1:5" ht="14.25" customHeight="1" x14ac:dyDescent="0.25">
      <c r="C8" s="33"/>
      <c r="D8" s="33"/>
    </row>
    <row r="9" spans="1:5" ht="14.25" customHeight="1" x14ac:dyDescent="0.25">
      <c r="C9" s="6"/>
    </row>
    <row r="10" spans="1:5" ht="14.25" customHeight="1" x14ac:dyDescent="0.25"/>
    <row r="11" spans="1:5" ht="14.25" customHeight="1" x14ac:dyDescent="0.25"/>
    <row r="12" spans="1:5" ht="14.25" customHeight="1" x14ac:dyDescent="0.25"/>
    <row r="13" spans="1:5" ht="14.25" customHeight="1" x14ac:dyDescent="0.25"/>
    <row r="14" spans="1:5" ht="14.25" customHeight="1" x14ac:dyDescent="0.25"/>
    <row r="15" spans="1:5" ht="14.25" customHeight="1" x14ac:dyDescent="0.25"/>
    <row r="16" spans="1:5" ht="14.25" customHeight="1" x14ac:dyDescent="0.25"/>
    <row r="17" spans="9:14" ht="14.25" customHeight="1" x14ac:dyDescent="0.25"/>
    <row r="18" spans="9:14" ht="14.25" customHeight="1" x14ac:dyDescent="0.25"/>
    <row r="19" spans="9:14" ht="14.25" customHeight="1" x14ac:dyDescent="0.25"/>
    <row r="20" spans="9:14" ht="14.25" customHeight="1" x14ac:dyDescent="0.25"/>
    <row r="21" spans="9:14" ht="14.25" customHeight="1" x14ac:dyDescent="0.25"/>
    <row r="22" spans="9:14" ht="14.25" customHeight="1" x14ac:dyDescent="0.25"/>
    <row r="23" spans="9:14" ht="14.25" customHeight="1" x14ac:dyDescent="0.25"/>
    <row r="24" spans="9:14" ht="14.25" customHeight="1" x14ac:dyDescent="0.25"/>
    <row r="25" spans="9:14" ht="14.25" customHeight="1" x14ac:dyDescent="0.25"/>
    <row r="26" spans="9:14" ht="14.25" customHeight="1" x14ac:dyDescent="0.25"/>
    <row r="27" spans="9:14" ht="14.25" customHeight="1" x14ac:dyDescent="0.25">
      <c r="I27" s="33" t="s">
        <v>449</v>
      </c>
      <c r="J27" s="36" t="s">
        <v>445</v>
      </c>
      <c r="L27" s="33">
        <v>2</v>
      </c>
      <c r="M27" s="33"/>
      <c r="N27" s="33">
        <v>81066</v>
      </c>
    </row>
    <row r="28" spans="9:14" ht="14.25" customHeight="1" x14ac:dyDescent="0.25">
      <c r="I28" s="33"/>
      <c r="J28" s="33"/>
      <c r="L28" s="33">
        <v>120</v>
      </c>
      <c r="M28" s="33"/>
      <c r="N28" s="33" t="s">
        <v>446</v>
      </c>
    </row>
    <row r="29" spans="9:14" ht="14.25" customHeight="1" x14ac:dyDescent="0.25">
      <c r="I29" s="33"/>
      <c r="J29" s="33"/>
      <c r="L29" s="33">
        <v>250</v>
      </c>
      <c r="M29" s="33"/>
      <c r="N29" s="33" t="s">
        <v>447</v>
      </c>
    </row>
    <row r="30" spans="9:14" ht="14.25" customHeight="1" x14ac:dyDescent="0.25">
      <c r="I30" s="33"/>
      <c r="J30" s="33"/>
      <c r="L30" s="33">
        <v>12000</v>
      </c>
      <c r="M30" s="33"/>
      <c r="N30" s="33" t="s">
        <v>448</v>
      </c>
    </row>
    <row r="31" spans="9:14" ht="14.25" customHeight="1" x14ac:dyDescent="0.25"/>
    <row r="32" spans="9:14" ht="14.25" customHeight="1" x14ac:dyDescent="0.25"/>
    <row r="33" spans="9:14" ht="14.25" customHeight="1" x14ac:dyDescent="0.25">
      <c r="I33" s="33" t="s">
        <v>449</v>
      </c>
      <c r="J33" s="36" t="s">
        <v>444</v>
      </c>
      <c r="L33" s="33"/>
      <c r="M33" s="33"/>
      <c r="N33" s="33"/>
    </row>
    <row r="34" spans="9:14" ht="14.25" customHeight="1" x14ac:dyDescent="0.25">
      <c r="I34" s="33"/>
      <c r="J34" s="33"/>
      <c r="L34" s="33">
        <v>2500</v>
      </c>
      <c r="M34" s="33"/>
      <c r="N34" s="33" t="s">
        <v>146</v>
      </c>
    </row>
    <row r="35" spans="9:14" ht="14.25" customHeight="1" x14ac:dyDescent="0.25">
      <c r="I35" s="33"/>
      <c r="J35" s="33"/>
      <c r="L35" s="33">
        <v>1000</v>
      </c>
      <c r="M35" s="33"/>
      <c r="N35" s="33" t="s">
        <v>179</v>
      </c>
    </row>
    <row r="36" spans="9:14" ht="14.25" customHeight="1" x14ac:dyDescent="0.25"/>
    <row r="37" spans="9:14" ht="14.25" customHeight="1" x14ac:dyDescent="0.25"/>
    <row r="38" spans="9:14" ht="14.25" customHeight="1" x14ac:dyDescent="0.25"/>
    <row r="39" spans="9:14" ht="14.25" customHeight="1" x14ac:dyDescent="0.25"/>
    <row r="40" spans="9:14" ht="14.25" customHeight="1" x14ac:dyDescent="0.25"/>
    <row r="41" spans="9:14" ht="14.25" customHeight="1" x14ac:dyDescent="0.25"/>
    <row r="42" spans="9:14" ht="14.25" customHeight="1" x14ac:dyDescent="0.25"/>
    <row r="43" spans="9:14" ht="14.25" customHeight="1" x14ac:dyDescent="0.25"/>
    <row r="44" spans="9:14" ht="14.25" customHeight="1" x14ac:dyDescent="0.25"/>
    <row r="45" spans="9:14" ht="14.25" customHeight="1" x14ac:dyDescent="0.25"/>
    <row r="46" spans="9:14" ht="14.25" customHeight="1" x14ac:dyDescent="0.25"/>
    <row r="47" spans="9:14" ht="14.25" customHeight="1" x14ac:dyDescent="0.25"/>
    <row r="48" spans="9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4417-8D53-443D-A386-0A558FE2F5C2}">
  <sheetPr codeName="Hoja1"/>
  <dimension ref="A1:Z159"/>
  <sheetViews>
    <sheetView workbookViewId="0">
      <selection activeCell="D19" sqref="D19"/>
    </sheetView>
  </sheetViews>
  <sheetFormatPr baseColWidth="10" defaultRowHeight="15" x14ac:dyDescent="0.25"/>
  <cols>
    <col min="1" max="1" width="53.85546875" bestFit="1" customWidth="1"/>
    <col min="2" max="3" width="12.7109375" customWidth="1"/>
    <col min="4" max="4" width="6" customWidth="1"/>
    <col min="5" max="5" width="6.85546875" customWidth="1"/>
    <col min="6" max="6" width="6.5703125" customWidth="1"/>
    <col min="7" max="7" width="25.5703125" bestFit="1" customWidth="1"/>
    <col min="8" max="8" width="30.85546875" bestFit="1" customWidth="1"/>
    <col min="9" max="9" width="19.5703125" customWidth="1"/>
  </cols>
  <sheetData>
    <row r="1" spans="1:26" ht="16.5" customHeight="1" x14ac:dyDescent="0.25">
      <c r="A1" s="5" t="s">
        <v>12</v>
      </c>
      <c r="B1" s="4" t="s">
        <v>55</v>
      </c>
      <c r="C1" s="4" t="s">
        <v>56</v>
      </c>
      <c r="D1" s="2" t="s">
        <v>1</v>
      </c>
      <c r="E1" s="2" t="s">
        <v>0</v>
      </c>
      <c r="F1" s="14" t="s">
        <v>32</v>
      </c>
      <c r="G1" s="10" t="s">
        <v>54</v>
      </c>
      <c r="H1" s="25" t="s">
        <v>443</v>
      </c>
      <c r="I1" s="10" t="s">
        <v>33</v>
      </c>
      <c r="J1" s="9" t="s">
        <v>36</v>
      </c>
    </row>
    <row r="2" spans="1:26" x14ac:dyDescent="0.25">
      <c r="A2" s="26"/>
      <c r="C2" s="1"/>
      <c r="D2" s="2">
        <v>1366</v>
      </c>
      <c r="E2" s="3">
        <v>768</v>
      </c>
      <c r="F2" s="15"/>
      <c r="G2" s="9">
        <v>3</v>
      </c>
      <c r="H2" s="26" t="s">
        <v>15</v>
      </c>
      <c r="I2" s="9" t="s">
        <v>80</v>
      </c>
      <c r="J2" s="9" t="s">
        <v>34</v>
      </c>
      <c r="P2" t="s">
        <v>68</v>
      </c>
      <c r="V2">
        <v>7760</v>
      </c>
      <c r="Y2" t="s">
        <v>509</v>
      </c>
      <c r="Z2" t="s">
        <v>508</v>
      </c>
    </row>
    <row r="3" spans="1:26" x14ac:dyDescent="0.25">
      <c r="A3" s="23"/>
      <c r="B3" s="1"/>
      <c r="G3" s="10" t="s">
        <v>53</v>
      </c>
      <c r="H3" s="26" t="s">
        <v>16</v>
      </c>
      <c r="I3" s="9">
        <v>1</v>
      </c>
      <c r="J3" s="9" t="s">
        <v>35</v>
      </c>
      <c r="O3" t="s">
        <v>450</v>
      </c>
    </row>
    <row r="4" spans="1:26" x14ac:dyDescent="0.25">
      <c r="G4" s="10"/>
      <c r="H4" s="26"/>
      <c r="I4" s="24"/>
      <c r="J4" s="24"/>
    </row>
    <row r="5" spans="1:26" x14ac:dyDescent="0.25">
      <c r="A5" s="23"/>
      <c r="B5" s="1"/>
      <c r="C5" s="1"/>
      <c r="G5" s="10"/>
      <c r="H5" s="26"/>
      <c r="I5" s="24"/>
      <c r="J5" s="24"/>
    </row>
    <row r="6" spans="1:26" x14ac:dyDescent="0.25">
      <c r="A6" s="26"/>
      <c r="H6" s="26"/>
      <c r="I6" s="24"/>
      <c r="J6" s="24"/>
    </row>
    <row r="7" spans="1:26" x14ac:dyDescent="0.25">
      <c r="A7" s="23"/>
      <c r="B7" s="1"/>
      <c r="G7" s="10"/>
      <c r="H7" s="23" t="s">
        <v>76</v>
      </c>
      <c r="I7" s="24"/>
      <c r="J7" s="24"/>
    </row>
    <row r="8" spans="1:26" x14ac:dyDescent="0.25">
      <c r="A8" s="1"/>
      <c r="G8" s="10"/>
      <c r="H8" s="26" t="s">
        <v>7</v>
      </c>
    </row>
    <row r="9" spans="1:26" x14ac:dyDescent="0.25">
      <c r="A9" s="23" t="s">
        <v>31</v>
      </c>
      <c r="B9" s="1" t="s">
        <v>78</v>
      </c>
      <c r="G9" s="1">
        <v>1181966</v>
      </c>
      <c r="H9" s="26" t="s">
        <v>3</v>
      </c>
    </row>
    <row r="10" spans="1:26" x14ac:dyDescent="0.25">
      <c r="B10" s="23" t="s">
        <v>47</v>
      </c>
      <c r="C10" s="1"/>
      <c r="D10" s="1"/>
      <c r="E10" s="1"/>
      <c r="F10" s="1"/>
      <c r="G10" s="1"/>
      <c r="H10" s="26" t="s">
        <v>14</v>
      </c>
    </row>
    <row r="11" spans="1:26" x14ac:dyDescent="0.25">
      <c r="A11" s="10" t="s">
        <v>2</v>
      </c>
      <c r="B11" s="10">
        <v>42170.765007320646</v>
      </c>
      <c r="C11" s="10">
        <v>63999.0234375</v>
      </c>
      <c r="D11" s="10" t="s">
        <v>51</v>
      </c>
      <c r="E11" s="10" t="s">
        <v>61</v>
      </c>
      <c r="F11" s="10"/>
      <c r="G11" s="10"/>
      <c r="H11" s="27" t="s">
        <v>5</v>
      </c>
    </row>
    <row r="12" spans="1:26" x14ac:dyDescent="0.25">
      <c r="A12" s="63"/>
      <c r="B12" s="10" t="s">
        <v>2</v>
      </c>
      <c r="C12" s="10">
        <v>45577.049780380672</v>
      </c>
      <c r="D12" s="10">
        <v>39594.0625</v>
      </c>
      <c r="E12" s="10" t="s">
        <v>51</v>
      </c>
      <c r="F12" s="10" t="s">
        <v>60</v>
      </c>
      <c r="G12" s="10"/>
      <c r="H12" s="26" t="s">
        <v>9</v>
      </c>
    </row>
    <row r="13" spans="1:26" x14ac:dyDescent="0.25">
      <c r="A13" s="63"/>
      <c r="B13" s="63"/>
      <c r="C13" s="10"/>
      <c r="D13" s="10"/>
      <c r="E13" s="10"/>
      <c r="F13" s="10"/>
      <c r="G13" s="10"/>
      <c r="H13" t="s">
        <v>47</v>
      </c>
    </row>
    <row r="14" spans="1:26" x14ac:dyDescent="0.25">
      <c r="A14" s="10" t="s">
        <v>59</v>
      </c>
      <c r="B14" s="10"/>
      <c r="C14" s="10"/>
      <c r="D14" s="10"/>
      <c r="E14" s="10" t="s">
        <v>58</v>
      </c>
      <c r="F14" s="10"/>
      <c r="G14" s="63"/>
      <c r="H14" s="26" t="s">
        <v>48</v>
      </c>
    </row>
    <row r="15" spans="1:26" x14ac:dyDescent="0.25">
      <c r="A15" s="10" t="s">
        <v>3</v>
      </c>
      <c r="B15" s="10">
        <v>750</v>
      </c>
      <c r="C15" s="10"/>
      <c r="D15" s="10"/>
      <c r="E15" s="10"/>
      <c r="F15" s="10"/>
      <c r="G15" s="10"/>
      <c r="H15" s="26" t="s">
        <v>2</v>
      </c>
    </row>
    <row r="16" spans="1:26" x14ac:dyDescent="0.25">
      <c r="A16" s="10" t="s">
        <v>2</v>
      </c>
      <c r="B16" s="10">
        <v>1919.0336749633968</v>
      </c>
      <c r="C16" s="10">
        <v>11093.1640625</v>
      </c>
      <c r="D16" s="63" t="s">
        <v>793</v>
      </c>
      <c r="E16" s="63"/>
      <c r="F16" s="10"/>
      <c r="G16" s="10"/>
      <c r="H16" s="26" t="s">
        <v>10</v>
      </c>
    </row>
    <row r="17" spans="1:9" x14ac:dyDescent="0.25">
      <c r="A17" s="10" t="s">
        <v>3</v>
      </c>
      <c r="B17" s="10">
        <v>750</v>
      </c>
      <c r="C17" s="10"/>
      <c r="D17" s="10"/>
      <c r="E17" s="10"/>
      <c r="F17" s="10"/>
      <c r="G17" s="10"/>
      <c r="H17" s="26" t="s">
        <v>2</v>
      </c>
    </row>
    <row r="18" spans="1:9" x14ac:dyDescent="0.25">
      <c r="A18" s="10" t="s">
        <v>2</v>
      </c>
      <c r="B18" s="10">
        <v>3022.4780380673501</v>
      </c>
      <c r="C18" s="10">
        <v>4095.9375</v>
      </c>
      <c r="D18" s="10" t="s">
        <v>793</v>
      </c>
      <c r="E18" s="10"/>
      <c r="F18" s="10"/>
      <c r="G18" s="10"/>
      <c r="H18" s="26" t="s">
        <v>31</v>
      </c>
    </row>
    <row r="19" spans="1:9" x14ac:dyDescent="0.25">
      <c r="A19" s="23" t="s">
        <v>71</v>
      </c>
      <c r="B19" s="1">
        <v>39148.286969253299</v>
      </c>
      <c r="C19" s="1">
        <v>9386.5234375</v>
      </c>
      <c r="D19" s="1" t="s">
        <v>51</v>
      </c>
      <c r="E19" s="1" t="s">
        <v>74</v>
      </c>
      <c r="F19" s="1"/>
      <c r="G19" s="1"/>
      <c r="H19" s="26" t="s">
        <v>6</v>
      </c>
    </row>
    <row r="20" spans="1:9" x14ac:dyDescent="0.25">
      <c r="A20" s="23" t="s">
        <v>69</v>
      </c>
      <c r="B20" s="1"/>
      <c r="C20" s="1"/>
      <c r="D20" s="1"/>
      <c r="E20" s="1"/>
      <c r="F20" s="1"/>
      <c r="G20" s="1"/>
      <c r="H20" s="26" t="s">
        <v>18</v>
      </c>
    </row>
    <row r="21" spans="1:9" x14ac:dyDescent="0.25">
      <c r="A21" s="23" t="s">
        <v>71</v>
      </c>
      <c r="B21" s="1">
        <v>49559.04465592972</v>
      </c>
      <c r="C21" s="1">
        <v>29695.546875</v>
      </c>
      <c r="D21" s="1"/>
      <c r="E21" s="1"/>
      <c r="F21" s="1"/>
      <c r="G21" s="1"/>
      <c r="H21" s="26" t="s">
        <v>8</v>
      </c>
    </row>
    <row r="22" spans="1:9" x14ac:dyDescent="0.25">
      <c r="A22" s="23"/>
      <c r="B22" s="1"/>
      <c r="C22" s="1"/>
      <c r="D22" s="1"/>
      <c r="E22" s="1"/>
      <c r="F22" s="1"/>
      <c r="G22" s="1"/>
      <c r="H22" s="26"/>
    </row>
    <row r="23" spans="1:9" x14ac:dyDescent="0.25">
      <c r="A23" s="23" t="s">
        <v>70</v>
      </c>
      <c r="B23" s="1"/>
      <c r="C23" s="1"/>
      <c r="D23" s="1"/>
      <c r="E23" s="1"/>
      <c r="F23" s="1"/>
      <c r="G23" s="1"/>
      <c r="H23" s="26" t="s">
        <v>17</v>
      </c>
      <c r="I23" s="1" t="s">
        <v>79</v>
      </c>
    </row>
    <row r="24" spans="1:9" x14ac:dyDescent="0.25">
      <c r="B24" s="23" t="s">
        <v>3</v>
      </c>
      <c r="C24" s="23">
        <v>3</v>
      </c>
      <c r="D24" s="23"/>
      <c r="E24" s="23"/>
      <c r="F24" s="23"/>
      <c r="G24" s="1"/>
      <c r="H24" s="26" t="s">
        <v>13</v>
      </c>
    </row>
    <row r="25" spans="1:9" x14ac:dyDescent="0.25">
      <c r="B25" s="9" t="s">
        <v>2</v>
      </c>
      <c r="C25" s="9">
        <v>58290.64787701318</v>
      </c>
      <c r="D25" s="9">
        <v>37631.42578125</v>
      </c>
      <c r="E25" s="9" t="s">
        <v>51</v>
      </c>
      <c r="F25" s="9" t="s">
        <v>49</v>
      </c>
      <c r="G25" s="9"/>
      <c r="H25" s="26" t="s">
        <v>4</v>
      </c>
    </row>
    <row r="26" spans="1:9" x14ac:dyDescent="0.25">
      <c r="B26" s="9"/>
      <c r="C26" s="9"/>
      <c r="D26" s="9"/>
      <c r="E26" s="9"/>
      <c r="F26" s="9"/>
      <c r="G26" s="9"/>
      <c r="H26" s="26" t="s">
        <v>11</v>
      </c>
    </row>
    <row r="27" spans="1:9" x14ac:dyDescent="0.25">
      <c r="B27" s="9" t="s">
        <v>2</v>
      </c>
      <c r="C27" s="9">
        <v>42170.765007320646</v>
      </c>
      <c r="D27" s="9">
        <v>63999.0234375</v>
      </c>
      <c r="E27" s="9" t="s">
        <v>51</v>
      </c>
      <c r="F27" s="9" t="s">
        <v>61</v>
      </c>
      <c r="G27" s="9"/>
      <c r="H27" s="27" t="s">
        <v>5</v>
      </c>
    </row>
    <row r="28" spans="1:9" x14ac:dyDescent="0.25">
      <c r="B28" s="9" t="s">
        <v>2</v>
      </c>
      <c r="C28" s="9">
        <v>45577.049780380672</v>
      </c>
      <c r="D28" s="9">
        <v>39594.0625</v>
      </c>
      <c r="E28" s="9" t="s">
        <v>51</v>
      </c>
      <c r="F28" s="9" t="s">
        <v>60</v>
      </c>
      <c r="G28" s="9"/>
      <c r="H28" s="26" t="s">
        <v>9</v>
      </c>
    </row>
    <row r="29" spans="1:9" x14ac:dyDescent="0.25">
      <c r="B29" s="24"/>
      <c r="C29" s="24"/>
      <c r="D29" s="9"/>
      <c r="E29" s="9"/>
      <c r="F29" s="9"/>
      <c r="G29" s="9"/>
      <c r="H29" t="s">
        <v>47</v>
      </c>
    </row>
    <row r="30" spans="1:9" x14ac:dyDescent="0.25">
      <c r="A30" s="23" t="s">
        <v>59</v>
      </c>
      <c r="B30" s="23">
        <v>47352.155929721819</v>
      </c>
      <c r="C30" s="23">
        <v>22527.65625</v>
      </c>
      <c r="D30" s="23"/>
      <c r="E30" s="23" t="s">
        <v>58</v>
      </c>
      <c r="F30" s="23"/>
      <c r="H30" s="26" t="s">
        <v>48</v>
      </c>
    </row>
    <row r="31" spans="1:9" x14ac:dyDescent="0.25">
      <c r="A31" s="23" t="s">
        <v>3</v>
      </c>
      <c r="B31" s="23">
        <v>100</v>
      </c>
      <c r="C31" s="23"/>
      <c r="D31" s="23"/>
      <c r="E31" s="23"/>
      <c r="F31" s="23"/>
      <c r="G31" s="1"/>
      <c r="H31" s="26" t="s">
        <v>57</v>
      </c>
    </row>
    <row r="32" spans="1:9" x14ac:dyDescent="0.25">
      <c r="A32" s="23" t="s">
        <v>2</v>
      </c>
      <c r="B32" s="1">
        <v>36941.398243045391</v>
      </c>
      <c r="C32" s="1">
        <v>4095.9375</v>
      </c>
      <c r="D32" s="1" t="s">
        <v>51</v>
      </c>
      <c r="E32" s="1" t="s">
        <v>50</v>
      </c>
      <c r="F32" s="1"/>
      <c r="G32" s="1"/>
    </row>
    <row r="33" spans="1:8" x14ac:dyDescent="0.25">
      <c r="A33" s="23" t="s">
        <v>3</v>
      </c>
      <c r="B33" s="1">
        <v>2500</v>
      </c>
      <c r="C33" s="1"/>
      <c r="D33" s="1"/>
      <c r="E33" s="1"/>
      <c r="F33" s="1"/>
      <c r="G33" s="23" t="s">
        <v>3</v>
      </c>
      <c r="H33" t="s">
        <v>59</v>
      </c>
    </row>
    <row r="34" spans="1:8" x14ac:dyDescent="0.25">
      <c r="A34" s="23" t="s">
        <v>2</v>
      </c>
      <c r="B34" s="1">
        <v>27825.988286969256</v>
      </c>
      <c r="C34" s="1">
        <v>8703.8671875</v>
      </c>
      <c r="D34" s="1" t="s">
        <v>51</v>
      </c>
      <c r="E34" s="1" t="s">
        <v>52</v>
      </c>
      <c r="F34" s="1"/>
      <c r="G34" s="23" t="s">
        <v>2</v>
      </c>
      <c r="H34" t="s">
        <v>72</v>
      </c>
    </row>
    <row r="35" spans="1:8" x14ac:dyDescent="0.25">
      <c r="A35" s="23" t="s">
        <v>73</v>
      </c>
      <c r="B35" s="1"/>
      <c r="C35" s="1"/>
      <c r="D35" s="1"/>
      <c r="E35" s="1"/>
      <c r="F35" s="1"/>
      <c r="G35" s="23" t="s">
        <v>3</v>
      </c>
    </row>
    <row r="36" spans="1:8" x14ac:dyDescent="0.25">
      <c r="A36" s="23"/>
      <c r="B36" s="1"/>
      <c r="G36" s="1"/>
    </row>
    <row r="37" spans="1:8" x14ac:dyDescent="0.25">
      <c r="A37" s="23"/>
      <c r="B37" s="1"/>
    </row>
    <row r="38" spans="1:8" x14ac:dyDescent="0.25">
      <c r="A38" s="1" t="s">
        <v>31</v>
      </c>
      <c r="B38" s="1" t="s">
        <v>75</v>
      </c>
      <c r="C38" s="1"/>
      <c r="D38" s="1"/>
      <c r="E38" s="1"/>
      <c r="F38" s="1"/>
    </row>
    <row r="39" spans="1:8" x14ac:dyDescent="0.25">
      <c r="B39" s="23" t="s">
        <v>47</v>
      </c>
      <c r="C39" s="1"/>
      <c r="D39" s="1"/>
      <c r="E39" s="1"/>
      <c r="F39" s="1"/>
      <c r="H39" t="s">
        <v>77</v>
      </c>
    </row>
    <row r="40" spans="1:8" x14ac:dyDescent="0.25">
      <c r="A40" s="10" t="s">
        <v>2</v>
      </c>
      <c r="B40" s="10">
        <v>42170.765007320646</v>
      </c>
      <c r="C40" s="10">
        <v>63999.0234375</v>
      </c>
      <c r="D40" s="10" t="s">
        <v>51</v>
      </c>
      <c r="E40" s="10" t="s">
        <v>61</v>
      </c>
      <c r="F40" s="10"/>
      <c r="G40" s="10"/>
      <c r="H40" s="27" t="s">
        <v>5</v>
      </c>
    </row>
    <row r="41" spans="1:8" x14ac:dyDescent="0.25">
      <c r="A41" s="63"/>
      <c r="B41" s="10" t="s">
        <v>2</v>
      </c>
      <c r="C41" s="10">
        <v>45577.049780380672</v>
      </c>
      <c r="D41" s="10">
        <v>39594.0625</v>
      </c>
      <c r="E41" s="10" t="s">
        <v>51</v>
      </c>
      <c r="F41" s="10" t="s">
        <v>60</v>
      </c>
      <c r="G41" s="10"/>
      <c r="H41" s="26" t="s">
        <v>9</v>
      </c>
    </row>
    <row r="42" spans="1:8" x14ac:dyDescent="0.25">
      <c r="A42" s="63"/>
      <c r="B42" s="63"/>
      <c r="C42" s="10"/>
      <c r="D42" s="10"/>
      <c r="E42" s="10"/>
      <c r="F42" s="10"/>
      <c r="G42" s="10"/>
      <c r="H42" t="s">
        <v>47</v>
      </c>
    </row>
    <row r="43" spans="1:8" x14ac:dyDescent="0.25">
      <c r="A43" s="10" t="s">
        <v>59</v>
      </c>
      <c r="B43" s="10"/>
      <c r="C43" s="10"/>
      <c r="D43" s="10"/>
      <c r="E43" s="10" t="s">
        <v>58</v>
      </c>
      <c r="F43" s="10"/>
      <c r="G43" s="63"/>
      <c r="H43" s="26" t="s">
        <v>48</v>
      </c>
    </row>
    <row r="44" spans="1:8" x14ac:dyDescent="0.25">
      <c r="A44" s="10" t="s">
        <v>3</v>
      </c>
      <c r="B44" s="10">
        <v>750</v>
      </c>
      <c r="C44" s="10"/>
      <c r="D44" s="10"/>
      <c r="E44" s="10"/>
      <c r="F44" s="10"/>
      <c r="G44" s="10"/>
      <c r="H44" s="26" t="s">
        <v>2</v>
      </c>
    </row>
    <row r="45" spans="1:8" x14ac:dyDescent="0.25">
      <c r="A45" s="10" t="s">
        <v>2</v>
      </c>
      <c r="B45" s="10">
        <v>1919.0336749633968</v>
      </c>
      <c r="C45" s="10">
        <v>11093.1640625</v>
      </c>
      <c r="D45" s="63" t="s">
        <v>793</v>
      </c>
      <c r="E45" s="63"/>
      <c r="F45" s="10"/>
      <c r="G45" s="10"/>
      <c r="H45" s="26" t="s">
        <v>10</v>
      </c>
    </row>
    <row r="46" spans="1:8" x14ac:dyDescent="0.25">
      <c r="A46" s="10" t="s">
        <v>3</v>
      </c>
      <c r="B46" s="10">
        <v>750</v>
      </c>
      <c r="E46" s="10"/>
      <c r="F46" s="10"/>
      <c r="G46" s="10"/>
      <c r="H46" s="26" t="s">
        <v>31</v>
      </c>
    </row>
    <row r="47" spans="1:8" x14ac:dyDescent="0.25">
      <c r="A47" s="10" t="s">
        <v>2</v>
      </c>
      <c r="B47" s="10">
        <v>3022.4780380673501</v>
      </c>
      <c r="C47" s="10">
        <v>4095.9375</v>
      </c>
      <c r="D47" s="10" t="s">
        <v>793</v>
      </c>
      <c r="E47" s="1"/>
      <c r="F47" s="1"/>
      <c r="H47" s="23" t="s">
        <v>3</v>
      </c>
    </row>
    <row r="48" spans="1:8" x14ac:dyDescent="0.25">
      <c r="A48" s="23" t="s">
        <v>71</v>
      </c>
      <c r="B48" s="1">
        <v>15688.100292825769</v>
      </c>
      <c r="C48" s="1">
        <v>27135.5859375</v>
      </c>
      <c r="D48" s="1" t="s">
        <v>51</v>
      </c>
      <c r="E48" s="1" t="s">
        <v>74</v>
      </c>
      <c r="F48" s="1"/>
      <c r="H48" s="23" t="s">
        <v>76</v>
      </c>
    </row>
    <row r="49" spans="1:8" x14ac:dyDescent="0.25">
      <c r="A49" s="23" t="s">
        <v>69</v>
      </c>
      <c r="B49" s="1"/>
      <c r="C49" s="1"/>
      <c r="D49" s="1"/>
      <c r="E49" s="1"/>
      <c r="F49" s="1"/>
    </row>
    <row r="50" spans="1:8" x14ac:dyDescent="0.25">
      <c r="A50" s="23" t="s">
        <v>71</v>
      </c>
      <c r="B50" s="1">
        <v>31807.983162518303</v>
      </c>
      <c r="C50" s="1">
        <v>60841.73828125</v>
      </c>
      <c r="D50" s="1" t="s">
        <v>51</v>
      </c>
      <c r="E50" s="1" t="s">
        <v>74</v>
      </c>
      <c r="F50" s="1"/>
    </row>
    <row r="51" spans="1:8" x14ac:dyDescent="0.25">
      <c r="A51" s="23"/>
      <c r="B51" s="1"/>
      <c r="C51" s="1"/>
      <c r="D51" s="1"/>
      <c r="E51" s="1"/>
      <c r="F51" s="1"/>
      <c r="G51" s="1"/>
      <c r="H51" s="26"/>
    </row>
    <row r="52" spans="1:8" x14ac:dyDescent="0.25">
      <c r="A52" s="23" t="s">
        <v>70</v>
      </c>
      <c r="B52" s="1"/>
      <c r="C52" s="1"/>
      <c r="D52" s="1"/>
      <c r="E52" s="1"/>
      <c r="F52" s="1"/>
    </row>
    <row r="53" spans="1:8" x14ac:dyDescent="0.25">
      <c r="A53" s="23"/>
      <c r="B53" s="23"/>
      <c r="C53" s="23"/>
      <c r="D53" s="23"/>
      <c r="E53" s="23"/>
      <c r="F53" s="23"/>
    </row>
    <row r="54" spans="1:8" x14ac:dyDescent="0.25">
      <c r="B54" s="9" t="s">
        <v>2</v>
      </c>
      <c r="C54" s="9">
        <v>58290.64787701318</v>
      </c>
      <c r="D54" s="9">
        <v>37631.42578125</v>
      </c>
      <c r="E54" s="9" t="s">
        <v>51</v>
      </c>
      <c r="F54" s="9" t="s">
        <v>49</v>
      </c>
      <c r="G54" s="9"/>
    </row>
    <row r="55" spans="1:8" x14ac:dyDescent="0.25">
      <c r="B55" s="9"/>
      <c r="C55" s="9"/>
      <c r="D55" s="9"/>
      <c r="E55" s="9"/>
      <c r="F55" s="9"/>
      <c r="G55" s="9"/>
    </row>
    <row r="56" spans="1:8" x14ac:dyDescent="0.25">
      <c r="B56" s="9" t="s">
        <v>2</v>
      </c>
      <c r="C56" s="9">
        <f>C$27</f>
        <v>42170.765007320646</v>
      </c>
      <c r="D56" s="9">
        <f>D$27</f>
        <v>63999.0234375</v>
      </c>
      <c r="E56" s="9" t="s">
        <v>51</v>
      </c>
      <c r="F56" s="9" t="s">
        <v>61</v>
      </c>
      <c r="G56" s="9"/>
    </row>
    <row r="57" spans="1:8" x14ac:dyDescent="0.25">
      <c r="B57" s="9" t="s">
        <v>2</v>
      </c>
      <c r="C57" s="9">
        <v>45577.049780380672</v>
      </c>
      <c r="D57" s="9">
        <v>39594.0625</v>
      </c>
      <c r="E57" s="9" t="s">
        <v>51</v>
      </c>
      <c r="F57" s="9" t="s">
        <v>60</v>
      </c>
      <c r="G57" s="9"/>
    </row>
    <row r="58" spans="1:8" x14ac:dyDescent="0.25">
      <c r="B58" s="24"/>
      <c r="C58" s="24"/>
      <c r="D58" s="9"/>
      <c r="E58" s="9"/>
      <c r="F58" s="9"/>
      <c r="G58" s="9"/>
    </row>
    <row r="59" spans="1:8" x14ac:dyDescent="0.25">
      <c r="A59" s="23" t="s">
        <v>59</v>
      </c>
      <c r="B59" s="23"/>
      <c r="C59" s="23"/>
      <c r="D59" s="23"/>
      <c r="E59" s="23" t="s">
        <v>58</v>
      </c>
      <c r="F59" s="23"/>
    </row>
    <row r="60" spans="1:8" x14ac:dyDescent="0.25">
      <c r="A60" s="23" t="s">
        <v>3</v>
      </c>
      <c r="B60" s="23">
        <v>100</v>
      </c>
      <c r="C60" s="23"/>
      <c r="D60" s="23"/>
      <c r="E60" s="23"/>
      <c r="F60" s="23"/>
    </row>
    <row r="61" spans="1:8" x14ac:dyDescent="0.25">
      <c r="A61" s="23" t="s">
        <v>2</v>
      </c>
      <c r="B61" s="1">
        <v>36941.398243045391</v>
      </c>
      <c r="C61" s="1">
        <v>4095.9375</v>
      </c>
      <c r="D61" s="1" t="s">
        <v>51</v>
      </c>
      <c r="E61" s="1" t="s">
        <v>50</v>
      </c>
      <c r="F61" s="1"/>
    </row>
    <row r="62" spans="1:8" x14ac:dyDescent="0.25">
      <c r="A62" s="23" t="s">
        <v>3</v>
      </c>
      <c r="B62" s="1">
        <v>2500</v>
      </c>
      <c r="C62" s="1"/>
      <c r="D62" s="1"/>
      <c r="E62" s="1"/>
      <c r="F62" s="1"/>
    </row>
    <row r="63" spans="1:8" x14ac:dyDescent="0.25">
      <c r="A63" s="23" t="s">
        <v>2</v>
      </c>
      <c r="B63" s="1">
        <v>27825.988286969256</v>
      </c>
      <c r="C63" s="1">
        <v>8703.8671875</v>
      </c>
      <c r="D63" s="1" t="s">
        <v>51</v>
      </c>
      <c r="E63" s="1" t="s">
        <v>52</v>
      </c>
      <c r="F63" s="1"/>
    </row>
    <row r="64" spans="1:8" x14ac:dyDescent="0.25">
      <c r="A64" s="23" t="s">
        <v>73</v>
      </c>
      <c r="B64" s="1"/>
      <c r="C64" s="1"/>
      <c r="D64" s="1"/>
      <c r="E64" s="1"/>
      <c r="F64" s="1"/>
    </row>
    <row r="65" spans="1:12" x14ac:dyDescent="0.25">
      <c r="A65" s="23"/>
      <c r="B65" s="1"/>
      <c r="C65" s="1"/>
      <c r="D65" s="1"/>
      <c r="E65" s="1"/>
      <c r="F65" s="1"/>
    </row>
    <row r="66" spans="1:12" x14ac:dyDescent="0.25">
      <c r="B66" s="9"/>
      <c r="C66" s="9"/>
      <c r="D66" s="9"/>
      <c r="E66" s="9"/>
      <c r="F66" s="9"/>
      <c r="G66" s="9"/>
    </row>
    <row r="67" spans="1:12" x14ac:dyDescent="0.25">
      <c r="A67" t="s">
        <v>31</v>
      </c>
      <c r="B67" s="9"/>
      <c r="C67" s="9"/>
      <c r="D67" s="9"/>
      <c r="E67" s="9"/>
      <c r="F67" s="9"/>
      <c r="G67" s="9"/>
      <c r="J67" s="1"/>
      <c r="K67" s="1"/>
      <c r="L67" s="1"/>
    </row>
    <row r="68" spans="1:12" x14ac:dyDescent="0.25">
      <c r="A68" t="s">
        <v>3</v>
      </c>
      <c r="B68" s="9">
        <v>750</v>
      </c>
      <c r="C68" s="9"/>
      <c r="D68" s="9"/>
      <c r="E68" s="9"/>
      <c r="F68" s="9"/>
      <c r="G68" s="9"/>
      <c r="J68" s="1"/>
      <c r="K68" s="1"/>
      <c r="L68" s="1"/>
    </row>
    <row r="69" spans="1:12" x14ac:dyDescent="0.25">
      <c r="A69" t="s">
        <v>2</v>
      </c>
      <c r="B69" s="9">
        <v>64287.628111273792</v>
      </c>
      <c r="C69" s="9">
        <v>1109.31640625</v>
      </c>
      <c r="D69" s="9"/>
      <c r="E69" s="9"/>
      <c r="F69" s="9"/>
      <c r="G69" s="9"/>
      <c r="J69" s="1"/>
      <c r="K69" s="1"/>
      <c r="L69" s="1"/>
    </row>
    <row r="70" spans="1:12" x14ac:dyDescent="0.25">
      <c r="B70" s="9"/>
      <c r="C70" s="9"/>
      <c r="D70" s="9"/>
      <c r="E70" s="9"/>
      <c r="F70" s="9"/>
      <c r="G70" s="9"/>
      <c r="J70" s="1"/>
      <c r="K70" s="1"/>
      <c r="L70" s="1"/>
    </row>
    <row r="71" spans="1:12" x14ac:dyDescent="0.25">
      <c r="B71" s="9"/>
      <c r="C71" s="9"/>
      <c r="D71" s="9"/>
      <c r="E71" s="9"/>
      <c r="F71" s="9"/>
      <c r="G71" s="9"/>
    </row>
    <row r="72" spans="1:12" x14ac:dyDescent="0.25">
      <c r="B72" s="9"/>
      <c r="C72" s="9"/>
      <c r="D72" s="9"/>
      <c r="E72" s="9"/>
      <c r="F72" s="9"/>
      <c r="G72" s="9"/>
    </row>
    <row r="73" spans="1:12" x14ac:dyDescent="0.25">
      <c r="B73" s="9"/>
      <c r="C73" s="9"/>
      <c r="D73" s="9"/>
      <c r="E73" s="9"/>
      <c r="F73" s="9"/>
      <c r="G73" s="9"/>
    </row>
    <row r="74" spans="1:12" x14ac:dyDescent="0.25">
      <c r="B74" s="9"/>
      <c r="C74" s="9"/>
      <c r="D74" s="9"/>
      <c r="E74" s="9"/>
      <c r="F74" s="9"/>
      <c r="G74" s="9"/>
    </row>
    <row r="75" spans="1:12" x14ac:dyDescent="0.25">
      <c r="B75" s="9"/>
      <c r="C75" s="9"/>
      <c r="D75" s="9"/>
      <c r="E75" s="9"/>
      <c r="F75" s="9"/>
      <c r="G75" s="9"/>
    </row>
    <row r="76" spans="1:12" x14ac:dyDescent="0.25">
      <c r="B76" s="9"/>
      <c r="C76" s="9"/>
      <c r="D76" s="9"/>
      <c r="E76" s="9"/>
      <c r="F76" s="9"/>
      <c r="G76" s="9"/>
    </row>
    <row r="77" spans="1:12" x14ac:dyDescent="0.25">
      <c r="B77" s="9"/>
      <c r="C77" s="9"/>
      <c r="D77" s="9"/>
      <c r="E77" s="9"/>
      <c r="F77" s="9"/>
      <c r="G77" s="9"/>
    </row>
    <row r="78" spans="1:12" x14ac:dyDescent="0.25">
      <c r="B78" s="9"/>
      <c r="C78" s="9"/>
      <c r="D78" s="9"/>
      <c r="E78" s="9"/>
      <c r="F78" s="9"/>
      <c r="G78" s="9"/>
    </row>
    <row r="79" spans="1:12" x14ac:dyDescent="0.25">
      <c r="B79" s="9"/>
      <c r="C79" s="9"/>
      <c r="D79" s="9"/>
      <c r="E79" s="9"/>
      <c r="F79" s="9"/>
      <c r="G79" s="9"/>
    </row>
    <row r="80" spans="1:12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62"/>
      <c r="C89" s="62"/>
      <c r="D89" s="62"/>
      <c r="E89" s="62"/>
      <c r="F89" s="62"/>
      <c r="G89" s="62"/>
    </row>
    <row r="90" spans="2:7" x14ac:dyDescent="0.25">
      <c r="B90" s="23"/>
      <c r="C90" s="1"/>
      <c r="D90" s="1"/>
      <c r="E90" s="1"/>
      <c r="F90" s="1"/>
      <c r="G90" s="1"/>
    </row>
    <row r="91" spans="2:7" x14ac:dyDescent="0.25">
      <c r="B91" s="23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23"/>
      <c r="C94" s="1"/>
      <c r="D94" s="1"/>
      <c r="E94" s="1"/>
      <c r="F94" s="1"/>
      <c r="G94" s="1"/>
    </row>
    <row r="95" spans="2:7" x14ac:dyDescent="0.25">
      <c r="B95" s="23"/>
      <c r="C95" s="1"/>
      <c r="D95" s="1"/>
      <c r="E95" s="1"/>
      <c r="F95" s="1"/>
      <c r="G95" s="1"/>
    </row>
    <row r="96" spans="2:7" x14ac:dyDescent="0.25">
      <c r="B96" s="23"/>
      <c r="C96" s="1"/>
      <c r="D96" s="1"/>
      <c r="E96" s="1"/>
      <c r="F96" s="1"/>
      <c r="G96" s="1"/>
    </row>
    <row r="97" spans="2:7" x14ac:dyDescent="0.25">
      <c r="B97" s="23"/>
      <c r="C97" s="1"/>
      <c r="D97" s="1"/>
      <c r="E97" s="1"/>
      <c r="F97" s="1"/>
      <c r="G97" s="1"/>
    </row>
    <row r="98" spans="2:7" x14ac:dyDescent="0.25">
      <c r="B98" s="23"/>
      <c r="C98" s="23"/>
      <c r="D98" s="23"/>
      <c r="E98" s="23"/>
      <c r="F98" s="23"/>
      <c r="G98" s="23"/>
    </row>
    <row r="99" spans="2:7" x14ac:dyDescent="0.25">
      <c r="B99" s="23"/>
      <c r="C99" s="23"/>
      <c r="D99" s="23"/>
      <c r="E99" s="23"/>
      <c r="F99" s="23"/>
      <c r="G99" s="23"/>
    </row>
    <row r="100" spans="2:7" x14ac:dyDescent="0.25">
      <c r="B100" s="23"/>
      <c r="C100" s="23"/>
      <c r="D100" s="23"/>
      <c r="E100" s="23"/>
      <c r="F100" s="23"/>
      <c r="G100" s="23"/>
    </row>
    <row r="101" spans="2:7" x14ac:dyDescent="0.25">
      <c r="B101" s="23"/>
      <c r="C101" s="23"/>
      <c r="D101" s="23"/>
      <c r="E101" s="23"/>
      <c r="F101" s="23"/>
      <c r="G101" s="23"/>
    </row>
    <row r="102" spans="2:7" x14ac:dyDescent="0.25">
      <c r="B102" s="23"/>
      <c r="C102" s="23"/>
      <c r="D102" s="23"/>
      <c r="E102" s="23"/>
      <c r="F102" s="23"/>
      <c r="G102" s="23"/>
    </row>
    <row r="103" spans="2:7" x14ac:dyDescent="0.25">
      <c r="B103" s="23"/>
      <c r="C103" s="23"/>
      <c r="D103" s="23"/>
      <c r="E103" s="23"/>
      <c r="F103" s="23"/>
      <c r="G103" s="23"/>
    </row>
    <row r="104" spans="2:7" x14ac:dyDescent="0.25">
      <c r="B104" s="23"/>
      <c r="C104" s="23"/>
      <c r="D104" s="23"/>
      <c r="E104" s="23"/>
      <c r="F104" s="23"/>
      <c r="G104" s="23"/>
    </row>
    <row r="105" spans="2:7" x14ac:dyDescent="0.25">
      <c r="B105" s="23"/>
      <c r="C105" s="23"/>
      <c r="D105" s="23"/>
      <c r="E105" s="23"/>
      <c r="F105" s="23"/>
      <c r="G105" s="23"/>
    </row>
    <row r="106" spans="2:7" x14ac:dyDescent="0.25">
      <c r="B106" s="23"/>
      <c r="C106" s="1"/>
      <c r="D106" s="1"/>
      <c r="E106" s="1"/>
      <c r="F106" s="1"/>
      <c r="G106" s="1"/>
    </row>
    <row r="107" spans="2:7" x14ac:dyDescent="0.25">
      <c r="B107" s="23"/>
      <c r="C107" s="1"/>
      <c r="D107" s="1"/>
      <c r="E107" s="1"/>
      <c r="F107" s="1"/>
      <c r="G107" s="1"/>
    </row>
    <row r="108" spans="2:7" x14ac:dyDescent="0.25">
      <c r="B108" s="23"/>
      <c r="C108" s="1"/>
      <c r="D108" s="1"/>
      <c r="E108" s="1"/>
      <c r="F108" s="1"/>
      <c r="G108" s="1"/>
    </row>
    <row r="109" spans="2:7" x14ac:dyDescent="0.25">
      <c r="B109" s="23"/>
      <c r="C109" s="1"/>
      <c r="D109" s="1"/>
      <c r="E109" s="1"/>
      <c r="F109" s="1"/>
      <c r="G109" s="1"/>
    </row>
    <row r="110" spans="2:7" x14ac:dyDescent="0.25">
      <c r="B110" s="23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23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23"/>
      <c r="C116" s="1"/>
      <c r="D116" s="1"/>
      <c r="E116" s="1"/>
      <c r="F116" s="1"/>
      <c r="G116" s="1"/>
    </row>
    <row r="117" spans="2:7" x14ac:dyDescent="0.25">
      <c r="B117" s="23"/>
      <c r="C117" s="1"/>
      <c r="D117" s="1"/>
      <c r="E117" s="1"/>
      <c r="F117" s="1"/>
      <c r="G117" s="1"/>
    </row>
    <row r="118" spans="2:7" x14ac:dyDescent="0.25">
      <c r="B118" s="23"/>
      <c r="C118" s="1"/>
      <c r="D118" s="1"/>
      <c r="E118" s="1"/>
      <c r="F118" s="1"/>
      <c r="G118" s="1"/>
    </row>
    <row r="119" spans="2:7" x14ac:dyDescent="0.25">
      <c r="B119" s="23"/>
      <c r="C119" s="1"/>
      <c r="D119" s="1"/>
      <c r="E119" s="1"/>
      <c r="F119" s="1"/>
      <c r="G119" s="1"/>
    </row>
    <row r="120" spans="2:7" x14ac:dyDescent="0.25">
      <c r="B120" s="23"/>
      <c r="C120" s="23"/>
      <c r="D120" s="23"/>
      <c r="E120" s="23"/>
      <c r="F120" s="23"/>
      <c r="G120" s="23"/>
    </row>
    <row r="121" spans="2:7" x14ac:dyDescent="0.25">
      <c r="B121" s="23"/>
      <c r="C121" s="23"/>
      <c r="D121" s="23"/>
      <c r="E121" s="23"/>
      <c r="F121" s="23"/>
      <c r="G121" s="23"/>
    </row>
    <row r="122" spans="2:7" x14ac:dyDescent="0.25">
      <c r="B122" s="23"/>
      <c r="C122" s="23"/>
      <c r="D122" s="23"/>
      <c r="E122" s="23"/>
      <c r="F122" s="23"/>
      <c r="G122" s="23"/>
    </row>
    <row r="123" spans="2:7" x14ac:dyDescent="0.25">
      <c r="B123" s="23"/>
      <c r="C123" s="23"/>
      <c r="D123" s="23"/>
      <c r="E123" s="23"/>
      <c r="F123" s="23"/>
      <c r="G123" s="23"/>
    </row>
    <row r="124" spans="2:7" x14ac:dyDescent="0.25">
      <c r="B124" s="23"/>
      <c r="C124" s="23"/>
      <c r="D124" s="23"/>
      <c r="E124" s="23"/>
      <c r="F124" s="23"/>
      <c r="G124" s="23"/>
    </row>
    <row r="125" spans="2:7" x14ac:dyDescent="0.25">
      <c r="B125" s="23"/>
      <c r="C125" s="23"/>
      <c r="D125" s="23"/>
      <c r="E125" s="23"/>
      <c r="F125" s="23"/>
      <c r="G125" s="23"/>
    </row>
    <row r="126" spans="2:7" x14ac:dyDescent="0.25">
      <c r="B126" s="23"/>
      <c r="C126" s="23"/>
      <c r="D126" s="23"/>
      <c r="E126" s="23"/>
      <c r="F126" s="23"/>
      <c r="G126" s="23"/>
    </row>
    <row r="127" spans="2:7" x14ac:dyDescent="0.25">
      <c r="B127" s="23"/>
      <c r="C127" s="23"/>
      <c r="D127" s="23"/>
      <c r="E127" s="23"/>
      <c r="F127" s="23"/>
      <c r="G127" s="23"/>
    </row>
    <row r="128" spans="2:7" x14ac:dyDescent="0.25">
      <c r="B128" s="23"/>
      <c r="C128" s="1"/>
      <c r="D128" s="1"/>
      <c r="E128" s="1"/>
      <c r="F128" s="1"/>
      <c r="G128" s="1"/>
    </row>
    <row r="129" spans="2:7" x14ac:dyDescent="0.25">
      <c r="B129" s="23"/>
      <c r="C129" s="1"/>
      <c r="D129" s="1"/>
      <c r="E129" s="1"/>
      <c r="F129" s="1"/>
      <c r="G129" s="1"/>
    </row>
    <row r="130" spans="2:7" x14ac:dyDescent="0.25">
      <c r="B130" s="23"/>
      <c r="C130" s="1"/>
      <c r="D130" s="1"/>
      <c r="E130" s="1"/>
      <c r="F130" s="1"/>
      <c r="G130" s="1"/>
    </row>
    <row r="131" spans="2:7" x14ac:dyDescent="0.25">
      <c r="B131" s="23"/>
      <c r="C131" s="1"/>
      <c r="D131" s="1"/>
      <c r="E131" s="1"/>
      <c r="F131" s="1"/>
      <c r="G131" s="1"/>
    </row>
    <row r="132" spans="2:7" x14ac:dyDescent="0.25">
      <c r="B132" s="23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23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23"/>
      <c r="C138" s="1"/>
      <c r="D138" s="1"/>
      <c r="E138" s="1"/>
      <c r="F138" s="1"/>
      <c r="G138" s="1"/>
    </row>
    <row r="139" spans="2:7" x14ac:dyDescent="0.25">
      <c r="B139" s="23"/>
      <c r="C139" s="1"/>
      <c r="D139" s="1"/>
      <c r="E139" s="1"/>
      <c r="F139" s="1"/>
      <c r="G139" s="1"/>
    </row>
    <row r="140" spans="2:7" x14ac:dyDescent="0.25">
      <c r="B140" s="23"/>
      <c r="C140" s="1"/>
      <c r="D140" s="1"/>
      <c r="E140" s="1"/>
      <c r="F140" s="1"/>
      <c r="G140" s="1"/>
    </row>
    <row r="141" spans="2:7" x14ac:dyDescent="0.25">
      <c r="B141" s="23"/>
      <c r="C141" s="1"/>
      <c r="D141" s="1"/>
      <c r="E141" s="1"/>
      <c r="F141" s="1"/>
      <c r="G141" s="1"/>
    </row>
    <row r="142" spans="2:7" x14ac:dyDescent="0.25">
      <c r="B142" s="23"/>
      <c r="C142" s="23"/>
      <c r="D142" s="23"/>
      <c r="E142" s="23"/>
      <c r="F142" s="23"/>
      <c r="G142" s="23"/>
    </row>
    <row r="143" spans="2:7" x14ac:dyDescent="0.25">
      <c r="B143" s="23"/>
      <c r="C143" s="23"/>
      <c r="D143" s="23"/>
      <c r="E143" s="23"/>
      <c r="F143" s="23"/>
      <c r="G143" s="23"/>
    </row>
    <row r="144" spans="2:7" x14ac:dyDescent="0.25">
      <c r="B144" s="23"/>
      <c r="C144" s="23"/>
      <c r="D144" s="23"/>
      <c r="E144" s="23"/>
      <c r="F144" s="23"/>
      <c r="G144" s="23"/>
    </row>
    <row r="145" spans="2:9" x14ac:dyDescent="0.25">
      <c r="B145" s="23"/>
      <c r="C145" s="23"/>
      <c r="D145" s="23"/>
      <c r="E145" s="23"/>
      <c r="F145" s="23"/>
      <c r="G145" s="23"/>
    </row>
    <row r="146" spans="2:9" x14ac:dyDescent="0.25">
      <c r="B146" s="23"/>
      <c r="C146" s="23"/>
      <c r="D146" s="23"/>
      <c r="E146" s="23"/>
      <c r="F146" s="23"/>
      <c r="G146" s="23"/>
    </row>
    <row r="147" spans="2:9" x14ac:dyDescent="0.25">
      <c r="B147" s="23"/>
      <c r="C147" s="23"/>
      <c r="D147" s="23"/>
      <c r="E147" s="23"/>
      <c r="F147" s="23"/>
      <c r="G147" s="23"/>
    </row>
    <row r="148" spans="2:9" x14ac:dyDescent="0.25">
      <c r="B148" s="23"/>
      <c r="C148" s="23"/>
      <c r="D148" s="23"/>
      <c r="E148" s="23"/>
      <c r="F148" s="23"/>
      <c r="G148" s="23"/>
    </row>
    <row r="149" spans="2:9" x14ac:dyDescent="0.25">
      <c r="B149" s="23"/>
      <c r="C149" s="23"/>
      <c r="D149" s="23"/>
      <c r="E149" s="23"/>
      <c r="F149" s="23"/>
      <c r="G149" s="23"/>
    </row>
    <row r="150" spans="2:9" x14ac:dyDescent="0.25">
      <c r="B150" s="23"/>
      <c r="C150" s="1"/>
      <c r="D150" s="1"/>
      <c r="E150" s="1"/>
      <c r="F150" s="1"/>
      <c r="G150" s="1"/>
    </row>
    <row r="151" spans="2:9" x14ac:dyDescent="0.25">
      <c r="B151" s="23"/>
      <c r="C151" s="1"/>
      <c r="D151" s="1"/>
      <c r="E151" s="1"/>
      <c r="F151" s="1"/>
      <c r="G151" s="1"/>
    </row>
    <row r="152" spans="2:9" x14ac:dyDescent="0.25">
      <c r="B152" s="23"/>
      <c r="C152" s="1"/>
      <c r="D152" s="1"/>
      <c r="E152" s="1"/>
      <c r="F152" s="1"/>
      <c r="G152" s="1"/>
    </row>
    <row r="153" spans="2:9" x14ac:dyDescent="0.25">
      <c r="B153" s="23"/>
      <c r="C153" s="1"/>
      <c r="D153" s="1"/>
      <c r="E153" s="1"/>
      <c r="F153" s="1"/>
      <c r="G153" s="1"/>
    </row>
    <row r="154" spans="2:9" x14ac:dyDescent="0.25">
      <c r="B154" s="23"/>
      <c r="C154" s="1"/>
    </row>
    <row r="155" spans="2:9" x14ac:dyDescent="0.25">
      <c r="B155" s="23"/>
    </row>
    <row r="156" spans="2:9" x14ac:dyDescent="0.25">
      <c r="C156" s="23"/>
      <c r="D156" s="1"/>
    </row>
    <row r="157" spans="2:9" x14ac:dyDescent="0.25">
      <c r="C157" s="23"/>
      <c r="I157" s="6"/>
    </row>
    <row r="158" spans="2:9" x14ac:dyDescent="0.25">
      <c r="D158">
        <f>D157-D156</f>
        <v>0</v>
      </c>
    </row>
    <row r="159" spans="2:9" x14ac:dyDescent="0.25">
      <c r="D159">
        <v>6044.9560761346984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EB58E-3DC1-45FA-B334-F3F879B6C80C}">
  <sheetPr codeName="Hoja10"/>
  <dimension ref="A1:AD37"/>
  <sheetViews>
    <sheetView workbookViewId="0">
      <selection activeCell="C7" sqref="C7"/>
    </sheetView>
  </sheetViews>
  <sheetFormatPr baseColWidth="10" defaultRowHeight="15" x14ac:dyDescent="0.25"/>
  <cols>
    <col min="1" max="1" width="9.42578125" customWidth="1"/>
    <col min="7" max="7" width="16.42578125" bestFit="1" customWidth="1"/>
    <col min="13" max="13" width="56.7109375" customWidth="1"/>
  </cols>
  <sheetData>
    <row r="1" spans="1:30" x14ac:dyDescent="0.25">
      <c r="B1" s="1"/>
      <c r="C1" s="1"/>
      <c r="D1" s="1"/>
      <c r="E1" s="1"/>
      <c r="F1" s="1"/>
      <c r="G1" s="1" t="s">
        <v>81</v>
      </c>
    </row>
    <row r="2" spans="1:30" x14ac:dyDescent="0.25">
      <c r="B2" s="23"/>
      <c r="C2" s="23">
        <v>41220007</v>
      </c>
      <c r="D2" s="23" t="s">
        <v>778</v>
      </c>
      <c r="E2" s="23">
        <v>40</v>
      </c>
      <c r="F2" s="33"/>
      <c r="G2" s="23" t="s">
        <v>131</v>
      </c>
      <c r="H2">
        <v>42</v>
      </c>
      <c r="N2" t="s">
        <v>779</v>
      </c>
      <c r="O2" t="s">
        <v>780</v>
      </c>
      <c r="AD2" t="s">
        <v>779</v>
      </c>
    </row>
    <row r="3" spans="1:30" x14ac:dyDescent="0.25">
      <c r="A3" t="s">
        <v>706</v>
      </c>
      <c r="B3" s="23"/>
      <c r="C3" s="23">
        <v>41221106</v>
      </c>
      <c r="D3" s="23" t="s">
        <v>781</v>
      </c>
      <c r="E3">
        <v>100</v>
      </c>
      <c r="F3" s="23"/>
      <c r="G3" s="23" t="s">
        <v>110</v>
      </c>
      <c r="H3">
        <v>44</v>
      </c>
      <c r="N3" t="s">
        <v>782</v>
      </c>
      <c r="O3" t="s">
        <v>783</v>
      </c>
      <c r="AD3" t="s">
        <v>782</v>
      </c>
    </row>
    <row r="4" spans="1:30" x14ac:dyDescent="0.25">
      <c r="A4" t="s">
        <v>706</v>
      </c>
      <c r="B4" s="23"/>
      <c r="C4" s="23">
        <v>41221115</v>
      </c>
      <c r="D4" s="23" t="s">
        <v>784</v>
      </c>
      <c r="E4" s="23">
        <v>5600</v>
      </c>
      <c r="F4" s="23"/>
      <c r="G4" s="61" t="s">
        <v>123</v>
      </c>
      <c r="H4">
        <v>46</v>
      </c>
      <c r="N4" t="s">
        <v>785</v>
      </c>
      <c r="O4" t="s">
        <v>786</v>
      </c>
      <c r="AD4" t="s">
        <v>785</v>
      </c>
    </row>
    <row r="5" spans="1:30" x14ac:dyDescent="0.25">
      <c r="B5" s="23"/>
      <c r="C5" s="23">
        <v>41219432</v>
      </c>
      <c r="D5" s="23" t="s">
        <v>787</v>
      </c>
      <c r="E5" s="23">
        <v>5000</v>
      </c>
      <c r="G5" s="23" t="s">
        <v>107</v>
      </c>
      <c r="H5">
        <v>32</v>
      </c>
      <c r="N5" t="s">
        <v>788</v>
      </c>
      <c r="O5" t="s">
        <v>789</v>
      </c>
      <c r="AD5" t="s">
        <v>788</v>
      </c>
    </row>
    <row r="6" spans="1:30" x14ac:dyDescent="0.25">
      <c r="B6" s="23"/>
      <c r="C6" s="23">
        <v>41219444</v>
      </c>
      <c r="D6" s="23" t="s">
        <v>790</v>
      </c>
      <c r="E6" s="23">
        <v>2900</v>
      </c>
      <c r="F6" s="23"/>
      <c r="G6" s="23" t="s">
        <v>125</v>
      </c>
      <c r="H6">
        <v>31</v>
      </c>
      <c r="N6" t="s">
        <v>791</v>
      </c>
      <c r="O6" t="s">
        <v>792</v>
      </c>
      <c r="AD6" t="s">
        <v>791</v>
      </c>
    </row>
    <row r="7" spans="1:30" x14ac:dyDescent="0.25">
      <c r="B7" s="23"/>
      <c r="C7" s="23"/>
      <c r="D7" s="23"/>
      <c r="E7" s="23"/>
      <c r="F7" s="23"/>
      <c r="G7" s="23"/>
    </row>
    <row r="8" spans="1:30" x14ac:dyDescent="0.25">
      <c r="B8" s="23"/>
      <c r="C8" s="23"/>
      <c r="D8" s="23"/>
      <c r="E8" s="23"/>
      <c r="F8" s="33"/>
      <c r="G8" s="23"/>
    </row>
    <row r="9" spans="1:30" x14ac:dyDescent="0.25">
      <c r="B9" s="23"/>
      <c r="C9" s="23"/>
      <c r="D9" s="23"/>
      <c r="E9" s="23"/>
      <c r="F9" s="33"/>
    </row>
    <row r="10" spans="1:30" x14ac:dyDescent="0.25">
      <c r="B10" s="23"/>
      <c r="C10" s="23"/>
      <c r="D10" s="23"/>
      <c r="E10" s="23"/>
      <c r="F10" s="23"/>
      <c r="G10" s="23"/>
    </row>
    <row r="11" spans="1:30" x14ac:dyDescent="0.25">
      <c r="B11" s="23"/>
      <c r="C11" s="23"/>
      <c r="D11" s="23"/>
      <c r="E11" s="23"/>
      <c r="F11" s="33"/>
      <c r="G11" s="23"/>
    </row>
    <row r="12" spans="1:30" x14ac:dyDescent="0.25">
      <c r="B12" s="23"/>
      <c r="C12" s="23"/>
      <c r="D12" s="23"/>
      <c r="E12" s="23"/>
      <c r="F12" s="23"/>
      <c r="G12" s="23"/>
    </row>
    <row r="13" spans="1:30" x14ac:dyDescent="0.25">
      <c r="B13" s="23"/>
      <c r="C13" s="23"/>
      <c r="D13" s="23"/>
      <c r="E13" s="23"/>
      <c r="F13" s="23"/>
      <c r="G13" s="23"/>
    </row>
    <row r="14" spans="1:30" x14ac:dyDescent="0.25">
      <c r="B14" s="23"/>
      <c r="C14" s="23"/>
      <c r="D14" s="23"/>
      <c r="E14" s="23"/>
      <c r="F14" s="23"/>
      <c r="G14" s="23"/>
    </row>
    <row r="15" spans="1:30" x14ac:dyDescent="0.25">
      <c r="B15" s="23"/>
      <c r="C15" s="23"/>
      <c r="D15" s="23"/>
      <c r="E15" s="23"/>
      <c r="G15" s="23"/>
    </row>
    <row r="16" spans="1:30" x14ac:dyDescent="0.25">
      <c r="B16" s="23"/>
      <c r="C16" s="23"/>
      <c r="D16" s="23"/>
      <c r="E16" s="23"/>
      <c r="G16" s="1"/>
    </row>
    <row r="17" spans="7:7" x14ac:dyDescent="0.25">
      <c r="G17" s="23"/>
    </row>
    <row r="37" spans="4:4" x14ac:dyDescent="0.25">
      <c r="D37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4809-5588-42AF-866F-4BEFE82BAE2D}">
  <sheetPr codeName="Hoja9" filterMode="1"/>
  <dimension ref="A1:AD889"/>
  <sheetViews>
    <sheetView zoomScaleNormal="100" workbookViewId="0">
      <pane ySplit="1" topLeftCell="A119" activePane="bottomLeft" state="frozen"/>
      <selection pane="bottomLeft" sqref="A1:AA197"/>
    </sheetView>
  </sheetViews>
  <sheetFormatPr baseColWidth="10" defaultRowHeight="15" x14ac:dyDescent="0.25"/>
  <cols>
    <col min="1" max="1" width="3.7109375" style="1" customWidth="1"/>
    <col min="2" max="2" width="15.42578125" style="17" customWidth="1"/>
    <col min="3" max="3" width="9.28515625" style="17" bestFit="1" customWidth="1"/>
    <col min="4" max="4" width="13.140625" style="17" customWidth="1"/>
    <col min="5" max="5" width="11.85546875" style="18" bestFit="1" customWidth="1"/>
    <col min="6" max="6" width="4.85546875" style="1" customWidth="1"/>
    <col min="7" max="7" width="15.7109375" style="1" customWidth="1"/>
    <col min="8" max="8" width="23.28515625" style="1" customWidth="1"/>
    <col min="9" max="9" width="7.5703125" style="1" customWidth="1"/>
    <col min="10" max="10" width="11.85546875" style="18" customWidth="1"/>
    <col min="11" max="11" width="18.28515625" style="1" bestFit="1" customWidth="1"/>
    <col min="12" max="12" width="8.28515625" style="20" customWidth="1"/>
    <col min="13" max="13" width="6.5703125" style="1" customWidth="1"/>
    <col min="14" max="14" width="7.85546875" style="1" customWidth="1"/>
    <col min="15" max="15" width="6.140625" style="39" customWidth="1"/>
    <col min="16" max="16" width="6.140625" style="29" customWidth="1"/>
    <col min="17" max="17" width="7.5703125" style="29" customWidth="1"/>
    <col min="18" max="18" width="12" style="40" customWidth="1"/>
    <col min="19" max="19" width="7.5703125" style="29" customWidth="1"/>
    <col min="20" max="20" width="15" style="1" customWidth="1"/>
    <col min="21" max="21" width="15.42578125" style="17" customWidth="1"/>
    <col min="22" max="22" width="15" style="1" customWidth="1"/>
    <col min="23" max="28" width="11.42578125" style="1"/>
  </cols>
  <sheetData>
    <row r="1" spans="1:28" ht="60" customHeight="1" x14ac:dyDescent="0.25">
      <c r="B1" s="1"/>
      <c r="C1" s="1" t="s">
        <v>81</v>
      </c>
      <c r="D1" t="s">
        <v>443</v>
      </c>
      <c r="E1"/>
      <c r="F1"/>
      <c r="G1"/>
      <c r="H1"/>
      <c r="I1"/>
      <c r="J1"/>
      <c r="K1" t="s">
        <v>702</v>
      </c>
      <c r="L1" t="s">
        <v>477</v>
      </c>
      <c r="M1" t="s">
        <v>478</v>
      </c>
      <c r="N1" t="s">
        <v>479</v>
      </c>
      <c r="O1" t="s">
        <v>480</v>
      </c>
      <c r="P1" t="s">
        <v>481</v>
      </c>
      <c r="Q1"/>
      <c r="R1"/>
      <c r="S1"/>
      <c r="T1"/>
      <c r="U1"/>
      <c r="V1"/>
      <c r="W1"/>
      <c r="X1"/>
      <c r="Y1"/>
      <c r="Z1"/>
      <c r="AA1"/>
      <c r="AB1" s="9"/>
    </row>
    <row r="2" spans="1:28" hidden="1" x14ac:dyDescent="0.25">
      <c r="A2" s="23">
        <v>12000</v>
      </c>
      <c r="B2" s="33"/>
      <c r="C2" s="23" t="s">
        <v>103</v>
      </c>
      <c r="D2" t="s">
        <v>745</v>
      </c>
      <c r="E2"/>
      <c r="F2"/>
      <c r="G2"/>
      <c r="H2"/>
      <c r="I2"/>
      <c r="J2" t="s">
        <v>745</v>
      </c>
      <c r="K2" t="s">
        <v>754</v>
      </c>
      <c r="L2" t="s">
        <v>698</v>
      </c>
      <c r="M2">
        <v>1</v>
      </c>
      <c r="N2"/>
      <c r="O2"/>
      <c r="P2"/>
      <c r="Q2" t="s">
        <v>699</v>
      </c>
      <c r="R2" t="s">
        <v>755</v>
      </c>
      <c r="S2" t="s">
        <v>745</v>
      </c>
      <c r="T2"/>
      <c r="U2"/>
      <c r="V2"/>
      <c r="W2"/>
      <c r="X2"/>
      <c r="Y2"/>
      <c r="Z2"/>
      <c r="AA2"/>
    </row>
    <row r="3" spans="1:28" hidden="1" x14ac:dyDescent="0.25">
      <c r="A3">
        <v>12000</v>
      </c>
      <c r="B3" s="23"/>
      <c r="C3" s="23" t="s">
        <v>107</v>
      </c>
      <c r="D3" t="s">
        <v>755</v>
      </c>
      <c r="E3"/>
      <c r="F3"/>
      <c r="G3"/>
      <c r="H3"/>
      <c r="I3"/>
      <c r="J3" t="s">
        <v>746</v>
      </c>
      <c r="K3" t="s">
        <v>756</v>
      </c>
      <c r="L3" t="s">
        <v>698</v>
      </c>
      <c r="M3">
        <v>2</v>
      </c>
      <c r="N3"/>
      <c r="O3"/>
      <c r="P3"/>
      <c r="Q3" t="s">
        <v>699</v>
      </c>
      <c r="R3" t="s">
        <v>757</v>
      </c>
      <c r="S3" t="s">
        <v>755</v>
      </c>
      <c r="T3"/>
      <c r="U3"/>
      <c r="V3"/>
      <c r="W3"/>
      <c r="X3"/>
      <c r="Y3"/>
      <c r="Z3"/>
      <c r="AA3"/>
    </row>
    <row r="4" spans="1:28" hidden="1" x14ac:dyDescent="0.25">
      <c r="A4" s="23">
        <v>120</v>
      </c>
      <c r="B4" s="23"/>
      <c r="C4" s="61">
        <v>501</v>
      </c>
      <c r="D4" t="s">
        <v>746</v>
      </c>
      <c r="E4"/>
      <c r="F4"/>
      <c r="G4"/>
      <c r="H4"/>
      <c r="I4"/>
      <c r="J4" t="s">
        <v>747</v>
      </c>
      <c r="K4" t="s">
        <v>758</v>
      </c>
      <c r="L4" t="s">
        <v>698</v>
      </c>
      <c r="M4">
        <v>3</v>
      </c>
      <c r="N4"/>
      <c r="O4"/>
      <c r="P4"/>
      <c r="Q4" t="s">
        <v>699</v>
      </c>
      <c r="R4" t="s">
        <v>759</v>
      </c>
      <c r="S4" t="s">
        <v>746</v>
      </c>
      <c r="T4"/>
      <c r="U4"/>
      <c r="V4"/>
      <c r="W4"/>
      <c r="X4"/>
      <c r="Y4"/>
      <c r="Z4"/>
      <c r="AA4"/>
    </row>
    <row r="5" spans="1:28" hidden="1" x14ac:dyDescent="0.25">
      <c r="A5" s="23">
        <v>288</v>
      </c>
      <c r="B5"/>
      <c r="C5" s="23" t="s">
        <v>140</v>
      </c>
      <c r="D5" t="s">
        <v>757</v>
      </c>
      <c r="E5"/>
      <c r="F5"/>
      <c r="G5"/>
      <c r="H5"/>
      <c r="I5"/>
      <c r="J5" t="s">
        <v>748</v>
      </c>
      <c r="K5" t="s">
        <v>760</v>
      </c>
      <c r="L5" t="s">
        <v>698</v>
      </c>
      <c r="M5">
        <v>4</v>
      </c>
      <c r="N5"/>
      <c r="O5"/>
      <c r="P5"/>
      <c r="Q5" t="s">
        <v>699</v>
      </c>
      <c r="R5" t="s">
        <v>761</v>
      </c>
      <c r="S5" t="s">
        <v>757</v>
      </c>
      <c r="T5"/>
      <c r="U5"/>
      <c r="V5"/>
      <c r="W5"/>
      <c r="X5"/>
      <c r="Y5"/>
      <c r="Z5"/>
      <c r="AA5"/>
    </row>
    <row r="6" spans="1:28" hidden="1" x14ac:dyDescent="0.25">
      <c r="A6" s="23">
        <v>12</v>
      </c>
      <c r="B6" s="23"/>
      <c r="C6" s="23" t="s">
        <v>166</v>
      </c>
      <c r="D6" t="s">
        <v>747</v>
      </c>
      <c r="E6"/>
      <c r="F6"/>
      <c r="G6"/>
      <c r="H6"/>
      <c r="I6"/>
      <c r="J6" t="s">
        <v>749</v>
      </c>
      <c r="K6" t="s">
        <v>762</v>
      </c>
      <c r="L6" t="s">
        <v>698</v>
      </c>
      <c r="M6">
        <v>5</v>
      </c>
      <c r="N6"/>
      <c r="O6"/>
      <c r="P6"/>
      <c r="Q6" t="s">
        <v>699</v>
      </c>
      <c r="R6" t="s">
        <v>763</v>
      </c>
      <c r="S6" t="s">
        <v>747</v>
      </c>
      <c r="T6"/>
      <c r="U6"/>
      <c r="V6"/>
      <c r="W6"/>
      <c r="X6"/>
      <c r="Y6"/>
      <c r="Z6"/>
      <c r="AA6"/>
    </row>
    <row r="7" spans="1:28" hidden="1" x14ac:dyDescent="0.25">
      <c r="A7" s="23">
        <v>5</v>
      </c>
      <c r="B7" s="23"/>
      <c r="C7" s="23" t="s">
        <v>182</v>
      </c>
      <c r="D7" t="s">
        <v>759</v>
      </c>
      <c r="E7"/>
      <c r="F7"/>
      <c r="G7"/>
      <c r="H7"/>
      <c r="I7"/>
      <c r="J7" t="s">
        <v>750</v>
      </c>
      <c r="K7" t="s">
        <v>764</v>
      </c>
      <c r="L7" t="s">
        <v>698</v>
      </c>
      <c r="M7">
        <v>6</v>
      </c>
      <c r="N7"/>
      <c r="O7"/>
      <c r="P7"/>
      <c r="Q7" t="s">
        <v>699</v>
      </c>
      <c r="R7" t="s">
        <v>765</v>
      </c>
      <c r="S7" t="s">
        <v>759</v>
      </c>
      <c r="T7"/>
      <c r="U7"/>
      <c r="V7"/>
      <c r="W7"/>
      <c r="X7"/>
      <c r="Y7"/>
      <c r="Z7"/>
      <c r="AA7"/>
    </row>
    <row r="8" spans="1:28" hidden="1" x14ac:dyDescent="0.25">
      <c r="A8" s="23">
        <v>240</v>
      </c>
      <c r="B8" s="33"/>
      <c r="C8" s="23" t="s">
        <v>159</v>
      </c>
      <c r="D8" t="s">
        <v>748</v>
      </c>
      <c r="E8"/>
      <c r="F8"/>
      <c r="G8"/>
      <c r="H8"/>
      <c r="I8"/>
      <c r="J8" t="s">
        <v>751</v>
      </c>
      <c r="K8" t="s">
        <v>766</v>
      </c>
      <c r="L8" t="s">
        <v>698</v>
      </c>
      <c r="M8">
        <v>7</v>
      </c>
      <c r="N8"/>
      <c r="O8"/>
      <c r="P8"/>
      <c r="Q8" t="s">
        <v>699</v>
      </c>
      <c r="R8" t="s">
        <v>767</v>
      </c>
      <c r="S8" t="s">
        <v>748</v>
      </c>
      <c r="T8"/>
      <c r="U8"/>
      <c r="V8"/>
      <c r="W8"/>
      <c r="X8"/>
      <c r="Y8"/>
      <c r="Z8"/>
      <c r="AA8"/>
    </row>
    <row r="9" spans="1:28" hidden="1" x14ac:dyDescent="0.25">
      <c r="A9" s="23">
        <v>300</v>
      </c>
      <c r="B9" s="33"/>
      <c r="C9" t="s">
        <v>163</v>
      </c>
      <c r="D9" t="s">
        <v>761</v>
      </c>
      <c r="E9"/>
      <c r="F9"/>
      <c r="G9"/>
      <c r="H9"/>
      <c r="I9"/>
      <c r="J9" t="s">
        <v>752</v>
      </c>
      <c r="K9" t="s">
        <v>768</v>
      </c>
      <c r="L9" t="s">
        <v>698</v>
      </c>
      <c r="M9">
        <v>8</v>
      </c>
      <c r="N9"/>
      <c r="O9"/>
      <c r="P9"/>
      <c r="Q9" t="s">
        <v>699</v>
      </c>
      <c r="R9" t="s">
        <v>769</v>
      </c>
      <c r="S9" t="s">
        <v>761</v>
      </c>
      <c r="T9"/>
      <c r="U9"/>
      <c r="V9"/>
      <c r="W9"/>
      <c r="X9"/>
      <c r="Y9"/>
      <c r="Z9"/>
      <c r="AA9"/>
    </row>
    <row r="10" spans="1:28" hidden="1" x14ac:dyDescent="0.25">
      <c r="A10" s="23">
        <v>12</v>
      </c>
      <c r="B10" s="23"/>
      <c r="C10" s="23">
        <v>6800</v>
      </c>
      <c r="D10" t="s">
        <v>749</v>
      </c>
      <c r="E10"/>
      <c r="F10"/>
      <c r="G10"/>
      <c r="H10"/>
      <c r="I10"/>
      <c r="J10" t="s">
        <v>753</v>
      </c>
      <c r="K10" t="s">
        <v>770</v>
      </c>
      <c r="L10" t="s">
        <v>698</v>
      </c>
      <c r="M10">
        <v>9</v>
      </c>
      <c r="N10"/>
      <c r="O10"/>
      <c r="P10"/>
      <c r="Q10" t="s">
        <v>699</v>
      </c>
      <c r="R10" t="s">
        <v>771</v>
      </c>
      <c r="S10" t="s">
        <v>749</v>
      </c>
      <c r="T10"/>
      <c r="U10"/>
      <c r="V10"/>
      <c r="W10"/>
      <c r="X10"/>
      <c r="Y10"/>
      <c r="Z10"/>
      <c r="AA10"/>
    </row>
    <row r="11" spans="1:28" hidden="1" x14ac:dyDescent="0.25">
      <c r="A11" s="23">
        <v>3</v>
      </c>
      <c r="B11" s="33"/>
      <c r="C11" s="23">
        <v>6200</v>
      </c>
      <c r="D11" t="s">
        <v>763</v>
      </c>
      <c r="E11"/>
      <c r="F11"/>
      <c r="G11"/>
      <c r="H11"/>
      <c r="I11"/>
      <c r="J11"/>
      <c r="K11" t="s">
        <v>772</v>
      </c>
      <c r="L11" t="s">
        <v>698</v>
      </c>
      <c r="M11">
        <v>10</v>
      </c>
      <c r="N11"/>
      <c r="O11"/>
      <c r="P11"/>
      <c r="Q11" t="s">
        <v>699</v>
      </c>
      <c r="R11" t="s">
        <v>773</v>
      </c>
      <c r="S11" t="s">
        <v>763</v>
      </c>
      <c r="T11"/>
      <c r="U11"/>
      <c r="V11"/>
      <c r="W11"/>
      <c r="X11"/>
      <c r="Y11"/>
      <c r="Z11"/>
      <c r="AA11"/>
    </row>
    <row r="12" spans="1:28" hidden="1" x14ac:dyDescent="0.25">
      <c r="A12" s="23">
        <v>700</v>
      </c>
      <c r="B12" s="23"/>
      <c r="C12" s="23" t="s">
        <v>155</v>
      </c>
      <c r="D12" t="s">
        <v>750</v>
      </c>
      <c r="E12"/>
      <c r="F12"/>
      <c r="G12"/>
      <c r="H12"/>
      <c r="I12"/>
      <c r="J12"/>
      <c r="K12" t="s">
        <v>774</v>
      </c>
      <c r="L12" t="s">
        <v>698</v>
      </c>
      <c r="M12">
        <v>11</v>
      </c>
      <c r="N12"/>
      <c r="O12"/>
      <c r="P12"/>
      <c r="Q12" t="s">
        <v>699</v>
      </c>
      <c r="R12" t="s">
        <v>775</v>
      </c>
      <c r="S12" t="s">
        <v>750</v>
      </c>
      <c r="T12"/>
      <c r="U12"/>
      <c r="V12"/>
      <c r="W12"/>
      <c r="X12"/>
      <c r="Y12"/>
      <c r="Z12"/>
      <c r="AA12"/>
    </row>
    <row r="13" spans="1:28" hidden="1" x14ac:dyDescent="0.25">
      <c r="A13" s="23">
        <v>200</v>
      </c>
      <c r="B13" s="23"/>
      <c r="C13" s="23" t="s">
        <v>153</v>
      </c>
      <c r="D13" t="s">
        <v>765</v>
      </c>
      <c r="E13"/>
      <c r="F13"/>
      <c r="G13"/>
      <c r="H13"/>
      <c r="I13"/>
      <c r="J13"/>
      <c r="K13" t="s">
        <v>776</v>
      </c>
      <c r="L13" t="s">
        <v>698</v>
      </c>
      <c r="M13">
        <v>12</v>
      </c>
      <c r="N13"/>
      <c r="O13"/>
      <c r="P13"/>
      <c r="Q13" t="s">
        <v>699</v>
      </c>
      <c r="R13" t="s">
        <v>777</v>
      </c>
      <c r="S13" t="s">
        <v>765</v>
      </c>
      <c r="T13"/>
      <c r="U13"/>
      <c r="V13"/>
      <c r="W13"/>
      <c r="X13"/>
      <c r="Y13"/>
      <c r="Z13"/>
      <c r="AA13"/>
    </row>
    <row r="14" spans="1:28" hidden="1" x14ac:dyDescent="0.25">
      <c r="A14" s="23">
        <v>10000</v>
      </c>
      <c r="B14" s="23"/>
      <c r="C14" s="23" t="s">
        <v>123</v>
      </c>
      <c r="D14" t="s">
        <v>751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 t="s">
        <v>751</v>
      </c>
      <c r="T14"/>
      <c r="U14"/>
      <c r="V14"/>
      <c r="W14"/>
      <c r="X14"/>
      <c r="Y14"/>
      <c r="Z14"/>
      <c r="AA14"/>
    </row>
    <row r="15" spans="1:28" hidden="1" x14ac:dyDescent="0.25">
      <c r="A15" s="23">
        <v>10</v>
      </c>
      <c r="B15"/>
      <c r="C15" s="23">
        <v>81066</v>
      </c>
      <c r="D15" t="s">
        <v>767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t="s">
        <v>767</v>
      </c>
      <c r="T15"/>
      <c r="U15"/>
      <c r="V15"/>
      <c r="W15"/>
      <c r="X15"/>
      <c r="Y15"/>
      <c r="Z15"/>
      <c r="AA15"/>
    </row>
    <row r="16" spans="1:28" hidden="1" x14ac:dyDescent="0.25">
      <c r="A16" s="23">
        <v>100</v>
      </c>
      <c r="B16"/>
      <c r="C16" s="1" t="s">
        <v>151</v>
      </c>
      <c r="D16" t="s">
        <v>752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t="s">
        <v>752</v>
      </c>
      <c r="T16"/>
      <c r="U16"/>
      <c r="V16"/>
      <c r="W16"/>
      <c r="X16"/>
      <c r="Y16"/>
      <c r="Z16"/>
      <c r="AA16"/>
    </row>
    <row r="17" spans="1:27" hidden="1" x14ac:dyDescent="0.25">
      <c r="A17"/>
      <c r="B17"/>
      <c r="C17" s="23"/>
      <c r="D17" t="s">
        <v>769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t="s">
        <v>769</v>
      </c>
      <c r="T17"/>
      <c r="U17"/>
      <c r="V17"/>
      <c r="W17"/>
      <c r="X17"/>
      <c r="Y17"/>
      <c r="Z17"/>
      <c r="AA17"/>
    </row>
    <row r="18" spans="1:27" hidden="1" x14ac:dyDescent="0.25">
      <c r="A18"/>
      <c r="B18"/>
      <c r="C18"/>
      <c r="D18" t="s">
        <v>753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 t="s">
        <v>753</v>
      </c>
      <c r="T18"/>
      <c r="U18"/>
      <c r="V18"/>
      <c r="W18"/>
      <c r="X18"/>
      <c r="Y18"/>
      <c r="Z18"/>
      <c r="AA18"/>
    </row>
    <row r="19" spans="1:27" hidden="1" x14ac:dyDescent="0.25">
      <c r="A19"/>
      <c r="B19"/>
      <c r="C19"/>
      <c r="D19" t="s">
        <v>771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 t="s">
        <v>771</v>
      </c>
      <c r="T19"/>
      <c r="U19"/>
      <c r="V19"/>
      <c r="W19"/>
      <c r="X19"/>
      <c r="Y19"/>
      <c r="Z19"/>
      <c r="AA19"/>
    </row>
    <row r="20" spans="1:27" hidden="1" x14ac:dyDescent="0.25">
      <c r="A20"/>
      <c r="B20"/>
      <c r="C20"/>
      <c r="D20" t="s">
        <v>745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 t="s">
        <v>745</v>
      </c>
      <c r="T20"/>
      <c r="U20"/>
      <c r="V20"/>
      <c r="W20"/>
      <c r="X20"/>
      <c r="Y20"/>
      <c r="Z20"/>
      <c r="AA20"/>
    </row>
    <row r="21" spans="1:27" hidden="1" x14ac:dyDescent="0.25">
      <c r="A21"/>
      <c r="B21"/>
      <c r="C21"/>
      <c r="D21" t="s">
        <v>746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 t="s">
        <v>746</v>
      </c>
      <c r="T21"/>
      <c r="U21"/>
      <c r="V21"/>
      <c r="W21"/>
      <c r="X21"/>
      <c r="Y21"/>
      <c r="Z21"/>
      <c r="AA21"/>
    </row>
    <row r="22" spans="1:27" hidden="1" x14ac:dyDescent="0.25">
      <c r="A22"/>
      <c r="B22"/>
      <c r="C22"/>
      <c r="D22" t="s">
        <v>747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 t="s">
        <v>747</v>
      </c>
      <c r="T22"/>
      <c r="U22"/>
      <c r="V22"/>
      <c r="W22"/>
      <c r="X22"/>
      <c r="Y22"/>
      <c r="Z22"/>
      <c r="AA22"/>
    </row>
    <row r="23" spans="1:27" hidden="1" x14ac:dyDescent="0.25">
      <c r="A23"/>
      <c r="B23"/>
      <c r="C23"/>
      <c r="D23" t="s">
        <v>748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 t="s">
        <v>748</v>
      </c>
      <c r="T23"/>
      <c r="U23"/>
      <c r="V23"/>
      <c r="W23"/>
      <c r="X23"/>
      <c r="Y23"/>
      <c r="Z23"/>
      <c r="AA23"/>
    </row>
    <row r="24" spans="1:27" hidden="1" x14ac:dyDescent="0.25">
      <c r="A24"/>
      <c r="B24"/>
      <c r="C24"/>
      <c r="D24" t="s">
        <v>749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 t="s">
        <v>749</v>
      </c>
      <c r="T24"/>
      <c r="U24"/>
      <c r="V24"/>
      <c r="W24"/>
      <c r="X24"/>
      <c r="Y24"/>
      <c r="Z24"/>
      <c r="AA24"/>
    </row>
    <row r="25" spans="1:27" hidden="1" x14ac:dyDescent="0.25">
      <c r="A25"/>
      <c r="B25"/>
      <c r="C25"/>
      <c r="D25" t="s">
        <v>750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 t="s">
        <v>750</v>
      </c>
      <c r="T25"/>
      <c r="U25"/>
      <c r="V25"/>
      <c r="W25"/>
      <c r="X25"/>
      <c r="Y25"/>
      <c r="Z25"/>
      <c r="AA25"/>
    </row>
    <row r="26" spans="1:27" hidden="1" x14ac:dyDescent="0.25">
      <c r="A26"/>
      <c r="B26"/>
      <c r="C26"/>
      <c r="D26" t="s">
        <v>751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 t="s">
        <v>751</v>
      </c>
      <c r="T26"/>
      <c r="U26"/>
      <c r="V26"/>
      <c r="W26"/>
      <c r="X26"/>
      <c r="Y26"/>
      <c r="Z26"/>
      <c r="AA26"/>
    </row>
    <row r="27" spans="1:27" hidden="1" x14ac:dyDescent="0.25">
      <c r="A27"/>
      <c r="B27"/>
      <c r="C27"/>
      <c r="D27" t="s">
        <v>752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 t="s">
        <v>752</v>
      </c>
      <c r="T27"/>
      <c r="U27"/>
      <c r="V27"/>
      <c r="W27"/>
      <c r="X27"/>
      <c r="Y27"/>
      <c r="Z27"/>
      <c r="AA27"/>
    </row>
    <row r="28" spans="1:27" hidden="1" x14ac:dyDescent="0.25">
      <c r="A28"/>
      <c r="B28"/>
      <c r="C28"/>
      <c r="D28" t="s">
        <v>753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 t="s">
        <v>753</v>
      </c>
      <c r="T28"/>
      <c r="U28"/>
      <c r="V28"/>
      <c r="W28"/>
      <c r="X28"/>
      <c r="Y28"/>
      <c r="Z28"/>
      <c r="AA28"/>
    </row>
    <row r="29" spans="1:27" hidden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idden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idden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idden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idden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idden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idden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idden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idden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>
        <v>32</v>
      </c>
      <c r="AA37"/>
      <c r="AD37">
        <v>32</v>
      </c>
    </row>
    <row r="38" spans="1:30" hidden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idden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idden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idden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30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30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30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30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idden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idden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idden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idden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idden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idden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idden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idden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idden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idden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idden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idden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idden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idden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idden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idden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idden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B198" s="37"/>
      <c r="C198" s="37"/>
      <c r="G198" s="22"/>
      <c r="J198" s="41"/>
      <c r="K198" s="21"/>
    </row>
    <row r="199" spans="1:27" x14ac:dyDescent="0.25">
      <c r="B199" s="37"/>
      <c r="C199" s="37"/>
      <c r="G199" s="22"/>
      <c r="J199" s="41"/>
      <c r="K199" s="21"/>
    </row>
    <row r="200" spans="1:27" x14ac:dyDescent="0.25">
      <c r="B200" s="37"/>
      <c r="C200" s="37"/>
      <c r="G200" s="22"/>
      <c r="J200" s="29"/>
      <c r="K200" s="21"/>
    </row>
    <row r="201" spans="1:27" hidden="1" x14ac:dyDescent="0.25">
      <c r="B201" s="37"/>
      <c r="C201" s="37"/>
      <c r="D201" s="28"/>
      <c r="E201" s="31"/>
      <c r="G201" s="22"/>
      <c r="K201" s="21"/>
    </row>
    <row r="202" spans="1:27" x14ac:dyDescent="0.25">
      <c r="B202" s="37"/>
      <c r="C202" s="37"/>
      <c r="G202" s="22"/>
      <c r="K202" s="19"/>
      <c r="M202" s="19"/>
    </row>
    <row r="203" spans="1:27" hidden="1" x14ac:dyDescent="0.25">
      <c r="B203" s="37"/>
      <c r="C203" s="37"/>
      <c r="D203" s="28"/>
      <c r="E203" s="1"/>
      <c r="G203" s="22"/>
      <c r="K203" s="21"/>
    </row>
    <row r="204" spans="1:27" x14ac:dyDescent="0.25">
      <c r="B204" s="37"/>
      <c r="C204" s="37"/>
      <c r="G204" s="22"/>
      <c r="J204" s="29"/>
      <c r="K204" s="21"/>
    </row>
    <row r="205" spans="1:27" x14ac:dyDescent="0.25">
      <c r="B205" s="37"/>
      <c r="C205" s="37"/>
      <c r="G205" s="22"/>
      <c r="J205" s="29"/>
      <c r="K205" s="21"/>
    </row>
    <row r="206" spans="1:27" x14ac:dyDescent="0.25">
      <c r="B206" s="37"/>
      <c r="C206" s="37"/>
      <c r="G206" s="22"/>
      <c r="J206" s="29"/>
      <c r="K206" s="21"/>
    </row>
    <row r="207" spans="1:27" x14ac:dyDescent="0.25">
      <c r="B207" s="37"/>
      <c r="C207" s="37"/>
      <c r="G207" s="22"/>
      <c r="J207" s="41"/>
      <c r="K207" s="21"/>
    </row>
    <row r="208" spans="1:27" x14ac:dyDescent="0.25">
      <c r="B208" s="37"/>
      <c r="C208" s="37"/>
      <c r="G208" s="22"/>
      <c r="J208" s="41"/>
      <c r="K208" s="21"/>
    </row>
    <row r="209" spans="2:13" x14ac:dyDescent="0.25">
      <c r="B209" s="37"/>
      <c r="C209" s="37"/>
      <c r="G209" s="22"/>
      <c r="J209" s="41"/>
      <c r="K209" s="21"/>
    </row>
    <row r="210" spans="2:13" x14ac:dyDescent="0.25">
      <c r="B210" s="37"/>
      <c r="C210" s="37"/>
      <c r="G210" s="22"/>
      <c r="J210" s="41"/>
      <c r="K210" s="21"/>
    </row>
    <row r="211" spans="2:13" x14ac:dyDescent="0.25">
      <c r="B211" s="37"/>
      <c r="C211" s="37"/>
      <c r="G211" s="22"/>
      <c r="J211" s="41"/>
      <c r="K211" s="21"/>
    </row>
    <row r="212" spans="2:13" x14ac:dyDescent="0.25">
      <c r="B212" s="37"/>
      <c r="C212" s="37"/>
      <c r="G212" s="22"/>
      <c r="J212" s="41"/>
      <c r="K212" s="21"/>
    </row>
    <row r="213" spans="2:13" x14ac:dyDescent="0.25">
      <c r="B213" s="37"/>
      <c r="C213" s="37"/>
      <c r="G213" s="22"/>
      <c r="J213" s="41"/>
      <c r="K213" s="21"/>
    </row>
    <row r="214" spans="2:13" x14ac:dyDescent="0.25">
      <c r="B214" s="37"/>
      <c r="C214" s="37"/>
      <c r="G214" s="22"/>
      <c r="J214" s="41"/>
      <c r="K214" s="21"/>
    </row>
    <row r="215" spans="2:13" x14ac:dyDescent="0.25">
      <c r="B215" s="37"/>
      <c r="C215" s="37"/>
      <c r="G215" s="22"/>
      <c r="J215" s="41"/>
      <c r="K215" s="21"/>
    </row>
    <row r="216" spans="2:13" x14ac:dyDescent="0.25">
      <c r="B216" s="37"/>
      <c r="C216" s="37"/>
      <c r="G216" s="22"/>
      <c r="J216" s="41"/>
      <c r="K216" s="21"/>
    </row>
    <row r="217" spans="2:13" x14ac:dyDescent="0.25">
      <c r="B217" s="37"/>
      <c r="C217" s="37"/>
      <c r="G217" s="22"/>
      <c r="J217" s="29"/>
      <c r="K217" s="21"/>
    </row>
    <row r="218" spans="2:13" x14ac:dyDescent="0.25">
      <c r="B218" s="37"/>
      <c r="C218" s="37"/>
      <c r="G218" s="22"/>
      <c r="J218" s="41"/>
      <c r="K218" s="21"/>
    </row>
    <row r="219" spans="2:13" x14ac:dyDescent="0.25">
      <c r="B219" s="37"/>
      <c r="C219" s="37"/>
      <c r="G219" s="22"/>
      <c r="J219" s="41"/>
      <c r="K219" s="21"/>
    </row>
    <row r="220" spans="2:13" x14ac:dyDescent="0.25">
      <c r="B220" s="37"/>
      <c r="C220" s="37"/>
      <c r="G220" s="22"/>
      <c r="J220" s="41"/>
      <c r="K220" s="21"/>
    </row>
    <row r="221" spans="2:13" x14ac:dyDescent="0.25">
      <c r="B221" s="37"/>
      <c r="C221" s="37"/>
      <c r="G221" s="22"/>
      <c r="J221" s="41"/>
      <c r="K221" s="21"/>
      <c r="M221" s="20"/>
    </row>
    <row r="222" spans="2:13" x14ac:dyDescent="0.25">
      <c r="B222" s="37"/>
      <c r="C222" s="37"/>
      <c r="G222" s="22"/>
      <c r="J222" s="29"/>
      <c r="K222" s="21"/>
    </row>
    <row r="223" spans="2:13" x14ac:dyDescent="0.25">
      <c r="B223" s="37"/>
      <c r="C223" s="37"/>
      <c r="G223" s="22"/>
      <c r="J223" s="29"/>
      <c r="K223" s="21"/>
    </row>
    <row r="224" spans="2:13" x14ac:dyDescent="0.25">
      <c r="B224" s="37"/>
      <c r="C224" s="37"/>
      <c r="G224" s="22"/>
      <c r="J224" s="29"/>
      <c r="K224" s="21"/>
    </row>
    <row r="225" spans="2:13" x14ac:dyDescent="0.25">
      <c r="B225" s="37"/>
      <c r="C225" s="37"/>
      <c r="G225" s="22"/>
      <c r="J225" s="29"/>
      <c r="K225" s="21"/>
      <c r="M225" s="19"/>
    </row>
    <row r="226" spans="2:13" x14ac:dyDescent="0.25">
      <c r="B226" s="37"/>
      <c r="C226" s="37"/>
      <c r="G226" s="22"/>
      <c r="J226" s="41"/>
      <c r="K226" s="21"/>
    </row>
    <row r="227" spans="2:13" x14ac:dyDescent="0.25">
      <c r="B227" s="37"/>
      <c r="C227" s="37"/>
      <c r="G227" s="22"/>
      <c r="J227" s="41"/>
      <c r="K227" s="21"/>
    </row>
    <row r="228" spans="2:13" x14ac:dyDescent="0.25">
      <c r="B228" s="37"/>
      <c r="C228" s="37"/>
      <c r="G228" s="22"/>
      <c r="J228" s="41"/>
      <c r="K228" s="21"/>
    </row>
    <row r="229" spans="2:13" x14ac:dyDescent="0.25">
      <c r="B229" s="37"/>
      <c r="C229" s="37"/>
      <c r="G229" s="22"/>
      <c r="J229" s="29"/>
      <c r="K229" s="21"/>
    </row>
    <row r="230" spans="2:13" x14ac:dyDescent="0.25">
      <c r="B230" s="37"/>
      <c r="C230" s="37"/>
      <c r="G230" s="22"/>
      <c r="J230" s="29"/>
      <c r="K230" s="21"/>
    </row>
    <row r="231" spans="2:13" x14ac:dyDescent="0.25">
      <c r="B231" s="37"/>
      <c r="C231" s="37"/>
      <c r="G231" s="22"/>
      <c r="J231" s="29"/>
      <c r="K231" s="21"/>
    </row>
    <row r="232" spans="2:13" x14ac:dyDescent="0.25">
      <c r="B232" s="37"/>
      <c r="C232" s="37"/>
      <c r="G232" s="22"/>
      <c r="J232" s="29"/>
      <c r="K232" s="21"/>
    </row>
    <row r="233" spans="2:13" x14ac:dyDescent="0.25">
      <c r="B233" s="37"/>
      <c r="C233" s="37"/>
      <c r="G233" s="22"/>
      <c r="J233" s="29"/>
      <c r="K233" s="21"/>
    </row>
    <row r="234" spans="2:13" x14ac:dyDescent="0.25">
      <c r="B234" s="37"/>
      <c r="C234" s="37"/>
      <c r="G234" s="22"/>
      <c r="J234" s="41"/>
      <c r="K234" s="21"/>
    </row>
    <row r="235" spans="2:13" x14ac:dyDescent="0.25">
      <c r="B235" s="37"/>
      <c r="C235" s="37"/>
      <c r="G235" s="22"/>
      <c r="J235" s="41"/>
      <c r="K235" s="21"/>
    </row>
    <row r="236" spans="2:13" x14ac:dyDescent="0.25">
      <c r="B236" s="37"/>
      <c r="C236" s="37"/>
      <c r="G236" s="22"/>
      <c r="J236" s="41"/>
      <c r="K236" s="21"/>
    </row>
    <row r="237" spans="2:13" x14ac:dyDescent="0.25">
      <c r="B237" s="37"/>
      <c r="C237" s="37"/>
      <c r="G237" s="22"/>
      <c r="J237" s="41"/>
      <c r="K237" s="21"/>
    </row>
    <row r="238" spans="2:13" x14ac:dyDescent="0.25">
      <c r="B238" s="37"/>
      <c r="C238" s="37"/>
      <c r="G238" s="22"/>
      <c r="J238" s="41"/>
      <c r="K238" s="21"/>
    </row>
    <row r="239" spans="2:13" x14ac:dyDescent="0.25">
      <c r="B239" s="37"/>
      <c r="C239" s="37"/>
      <c r="G239" s="22"/>
      <c r="J239" s="41"/>
      <c r="K239" s="21"/>
    </row>
    <row r="240" spans="2:13" x14ac:dyDescent="0.25">
      <c r="B240" s="37"/>
      <c r="C240" s="37"/>
      <c r="G240" s="22"/>
      <c r="J240" s="41"/>
      <c r="K240" s="21"/>
    </row>
    <row r="241" spans="2:11" x14ac:dyDescent="0.25">
      <c r="B241" s="37"/>
      <c r="C241" s="37"/>
      <c r="G241" s="22"/>
      <c r="H241" s="23"/>
      <c r="J241" s="41"/>
      <c r="K241" s="21"/>
    </row>
    <row r="242" spans="2:11" x14ac:dyDescent="0.25">
      <c r="B242" s="37"/>
      <c r="C242" s="37"/>
      <c r="G242" s="22"/>
      <c r="J242" s="41"/>
      <c r="K242" s="21"/>
    </row>
    <row r="243" spans="2:11" x14ac:dyDescent="0.25">
      <c r="B243" s="37"/>
      <c r="C243" s="37"/>
      <c r="G243" s="22"/>
      <c r="J243" s="41"/>
      <c r="K243" s="21"/>
    </row>
    <row r="244" spans="2:11" x14ac:dyDescent="0.25">
      <c r="B244" s="37"/>
      <c r="C244" s="37"/>
      <c r="G244" s="22"/>
      <c r="J244" s="41"/>
      <c r="K244" s="21"/>
    </row>
    <row r="245" spans="2:11" x14ac:dyDescent="0.25">
      <c r="B245" s="37"/>
      <c r="C245" s="37"/>
      <c r="G245" s="22"/>
      <c r="J245" s="41"/>
      <c r="K245" s="21"/>
    </row>
    <row r="246" spans="2:11" x14ac:dyDescent="0.25">
      <c r="B246" s="37"/>
      <c r="C246" s="37"/>
      <c r="G246" s="22"/>
      <c r="J246" s="41"/>
      <c r="K246" s="21"/>
    </row>
    <row r="247" spans="2:11" x14ac:dyDescent="0.25">
      <c r="B247" s="37"/>
      <c r="C247" s="37"/>
      <c r="G247" s="22"/>
      <c r="J247" s="29"/>
      <c r="K247" s="21"/>
    </row>
    <row r="248" spans="2:11" x14ac:dyDescent="0.25">
      <c r="B248" s="37"/>
      <c r="C248" s="37"/>
      <c r="G248" s="22"/>
      <c r="J248" s="29"/>
      <c r="K248" s="21"/>
    </row>
    <row r="249" spans="2:11" x14ac:dyDescent="0.25">
      <c r="B249" s="37"/>
      <c r="C249" s="37"/>
      <c r="G249" s="22"/>
      <c r="J249" s="41"/>
      <c r="K249" s="21"/>
    </row>
    <row r="250" spans="2:11" x14ac:dyDescent="0.25">
      <c r="B250" s="37"/>
      <c r="C250" s="37"/>
      <c r="G250" s="22"/>
      <c r="J250" s="41"/>
      <c r="K250" s="21"/>
    </row>
    <row r="251" spans="2:11" x14ac:dyDescent="0.25">
      <c r="B251" s="37"/>
      <c r="C251" s="37"/>
      <c r="G251" s="22"/>
      <c r="J251" s="41"/>
      <c r="K251" s="21"/>
    </row>
    <row r="252" spans="2:11" x14ac:dyDescent="0.25">
      <c r="B252" s="37"/>
      <c r="C252" s="37"/>
      <c r="G252" s="22"/>
      <c r="J252" s="41"/>
      <c r="K252" s="21"/>
    </row>
    <row r="253" spans="2:11" x14ac:dyDescent="0.25">
      <c r="B253" s="37"/>
      <c r="C253" s="37"/>
      <c r="G253" s="22"/>
      <c r="J253" s="41"/>
      <c r="K253" s="21"/>
    </row>
    <row r="254" spans="2:11" x14ac:dyDescent="0.25">
      <c r="B254" s="37"/>
      <c r="C254" s="37"/>
      <c r="G254" s="22"/>
      <c r="J254" s="41"/>
      <c r="K254" s="21"/>
    </row>
    <row r="255" spans="2:11" x14ac:dyDescent="0.25">
      <c r="B255" s="37"/>
      <c r="C255" s="37"/>
      <c r="G255" s="22"/>
      <c r="J255" s="29"/>
      <c r="K255" s="21"/>
    </row>
    <row r="256" spans="2:11" x14ac:dyDescent="0.25">
      <c r="B256" s="37"/>
      <c r="C256" s="37"/>
      <c r="G256" s="22"/>
      <c r="J256" s="29"/>
      <c r="K256" s="21"/>
    </row>
    <row r="257" spans="2:11" x14ac:dyDescent="0.25">
      <c r="B257" s="37"/>
      <c r="C257" s="37"/>
      <c r="G257" s="22"/>
      <c r="J257" s="29"/>
      <c r="K257" s="21"/>
    </row>
    <row r="258" spans="2:11" x14ac:dyDescent="0.25">
      <c r="B258" s="37"/>
      <c r="C258" s="37"/>
      <c r="G258" s="22"/>
      <c r="J258" s="41"/>
      <c r="K258" s="21"/>
    </row>
    <row r="259" spans="2:11" hidden="1" x14ac:dyDescent="0.25">
      <c r="B259" s="37"/>
      <c r="C259" s="37"/>
      <c r="G259" s="22"/>
      <c r="J259" s="29"/>
      <c r="K259" s="21"/>
    </row>
    <row r="260" spans="2:11" x14ac:dyDescent="0.25">
      <c r="B260" s="37"/>
      <c r="C260" s="37"/>
      <c r="G260" s="22"/>
      <c r="J260" s="29"/>
      <c r="K260" s="21"/>
    </row>
    <row r="261" spans="2:11" x14ac:dyDescent="0.25">
      <c r="B261" s="37"/>
      <c r="C261" s="37"/>
      <c r="G261" s="22"/>
      <c r="J261" s="41"/>
      <c r="K261" s="21"/>
    </row>
    <row r="262" spans="2:11" x14ac:dyDescent="0.25">
      <c r="B262" s="37"/>
      <c r="C262" s="37"/>
      <c r="F262" s="17"/>
      <c r="G262" s="22"/>
      <c r="J262" s="41"/>
      <c r="K262" s="21"/>
    </row>
    <row r="263" spans="2:11" x14ac:dyDescent="0.25">
      <c r="B263" s="37"/>
      <c r="C263" s="37"/>
      <c r="G263" s="22"/>
      <c r="J263" s="41"/>
      <c r="K263" s="21"/>
    </row>
    <row r="264" spans="2:11" x14ac:dyDescent="0.25">
      <c r="B264" s="37"/>
      <c r="C264" s="37"/>
      <c r="F264" s="17"/>
      <c r="G264" s="22"/>
      <c r="J264" s="41"/>
      <c r="K264" s="21"/>
    </row>
    <row r="265" spans="2:11" x14ac:dyDescent="0.25">
      <c r="B265" s="37"/>
      <c r="C265" s="37"/>
      <c r="F265" s="17"/>
      <c r="G265" s="22"/>
      <c r="J265" s="41"/>
      <c r="K265" s="21"/>
    </row>
    <row r="266" spans="2:11" x14ac:dyDescent="0.25">
      <c r="B266" s="37"/>
      <c r="C266" s="37"/>
      <c r="G266" s="22"/>
      <c r="J266" s="41"/>
      <c r="K266" s="21"/>
    </row>
    <row r="267" spans="2:11" x14ac:dyDescent="0.25">
      <c r="B267" s="37"/>
      <c r="C267" s="37"/>
      <c r="G267" s="22"/>
      <c r="J267" s="41"/>
      <c r="K267" s="21"/>
    </row>
    <row r="268" spans="2:11" x14ac:dyDescent="0.25">
      <c r="B268" s="37"/>
      <c r="C268" s="37"/>
      <c r="G268" s="22"/>
      <c r="J268" s="41"/>
      <c r="K268" s="21"/>
    </row>
    <row r="269" spans="2:11" x14ac:dyDescent="0.25">
      <c r="B269" s="37"/>
      <c r="C269" s="37"/>
      <c r="G269" s="22"/>
      <c r="J269" s="41"/>
      <c r="K269" s="21"/>
    </row>
    <row r="270" spans="2:11" x14ac:dyDescent="0.25">
      <c r="B270" s="37"/>
      <c r="C270" s="37"/>
      <c r="G270" s="22"/>
      <c r="J270" s="41"/>
      <c r="K270" s="21"/>
    </row>
    <row r="271" spans="2:11" x14ac:dyDescent="0.25">
      <c r="B271" s="37"/>
      <c r="C271" s="37"/>
      <c r="G271" s="22"/>
      <c r="J271" s="41"/>
      <c r="K271" s="21"/>
    </row>
    <row r="272" spans="2:11" x14ac:dyDescent="0.25">
      <c r="B272" s="37"/>
      <c r="C272" s="37"/>
      <c r="G272" s="22"/>
      <c r="J272" s="41"/>
      <c r="K272" s="21"/>
    </row>
    <row r="273" spans="2:13" x14ac:dyDescent="0.25">
      <c r="B273" s="37"/>
      <c r="C273" s="37"/>
      <c r="G273" s="22"/>
      <c r="J273" s="41"/>
      <c r="K273" s="21"/>
    </row>
    <row r="274" spans="2:13" x14ac:dyDescent="0.25">
      <c r="B274" s="37"/>
      <c r="C274" s="37"/>
      <c r="G274" s="22"/>
      <c r="J274" s="41"/>
      <c r="K274" s="21"/>
    </row>
    <row r="275" spans="2:13" x14ac:dyDescent="0.25">
      <c r="B275" s="37"/>
      <c r="C275" s="37"/>
      <c r="G275" s="22"/>
      <c r="J275" s="29"/>
      <c r="K275" s="21"/>
    </row>
    <row r="276" spans="2:13" x14ac:dyDescent="0.25">
      <c r="B276" s="37"/>
      <c r="C276" s="37"/>
      <c r="G276" s="22"/>
      <c r="J276" s="29"/>
      <c r="K276" s="21"/>
    </row>
    <row r="277" spans="2:13" hidden="1" x14ac:dyDescent="0.25">
      <c r="B277" s="37"/>
      <c r="C277" s="37"/>
      <c r="E277" s="23"/>
      <c r="G277" s="32"/>
      <c r="J277" s="29"/>
      <c r="K277" s="21"/>
    </row>
    <row r="278" spans="2:13" hidden="1" x14ac:dyDescent="0.25">
      <c r="B278" s="37"/>
      <c r="C278" s="37"/>
      <c r="E278" s="23"/>
      <c r="G278" s="32"/>
      <c r="J278" s="29"/>
      <c r="K278" s="21"/>
    </row>
    <row r="279" spans="2:13" hidden="1" x14ac:dyDescent="0.25">
      <c r="B279" s="37"/>
      <c r="C279" s="37"/>
      <c r="E279" s="23"/>
      <c r="G279" s="32"/>
      <c r="J279" s="29"/>
      <c r="K279" s="21"/>
    </row>
    <row r="280" spans="2:13" hidden="1" x14ac:dyDescent="0.25">
      <c r="B280" s="37"/>
      <c r="C280" s="37"/>
      <c r="E280" s="23"/>
      <c r="G280" s="32"/>
      <c r="J280" s="29"/>
      <c r="K280" s="21"/>
    </row>
    <row r="281" spans="2:13" hidden="1" x14ac:dyDescent="0.25">
      <c r="B281" s="37"/>
      <c r="C281" s="37"/>
      <c r="E281" s="23"/>
      <c r="G281" s="32"/>
      <c r="J281" s="29"/>
      <c r="K281" s="21"/>
      <c r="M281" s="19"/>
    </row>
    <row r="282" spans="2:13" x14ac:dyDescent="0.25">
      <c r="B282" s="37"/>
      <c r="C282" s="37"/>
      <c r="E282" s="1"/>
      <c r="G282" s="22"/>
      <c r="J282" s="29"/>
      <c r="K282" s="21"/>
    </row>
    <row r="283" spans="2:13" x14ac:dyDescent="0.25">
      <c r="B283" s="37"/>
      <c r="C283" s="37"/>
      <c r="E283" s="1"/>
      <c r="G283" s="22"/>
      <c r="J283" s="29"/>
      <c r="K283" s="21"/>
    </row>
    <row r="284" spans="2:13" x14ac:dyDescent="0.25">
      <c r="B284" s="37"/>
      <c r="C284" s="37"/>
      <c r="E284" s="1"/>
      <c r="G284" s="22"/>
      <c r="J284" s="29"/>
      <c r="K284" s="21"/>
    </row>
    <row r="285" spans="2:13" x14ac:dyDescent="0.25">
      <c r="B285" s="37"/>
      <c r="C285" s="37"/>
      <c r="E285" s="1"/>
      <c r="G285" s="22"/>
      <c r="J285" s="29"/>
      <c r="K285" s="21"/>
    </row>
    <row r="286" spans="2:13" x14ac:dyDescent="0.25">
      <c r="B286" s="37"/>
      <c r="C286" s="37"/>
      <c r="E286" s="1"/>
      <c r="G286" s="22"/>
      <c r="J286" s="29"/>
      <c r="K286" s="21"/>
    </row>
    <row r="287" spans="2:13" x14ac:dyDescent="0.25">
      <c r="B287" s="37"/>
      <c r="C287" s="37"/>
      <c r="E287" s="1"/>
      <c r="G287" s="22"/>
      <c r="J287" s="29"/>
      <c r="K287" s="21"/>
    </row>
    <row r="288" spans="2:13" x14ac:dyDescent="0.25">
      <c r="B288" s="37"/>
      <c r="C288" s="37"/>
      <c r="E288" s="1"/>
      <c r="G288" s="22"/>
      <c r="J288" s="29"/>
      <c r="K288" s="21"/>
    </row>
    <row r="289" spans="2:11" x14ac:dyDescent="0.25">
      <c r="B289" s="37"/>
      <c r="C289" s="37"/>
      <c r="E289" s="1"/>
      <c r="G289" s="22"/>
      <c r="J289" s="29"/>
      <c r="K289" s="21"/>
    </row>
    <row r="290" spans="2:11" x14ac:dyDescent="0.25">
      <c r="B290" s="37"/>
      <c r="C290" s="37"/>
      <c r="E290" s="1"/>
      <c r="G290" s="22"/>
      <c r="J290" s="29"/>
      <c r="K290" s="21"/>
    </row>
    <row r="291" spans="2:11" x14ac:dyDescent="0.25">
      <c r="B291" s="37"/>
      <c r="C291" s="37"/>
      <c r="E291" s="1"/>
      <c r="G291" s="22"/>
      <c r="J291" s="29"/>
      <c r="K291" s="21"/>
    </row>
    <row r="292" spans="2:11" x14ac:dyDescent="0.25">
      <c r="B292" s="37"/>
      <c r="C292" s="37"/>
      <c r="E292" s="1"/>
      <c r="G292" s="32"/>
      <c r="J292" s="29"/>
      <c r="K292" s="21"/>
    </row>
    <row r="293" spans="2:11" x14ac:dyDescent="0.25">
      <c r="B293" s="37"/>
      <c r="C293" s="37"/>
      <c r="E293" s="1"/>
      <c r="G293" s="32"/>
      <c r="J293" s="29"/>
      <c r="K293" s="21"/>
    </row>
    <row r="294" spans="2:11" x14ac:dyDescent="0.25">
      <c r="B294" s="37"/>
      <c r="C294" s="37"/>
      <c r="E294" s="1"/>
      <c r="G294" s="32"/>
      <c r="J294" s="29"/>
      <c r="K294" s="21"/>
    </row>
    <row r="295" spans="2:11" x14ac:dyDescent="0.25">
      <c r="B295" s="37"/>
      <c r="C295" s="37"/>
      <c r="E295" s="1"/>
      <c r="F295" s="17"/>
      <c r="G295" s="32"/>
      <c r="H295" s="17"/>
      <c r="J295" s="29"/>
      <c r="K295" s="21"/>
    </row>
    <row r="296" spans="2:11" x14ac:dyDescent="0.25">
      <c r="B296" s="37"/>
      <c r="C296" s="37"/>
      <c r="E296" s="1"/>
      <c r="G296" s="32"/>
      <c r="J296" s="29"/>
      <c r="K296" s="21"/>
    </row>
    <row r="297" spans="2:11" x14ac:dyDescent="0.25">
      <c r="B297" s="37"/>
      <c r="C297" s="37"/>
      <c r="G297" s="32"/>
      <c r="J297" s="41"/>
      <c r="K297" s="21"/>
    </row>
    <row r="298" spans="2:11" x14ac:dyDescent="0.25">
      <c r="B298" s="37"/>
      <c r="C298" s="37"/>
      <c r="G298" s="22"/>
      <c r="J298" s="41"/>
      <c r="K298" s="21"/>
    </row>
    <row r="299" spans="2:11" x14ac:dyDescent="0.25">
      <c r="B299" s="37"/>
      <c r="C299" s="37"/>
      <c r="G299" s="32"/>
      <c r="J299" s="41"/>
      <c r="K299" s="21"/>
    </row>
    <row r="300" spans="2:11" x14ac:dyDescent="0.25">
      <c r="B300" s="37"/>
      <c r="C300" s="37"/>
      <c r="G300" s="32"/>
      <c r="J300" s="41"/>
      <c r="K300" s="21"/>
    </row>
    <row r="301" spans="2:11" x14ac:dyDescent="0.25">
      <c r="B301" s="37"/>
      <c r="C301" s="37"/>
      <c r="G301" s="32"/>
      <c r="J301" s="41"/>
      <c r="K301" s="21"/>
    </row>
    <row r="302" spans="2:11" x14ac:dyDescent="0.25">
      <c r="B302" s="37"/>
      <c r="C302" s="37"/>
      <c r="F302" s="23"/>
      <c r="G302" s="32"/>
      <c r="J302" s="41"/>
      <c r="K302" s="21"/>
    </row>
    <row r="303" spans="2:11" x14ac:dyDescent="0.25">
      <c r="B303" s="37"/>
      <c r="C303" s="37"/>
      <c r="G303" s="32"/>
      <c r="J303" s="41"/>
      <c r="K303" s="21"/>
    </row>
    <row r="304" spans="2:11" x14ac:dyDescent="0.25">
      <c r="B304" s="37"/>
      <c r="C304" s="37"/>
      <c r="G304" s="32"/>
      <c r="J304" s="41"/>
      <c r="K304" s="21"/>
    </row>
    <row r="305" spans="2:11" x14ac:dyDescent="0.25">
      <c r="B305" s="37"/>
      <c r="C305" s="37"/>
      <c r="G305" s="32"/>
      <c r="J305" s="41"/>
      <c r="K305" s="21"/>
    </row>
    <row r="306" spans="2:11" x14ac:dyDescent="0.25">
      <c r="B306" s="37"/>
      <c r="C306" s="37"/>
      <c r="G306" s="32"/>
      <c r="J306" s="41"/>
      <c r="K306" s="21"/>
    </row>
    <row r="307" spans="2:11" x14ac:dyDescent="0.25">
      <c r="B307" s="37"/>
      <c r="C307" s="37"/>
      <c r="G307" s="32"/>
      <c r="J307" s="41"/>
      <c r="K307" s="21"/>
    </row>
    <row r="308" spans="2:11" x14ac:dyDescent="0.25">
      <c r="B308" s="37"/>
      <c r="C308" s="37"/>
      <c r="G308" s="22"/>
      <c r="K308" s="21"/>
    </row>
    <row r="309" spans="2:11" x14ac:dyDescent="0.25">
      <c r="B309" s="37"/>
      <c r="C309" s="37"/>
      <c r="G309" s="22"/>
      <c r="K309" s="21"/>
    </row>
    <row r="310" spans="2:11" x14ac:dyDescent="0.25">
      <c r="B310" s="37"/>
      <c r="C310" s="37"/>
      <c r="G310" s="32"/>
      <c r="J310" s="41"/>
      <c r="K310" s="21"/>
    </row>
    <row r="311" spans="2:11" x14ac:dyDescent="0.25">
      <c r="B311" s="37"/>
      <c r="C311" s="37"/>
      <c r="G311" s="22"/>
      <c r="J311" s="41"/>
      <c r="K311" s="21"/>
    </row>
    <row r="312" spans="2:11" x14ac:dyDescent="0.25">
      <c r="B312" s="37"/>
      <c r="C312" s="37"/>
      <c r="G312" s="22"/>
      <c r="J312" s="41"/>
      <c r="K312" s="21"/>
    </row>
    <row r="313" spans="2:11" x14ac:dyDescent="0.25">
      <c r="B313" s="37"/>
      <c r="C313" s="37"/>
      <c r="G313" s="22"/>
      <c r="J313" s="41"/>
      <c r="K313" s="21"/>
    </row>
    <row r="314" spans="2:11" x14ac:dyDescent="0.25">
      <c r="B314" s="37"/>
      <c r="C314" s="37"/>
      <c r="G314" s="22"/>
      <c r="J314" s="41"/>
      <c r="K314" s="21"/>
    </row>
    <row r="315" spans="2:11" x14ac:dyDescent="0.25">
      <c r="B315" s="37"/>
      <c r="C315" s="37"/>
      <c r="G315" s="22"/>
      <c r="J315" s="41"/>
      <c r="K315" s="21"/>
    </row>
    <row r="316" spans="2:11" x14ac:dyDescent="0.25">
      <c r="B316" s="37"/>
      <c r="C316" s="37"/>
      <c r="G316" s="22"/>
      <c r="J316" s="41"/>
      <c r="K316" s="21"/>
    </row>
    <row r="317" spans="2:11" x14ac:dyDescent="0.25">
      <c r="B317" s="37"/>
      <c r="C317" s="37"/>
      <c r="G317" s="22"/>
      <c r="J317" s="41"/>
      <c r="K317" s="21"/>
    </row>
    <row r="318" spans="2:11" x14ac:dyDescent="0.25">
      <c r="B318" s="37"/>
      <c r="C318" s="37"/>
      <c r="G318" s="22"/>
      <c r="J318" s="41"/>
      <c r="K318" s="21"/>
    </row>
    <row r="319" spans="2:11" x14ac:dyDescent="0.25">
      <c r="B319" s="37"/>
      <c r="C319" s="37"/>
      <c r="G319" s="22"/>
      <c r="J319" s="41"/>
      <c r="K319" s="21"/>
    </row>
    <row r="320" spans="2:11" x14ac:dyDescent="0.25">
      <c r="B320" s="37"/>
      <c r="C320" s="37"/>
      <c r="G320" s="22"/>
      <c r="J320" s="41"/>
      <c r="K320" s="21"/>
    </row>
    <row r="321" spans="2:13" x14ac:dyDescent="0.25">
      <c r="B321" s="37"/>
      <c r="C321" s="37"/>
      <c r="G321" s="22"/>
      <c r="K321" s="21"/>
    </row>
    <row r="322" spans="2:13" x14ac:dyDescent="0.25">
      <c r="B322" s="37"/>
      <c r="C322" s="37"/>
      <c r="G322" s="22"/>
      <c r="J322" s="41"/>
      <c r="K322" s="21"/>
    </row>
    <row r="323" spans="2:13" x14ac:dyDescent="0.25">
      <c r="B323" s="37"/>
      <c r="C323" s="37"/>
      <c r="G323" s="22"/>
      <c r="J323" s="41"/>
      <c r="K323" s="21"/>
    </row>
    <row r="324" spans="2:13" x14ac:dyDescent="0.25">
      <c r="B324" s="37"/>
      <c r="C324" s="37"/>
      <c r="G324" s="22"/>
      <c r="J324" s="41"/>
      <c r="K324" s="21"/>
    </row>
    <row r="325" spans="2:13" x14ac:dyDescent="0.25">
      <c r="B325" s="37"/>
      <c r="C325" s="37"/>
      <c r="G325" s="22"/>
      <c r="J325" s="41"/>
      <c r="K325" s="21"/>
    </row>
    <row r="326" spans="2:13" x14ac:dyDescent="0.25">
      <c r="B326" s="37"/>
      <c r="C326" s="37"/>
      <c r="G326" s="22"/>
      <c r="J326" s="41"/>
      <c r="K326" s="21"/>
    </row>
    <row r="327" spans="2:13" x14ac:dyDescent="0.25">
      <c r="B327" s="37"/>
      <c r="C327" s="37"/>
      <c r="G327" s="22"/>
      <c r="J327" s="41"/>
      <c r="K327" s="21"/>
    </row>
    <row r="328" spans="2:13" x14ac:dyDescent="0.25">
      <c r="B328" s="37"/>
      <c r="C328" s="37"/>
      <c r="G328" s="22"/>
      <c r="J328" s="29"/>
      <c r="K328" s="21"/>
    </row>
    <row r="329" spans="2:13" x14ac:dyDescent="0.25">
      <c r="B329" s="37"/>
      <c r="C329" s="37"/>
      <c r="G329" s="22"/>
      <c r="J329" s="29"/>
      <c r="K329" s="21"/>
    </row>
    <row r="330" spans="2:13" x14ac:dyDescent="0.25">
      <c r="B330" s="37"/>
      <c r="C330" s="37"/>
      <c r="G330" s="22"/>
      <c r="J330" s="29"/>
      <c r="K330" s="21"/>
    </row>
    <row r="331" spans="2:13" x14ac:dyDescent="0.25">
      <c r="B331" s="37"/>
      <c r="C331" s="37"/>
      <c r="G331" s="22"/>
      <c r="J331" s="29"/>
      <c r="K331" s="21"/>
    </row>
    <row r="332" spans="2:13" x14ac:dyDescent="0.25">
      <c r="B332" s="37"/>
      <c r="C332" s="37"/>
      <c r="D332" s="43"/>
      <c r="G332" s="22"/>
      <c r="J332" s="29"/>
      <c r="K332" s="21"/>
    </row>
    <row r="333" spans="2:13" x14ac:dyDescent="0.25">
      <c r="B333" s="37"/>
      <c r="C333" s="37"/>
      <c r="G333" s="22"/>
      <c r="J333" s="29"/>
      <c r="K333" s="21"/>
      <c r="M333" s="19"/>
    </row>
    <row r="334" spans="2:13" x14ac:dyDescent="0.25">
      <c r="B334" s="37"/>
      <c r="C334" s="37"/>
      <c r="G334" s="22"/>
      <c r="J334" s="29"/>
      <c r="K334" s="21"/>
      <c r="M334" s="19"/>
    </row>
    <row r="335" spans="2:13" x14ac:dyDescent="0.25">
      <c r="B335" s="37"/>
      <c r="C335" s="37"/>
      <c r="G335" s="22"/>
      <c r="J335" s="41"/>
      <c r="K335" s="21"/>
    </row>
    <row r="336" spans="2:13" x14ac:dyDescent="0.25">
      <c r="B336" s="37"/>
      <c r="C336" s="37"/>
      <c r="G336" s="22"/>
      <c r="J336" s="41"/>
      <c r="K336" s="21"/>
    </row>
    <row r="337" spans="2:13" x14ac:dyDescent="0.25">
      <c r="B337" s="37"/>
      <c r="C337" s="37"/>
      <c r="G337" s="22"/>
      <c r="J337" s="41"/>
      <c r="K337" s="21"/>
    </row>
    <row r="338" spans="2:13" x14ac:dyDescent="0.25">
      <c r="B338" s="37"/>
      <c r="C338" s="37"/>
      <c r="G338" s="22"/>
      <c r="J338" s="41"/>
      <c r="K338" s="21"/>
    </row>
    <row r="339" spans="2:13" x14ac:dyDescent="0.25">
      <c r="B339" s="37"/>
      <c r="C339" s="37"/>
      <c r="G339" s="22"/>
      <c r="J339" s="41"/>
      <c r="K339" s="21"/>
    </row>
    <row r="340" spans="2:13" x14ac:dyDescent="0.25">
      <c r="B340" s="37"/>
      <c r="C340" s="37"/>
      <c r="G340" s="22"/>
      <c r="J340" s="41"/>
      <c r="K340" s="19"/>
    </row>
    <row r="341" spans="2:13" x14ac:dyDescent="0.25">
      <c r="B341" s="37"/>
      <c r="C341" s="37"/>
      <c r="G341" s="22"/>
      <c r="J341" s="29"/>
      <c r="K341" s="21"/>
      <c r="M341" s="19"/>
    </row>
    <row r="342" spans="2:13" x14ac:dyDescent="0.25">
      <c r="B342" s="37"/>
      <c r="C342" s="37"/>
      <c r="G342" s="22"/>
      <c r="J342" s="29"/>
      <c r="K342" s="21"/>
      <c r="M342" s="19"/>
    </row>
    <row r="343" spans="2:13" x14ac:dyDescent="0.25">
      <c r="B343" s="37"/>
      <c r="C343" s="37"/>
      <c r="G343" s="22"/>
      <c r="J343" s="29"/>
      <c r="K343" s="21"/>
      <c r="M343" s="19"/>
    </row>
    <row r="344" spans="2:13" x14ac:dyDescent="0.25">
      <c r="B344" s="37"/>
      <c r="C344" s="37"/>
      <c r="G344" s="22"/>
      <c r="J344" s="29"/>
      <c r="K344" s="21"/>
      <c r="M344" s="19"/>
    </row>
    <row r="345" spans="2:13" hidden="1" x14ac:dyDescent="0.25">
      <c r="B345" s="37"/>
      <c r="C345" s="37"/>
      <c r="E345" s="31"/>
      <c r="F345" s="17"/>
      <c r="G345" s="22"/>
      <c r="J345" s="29"/>
      <c r="K345" s="21"/>
      <c r="M345" s="19"/>
    </row>
    <row r="346" spans="2:13" x14ac:dyDescent="0.25">
      <c r="B346" s="37"/>
      <c r="C346" s="37"/>
      <c r="G346" s="22"/>
      <c r="J346" s="29"/>
      <c r="K346" s="21"/>
      <c r="M346" s="19"/>
    </row>
    <row r="347" spans="2:13" x14ac:dyDescent="0.25">
      <c r="B347" s="37"/>
      <c r="C347" s="37"/>
      <c r="G347" s="22"/>
      <c r="J347" s="29"/>
      <c r="K347" s="21"/>
      <c r="M347" s="19"/>
    </row>
    <row r="348" spans="2:13" x14ac:dyDescent="0.25">
      <c r="B348" s="37"/>
      <c r="C348" s="37"/>
      <c r="G348" s="22"/>
      <c r="J348" s="29"/>
      <c r="K348" s="21"/>
      <c r="M348" s="19"/>
    </row>
    <row r="349" spans="2:13" x14ac:dyDescent="0.25">
      <c r="B349" s="37"/>
      <c r="C349" s="37"/>
      <c r="G349" s="22"/>
      <c r="J349" s="29"/>
      <c r="K349" s="21"/>
      <c r="M349" s="19"/>
    </row>
    <row r="350" spans="2:13" x14ac:dyDescent="0.25">
      <c r="B350" s="37"/>
      <c r="C350" s="37"/>
      <c r="G350" s="22"/>
      <c r="J350" s="29"/>
      <c r="K350" s="21"/>
      <c r="M350" s="19"/>
    </row>
    <row r="351" spans="2:13" x14ac:dyDescent="0.25">
      <c r="B351" s="37"/>
      <c r="C351" s="37"/>
      <c r="G351" s="22"/>
      <c r="J351" s="29"/>
      <c r="K351" s="21"/>
      <c r="M351" s="19"/>
    </row>
    <row r="352" spans="2:13" x14ac:dyDescent="0.25">
      <c r="B352" s="37"/>
      <c r="C352" s="37"/>
      <c r="G352" s="22"/>
      <c r="J352" s="29"/>
      <c r="K352" s="21"/>
      <c r="M352" s="19"/>
    </row>
    <row r="353" spans="2:13" x14ac:dyDescent="0.25">
      <c r="B353" s="37"/>
      <c r="C353" s="37"/>
      <c r="G353" s="22"/>
      <c r="J353" s="29"/>
      <c r="K353" s="21"/>
      <c r="M353" s="19"/>
    </row>
    <row r="354" spans="2:13" x14ac:dyDescent="0.25">
      <c r="B354" s="37"/>
      <c r="C354" s="37"/>
      <c r="G354" s="22"/>
      <c r="J354" s="41"/>
      <c r="K354" s="21"/>
    </row>
    <row r="355" spans="2:13" x14ac:dyDescent="0.25">
      <c r="B355" s="37"/>
      <c r="C355" s="37"/>
      <c r="G355" s="22"/>
      <c r="J355" s="41"/>
      <c r="K355" s="21"/>
    </row>
    <row r="356" spans="2:13" x14ac:dyDescent="0.25">
      <c r="B356" s="37"/>
      <c r="C356" s="37"/>
      <c r="G356" s="22"/>
      <c r="J356" s="41"/>
      <c r="K356" s="21"/>
    </row>
    <row r="357" spans="2:13" x14ac:dyDescent="0.25">
      <c r="B357" s="37"/>
      <c r="C357" s="37"/>
      <c r="G357" s="22"/>
      <c r="J357" s="41"/>
      <c r="K357" s="21"/>
    </row>
    <row r="358" spans="2:13" x14ac:dyDescent="0.25">
      <c r="B358" s="37"/>
      <c r="C358" s="37"/>
      <c r="G358" s="22"/>
      <c r="J358" s="41"/>
      <c r="K358" s="21"/>
    </row>
    <row r="359" spans="2:13" x14ac:dyDescent="0.25">
      <c r="B359" s="37"/>
      <c r="C359" s="37"/>
      <c r="G359" s="22"/>
      <c r="J359" s="41"/>
      <c r="K359" s="21"/>
    </row>
    <row r="360" spans="2:13" x14ac:dyDescent="0.25">
      <c r="B360" s="37"/>
      <c r="C360" s="37"/>
      <c r="G360" s="22"/>
      <c r="J360" s="41"/>
      <c r="K360" s="21"/>
    </row>
    <row r="361" spans="2:13" x14ac:dyDescent="0.25">
      <c r="B361" s="37"/>
      <c r="C361" s="37"/>
      <c r="G361" s="22"/>
      <c r="J361" s="41"/>
      <c r="K361" s="21"/>
    </row>
    <row r="362" spans="2:13" x14ac:dyDescent="0.25">
      <c r="B362" s="37"/>
      <c r="C362" s="37"/>
      <c r="G362" s="22"/>
      <c r="J362" s="41"/>
      <c r="K362" s="21"/>
    </row>
    <row r="363" spans="2:13" x14ac:dyDescent="0.25">
      <c r="B363" s="37"/>
      <c r="C363" s="37"/>
      <c r="G363" s="22"/>
      <c r="J363" s="41"/>
      <c r="K363" s="21"/>
    </row>
    <row r="364" spans="2:13" x14ac:dyDescent="0.25">
      <c r="B364" s="37"/>
      <c r="C364" s="37"/>
      <c r="G364" s="22"/>
      <c r="J364" s="41"/>
      <c r="K364" s="21"/>
    </row>
    <row r="365" spans="2:13" x14ac:dyDescent="0.25">
      <c r="B365" s="37"/>
      <c r="C365" s="37"/>
      <c r="G365" s="22"/>
      <c r="J365" s="41"/>
      <c r="K365" s="21"/>
      <c r="M365" s="20"/>
    </row>
    <row r="366" spans="2:13" x14ac:dyDescent="0.25">
      <c r="B366" s="37"/>
      <c r="C366" s="37"/>
      <c r="G366" s="22"/>
      <c r="J366" s="41"/>
      <c r="K366" s="21"/>
    </row>
    <row r="367" spans="2:13" x14ac:dyDescent="0.25">
      <c r="B367" s="37"/>
      <c r="C367" s="37"/>
      <c r="G367" s="22"/>
      <c r="J367" s="41"/>
      <c r="K367" s="21"/>
    </row>
    <row r="368" spans="2:13" x14ac:dyDescent="0.25">
      <c r="B368" s="37"/>
      <c r="C368" s="37"/>
      <c r="G368" s="22"/>
      <c r="J368" s="41"/>
      <c r="K368" s="21"/>
    </row>
    <row r="369" spans="2:11" x14ac:dyDescent="0.25">
      <c r="B369" s="37"/>
      <c r="C369" s="37"/>
      <c r="G369" s="22"/>
      <c r="J369" s="41"/>
      <c r="K369" s="21"/>
    </row>
    <row r="370" spans="2:11" x14ac:dyDescent="0.25">
      <c r="B370" s="37"/>
      <c r="C370" s="37"/>
      <c r="G370" s="22"/>
      <c r="J370" s="41"/>
      <c r="K370" s="21"/>
    </row>
    <row r="371" spans="2:11" x14ac:dyDescent="0.25">
      <c r="B371" s="37"/>
      <c r="C371" s="37"/>
      <c r="G371" s="22"/>
      <c r="J371" s="41"/>
      <c r="K371" s="21"/>
    </row>
    <row r="372" spans="2:11" x14ac:dyDescent="0.25">
      <c r="B372" s="37"/>
      <c r="C372" s="37"/>
      <c r="G372" s="22"/>
      <c r="J372" s="41"/>
      <c r="K372" s="21"/>
    </row>
    <row r="373" spans="2:11" x14ac:dyDescent="0.25">
      <c r="B373" s="37"/>
      <c r="C373" s="37"/>
      <c r="G373" s="22"/>
      <c r="J373" s="41"/>
      <c r="K373" s="21"/>
    </row>
    <row r="374" spans="2:11" x14ac:dyDescent="0.25">
      <c r="B374" s="37"/>
      <c r="C374" s="37"/>
      <c r="G374" s="22"/>
      <c r="J374" s="41"/>
      <c r="K374" s="21"/>
    </row>
    <row r="375" spans="2:11" x14ac:dyDescent="0.25">
      <c r="B375" s="37"/>
      <c r="C375" s="37"/>
      <c r="G375" s="22"/>
      <c r="J375" s="41"/>
      <c r="K375" s="21"/>
    </row>
    <row r="376" spans="2:11" x14ac:dyDescent="0.25">
      <c r="B376" s="37"/>
      <c r="C376" s="37"/>
      <c r="G376" s="22"/>
      <c r="J376" s="29"/>
      <c r="K376" s="21"/>
    </row>
    <row r="377" spans="2:11" x14ac:dyDescent="0.25">
      <c r="B377" s="37"/>
      <c r="C377" s="37"/>
      <c r="G377" s="22"/>
      <c r="J377" s="41"/>
      <c r="K377" s="21"/>
    </row>
    <row r="378" spans="2:11" x14ac:dyDescent="0.25">
      <c r="B378" s="37"/>
      <c r="C378" s="37"/>
      <c r="G378" s="22"/>
      <c r="J378" s="41"/>
      <c r="K378" s="21"/>
    </row>
    <row r="379" spans="2:11" x14ac:dyDescent="0.25">
      <c r="B379" s="37"/>
      <c r="C379" s="37"/>
      <c r="G379" s="22"/>
      <c r="J379" s="41"/>
      <c r="K379" s="21"/>
    </row>
    <row r="380" spans="2:11" x14ac:dyDescent="0.25">
      <c r="B380" s="37"/>
      <c r="C380" s="37"/>
      <c r="G380" s="22"/>
      <c r="J380" s="41"/>
      <c r="K380" s="21"/>
    </row>
    <row r="381" spans="2:11" x14ac:dyDescent="0.25">
      <c r="B381" s="37"/>
      <c r="C381" s="37"/>
      <c r="G381" s="22"/>
      <c r="J381" s="41"/>
      <c r="K381" s="21"/>
    </row>
    <row r="382" spans="2:11" x14ac:dyDescent="0.25">
      <c r="B382" s="37"/>
      <c r="C382" s="37"/>
      <c r="G382" s="22"/>
      <c r="J382" s="41"/>
      <c r="K382" s="21"/>
    </row>
    <row r="383" spans="2:11" x14ac:dyDescent="0.25">
      <c r="B383" s="37"/>
      <c r="C383" s="37"/>
      <c r="G383" s="22"/>
      <c r="J383" s="41"/>
      <c r="K383" s="21"/>
    </row>
    <row r="384" spans="2:11" x14ac:dyDescent="0.25">
      <c r="B384" s="37"/>
      <c r="C384" s="37"/>
      <c r="G384" s="22"/>
      <c r="J384" s="41"/>
      <c r="K384" s="21"/>
    </row>
    <row r="385" spans="2:21" x14ac:dyDescent="0.25">
      <c r="B385" s="37"/>
      <c r="C385" s="37"/>
      <c r="G385" s="22"/>
      <c r="J385" s="41"/>
      <c r="K385" s="21"/>
    </row>
    <row r="386" spans="2:21" x14ac:dyDescent="0.25">
      <c r="B386" s="37"/>
      <c r="C386" s="37"/>
      <c r="G386" s="22"/>
      <c r="J386" s="41"/>
      <c r="K386" s="21"/>
    </row>
    <row r="387" spans="2:21" x14ac:dyDescent="0.25">
      <c r="B387" s="37"/>
      <c r="C387" s="37"/>
      <c r="G387" s="22"/>
      <c r="J387" s="41"/>
      <c r="K387" s="21"/>
    </row>
    <row r="388" spans="2:21" x14ac:dyDescent="0.25">
      <c r="B388" s="37"/>
      <c r="C388" s="37"/>
      <c r="G388" s="22"/>
      <c r="J388" s="41"/>
      <c r="K388" s="21"/>
    </row>
    <row r="389" spans="2:21" x14ac:dyDescent="0.25">
      <c r="B389" s="37"/>
      <c r="C389" s="37"/>
      <c r="G389" s="35"/>
      <c r="J389" s="41"/>
      <c r="K389" s="21"/>
    </row>
    <row r="390" spans="2:21" x14ac:dyDescent="0.25">
      <c r="B390" s="37"/>
      <c r="C390" s="37"/>
      <c r="G390" s="22"/>
      <c r="J390" s="41"/>
      <c r="K390" s="21"/>
    </row>
    <row r="391" spans="2:21" x14ac:dyDescent="0.25">
      <c r="B391" s="37"/>
      <c r="C391" s="37"/>
      <c r="G391" s="22"/>
      <c r="J391" s="41"/>
      <c r="K391" s="21"/>
    </row>
    <row r="392" spans="2:21" x14ac:dyDescent="0.25">
      <c r="B392" s="37"/>
      <c r="C392" s="37"/>
      <c r="G392" s="22"/>
      <c r="J392" s="41"/>
      <c r="K392" s="21"/>
    </row>
    <row r="393" spans="2:21" x14ac:dyDescent="0.25">
      <c r="B393" s="37"/>
      <c r="C393" s="37"/>
      <c r="G393" s="22"/>
      <c r="J393" s="41"/>
      <c r="K393" s="21"/>
    </row>
    <row r="394" spans="2:21" x14ac:dyDescent="0.25">
      <c r="B394" s="37"/>
      <c r="C394" s="37"/>
      <c r="G394" s="22"/>
      <c r="J394" s="41"/>
      <c r="K394" s="21"/>
    </row>
    <row r="395" spans="2:21" x14ac:dyDescent="0.25">
      <c r="B395" s="37"/>
      <c r="C395" s="37"/>
      <c r="G395" s="37"/>
      <c r="J395" s="41"/>
      <c r="K395" s="21"/>
      <c r="M395" s="20"/>
    </row>
    <row r="396" spans="2:21" x14ac:dyDescent="0.25">
      <c r="B396" s="44"/>
      <c r="C396" s="44"/>
      <c r="D396" s="45"/>
      <c r="E396" s="46"/>
      <c r="F396" s="47"/>
      <c r="G396" s="48"/>
      <c r="H396" s="47"/>
      <c r="I396" s="47"/>
      <c r="J396" s="41"/>
      <c r="K396" s="21"/>
      <c r="U396" s="45"/>
    </row>
    <row r="397" spans="2:21" x14ac:dyDescent="0.25">
      <c r="B397" s="37"/>
      <c r="C397" s="37"/>
      <c r="G397" s="37"/>
      <c r="J397" s="41"/>
      <c r="K397" s="21"/>
    </row>
    <row r="398" spans="2:21" x14ac:dyDescent="0.25">
      <c r="B398" s="37"/>
      <c r="C398" s="37"/>
      <c r="G398" s="22"/>
      <c r="J398" s="41"/>
      <c r="K398" s="21"/>
    </row>
    <row r="399" spans="2:21" x14ac:dyDescent="0.25">
      <c r="B399" s="37"/>
      <c r="C399" s="37"/>
      <c r="G399" s="22"/>
      <c r="J399" s="41"/>
      <c r="K399" s="21"/>
    </row>
    <row r="400" spans="2:21" x14ac:dyDescent="0.25">
      <c r="B400" s="37"/>
      <c r="C400" s="37"/>
      <c r="G400" s="37"/>
      <c r="J400" s="41"/>
      <c r="K400" s="21"/>
    </row>
    <row r="401" spans="2:21" x14ac:dyDescent="0.25">
      <c r="B401" s="37"/>
      <c r="C401" s="37"/>
      <c r="G401" s="22"/>
      <c r="J401" s="41"/>
      <c r="K401" s="21"/>
    </row>
    <row r="402" spans="2:21" x14ac:dyDescent="0.25">
      <c r="B402" s="37"/>
      <c r="C402" s="37"/>
      <c r="G402" s="37"/>
      <c r="J402" s="41"/>
      <c r="K402" s="21"/>
    </row>
    <row r="403" spans="2:21" x14ac:dyDescent="0.25">
      <c r="B403" s="37"/>
      <c r="C403" s="37"/>
      <c r="G403" s="37"/>
      <c r="J403" s="41"/>
      <c r="K403" s="21"/>
    </row>
    <row r="404" spans="2:21" x14ac:dyDescent="0.25">
      <c r="B404" s="37"/>
      <c r="C404" s="37"/>
      <c r="G404" s="37"/>
      <c r="J404" s="29"/>
      <c r="K404" s="21"/>
      <c r="M404" s="19"/>
    </row>
    <row r="405" spans="2:21" x14ac:dyDescent="0.25">
      <c r="B405" s="37"/>
      <c r="C405" s="37"/>
      <c r="G405" s="37"/>
      <c r="J405" s="29"/>
      <c r="K405" s="21"/>
      <c r="M405" s="19"/>
    </row>
    <row r="406" spans="2:21" x14ac:dyDescent="0.25">
      <c r="B406" s="37"/>
      <c r="C406" s="37"/>
      <c r="G406" s="37"/>
      <c r="J406" s="29"/>
      <c r="K406" s="21"/>
      <c r="M406" s="19"/>
    </row>
    <row r="407" spans="2:21" x14ac:dyDescent="0.25">
      <c r="B407" s="37"/>
      <c r="C407" s="37"/>
      <c r="G407" s="37"/>
      <c r="J407" s="41"/>
      <c r="K407" s="21"/>
    </row>
    <row r="408" spans="2:21" x14ac:dyDescent="0.25">
      <c r="B408" s="37"/>
      <c r="C408" s="37"/>
      <c r="G408" s="37"/>
      <c r="J408" s="41"/>
      <c r="K408" s="21"/>
    </row>
    <row r="409" spans="2:21" x14ac:dyDescent="0.25">
      <c r="B409" s="37"/>
      <c r="C409" s="37"/>
      <c r="G409" s="37"/>
      <c r="J409" s="41"/>
      <c r="K409" s="21"/>
    </row>
    <row r="410" spans="2:21" x14ac:dyDescent="0.25">
      <c r="B410" s="37"/>
      <c r="C410" s="37"/>
      <c r="G410" s="37"/>
      <c r="J410" s="41"/>
      <c r="K410" s="21"/>
    </row>
    <row r="411" spans="2:21" x14ac:dyDescent="0.25">
      <c r="B411" s="37"/>
      <c r="C411" s="49"/>
      <c r="D411" s="30"/>
      <c r="E411" s="31"/>
      <c r="F411" s="23"/>
      <c r="G411" s="49"/>
      <c r="H411" s="23"/>
      <c r="J411" s="41"/>
      <c r="K411" s="21"/>
    </row>
    <row r="412" spans="2:21" x14ac:dyDescent="0.25">
      <c r="B412" s="50"/>
      <c r="C412" s="51"/>
      <c r="D412" s="52"/>
      <c r="E412" s="52"/>
      <c r="F412" s="16"/>
      <c r="G412" s="53"/>
      <c r="J412" s="41"/>
      <c r="K412" s="21"/>
      <c r="U412" s="54"/>
    </row>
    <row r="413" spans="2:21" x14ac:dyDescent="0.25">
      <c r="B413" s="50"/>
      <c r="C413" s="51"/>
      <c r="D413" s="52"/>
      <c r="E413" s="52"/>
      <c r="F413" s="16"/>
      <c r="G413" s="55"/>
      <c r="J413" s="41"/>
      <c r="K413" s="21"/>
      <c r="U413" s="54"/>
    </row>
    <row r="414" spans="2:21" x14ac:dyDescent="0.25">
      <c r="B414" s="50"/>
      <c r="C414" s="51"/>
      <c r="D414" s="52"/>
      <c r="E414" s="52"/>
      <c r="F414" s="16"/>
      <c r="G414" s="55"/>
      <c r="J414" s="41"/>
      <c r="K414" s="21"/>
      <c r="U414" s="54"/>
    </row>
    <row r="415" spans="2:21" x14ac:dyDescent="0.25">
      <c r="B415" s="50"/>
      <c r="C415" s="51"/>
      <c r="D415" s="52"/>
      <c r="E415" s="52"/>
      <c r="F415" s="16"/>
      <c r="G415" s="55"/>
      <c r="J415" s="41"/>
      <c r="K415" s="21"/>
      <c r="U415" s="54"/>
    </row>
    <row r="416" spans="2:21" ht="13.5" customHeight="1" x14ac:dyDescent="0.25">
      <c r="B416" s="50"/>
      <c r="C416" s="51"/>
      <c r="D416" s="52"/>
      <c r="E416" s="52"/>
      <c r="F416" s="16"/>
      <c r="G416" s="55"/>
      <c r="J416" s="41"/>
      <c r="K416" s="21"/>
      <c r="U416" s="54"/>
    </row>
    <row r="417" spans="2:21" ht="13.5" customHeight="1" x14ac:dyDescent="0.25">
      <c r="B417" s="50"/>
      <c r="C417" s="51"/>
      <c r="D417" s="52"/>
      <c r="E417" s="52"/>
      <c r="F417" s="16"/>
      <c r="G417" s="55"/>
      <c r="J417" s="41"/>
      <c r="K417" s="21"/>
      <c r="U417" s="54"/>
    </row>
    <row r="418" spans="2:21" x14ac:dyDescent="0.25">
      <c r="B418" s="50"/>
      <c r="C418" s="51"/>
      <c r="D418" s="52"/>
      <c r="E418" s="52"/>
      <c r="F418" s="16"/>
      <c r="G418" s="55"/>
      <c r="J418" s="41"/>
      <c r="K418" s="21"/>
      <c r="U418" s="54"/>
    </row>
    <row r="419" spans="2:21" x14ac:dyDescent="0.25">
      <c r="B419" s="37"/>
      <c r="C419" s="37"/>
      <c r="F419" s="16"/>
      <c r="G419" s="55"/>
      <c r="J419" s="29"/>
      <c r="K419" s="21"/>
    </row>
    <row r="420" spans="2:21" x14ac:dyDescent="0.25">
      <c r="B420" s="37"/>
      <c r="C420" s="37"/>
      <c r="F420" s="16"/>
      <c r="G420" s="55"/>
      <c r="J420" s="29"/>
      <c r="K420" s="21"/>
    </row>
    <row r="421" spans="2:21" x14ac:dyDescent="0.25">
      <c r="B421" s="37"/>
      <c r="C421" s="37"/>
      <c r="F421" s="16"/>
      <c r="G421" s="55"/>
      <c r="J421" s="29"/>
      <c r="K421" s="21"/>
    </row>
    <row r="422" spans="2:21" x14ac:dyDescent="0.25">
      <c r="B422" s="37"/>
      <c r="C422" s="37"/>
      <c r="F422" s="16"/>
      <c r="G422" s="55"/>
      <c r="J422" s="29"/>
      <c r="K422" s="21"/>
    </row>
    <row r="423" spans="2:21" x14ac:dyDescent="0.25">
      <c r="B423" s="37"/>
      <c r="C423" s="37"/>
      <c r="G423" s="22"/>
      <c r="J423" s="41"/>
      <c r="K423" s="21"/>
    </row>
    <row r="424" spans="2:21" x14ac:dyDescent="0.25">
      <c r="B424" s="37"/>
      <c r="C424" s="37"/>
      <c r="G424" s="55"/>
      <c r="J424" s="29"/>
      <c r="K424" s="21"/>
    </row>
    <row r="425" spans="2:21" x14ac:dyDescent="0.25">
      <c r="B425" s="37"/>
      <c r="C425" s="37"/>
      <c r="G425" s="55"/>
      <c r="J425" s="29"/>
      <c r="K425" s="21"/>
    </row>
    <row r="426" spans="2:21" x14ac:dyDescent="0.25">
      <c r="B426" s="37"/>
      <c r="C426" s="37"/>
      <c r="G426" s="55"/>
      <c r="J426" s="29"/>
      <c r="K426" s="21"/>
    </row>
    <row r="427" spans="2:21" x14ac:dyDescent="0.25">
      <c r="B427" s="37"/>
      <c r="C427" s="37"/>
      <c r="G427" s="55"/>
      <c r="J427" s="29"/>
      <c r="K427" s="21"/>
    </row>
    <row r="428" spans="2:21" x14ac:dyDescent="0.25">
      <c r="B428" s="37"/>
      <c r="C428" s="37"/>
      <c r="G428" s="55"/>
      <c r="J428" s="29"/>
      <c r="K428" s="21"/>
    </row>
    <row r="429" spans="2:21" x14ac:dyDescent="0.25">
      <c r="B429" s="37"/>
      <c r="C429" s="37"/>
      <c r="G429" s="55"/>
      <c r="J429" s="29"/>
      <c r="K429" s="21"/>
    </row>
    <row r="430" spans="2:21" x14ac:dyDescent="0.25">
      <c r="B430" s="37"/>
      <c r="C430" s="37"/>
      <c r="G430" s="55"/>
      <c r="J430" s="29"/>
      <c r="K430" s="21"/>
    </row>
    <row r="431" spans="2:21" x14ac:dyDescent="0.25">
      <c r="B431" s="37"/>
      <c r="C431" s="37"/>
      <c r="G431" s="55"/>
      <c r="J431" s="29"/>
      <c r="K431" s="21"/>
    </row>
    <row r="432" spans="2:21" x14ac:dyDescent="0.25">
      <c r="B432" s="37"/>
      <c r="C432" s="37"/>
      <c r="G432" s="55"/>
      <c r="J432" s="29"/>
      <c r="K432" s="21"/>
    </row>
    <row r="433" spans="2:11" x14ac:dyDescent="0.25">
      <c r="B433" s="37"/>
      <c r="C433" s="37"/>
      <c r="G433" s="55"/>
      <c r="J433" s="29"/>
      <c r="K433" s="21"/>
    </row>
    <row r="434" spans="2:11" x14ac:dyDescent="0.25">
      <c r="B434" s="37"/>
      <c r="C434" s="37"/>
      <c r="G434" s="55"/>
      <c r="J434" s="41"/>
      <c r="K434" s="21"/>
    </row>
    <row r="435" spans="2:11" x14ac:dyDescent="0.25">
      <c r="B435" s="37"/>
      <c r="C435" s="37"/>
      <c r="G435" s="55"/>
      <c r="J435" s="41"/>
      <c r="K435" s="21"/>
    </row>
    <row r="436" spans="2:11" x14ac:dyDescent="0.25">
      <c r="B436" s="37"/>
      <c r="C436" s="37"/>
      <c r="G436" s="55"/>
      <c r="J436" s="41"/>
      <c r="K436" s="21"/>
    </row>
    <row r="437" spans="2:11" x14ac:dyDescent="0.25">
      <c r="B437" s="37"/>
      <c r="C437" s="37"/>
      <c r="G437" s="55"/>
      <c r="J437" s="41"/>
      <c r="K437" s="21"/>
    </row>
    <row r="438" spans="2:11" x14ac:dyDescent="0.25">
      <c r="B438" s="37"/>
      <c r="C438" s="37"/>
      <c r="G438" s="55"/>
      <c r="J438" s="41"/>
      <c r="K438" s="21"/>
    </row>
    <row r="439" spans="2:11" x14ac:dyDescent="0.25">
      <c r="B439" s="37"/>
      <c r="C439" s="37"/>
      <c r="G439" s="55"/>
      <c r="J439" s="41"/>
      <c r="K439" s="21"/>
    </row>
    <row r="440" spans="2:11" x14ac:dyDescent="0.25">
      <c r="B440" s="37"/>
      <c r="C440" s="37"/>
      <c r="G440" s="55"/>
      <c r="J440" s="41"/>
      <c r="K440" s="21"/>
    </row>
    <row r="441" spans="2:11" x14ac:dyDescent="0.25">
      <c r="B441" s="37"/>
      <c r="C441" s="37"/>
      <c r="G441" s="22"/>
      <c r="J441" s="41"/>
      <c r="K441" s="21"/>
    </row>
    <row r="442" spans="2:11" x14ac:dyDescent="0.25">
      <c r="B442" s="37"/>
      <c r="C442" s="37"/>
      <c r="G442" s="55"/>
      <c r="J442" s="41"/>
      <c r="K442" s="21"/>
    </row>
    <row r="443" spans="2:11" x14ac:dyDescent="0.25">
      <c r="B443" s="37"/>
      <c r="C443" s="37"/>
      <c r="G443" s="55"/>
      <c r="J443" s="41"/>
      <c r="K443" s="21"/>
    </row>
    <row r="444" spans="2:11" x14ac:dyDescent="0.25">
      <c r="B444" s="37"/>
      <c r="C444" s="37"/>
      <c r="G444" s="55"/>
      <c r="J444" s="41"/>
      <c r="K444" s="21"/>
    </row>
    <row r="445" spans="2:11" x14ac:dyDescent="0.25">
      <c r="B445" s="37"/>
      <c r="C445" s="37"/>
      <c r="G445" s="55"/>
      <c r="J445" s="41"/>
      <c r="K445" s="21"/>
    </row>
    <row r="446" spans="2:11" x14ac:dyDescent="0.25">
      <c r="B446" s="37"/>
      <c r="C446" s="37"/>
      <c r="G446" s="22"/>
      <c r="J446" s="41"/>
      <c r="K446" s="21"/>
    </row>
    <row r="447" spans="2:11" x14ac:dyDescent="0.25">
      <c r="B447" s="37"/>
      <c r="C447" s="37"/>
      <c r="G447" s="55"/>
      <c r="J447" s="41"/>
      <c r="K447" s="21"/>
    </row>
    <row r="448" spans="2:11" x14ac:dyDescent="0.25">
      <c r="B448" s="37"/>
      <c r="C448" s="37"/>
      <c r="G448" s="55"/>
      <c r="J448" s="41"/>
      <c r="K448" s="21"/>
    </row>
    <row r="449" spans="2:14" x14ac:dyDescent="0.25">
      <c r="B449" s="37"/>
      <c r="C449" s="37"/>
      <c r="G449" s="55"/>
      <c r="J449" s="41"/>
      <c r="K449" s="21"/>
      <c r="M449" s="20"/>
    </row>
    <row r="450" spans="2:14" x14ac:dyDescent="0.25">
      <c r="B450" s="37"/>
      <c r="C450" s="37"/>
      <c r="G450" s="55"/>
      <c r="J450" s="41"/>
      <c r="K450" s="21"/>
    </row>
    <row r="451" spans="2:14" x14ac:dyDescent="0.25">
      <c r="B451" s="37"/>
      <c r="C451" s="37"/>
      <c r="G451" s="22"/>
      <c r="J451" s="41"/>
      <c r="K451" s="21"/>
    </row>
    <row r="452" spans="2:14" x14ac:dyDescent="0.25">
      <c r="B452" s="37"/>
      <c r="C452" s="37"/>
      <c r="G452" s="55"/>
      <c r="J452" s="41"/>
      <c r="K452" s="21"/>
    </row>
    <row r="453" spans="2:14" x14ac:dyDescent="0.25">
      <c r="B453" s="37"/>
      <c r="C453" s="37"/>
      <c r="G453" s="55"/>
      <c r="J453" s="41"/>
      <c r="K453" s="21"/>
    </row>
    <row r="454" spans="2:14" x14ac:dyDescent="0.25">
      <c r="B454" s="37"/>
      <c r="C454" s="37"/>
      <c r="G454" s="55"/>
      <c r="J454" s="41"/>
      <c r="K454" s="21"/>
      <c r="N454" s="23"/>
    </row>
    <row r="455" spans="2:14" x14ac:dyDescent="0.25">
      <c r="B455" s="37"/>
      <c r="C455" s="37"/>
      <c r="G455" s="55"/>
      <c r="J455" s="41"/>
      <c r="K455" s="21"/>
      <c r="M455" s="20"/>
      <c r="N455" s="23"/>
    </row>
    <row r="456" spans="2:14" x14ac:dyDescent="0.25">
      <c r="B456" s="37"/>
      <c r="C456" s="37"/>
      <c r="G456" s="55"/>
      <c r="J456" s="41"/>
      <c r="K456" s="21"/>
      <c r="N456" s="23"/>
    </row>
    <row r="457" spans="2:14" x14ac:dyDescent="0.25">
      <c r="B457" s="37"/>
      <c r="C457" s="37"/>
      <c r="G457" s="22"/>
      <c r="J457" s="41"/>
      <c r="K457" s="56"/>
    </row>
    <row r="458" spans="2:14" x14ac:dyDescent="0.25">
      <c r="B458" s="37"/>
      <c r="C458" s="37"/>
      <c r="G458" s="55"/>
      <c r="J458" s="41"/>
      <c r="K458" s="56"/>
    </row>
    <row r="459" spans="2:14" x14ac:dyDescent="0.25">
      <c r="B459" s="37"/>
      <c r="C459" s="37"/>
      <c r="G459" s="55"/>
      <c r="J459" s="41"/>
      <c r="K459" s="21"/>
    </row>
    <row r="460" spans="2:14" x14ac:dyDescent="0.25">
      <c r="B460" s="37"/>
      <c r="C460" s="37"/>
      <c r="G460" s="55"/>
      <c r="J460" s="41"/>
      <c r="K460" s="56"/>
    </row>
    <row r="461" spans="2:14" x14ac:dyDescent="0.25">
      <c r="B461" s="37"/>
      <c r="C461" s="37"/>
      <c r="G461" s="22"/>
      <c r="J461" s="41"/>
      <c r="K461" s="56"/>
    </row>
    <row r="462" spans="2:14" x14ac:dyDescent="0.25">
      <c r="B462" s="37"/>
      <c r="C462" s="37"/>
      <c r="G462" s="55"/>
      <c r="J462" s="41"/>
      <c r="K462" s="56"/>
    </row>
    <row r="463" spans="2:14" x14ac:dyDescent="0.25">
      <c r="B463" s="37"/>
      <c r="C463" s="37"/>
      <c r="G463" s="22"/>
      <c r="J463" s="41"/>
      <c r="K463" s="56"/>
    </row>
    <row r="464" spans="2:14" x14ac:dyDescent="0.25">
      <c r="B464" s="37"/>
      <c r="C464" s="37"/>
      <c r="G464" s="55"/>
      <c r="J464" s="41"/>
      <c r="K464" s="56"/>
    </row>
    <row r="465" spans="2:13" x14ac:dyDescent="0.25">
      <c r="B465" s="37"/>
      <c r="C465" s="37"/>
      <c r="G465" s="37"/>
      <c r="J465" s="41"/>
      <c r="K465" s="56"/>
    </row>
    <row r="466" spans="2:13" x14ac:dyDescent="0.25">
      <c r="B466" s="37"/>
      <c r="C466" s="37"/>
      <c r="G466" s="37"/>
      <c r="J466" s="41"/>
      <c r="K466" s="56"/>
    </row>
    <row r="467" spans="2:13" x14ac:dyDescent="0.25">
      <c r="B467" s="37"/>
      <c r="C467" s="37"/>
      <c r="G467" s="37"/>
      <c r="J467" s="41"/>
      <c r="K467" s="56"/>
      <c r="M467" s="20"/>
    </row>
    <row r="468" spans="2:13" x14ac:dyDescent="0.25">
      <c r="B468" s="37"/>
      <c r="C468" s="37"/>
      <c r="G468" s="22"/>
      <c r="J468" s="29"/>
      <c r="K468" s="21"/>
      <c r="M468" s="19"/>
    </row>
    <row r="469" spans="2:13" x14ac:dyDescent="0.25">
      <c r="B469" s="37"/>
      <c r="C469" s="37"/>
      <c r="G469" s="22"/>
      <c r="J469" s="29"/>
      <c r="K469" s="21"/>
      <c r="M469" s="19"/>
    </row>
    <row r="470" spans="2:13" x14ac:dyDescent="0.25">
      <c r="B470" s="37"/>
      <c r="C470" s="37"/>
      <c r="G470" s="22"/>
      <c r="J470" s="29"/>
      <c r="K470" s="21"/>
      <c r="M470" s="19"/>
    </row>
    <row r="471" spans="2:13" x14ac:dyDescent="0.25">
      <c r="B471" s="37"/>
      <c r="C471" s="37"/>
      <c r="G471" s="22"/>
      <c r="J471" s="29"/>
      <c r="K471" s="21"/>
      <c r="M471" s="19"/>
    </row>
    <row r="472" spans="2:13" x14ac:dyDescent="0.25">
      <c r="B472" s="37"/>
      <c r="C472" s="37"/>
      <c r="G472" s="37"/>
      <c r="J472" s="41"/>
      <c r="K472" s="21"/>
    </row>
    <row r="473" spans="2:13" x14ac:dyDescent="0.25">
      <c r="B473" s="37"/>
      <c r="C473" s="37"/>
      <c r="G473" s="22"/>
      <c r="J473" s="41"/>
      <c r="K473" s="21"/>
    </row>
    <row r="474" spans="2:13" x14ac:dyDescent="0.25">
      <c r="B474" s="37"/>
      <c r="C474" s="37"/>
      <c r="G474" s="37"/>
      <c r="J474" s="41"/>
      <c r="K474" s="21"/>
    </row>
    <row r="475" spans="2:13" x14ac:dyDescent="0.25">
      <c r="B475" s="37"/>
      <c r="C475" s="37"/>
      <c r="G475" s="22"/>
      <c r="J475" s="41"/>
      <c r="K475" s="21"/>
    </row>
    <row r="476" spans="2:13" x14ac:dyDescent="0.25">
      <c r="B476" s="37"/>
      <c r="C476" s="37"/>
      <c r="F476" s="17"/>
      <c r="G476" s="22"/>
      <c r="H476" s="30"/>
      <c r="J476" s="29"/>
      <c r="K476" s="21"/>
      <c r="M476" s="19"/>
    </row>
    <row r="477" spans="2:13" x14ac:dyDescent="0.25">
      <c r="B477" s="37"/>
      <c r="C477" s="37"/>
      <c r="G477" s="22"/>
      <c r="H477" s="23"/>
      <c r="J477" s="29"/>
      <c r="K477" s="21"/>
      <c r="M477" s="19"/>
    </row>
    <row r="478" spans="2:13" x14ac:dyDescent="0.25">
      <c r="B478" s="37"/>
      <c r="C478" s="37"/>
      <c r="G478" s="22"/>
      <c r="H478" s="23"/>
      <c r="J478" s="29"/>
      <c r="K478" s="21"/>
      <c r="M478" s="19"/>
    </row>
    <row r="479" spans="2:13" x14ac:dyDescent="0.25">
      <c r="B479" s="37"/>
      <c r="C479" s="37"/>
      <c r="G479" s="22"/>
      <c r="H479" s="23"/>
      <c r="J479" s="29"/>
      <c r="K479" s="21"/>
      <c r="M479" s="19"/>
    </row>
    <row r="480" spans="2:13" x14ac:dyDescent="0.25">
      <c r="B480" s="37"/>
      <c r="C480" s="37"/>
      <c r="G480" s="22"/>
      <c r="H480" s="23"/>
      <c r="J480" s="29"/>
      <c r="K480" s="21"/>
      <c r="M480" s="19"/>
    </row>
    <row r="481" spans="2:13" x14ac:dyDescent="0.25">
      <c r="B481" s="37"/>
      <c r="C481" s="37"/>
      <c r="G481" s="22"/>
      <c r="H481" s="23"/>
      <c r="J481" s="29"/>
      <c r="K481" s="21"/>
      <c r="M481" s="19"/>
    </row>
    <row r="482" spans="2:13" x14ac:dyDescent="0.25">
      <c r="B482" s="37"/>
      <c r="C482" s="37"/>
      <c r="G482" s="22"/>
      <c r="H482" s="23"/>
      <c r="J482" s="29"/>
      <c r="K482" s="21"/>
      <c r="M482" s="19"/>
    </row>
    <row r="483" spans="2:13" x14ac:dyDescent="0.25">
      <c r="B483" s="37"/>
      <c r="C483" s="37"/>
      <c r="G483" s="22"/>
      <c r="H483" s="23"/>
      <c r="J483" s="29"/>
      <c r="K483" s="21"/>
      <c r="M483" s="19"/>
    </row>
    <row r="484" spans="2:13" x14ac:dyDescent="0.25">
      <c r="B484" s="37"/>
      <c r="C484" s="37"/>
      <c r="G484" s="22"/>
      <c r="H484" s="23"/>
      <c r="J484" s="29"/>
      <c r="K484" s="21"/>
      <c r="M484" s="19"/>
    </row>
    <row r="485" spans="2:13" x14ac:dyDescent="0.25">
      <c r="B485" s="37"/>
      <c r="C485" s="37"/>
      <c r="G485" s="37"/>
      <c r="J485" s="41"/>
      <c r="K485" s="21"/>
    </row>
    <row r="486" spans="2:13" x14ac:dyDescent="0.25">
      <c r="B486" s="37"/>
      <c r="C486" s="37"/>
      <c r="G486" s="22"/>
      <c r="J486" s="41"/>
      <c r="K486" s="21"/>
    </row>
    <row r="487" spans="2:13" x14ac:dyDescent="0.25">
      <c r="B487" s="37"/>
      <c r="C487" s="37"/>
      <c r="G487" s="22"/>
      <c r="J487" s="41"/>
      <c r="K487" s="21"/>
    </row>
    <row r="488" spans="2:13" x14ac:dyDescent="0.25">
      <c r="B488" s="37"/>
      <c r="C488" s="37"/>
      <c r="G488" s="37"/>
      <c r="J488" s="41"/>
      <c r="K488" s="21"/>
    </row>
    <row r="489" spans="2:13" x14ac:dyDescent="0.25">
      <c r="B489" s="37"/>
      <c r="C489" s="37"/>
      <c r="G489" s="37"/>
      <c r="J489" s="41"/>
      <c r="K489" s="21"/>
    </row>
    <row r="490" spans="2:13" x14ac:dyDescent="0.25">
      <c r="B490" s="37"/>
      <c r="C490" s="37"/>
      <c r="G490" s="37"/>
      <c r="J490" s="41"/>
      <c r="K490" s="21"/>
    </row>
    <row r="491" spans="2:13" x14ac:dyDescent="0.25">
      <c r="B491" s="37"/>
      <c r="C491" s="37"/>
      <c r="G491" s="37"/>
      <c r="J491" s="41"/>
      <c r="K491" s="21"/>
    </row>
    <row r="492" spans="2:13" x14ac:dyDescent="0.25">
      <c r="B492" s="37"/>
      <c r="C492" s="37"/>
      <c r="G492" s="37"/>
      <c r="J492" s="41"/>
      <c r="K492" s="21"/>
    </row>
    <row r="493" spans="2:13" x14ac:dyDescent="0.25">
      <c r="B493" s="37"/>
      <c r="C493" s="37"/>
      <c r="G493" s="22"/>
      <c r="J493" s="41"/>
      <c r="K493" s="21"/>
    </row>
    <row r="494" spans="2:13" x14ac:dyDescent="0.25">
      <c r="B494" s="37"/>
      <c r="C494" s="37"/>
      <c r="G494" s="37"/>
      <c r="J494" s="41"/>
      <c r="K494" s="21"/>
    </row>
    <row r="495" spans="2:13" x14ac:dyDescent="0.25">
      <c r="B495" s="37"/>
      <c r="C495" s="37"/>
      <c r="G495" s="37"/>
      <c r="J495" s="41"/>
      <c r="K495" s="21"/>
    </row>
    <row r="496" spans="2:13" x14ac:dyDescent="0.25">
      <c r="B496" s="37"/>
      <c r="C496" s="37"/>
      <c r="G496" s="37"/>
      <c r="J496" s="41"/>
      <c r="K496" s="21"/>
    </row>
    <row r="497" spans="2:17" x14ac:dyDescent="0.25">
      <c r="B497" s="37"/>
      <c r="C497" s="37"/>
      <c r="G497" s="22"/>
      <c r="J497" s="41"/>
      <c r="K497" s="21"/>
    </row>
    <row r="498" spans="2:17" x14ac:dyDescent="0.25">
      <c r="B498" s="37"/>
      <c r="C498" s="37"/>
      <c r="G498" s="37"/>
      <c r="J498" s="41"/>
      <c r="K498" s="21"/>
    </row>
    <row r="499" spans="2:17" x14ac:dyDescent="0.25">
      <c r="B499" s="37"/>
      <c r="C499" s="37"/>
      <c r="G499" s="37"/>
      <c r="J499" s="41"/>
      <c r="K499" s="21"/>
    </row>
    <row r="500" spans="2:17" x14ac:dyDescent="0.25">
      <c r="B500" s="37"/>
      <c r="C500" s="37"/>
      <c r="G500" s="22"/>
      <c r="J500" s="41"/>
      <c r="K500" s="21"/>
    </row>
    <row r="501" spans="2:17" x14ac:dyDescent="0.25">
      <c r="B501" s="37"/>
      <c r="C501" s="37"/>
      <c r="G501" s="37"/>
      <c r="J501" s="41"/>
      <c r="K501" s="21"/>
    </row>
    <row r="502" spans="2:17" x14ac:dyDescent="0.25">
      <c r="B502" s="37"/>
      <c r="C502" s="37"/>
      <c r="G502" s="22"/>
      <c r="J502" s="41"/>
      <c r="K502" s="21"/>
    </row>
    <row r="503" spans="2:17" x14ac:dyDescent="0.25">
      <c r="B503" s="37"/>
      <c r="C503" s="37"/>
      <c r="G503" s="22"/>
      <c r="J503" s="41"/>
      <c r="K503" s="21"/>
      <c r="Q503" s="57"/>
    </row>
    <row r="504" spans="2:17" x14ac:dyDescent="0.25">
      <c r="B504" s="37"/>
      <c r="C504" s="37"/>
      <c r="G504" s="22"/>
      <c r="J504" s="41"/>
      <c r="K504" s="21"/>
    </row>
    <row r="505" spans="2:17" x14ac:dyDescent="0.25">
      <c r="B505" s="37"/>
      <c r="C505" s="37"/>
      <c r="G505" s="22"/>
      <c r="J505" s="41"/>
      <c r="K505" s="21"/>
    </row>
    <row r="506" spans="2:17" x14ac:dyDescent="0.25">
      <c r="B506" s="37"/>
      <c r="C506" s="37"/>
      <c r="G506" s="37"/>
      <c r="J506" s="41"/>
      <c r="K506" s="21"/>
    </row>
    <row r="507" spans="2:17" x14ac:dyDescent="0.25">
      <c r="B507" s="37"/>
      <c r="C507" s="37"/>
      <c r="G507" s="22"/>
      <c r="J507" s="41"/>
      <c r="K507" s="21"/>
    </row>
    <row r="508" spans="2:17" x14ac:dyDescent="0.25">
      <c r="B508" s="37"/>
      <c r="C508" s="37"/>
      <c r="G508" s="37"/>
      <c r="J508" s="41"/>
      <c r="K508" s="21"/>
    </row>
    <row r="509" spans="2:17" x14ac:dyDescent="0.25">
      <c r="B509" s="37"/>
      <c r="C509" s="37"/>
      <c r="G509" s="22"/>
      <c r="J509" s="41"/>
      <c r="K509" s="21"/>
    </row>
    <row r="510" spans="2:17" x14ac:dyDescent="0.25">
      <c r="B510" s="37"/>
      <c r="C510" s="37"/>
      <c r="G510" s="37"/>
      <c r="J510" s="29"/>
      <c r="K510" s="21"/>
      <c r="M510" s="19"/>
    </row>
    <row r="511" spans="2:17" x14ac:dyDescent="0.25">
      <c r="B511" s="37"/>
      <c r="C511" s="37"/>
      <c r="G511" s="22"/>
      <c r="J511" s="41"/>
      <c r="K511" s="21"/>
    </row>
    <row r="512" spans="2:17" x14ac:dyDescent="0.25">
      <c r="B512" s="37"/>
      <c r="C512" s="37"/>
      <c r="G512" s="37"/>
      <c r="J512" s="41"/>
      <c r="K512" s="21"/>
    </row>
    <row r="513" spans="2:11" x14ac:dyDescent="0.25">
      <c r="B513" s="37"/>
      <c r="C513" s="37"/>
      <c r="G513" s="37"/>
      <c r="J513" s="41"/>
      <c r="K513" s="21"/>
    </row>
    <row r="514" spans="2:11" x14ac:dyDescent="0.25">
      <c r="B514" s="37"/>
      <c r="C514" s="37"/>
      <c r="G514" s="37"/>
      <c r="J514" s="41"/>
      <c r="K514" s="21"/>
    </row>
    <row r="515" spans="2:11" x14ac:dyDescent="0.25">
      <c r="B515" s="37"/>
      <c r="C515" s="37"/>
      <c r="G515" s="38"/>
      <c r="J515" s="41"/>
      <c r="K515" s="21"/>
    </row>
    <row r="516" spans="2:11" x14ac:dyDescent="0.25">
      <c r="B516" s="37"/>
      <c r="C516" s="37"/>
      <c r="G516" s="37"/>
      <c r="H516" s="42"/>
      <c r="J516" s="41"/>
      <c r="K516" s="21"/>
    </row>
    <row r="517" spans="2:11" x14ac:dyDescent="0.25">
      <c r="B517" s="37"/>
      <c r="C517" s="37"/>
      <c r="G517" s="37"/>
      <c r="J517" s="41"/>
      <c r="K517" s="21"/>
    </row>
    <row r="518" spans="2:11" x14ac:dyDescent="0.25">
      <c r="B518" s="37"/>
      <c r="C518" s="37"/>
      <c r="G518" s="37"/>
      <c r="H518" s="42"/>
      <c r="J518" s="41"/>
      <c r="K518" s="21"/>
    </row>
    <row r="519" spans="2:11" x14ac:dyDescent="0.25">
      <c r="B519" s="37"/>
      <c r="C519" s="37"/>
      <c r="G519" s="22"/>
      <c r="H519" s="42"/>
      <c r="J519" s="41"/>
      <c r="K519" s="21"/>
    </row>
    <row r="520" spans="2:11" x14ac:dyDescent="0.25">
      <c r="B520" s="37"/>
      <c r="C520" s="37"/>
      <c r="G520" s="37"/>
      <c r="H520" s="42"/>
      <c r="J520" s="41"/>
      <c r="K520" s="21"/>
    </row>
    <row r="521" spans="2:11" x14ac:dyDescent="0.25">
      <c r="B521" s="37"/>
      <c r="C521" s="37"/>
      <c r="G521" s="22"/>
      <c r="H521" s="42"/>
      <c r="J521" s="41"/>
      <c r="K521" s="21"/>
    </row>
    <row r="522" spans="2:11" x14ac:dyDescent="0.25">
      <c r="B522" s="37"/>
      <c r="C522" s="37"/>
      <c r="G522" s="22"/>
      <c r="H522" s="42"/>
      <c r="J522" s="41"/>
      <c r="K522" s="21"/>
    </row>
    <row r="523" spans="2:11" x14ac:dyDescent="0.25">
      <c r="B523" s="37"/>
      <c r="C523" s="37"/>
      <c r="G523" s="37"/>
      <c r="J523" s="41"/>
      <c r="K523" s="21"/>
    </row>
    <row r="524" spans="2:11" x14ac:dyDescent="0.25">
      <c r="B524" s="37"/>
      <c r="C524" s="37"/>
      <c r="G524" s="22"/>
      <c r="J524" s="41"/>
      <c r="K524" s="21"/>
    </row>
    <row r="525" spans="2:11" x14ac:dyDescent="0.25">
      <c r="B525" s="37"/>
      <c r="C525" s="37"/>
      <c r="G525" s="37"/>
      <c r="J525" s="41"/>
      <c r="K525" s="21"/>
    </row>
    <row r="526" spans="2:11" x14ac:dyDescent="0.25">
      <c r="B526" s="37"/>
      <c r="C526" s="37"/>
      <c r="G526" s="22"/>
      <c r="J526" s="41"/>
      <c r="K526" s="21"/>
    </row>
    <row r="527" spans="2:11" x14ac:dyDescent="0.25">
      <c r="B527" s="37"/>
      <c r="C527" s="37"/>
      <c r="G527" s="22"/>
      <c r="J527" s="41"/>
      <c r="K527" s="21"/>
    </row>
    <row r="528" spans="2:11" x14ac:dyDescent="0.25">
      <c r="B528" s="37"/>
      <c r="C528" s="37"/>
      <c r="G528" s="37"/>
      <c r="J528" s="41"/>
      <c r="K528" s="21"/>
    </row>
    <row r="529" spans="2:11" x14ac:dyDescent="0.25">
      <c r="B529" s="37"/>
      <c r="C529" s="37"/>
      <c r="G529" s="37"/>
      <c r="J529" s="41"/>
      <c r="K529" s="21"/>
    </row>
    <row r="530" spans="2:11" x14ac:dyDescent="0.25">
      <c r="B530" s="37"/>
      <c r="C530" s="37"/>
      <c r="G530" s="37"/>
      <c r="J530" s="41"/>
      <c r="K530" s="21"/>
    </row>
    <row r="531" spans="2:11" x14ac:dyDescent="0.25">
      <c r="B531" s="37"/>
      <c r="C531" s="37"/>
      <c r="G531" s="22"/>
      <c r="J531" s="41"/>
      <c r="K531" s="21"/>
    </row>
    <row r="532" spans="2:11" x14ac:dyDescent="0.25">
      <c r="B532" s="37"/>
      <c r="C532" s="37"/>
      <c r="G532" s="37"/>
      <c r="J532" s="41"/>
      <c r="K532" s="21"/>
    </row>
    <row r="533" spans="2:11" x14ac:dyDescent="0.25">
      <c r="B533" s="37"/>
      <c r="C533" s="37"/>
      <c r="G533" s="37"/>
      <c r="H533" s="42"/>
      <c r="J533" s="41"/>
      <c r="K533" s="21"/>
    </row>
    <row r="534" spans="2:11" x14ac:dyDescent="0.25">
      <c r="B534" s="37"/>
      <c r="C534" s="37"/>
      <c r="G534" s="37"/>
      <c r="H534" s="42"/>
      <c r="J534" s="41"/>
      <c r="K534" s="21"/>
    </row>
    <row r="535" spans="2:11" x14ac:dyDescent="0.25">
      <c r="B535" s="37"/>
      <c r="C535" s="37"/>
      <c r="G535" s="37"/>
      <c r="H535" s="42"/>
      <c r="J535" s="41"/>
      <c r="K535" s="21"/>
    </row>
    <row r="536" spans="2:11" x14ac:dyDescent="0.25">
      <c r="B536" s="37"/>
      <c r="C536" s="37"/>
      <c r="G536" s="37"/>
      <c r="H536" s="42"/>
      <c r="J536" s="41"/>
      <c r="K536" s="21"/>
    </row>
    <row r="537" spans="2:11" x14ac:dyDescent="0.25">
      <c r="B537" s="37"/>
      <c r="C537" s="37"/>
      <c r="G537" s="37"/>
      <c r="H537" s="42"/>
      <c r="J537" s="41"/>
      <c r="K537" s="21"/>
    </row>
    <row r="538" spans="2:11" x14ac:dyDescent="0.25">
      <c r="B538" s="37"/>
      <c r="C538" s="37"/>
      <c r="G538" s="37"/>
      <c r="J538" s="29"/>
      <c r="K538" s="21"/>
    </row>
    <row r="539" spans="2:11" x14ac:dyDescent="0.25">
      <c r="B539" s="37"/>
      <c r="C539" s="37"/>
      <c r="G539" s="37"/>
      <c r="J539" s="29"/>
      <c r="K539" s="21"/>
    </row>
    <row r="540" spans="2:11" x14ac:dyDescent="0.25">
      <c r="B540" s="37"/>
      <c r="C540" s="37"/>
      <c r="G540" s="37"/>
      <c r="J540" s="29"/>
      <c r="K540" s="21"/>
    </row>
    <row r="541" spans="2:11" x14ac:dyDescent="0.25">
      <c r="B541" s="37"/>
      <c r="C541" s="37"/>
      <c r="G541" s="22"/>
      <c r="J541" s="41"/>
      <c r="K541" s="21"/>
    </row>
    <row r="542" spans="2:11" x14ac:dyDescent="0.25">
      <c r="B542" s="37"/>
      <c r="C542" s="37"/>
      <c r="G542" s="22"/>
      <c r="J542" s="41"/>
      <c r="K542" s="21"/>
    </row>
    <row r="543" spans="2:11" x14ac:dyDescent="0.25">
      <c r="B543" s="37"/>
      <c r="C543" s="37"/>
      <c r="G543" s="37"/>
      <c r="J543" s="41"/>
      <c r="K543" s="21"/>
    </row>
    <row r="544" spans="2:11" x14ac:dyDescent="0.25">
      <c r="B544" s="37"/>
      <c r="C544" s="37"/>
      <c r="G544" s="37"/>
      <c r="J544" s="41"/>
      <c r="K544" s="21"/>
    </row>
    <row r="545" spans="2:11" x14ac:dyDescent="0.25">
      <c r="B545" s="37"/>
      <c r="C545" s="37"/>
      <c r="G545" s="37"/>
      <c r="J545" s="41"/>
      <c r="K545" s="21"/>
    </row>
    <row r="546" spans="2:11" x14ac:dyDescent="0.25">
      <c r="B546" s="37"/>
      <c r="C546" s="37"/>
      <c r="G546" s="22"/>
      <c r="J546" s="41"/>
      <c r="K546" s="21"/>
    </row>
    <row r="547" spans="2:11" x14ac:dyDescent="0.25">
      <c r="B547" s="37"/>
      <c r="C547" s="37"/>
      <c r="G547" s="22"/>
      <c r="J547" s="41"/>
      <c r="K547" s="21"/>
    </row>
    <row r="548" spans="2:11" x14ac:dyDescent="0.25">
      <c r="B548" s="37"/>
      <c r="C548" s="37"/>
      <c r="E548" s="58"/>
      <c r="G548" s="59"/>
      <c r="J548" s="41"/>
      <c r="K548" s="21"/>
    </row>
    <row r="549" spans="2:11" x14ac:dyDescent="0.25">
      <c r="B549" s="37"/>
      <c r="C549" s="37"/>
      <c r="E549" s="58"/>
      <c r="G549" s="59"/>
      <c r="J549" s="41"/>
      <c r="K549" s="21"/>
    </row>
    <row r="550" spans="2:11" x14ac:dyDescent="0.25">
      <c r="B550" s="37"/>
      <c r="C550" s="37"/>
      <c r="E550" s="58"/>
      <c r="G550" s="59"/>
      <c r="J550" s="41"/>
      <c r="K550" s="21"/>
    </row>
    <row r="551" spans="2:11" x14ac:dyDescent="0.25">
      <c r="B551" s="37"/>
      <c r="C551" s="37"/>
      <c r="E551" s="58"/>
      <c r="G551" s="59"/>
      <c r="J551" s="41"/>
      <c r="K551" s="21"/>
    </row>
    <row r="552" spans="2:11" x14ac:dyDescent="0.25">
      <c r="B552" s="37"/>
      <c r="C552" s="37"/>
      <c r="E552" s="58"/>
      <c r="G552" s="59"/>
      <c r="J552" s="41"/>
      <c r="K552" s="21"/>
    </row>
    <row r="553" spans="2:11" x14ac:dyDescent="0.25">
      <c r="B553" s="37"/>
      <c r="C553" s="37"/>
      <c r="E553" s="58"/>
      <c r="G553" s="59"/>
      <c r="J553" s="41"/>
      <c r="K553" s="21"/>
    </row>
    <row r="554" spans="2:11" x14ac:dyDescent="0.25">
      <c r="B554" s="37"/>
      <c r="C554" s="37"/>
      <c r="E554" s="58"/>
      <c r="G554" s="59"/>
      <c r="J554" s="41"/>
      <c r="K554" s="21"/>
    </row>
    <row r="555" spans="2:11" x14ac:dyDescent="0.25">
      <c r="B555" s="37"/>
      <c r="C555" s="37"/>
      <c r="E555" s="58"/>
      <c r="G555" s="59"/>
      <c r="J555" s="41"/>
      <c r="K555" s="21"/>
    </row>
    <row r="556" spans="2:11" x14ac:dyDescent="0.25">
      <c r="B556" s="37"/>
      <c r="C556" s="37"/>
      <c r="E556" s="58"/>
      <c r="G556" s="59"/>
      <c r="J556" s="41"/>
      <c r="K556" s="21"/>
    </row>
    <row r="557" spans="2:11" x14ac:dyDescent="0.25">
      <c r="B557" s="37"/>
      <c r="C557" s="37"/>
      <c r="G557" s="22"/>
      <c r="J557" s="41"/>
      <c r="K557" s="21"/>
    </row>
    <row r="558" spans="2:11" x14ac:dyDescent="0.25">
      <c r="B558" s="37"/>
      <c r="C558" s="37"/>
      <c r="G558" s="22"/>
      <c r="J558" s="41"/>
      <c r="K558" s="21"/>
    </row>
    <row r="559" spans="2:11" x14ac:dyDescent="0.25">
      <c r="B559" s="37"/>
      <c r="C559" s="37"/>
      <c r="G559" s="59"/>
      <c r="J559" s="41"/>
      <c r="K559" s="21"/>
    </row>
    <row r="560" spans="2:11" x14ac:dyDescent="0.25">
      <c r="B560" s="37"/>
      <c r="C560" s="37"/>
      <c r="G560" s="59"/>
      <c r="J560" s="41"/>
      <c r="K560" s="21"/>
    </row>
    <row r="561" spans="2:11" x14ac:dyDescent="0.25">
      <c r="B561" s="37"/>
      <c r="C561" s="37"/>
      <c r="G561" s="59"/>
      <c r="H561" s="42"/>
      <c r="J561" s="41"/>
      <c r="K561" s="21"/>
    </row>
    <row r="562" spans="2:11" x14ac:dyDescent="0.25">
      <c r="B562" s="37"/>
      <c r="C562" s="37"/>
      <c r="G562" s="59"/>
      <c r="J562" s="41"/>
      <c r="K562" s="21"/>
    </row>
    <row r="563" spans="2:11" x14ac:dyDescent="0.25">
      <c r="B563" s="37"/>
      <c r="C563" s="37"/>
      <c r="E563" s="17"/>
      <c r="F563" s="17"/>
      <c r="G563" s="37"/>
      <c r="J563" s="29"/>
      <c r="K563" s="21"/>
    </row>
    <row r="564" spans="2:11" x14ac:dyDescent="0.25">
      <c r="B564" s="37"/>
      <c r="C564" s="37"/>
      <c r="G564" s="59"/>
      <c r="J564" s="41"/>
      <c r="K564" s="21"/>
    </row>
    <row r="565" spans="2:11" x14ac:dyDescent="0.25">
      <c r="B565" s="37"/>
      <c r="C565" s="37"/>
      <c r="G565" s="59"/>
      <c r="J565" s="41"/>
      <c r="K565" s="21"/>
    </row>
    <row r="566" spans="2:11" x14ac:dyDescent="0.25">
      <c r="B566" s="37"/>
      <c r="C566" s="37"/>
      <c r="D566" s="43"/>
      <c r="G566" s="59"/>
      <c r="J566" s="41"/>
      <c r="K566" s="21"/>
    </row>
    <row r="567" spans="2:11" x14ac:dyDescent="0.25">
      <c r="B567" s="37"/>
      <c r="C567" s="37"/>
      <c r="D567" s="43"/>
      <c r="G567" s="22"/>
      <c r="J567" s="41"/>
      <c r="K567" s="21"/>
    </row>
    <row r="568" spans="2:11" x14ac:dyDescent="0.25">
      <c r="B568" s="37"/>
      <c r="C568" s="37"/>
      <c r="G568" s="59"/>
      <c r="J568" s="29"/>
      <c r="K568" s="21"/>
    </row>
    <row r="569" spans="2:11" x14ac:dyDescent="0.25">
      <c r="B569" s="37"/>
      <c r="C569" s="37"/>
      <c r="G569" s="59"/>
      <c r="J569" s="29"/>
      <c r="K569" s="21"/>
    </row>
    <row r="570" spans="2:11" x14ac:dyDescent="0.25">
      <c r="B570" s="37"/>
      <c r="C570" s="37"/>
      <c r="G570" s="59"/>
      <c r="J570" s="29"/>
      <c r="K570" s="21"/>
    </row>
    <row r="571" spans="2:11" x14ac:dyDescent="0.25">
      <c r="B571" s="37"/>
      <c r="C571" s="37"/>
      <c r="G571" s="59"/>
      <c r="J571" s="29"/>
      <c r="K571" s="21"/>
    </row>
    <row r="572" spans="2:11" x14ac:dyDescent="0.25">
      <c r="B572" s="37"/>
      <c r="C572" s="37"/>
      <c r="D572" s="43"/>
      <c r="G572" s="22"/>
      <c r="J572" s="41"/>
      <c r="K572" s="21"/>
    </row>
    <row r="573" spans="2:11" x14ac:dyDescent="0.25">
      <c r="B573" s="37"/>
      <c r="C573" s="37"/>
      <c r="D573" s="43"/>
      <c r="G573" s="59"/>
      <c r="J573" s="41"/>
      <c r="K573" s="21"/>
    </row>
    <row r="574" spans="2:11" x14ac:dyDescent="0.25">
      <c r="B574" s="37"/>
      <c r="C574" s="37"/>
      <c r="G574" s="59"/>
      <c r="J574" s="41"/>
      <c r="K574" s="21"/>
    </row>
    <row r="575" spans="2:11" x14ac:dyDescent="0.25">
      <c r="B575" s="37"/>
      <c r="C575" s="37"/>
      <c r="G575" s="59"/>
      <c r="J575" s="41"/>
      <c r="K575" s="21"/>
    </row>
    <row r="576" spans="2:11" x14ac:dyDescent="0.25">
      <c r="B576" s="37"/>
      <c r="C576" s="37"/>
      <c r="G576" s="22"/>
      <c r="J576" s="41"/>
      <c r="K576" s="21"/>
    </row>
    <row r="577" spans="2:11" x14ac:dyDescent="0.25">
      <c r="B577" s="37"/>
      <c r="C577" s="37"/>
      <c r="G577" s="59"/>
      <c r="J577" s="41"/>
      <c r="K577" s="21"/>
    </row>
    <row r="578" spans="2:11" x14ac:dyDescent="0.25">
      <c r="B578" s="37"/>
      <c r="C578" s="37"/>
      <c r="G578" s="59"/>
      <c r="J578" s="41"/>
      <c r="K578" s="21"/>
    </row>
    <row r="579" spans="2:11" x14ac:dyDescent="0.25">
      <c r="B579" s="37"/>
      <c r="C579" s="37"/>
      <c r="G579" s="59"/>
      <c r="J579" s="41"/>
      <c r="K579" s="21"/>
    </row>
    <row r="580" spans="2:11" x14ac:dyDescent="0.25">
      <c r="B580" s="37"/>
      <c r="C580" s="37"/>
      <c r="G580" s="59"/>
      <c r="J580" s="41"/>
      <c r="K580" s="21"/>
    </row>
    <row r="581" spans="2:11" x14ac:dyDescent="0.25">
      <c r="B581" s="37"/>
      <c r="C581" s="37"/>
      <c r="G581" s="59"/>
      <c r="J581" s="41"/>
      <c r="K581" s="21"/>
    </row>
    <row r="582" spans="2:11" x14ac:dyDescent="0.25">
      <c r="B582" s="37"/>
      <c r="C582" s="37"/>
      <c r="G582" s="59"/>
      <c r="J582" s="41"/>
      <c r="K582" s="21"/>
    </row>
    <row r="583" spans="2:11" x14ac:dyDescent="0.25">
      <c r="B583" s="37"/>
      <c r="C583" s="37"/>
      <c r="G583" s="59"/>
      <c r="J583" s="41"/>
      <c r="K583" s="21"/>
    </row>
    <row r="584" spans="2:11" x14ac:dyDescent="0.25">
      <c r="B584" s="37"/>
      <c r="C584" s="37"/>
      <c r="G584" s="59"/>
      <c r="J584" s="41"/>
      <c r="K584" s="21"/>
    </row>
    <row r="585" spans="2:11" x14ac:dyDescent="0.25">
      <c r="B585" s="37"/>
      <c r="C585" s="37"/>
      <c r="G585" s="59"/>
      <c r="J585" s="41"/>
      <c r="K585" s="21"/>
    </row>
    <row r="586" spans="2:11" x14ac:dyDescent="0.25">
      <c r="B586" s="37"/>
      <c r="C586" s="37"/>
      <c r="G586" s="22"/>
      <c r="J586" s="41"/>
      <c r="K586" s="21"/>
    </row>
    <row r="587" spans="2:11" x14ac:dyDescent="0.25">
      <c r="B587" s="37"/>
      <c r="C587" s="37"/>
      <c r="G587" s="59"/>
      <c r="J587" s="41"/>
      <c r="K587" s="21"/>
    </row>
    <row r="588" spans="2:11" x14ac:dyDescent="0.25">
      <c r="B588" s="37"/>
      <c r="C588" s="37"/>
      <c r="G588" s="22"/>
      <c r="J588" s="41"/>
      <c r="K588" s="21"/>
    </row>
    <row r="589" spans="2:11" x14ac:dyDescent="0.25">
      <c r="B589" s="37"/>
      <c r="C589" s="37"/>
      <c r="G589" s="22"/>
      <c r="J589" s="41"/>
      <c r="K589" s="21"/>
    </row>
    <row r="590" spans="2:11" x14ac:dyDescent="0.25">
      <c r="B590" s="37"/>
      <c r="C590" s="37"/>
      <c r="G590" s="22"/>
      <c r="J590" s="41"/>
      <c r="K590" s="21"/>
    </row>
    <row r="591" spans="2:11" x14ac:dyDescent="0.25">
      <c r="B591" s="37"/>
      <c r="C591" s="37"/>
      <c r="E591" s="17"/>
      <c r="F591" s="17"/>
      <c r="G591" s="37"/>
      <c r="H591" s="28"/>
      <c r="J591" s="41"/>
      <c r="K591" s="21"/>
    </row>
    <row r="592" spans="2:11" x14ac:dyDescent="0.25">
      <c r="B592" s="37"/>
      <c r="C592" s="37"/>
      <c r="G592" s="37"/>
      <c r="J592" s="41"/>
      <c r="K592" s="21"/>
    </row>
    <row r="593" spans="2:11" x14ac:dyDescent="0.25">
      <c r="B593" s="37"/>
      <c r="C593" s="37"/>
      <c r="G593" s="22"/>
      <c r="J593" s="41"/>
      <c r="K593" s="21"/>
    </row>
    <row r="594" spans="2:11" x14ac:dyDescent="0.25">
      <c r="B594" s="37"/>
      <c r="C594" s="37"/>
      <c r="G594" s="22"/>
      <c r="J594" s="41"/>
      <c r="K594" s="21"/>
    </row>
    <row r="595" spans="2:11" x14ac:dyDescent="0.25">
      <c r="B595" s="37"/>
      <c r="C595" s="37"/>
      <c r="G595" s="22"/>
      <c r="J595" s="41"/>
      <c r="K595" s="21"/>
    </row>
    <row r="596" spans="2:11" x14ac:dyDescent="0.25">
      <c r="B596" s="37"/>
      <c r="C596" s="37"/>
      <c r="G596" s="22"/>
      <c r="J596" s="41"/>
      <c r="K596" s="21"/>
    </row>
    <row r="597" spans="2:11" x14ac:dyDescent="0.25">
      <c r="B597" s="37"/>
      <c r="C597" s="37"/>
      <c r="G597" s="22"/>
      <c r="J597" s="41"/>
      <c r="K597" s="21"/>
    </row>
    <row r="598" spans="2:11" x14ac:dyDescent="0.25">
      <c r="B598" s="37"/>
      <c r="C598" s="37"/>
      <c r="G598" s="37"/>
      <c r="J598" s="41"/>
      <c r="K598" s="21"/>
    </row>
    <row r="599" spans="2:11" x14ac:dyDescent="0.25">
      <c r="B599" s="37"/>
      <c r="C599" s="37"/>
      <c r="G599" s="22"/>
      <c r="J599" s="41"/>
      <c r="K599" s="21"/>
    </row>
    <row r="600" spans="2:11" x14ac:dyDescent="0.25">
      <c r="B600" s="37"/>
      <c r="C600" s="37"/>
      <c r="G600" s="37"/>
      <c r="J600" s="41"/>
      <c r="K600" s="21"/>
    </row>
    <row r="601" spans="2:11" x14ac:dyDescent="0.25">
      <c r="B601" s="37"/>
      <c r="C601" s="37"/>
      <c r="G601" s="22"/>
      <c r="J601" s="41"/>
      <c r="K601" s="21"/>
    </row>
    <row r="602" spans="2:11" x14ac:dyDescent="0.25">
      <c r="B602" s="37"/>
      <c r="C602" s="37"/>
      <c r="G602" s="22"/>
      <c r="J602" s="41"/>
      <c r="K602" s="21"/>
    </row>
    <row r="603" spans="2:11" x14ac:dyDescent="0.25">
      <c r="B603" s="37"/>
      <c r="C603" s="37"/>
      <c r="G603" s="37"/>
      <c r="J603" s="41"/>
      <c r="K603" s="21"/>
    </row>
    <row r="604" spans="2:11" x14ac:dyDescent="0.25">
      <c r="B604" s="37"/>
      <c r="C604" s="37"/>
      <c r="G604" s="22"/>
      <c r="J604" s="41"/>
      <c r="K604" s="21"/>
    </row>
    <row r="605" spans="2:11" x14ac:dyDescent="0.25">
      <c r="B605" s="37"/>
      <c r="C605" s="37"/>
      <c r="G605" s="37"/>
      <c r="J605" s="41"/>
      <c r="K605" s="21"/>
    </row>
    <row r="606" spans="2:11" x14ac:dyDescent="0.25">
      <c r="B606" s="37"/>
      <c r="C606" s="37"/>
      <c r="G606" s="22"/>
      <c r="J606" s="41"/>
      <c r="K606" s="21"/>
    </row>
    <row r="607" spans="2:11" x14ac:dyDescent="0.25">
      <c r="B607" s="37"/>
      <c r="C607" s="37"/>
      <c r="G607" s="22"/>
      <c r="J607" s="41"/>
      <c r="K607" s="21"/>
    </row>
    <row r="608" spans="2:11" x14ac:dyDescent="0.25">
      <c r="B608" s="37"/>
      <c r="C608" s="37"/>
      <c r="G608" s="22"/>
      <c r="J608" s="41"/>
      <c r="K608" s="21"/>
    </row>
    <row r="609" spans="2:11" x14ac:dyDescent="0.25">
      <c r="B609" s="37"/>
      <c r="C609" s="37"/>
      <c r="G609" s="37"/>
      <c r="J609" s="41"/>
      <c r="K609" s="21"/>
    </row>
    <row r="610" spans="2:11" x14ac:dyDescent="0.25">
      <c r="B610" s="37"/>
      <c r="C610" s="37"/>
      <c r="G610" s="37"/>
      <c r="J610" s="41"/>
      <c r="K610" s="21"/>
    </row>
    <row r="611" spans="2:11" x14ac:dyDescent="0.25">
      <c r="B611" s="37"/>
      <c r="C611" s="37"/>
      <c r="G611" s="37"/>
      <c r="J611" s="41"/>
      <c r="K611" s="21"/>
    </row>
    <row r="612" spans="2:11" x14ac:dyDescent="0.25">
      <c r="B612" s="37"/>
      <c r="C612" s="37"/>
      <c r="G612" s="37"/>
      <c r="J612" s="41"/>
      <c r="K612" s="21"/>
    </row>
    <row r="613" spans="2:11" x14ac:dyDescent="0.25">
      <c r="B613" s="37"/>
      <c r="C613" s="37"/>
      <c r="G613" s="37"/>
      <c r="J613" s="41"/>
      <c r="K613" s="21"/>
    </row>
    <row r="614" spans="2:11" x14ac:dyDescent="0.25">
      <c r="B614" s="37"/>
      <c r="C614" s="37"/>
      <c r="G614" s="37"/>
      <c r="J614" s="41"/>
      <c r="K614" s="21"/>
    </row>
    <row r="615" spans="2:11" x14ac:dyDescent="0.25">
      <c r="B615" s="37"/>
      <c r="C615" s="37"/>
      <c r="G615" s="37"/>
      <c r="J615" s="41"/>
      <c r="K615" s="21"/>
    </row>
    <row r="616" spans="2:11" x14ac:dyDescent="0.25">
      <c r="B616" s="37"/>
      <c r="C616" s="37"/>
      <c r="G616" s="37"/>
      <c r="J616" s="41"/>
      <c r="K616" s="21"/>
    </row>
    <row r="617" spans="2:11" x14ac:dyDescent="0.25">
      <c r="B617" s="37"/>
      <c r="C617" s="37"/>
      <c r="G617" s="37"/>
      <c r="J617" s="41"/>
      <c r="K617" s="21"/>
    </row>
    <row r="618" spans="2:11" x14ac:dyDescent="0.25">
      <c r="B618" s="37"/>
      <c r="C618" s="37"/>
      <c r="G618" s="37"/>
      <c r="J618" s="41"/>
      <c r="K618" s="21"/>
    </row>
    <row r="619" spans="2:11" x14ac:dyDescent="0.25">
      <c r="B619" s="37"/>
      <c r="C619" s="37"/>
      <c r="G619" s="37"/>
      <c r="J619" s="41"/>
      <c r="K619" s="21"/>
    </row>
    <row r="620" spans="2:11" x14ac:dyDescent="0.25">
      <c r="B620" s="37"/>
      <c r="C620" s="37"/>
      <c r="G620" s="37"/>
      <c r="J620" s="41"/>
      <c r="K620" s="21"/>
    </row>
    <row r="621" spans="2:11" x14ac:dyDescent="0.25">
      <c r="B621" s="37"/>
      <c r="C621" s="37"/>
      <c r="G621" s="37"/>
      <c r="J621" s="41"/>
      <c r="K621" s="21"/>
    </row>
    <row r="622" spans="2:11" x14ac:dyDescent="0.25">
      <c r="B622" s="37"/>
      <c r="C622" s="37"/>
      <c r="G622" s="37"/>
      <c r="J622" s="41"/>
      <c r="K622" s="21"/>
    </row>
    <row r="623" spans="2:11" x14ac:dyDescent="0.25">
      <c r="B623" s="37"/>
      <c r="C623" s="37"/>
      <c r="G623" s="37"/>
      <c r="J623" s="41"/>
      <c r="K623" s="21"/>
    </row>
    <row r="624" spans="2:11" x14ac:dyDescent="0.25">
      <c r="B624" s="37"/>
      <c r="C624" s="37"/>
      <c r="G624" s="37"/>
      <c r="J624" s="41"/>
      <c r="K624" s="21"/>
    </row>
    <row r="625" spans="2:11" x14ac:dyDescent="0.25">
      <c r="B625" s="37"/>
      <c r="C625" s="37"/>
      <c r="G625" s="37"/>
      <c r="J625" s="41"/>
      <c r="K625" s="21"/>
    </row>
    <row r="626" spans="2:11" x14ac:dyDescent="0.25">
      <c r="B626" s="37"/>
      <c r="C626" s="37"/>
      <c r="G626" s="37"/>
      <c r="J626" s="41"/>
      <c r="K626" s="21"/>
    </row>
    <row r="627" spans="2:11" x14ac:dyDescent="0.25">
      <c r="B627" s="37"/>
      <c r="C627" s="37"/>
      <c r="G627" s="22"/>
      <c r="J627" s="41"/>
      <c r="K627" s="21"/>
    </row>
    <row r="628" spans="2:11" x14ac:dyDescent="0.25">
      <c r="B628" s="37"/>
      <c r="C628" s="37"/>
      <c r="G628" s="37"/>
      <c r="J628" s="41"/>
      <c r="K628" s="21"/>
    </row>
    <row r="629" spans="2:11" x14ac:dyDescent="0.25">
      <c r="B629" s="37"/>
      <c r="C629" s="37"/>
      <c r="G629" s="37"/>
      <c r="J629" s="41"/>
      <c r="K629" s="21"/>
    </row>
    <row r="630" spans="2:11" x14ac:dyDescent="0.25">
      <c r="B630" s="37"/>
      <c r="C630" s="37"/>
      <c r="G630" s="37"/>
      <c r="J630" s="41"/>
      <c r="K630" s="21"/>
    </row>
    <row r="631" spans="2:11" x14ac:dyDescent="0.25">
      <c r="B631" s="37"/>
      <c r="C631" s="37"/>
      <c r="G631" s="37"/>
      <c r="J631" s="41"/>
      <c r="K631" s="21"/>
    </row>
    <row r="632" spans="2:11" x14ac:dyDescent="0.25">
      <c r="B632" s="37"/>
      <c r="C632" s="37"/>
      <c r="G632" s="37"/>
      <c r="J632" s="41"/>
      <c r="K632" s="21"/>
    </row>
    <row r="633" spans="2:11" x14ac:dyDescent="0.25">
      <c r="B633" s="37"/>
      <c r="C633" s="37"/>
      <c r="G633" s="37"/>
      <c r="J633" s="41"/>
      <c r="K633" s="21"/>
    </row>
    <row r="634" spans="2:11" x14ac:dyDescent="0.25">
      <c r="B634" s="37"/>
      <c r="C634" s="37"/>
      <c r="G634" s="37"/>
      <c r="J634" s="41"/>
      <c r="K634" s="21"/>
    </row>
    <row r="635" spans="2:11" x14ac:dyDescent="0.25">
      <c r="B635" s="37"/>
      <c r="C635" s="37"/>
      <c r="G635" s="37"/>
      <c r="J635" s="41"/>
      <c r="K635" s="21"/>
    </row>
    <row r="636" spans="2:11" x14ac:dyDescent="0.25">
      <c r="B636" s="37"/>
      <c r="C636" s="37"/>
      <c r="G636" s="37"/>
      <c r="J636" s="41"/>
      <c r="K636" s="21"/>
    </row>
    <row r="637" spans="2:11" x14ac:dyDescent="0.25">
      <c r="B637" s="37"/>
      <c r="C637" s="37"/>
      <c r="G637" s="37"/>
      <c r="J637" s="41"/>
      <c r="K637" s="21"/>
    </row>
    <row r="638" spans="2:11" x14ac:dyDescent="0.25">
      <c r="B638" s="37"/>
      <c r="C638" s="37"/>
      <c r="G638" s="37"/>
      <c r="J638" s="41"/>
      <c r="K638" s="21"/>
    </row>
    <row r="639" spans="2:11" x14ac:dyDescent="0.25">
      <c r="B639" s="37"/>
      <c r="C639" s="37"/>
      <c r="G639" s="22"/>
      <c r="J639" s="41"/>
      <c r="K639" s="21"/>
    </row>
    <row r="640" spans="2:11" x14ac:dyDescent="0.25">
      <c r="B640" s="37"/>
      <c r="C640" s="37"/>
      <c r="G640" s="22"/>
      <c r="J640" s="41"/>
      <c r="K640" s="21"/>
    </row>
    <row r="641" spans="2:18" x14ac:dyDescent="0.25">
      <c r="B641" s="37"/>
      <c r="C641" s="37"/>
      <c r="G641" s="37"/>
      <c r="J641" s="41"/>
      <c r="K641" s="21"/>
    </row>
    <row r="642" spans="2:18" x14ac:dyDescent="0.25">
      <c r="B642" s="37"/>
      <c r="C642" s="37"/>
      <c r="G642" s="22"/>
      <c r="J642" s="41"/>
      <c r="K642" s="21"/>
    </row>
    <row r="643" spans="2:18" x14ac:dyDescent="0.25">
      <c r="B643" s="37"/>
      <c r="C643" s="37"/>
      <c r="G643" s="37"/>
      <c r="J643" s="41"/>
      <c r="K643" s="21"/>
    </row>
    <row r="644" spans="2:18" x14ac:dyDescent="0.25">
      <c r="B644" s="37"/>
      <c r="C644" s="37"/>
      <c r="G644" s="22"/>
      <c r="J644" s="41"/>
      <c r="K644" s="21"/>
    </row>
    <row r="645" spans="2:18" x14ac:dyDescent="0.25">
      <c r="B645" s="37"/>
      <c r="C645" s="37"/>
      <c r="G645" s="22"/>
      <c r="J645" s="41"/>
      <c r="K645" s="21"/>
    </row>
    <row r="646" spans="2:18" x14ac:dyDescent="0.25">
      <c r="B646" s="37"/>
      <c r="C646" s="37"/>
      <c r="G646" s="37"/>
      <c r="J646" s="41"/>
      <c r="K646" s="21"/>
    </row>
    <row r="647" spans="2:18" x14ac:dyDescent="0.25">
      <c r="B647" s="37"/>
      <c r="C647" s="37"/>
      <c r="G647" s="22"/>
      <c r="J647" s="41"/>
      <c r="K647" s="21"/>
    </row>
    <row r="648" spans="2:18" x14ac:dyDescent="0.25">
      <c r="B648" s="37"/>
      <c r="C648" s="37"/>
      <c r="G648" s="22"/>
      <c r="J648" s="41"/>
      <c r="K648" s="21"/>
    </row>
    <row r="649" spans="2:18" x14ac:dyDescent="0.25">
      <c r="B649" s="37"/>
      <c r="C649" s="37"/>
      <c r="G649" s="37"/>
      <c r="J649" s="41"/>
      <c r="K649" s="21"/>
    </row>
    <row r="650" spans="2:18" x14ac:dyDescent="0.25">
      <c r="B650" s="37"/>
      <c r="C650" s="37"/>
      <c r="G650" s="37"/>
      <c r="J650" s="41"/>
      <c r="K650" s="21"/>
    </row>
    <row r="651" spans="2:18" x14ac:dyDescent="0.25">
      <c r="B651" s="37"/>
      <c r="C651" s="37"/>
      <c r="G651" s="37"/>
      <c r="J651" s="41"/>
      <c r="K651" s="21"/>
    </row>
    <row r="652" spans="2:18" x14ac:dyDescent="0.25">
      <c r="B652" s="37"/>
      <c r="C652" s="37"/>
      <c r="G652" s="37"/>
      <c r="J652" s="41"/>
      <c r="K652" s="21"/>
    </row>
    <row r="653" spans="2:18" x14ac:dyDescent="0.25">
      <c r="B653" s="37"/>
      <c r="C653" s="37"/>
      <c r="G653" s="37"/>
      <c r="J653" s="41"/>
      <c r="K653" s="21"/>
    </row>
    <row r="654" spans="2:18" x14ac:dyDescent="0.25">
      <c r="B654" s="37"/>
      <c r="C654" s="38"/>
      <c r="D654" s="18"/>
      <c r="F654" s="18"/>
      <c r="G654" s="38"/>
      <c r="H654" s="23"/>
      <c r="J654" s="41"/>
      <c r="K654" s="21"/>
      <c r="Q654" s="57"/>
      <c r="R654" s="60"/>
    </row>
    <row r="655" spans="2:18" x14ac:dyDescent="0.25">
      <c r="B655" s="37"/>
      <c r="C655" s="37"/>
      <c r="G655" s="37"/>
      <c r="H655" s="23"/>
      <c r="J655" s="41"/>
      <c r="K655" s="21"/>
    </row>
    <row r="656" spans="2:18" x14ac:dyDescent="0.25">
      <c r="B656" s="37"/>
      <c r="C656" s="37"/>
      <c r="G656" s="37"/>
      <c r="H656" s="23"/>
      <c r="J656" s="41"/>
      <c r="K656" s="21"/>
    </row>
    <row r="657" spans="2:18" x14ac:dyDescent="0.25">
      <c r="B657" s="37"/>
      <c r="C657" s="37"/>
      <c r="G657" s="37"/>
      <c r="H657" s="23"/>
      <c r="J657" s="41"/>
      <c r="K657" s="21"/>
    </row>
    <row r="658" spans="2:18" x14ac:dyDescent="0.25">
      <c r="B658" s="37"/>
      <c r="C658" s="37"/>
      <c r="G658" s="37"/>
      <c r="H658" s="23"/>
      <c r="J658" s="41"/>
      <c r="K658" s="21"/>
    </row>
    <row r="659" spans="2:18" x14ac:dyDescent="0.25">
      <c r="B659" s="37"/>
      <c r="C659" s="37"/>
      <c r="G659" s="37"/>
      <c r="H659" s="23"/>
      <c r="J659" s="41"/>
      <c r="K659" s="21"/>
    </row>
    <row r="660" spans="2:18" x14ac:dyDescent="0.25">
      <c r="B660" s="37"/>
      <c r="C660" s="37"/>
      <c r="G660" s="37"/>
      <c r="H660" s="23"/>
      <c r="J660" s="41"/>
      <c r="K660" s="21"/>
    </row>
    <row r="661" spans="2:18" x14ac:dyDescent="0.25">
      <c r="B661" s="37"/>
      <c r="C661" s="37"/>
      <c r="G661" s="37"/>
      <c r="H661" s="23"/>
      <c r="J661" s="41"/>
      <c r="K661" s="21"/>
    </row>
    <row r="662" spans="2:18" x14ac:dyDescent="0.25">
      <c r="B662" s="37"/>
      <c r="C662" s="37"/>
      <c r="G662" s="37"/>
      <c r="H662" s="23"/>
      <c r="J662" s="41"/>
      <c r="K662" s="21"/>
    </row>
    <row r="663" spans="2:18" x14ac:dyDescent="0.25">
      <c r="B663" s="37"/>
      <c r="C663" s="37"/>
      <c r="G663" s="37"/>
      <c r="H663" s="23"/>
      <c r="J663" s="41"/>
      <c r="K663" s="21"/>
    </row>
    <row r="664" spans="2:18" x14ac:dyDescent="0.25">
      <c r="B664" s="37"/>
      <c r="C664" s="37"/>
      <c r="G664" s="22"/>
      <c r="H664" s="23"/>
      <c r="J664" s="41"/>
      <c r="K664" s="21"/>
    </row>
    <row r="665" spans="2:18" x14ac:dyDescent="0.25">
      <c r="B665" s="37"/>
      <c r="C665" s="37"/>
      <c r="G665" s="22"/>
      <c r="H665" s="23"/>
      <c r="J665" s="41"/>
      <c r="K665" s="21"/>
    </row>
    <row r="666" spans="2:18" x14ac:dyDescent="0.25">
      <c r="B666" s="37"/>
      <c r="C666" s="37"/>
      <c r="G666" s="37"/>
      <c r="H666" s="23"/>
      <c r="J666" s="41"/>
      <c r="K666" s="21"/>
      <c r="R666" s="60"/>
    </row>
    <row r="667" spans="2:18" x14ac:dyDescent="0.25">
      <c r="B667" s="37"/>
      <c r="C667" s="37"/>
      <c r="G667" s="22"/>
      <c r="H667" s="23"/>
      <c r="J667" s="41"/>
      <c r="K667" s="21"/>
    </row>
    <row r="668" spans="2:18" x14ac:dyDescent="0.25">
      <c r="B668" s="37"/>
      <c r="C668" s="37"/>
      <c r="G668" s="37"/>
      <c r="H668" s="23"/>
      <c r="J668" s="41"/>
      <c r="K668" s="21"/>
    </row>
    <row r="669" spans="2:18" x14ac:dyDescent="0.25">
      <c r="B669" s="37"/>
      <c r="C669" s="37"/>
      <c r="G669" s="37"/>
      <c r="H669" s="23"/>
      <c r="J669" s="41"/>
      <c r="K669" s="21"/>
    </row>
    <row r="670" spans="2:18" x14ac:dyDescent="0.25">
      <c r="B670" s="37"/>
      <c r="C670" s="37"/>
      <c r="G670" s="37"/>
      <c r="H670" s="23"/>
      <c r="J670" s="41"/>
      <c r="K670" s="21"/>
    </row>
    <row r="671" spans="2:18" x14ac:dyDescent="0.25">
      <c r="B671" s="37"/>
      <c r="C671" s="37"/>
      <c r="G671" s="37"/>
      <c r="H671" s="23"/>
      <c r="J671" s="41"/>
      <c r="K671" s="21"/>
    </row>
    <row r="672" spans="2:18" x14ac:dyDescent="0.25">
      <c r="B672" s="37"/>
      <c r="C672" s="37"/>
      <c r="G672" s="37"/>
      <c r="J672" s="29"/>
      <c r="K672" s="21"/>
      <c r="M672" s="19"/>
    </row>
    <row r="673" spans="2:13" x14ac:dyDescent="0.25">
      <c r="B673" s="37"/>
      <c r="C673" s="37"/>
      <c r="G673" s="22"/>
      <c r="J673" s="29"/>
      <c r="K673" s="21"/>
      <c r="M673" s="19"/>
    </row>
    <row r="674" spans="2:13" x14ac:dyDescent="0.25">
      <c r="B674" s="37"/>
      <c r="C674" s="37"/>
      <c r="G674" s="22"/>
      <c r="J674" s="29"/>
      <c r="K674" s="21"/>
      <c r="M674" s="19"/>
    </row>
    <row r="675" spans="2:13" x14ac:dyDescent="0.25">
      <c r="B675" s="37"/>
      <c r="C675" s="37"/>
      <c r="G675" s="37"/>
      <c r="J675" s="29"/>
      <c r="K675" s="21"/>
      <c r="M675" s="19"/>
    </row>
    <row r="676" spans="2:13" x14ac:dyDescent="0.25">
      <c r="B676" s="37"/>
      <c r="C676" s="37"/>
      <c r="G676" s="37"/>
      <c r="J676" s="29"/>
      <c r="K676" s="21"/>
      <c r="M676" s="19"/>
    </row>
    <row r="677" spans="2:13" x14ac:dyDescent="0.25">
      <c r="B677" s="37"/>
      <c r="C677" s="37"/>
      <c r="G677" s="37"/>
      <c r="J677" s="29"/>
      <c r="K677" s="21"/>
      <c r="M677" s="19"/>
    </row>
    <row r="678" spans="2:13" x14ac:dyDescent="0.25">
      <c r="B678" s="37"/>
      <c r="C678" s="37"/>
      <c r="G678" s="37"/>
      <c r="J678" s="29"/>
      <c r="K678" s="21"/>
      <c r="M678" s="19"/>
    </row>
    <row r="679" spans="2:13" x14ac:dyDescent="0.25">
      <c r="B679" s="37"/>
      <c r="C679" s="37"/>
      <c r="G679" s="37"/>
      <c r="J679" s="29"/>
      <c r="K679" s="21"/>
      <c r="M679" s="19"/>
    </row>
    <row r="680" spans="2:13" x14ac:dyDescent="0.25">
      <c r="B680" s="37"/>
      <c r="C680" s="37"/>
      <c r="G680" s="37"/>
      <c r="J680" s="29"/>
      <c r="K680" s="21"/>
      <c r="M680" s="19"/>
    </row>
    <row r="681" spans="2:13" x14ac:dyDescent="0.25">
      <c r="B681" s="37"/>
      <c r="C681" s="37"/>
      <c r="G681" s="37"/>
      <c r="J681" s="29"/>
      <c r="K681" s="21"/>
      <c r="M681" s="19"/>
    </row>
    <row r="682" spans="2:13" x14ac:dyDescent="0.25">
      <c r="B682" s="37"/>
      <c r="C682" s="37"/>
      <c r="G682" s="37"/>
      <c r="J682" s="41"/>
      <c r="K682" s="21"/>
    </row>
    <row r="683" spans="2:13" x14ac:dyDescent="0.25">
      <c r="B683" s="37"/>
      <c r="C683" s="37"/>
      <c r="G683" s="37"/>
      <c r="J683" s="41"/>
      <c r="K683" s="21"/>
    </row>
    <row r="684" spans="2:13" x14ac:dyDescent="0.25">
      <c r="B684" s="37"/>
      <c r="C684" s="37"/>
      <c r="G684" s="37"/>
      <c r="J684" s="41"/>
      <c r="K684" s="21"/>
    </row>
    <row r="685" spans="2:13" x14ac:dyDescent="0.25">
      <c r="B685" s="37"/>
      <c r="C685" s="37"/>
      <c r="G685" s="37"/>
      <c r="J685" s="41"/>
      <c r="K685" s="21"/>
    </row>
    <row r="686" spans="2:13" x14ac:dyDescent="0.25">
      <c r="B686" s="37"/>
      <c r="C686" s="37"/>
      <c r="G686" s="37"/>
      <c r="J686" s="41"/>
      <c r="K686" s="21"/>
    </row>
    <row r="687" spans="2:13" x14ac:dyDescent="0.25">
      <c r="B687" s="37"/>
      <c r="C687" s="37"/>
      <c r="G687" s="37"/>
      <c r="J687" s="41"/>
      <c r="K687" s="21"/>
    </row>
    <row r="688" spans="2:13" x14ac:dyDescent="0.25">
      <c r="B688" s="37"/>
      <c r="C688" s="37"/>
      <c r="G688" s="37"/>
      <c r="J688" s="41"/>
      <c r="K688" s="21"/>
    </row>
    <row r="689" spans="2:18" x14ac:dyDescent="0.25">
      <c r="B689" s="37"/>
      <c r="C689" s="37"/>
      <c r="G689" s="37"/>
      <c r="J689" s="41"/>
      <c r="K689" s="21"/>
    </row>
    <row r="690" spans="2:18" x14ac:dyDescent="0.25">
      <c r="B690" s="37"/>
      <c r="C690" s="37"/>
      <c r="G690" s="37"/>
      <c r="J690" s="41"/>
      <c r="K690" s="21"/>
    </row>
    <row r="691" spans="2:18" x14ac:dyDescent="0.25">
      <c r="B691" s="37"/>
      <c r="C691" s="37"/>
      <c r="G691" s="22"/>
      <c r="J691" s="41"/>
      <c r="K691" s="21"/>
    </row>
    <row r="692" spans="2:18" x14ac:dyDescent="0.25">
      <c r="B692" s="37"/>
      <c r="C692" s="37"/>
      <c r="G692" s="37"/>
      <c r="J692" s="41"/>
      <c r="K692" s="21"/>
    </row>
    <row r="693" spans="2:18" x14ac:dyDescent="0.25">
      <c r="B693" s="37"/>
      <c r="C693" s="37"/>
      <c r="G693" s="22"/>
      <c r="J693" s="41"/>
      <c r="K693" s="21"/>
    </row>
    <row r="694" spans="2:18" x14ac:dyDescent="0.25">
      <c r="B694" s="37"/>
      <c r="C694" s="37"/>
      <c r="G694" s="22"/>
      <c r="J694" s="41"/>
      <c r="K694" s="21"/>
    </row>
    <row r="695" spans="2:18" x14ac:dyDescent="0.25">
      <c r="B695" s="37"/>
      <c r="C695" s="37"/>
      <c r="G695" s="37"/>
      <c r="J695" s="41"/>
      <c r="K695" s="21"/>
      <c r="R695" s="60"/>
    </row>
    <row r="696" spans="2:18" x14ac:dyDescent="0.25">
      <c r="B696" s="37"/>
      <c r="C696" s="37"/>
      <c r="G696" s="37"/>
      <c r="J696" s="41"/>
      <c r="K696" s="21"/>
    </row>
    <row r="697" spans="2:18" x14ac:dyDescent="0.25">
      <c r="B697" s="37"/>
      <c r="C697" s="37"/>
      <c r="G697" s="22"/>
      <c r="J697" s="41"/>
      <c r="K697" s="21"/>
    </row>
    <row r="698" spans="2:18" x14ac:dyDescent="0.25">
      <c r="B698" s="37"/>
      <c r="C698" s="37"/>
      <c r="G698" s="37"/>
      <c r="J698" s="41"/>
      <c r="K698" s="21"/>
    </row>
    <row r="699" spans="2:18" x14ac:dyDescent="0.25">
      <c r="B699" s="37"/>
      <c r="C699" s="37"/>
      <c r="G699" s="22"/>
      <c r="J699" s="41"/>
      <c r="K699" s="21"/>
    </row>
    <row r="700" spans="2:18" x14ac:dyDescent="0.25">
      <c r="B700" s="37"/>
      <c r="C700" s="37"/>
      <c r="G700" s="22"/>
      <c r="J700" s="41"/>
      <c r="K700" s="21"/>
    </row>
    <row r="701" spans="2:18" x14ac:dyDescent="0.25">
      <c r="B701" s="37"/>
      <c r="C701" s="37"/>
      <c r="G701" s="37"/>
      <c r="J701" s="41"/>
      <c r="K701" s="21"/>
    </row>
    <row r="702" spans="2:18" x14ac:dyDescent="0.25">
      <c r="B702" s="37"/>
      <c r="C702" s="37"/>
      <c r="G702" s="37"/>
      <c r="J702" s="41"/>
      <c r="K702" s="21"/>
    </row>
    <row r="703" spans="2:18" x14ac:dyDescent="0.25">
      <c r="B703" s="37"/>
      <c r="C703" s="37"/>
      <c r="G703" s="37"/>
      <c r="J703" s="29"/>
      <c r="K703" s="21"/>
      <c r="M703" s="19"/>
    </row>
    <row r="704" spans="2:18" x14ac:dyDescent="0.25">
      <c r="B704" s="37"/>
      <c r="C704" s="37"/>
      <c r="G704" s="37"/>
      <c r="J704" s="29"/>
      <c r="K704" s="21"/>
      <c r="M704" s="19"/>
    </row>
    <row r="705" spans="2:13" x14ac:dyDescent="0.25">
      <c r="B705" s="37"/>
      <c r="C705" s="37"/>
      <c r="G705" s="37"/>
      <c r="J705" s="41"/>
      <c r="K705" s="21"/>
    </row>
    <row r="706" spans="2:13" x14ac:dyDescent="0.25">
      <c r="B706" s="37"/>
      <c r="C706" s="37"/>
      <c r="G706" s="37"/>
      <c r="J706" s="41"/>
      <c r="K706" s="21"/>
    </row>
    <row r="707" spans="2:13" x14ac:dyDescent="0.25">
      <c r="B707" s="37"/>
      <c r="C707" s="37"/>
      <c r="G707" s="37"/>
      <c r="J707" s="41"/>
      <c r="K707" s="21"/>
    </row>
    <row r="708" spans="2:13" x14ac:dyDescent="0.25">
      <c r="B708" s="37"/>
      <c r="C708" s="37"/>
      <c r="G708" s="37"/>
      <c r="J708" s="41"/>
      <c r="K708" s="21"/>
    </row>
    <row r="709" spans="2:13" x14ac:dyDescent="0.25">
      <c r="B709" s="37"/>
      <c r="C709" s="37"/>
      <c r="G709" s="37"/>
      <c r="J709" s="41"/>
      <c r="K709" s="21"/>
    </row>
    <row r="710" spans="2:13" x14ac:dyDescent="0.25">
      <c r="B710" s="37"/>
      <c r="C710" s="37"/>
      <c r="G710" s="37"/>
      <c r="J710" s="41"/>
      <c r="K710" s="21"/>
    </row>
    <row r="711" spans="2:13" x14ac:dyDescent="0.25">
      <c r="B711" s="37"/>
      <c r="C711" s="37"/>
      <c r="G711" s="37"/>
      <c r="J711" s="41"/>
      <c r="K711" s="21"/>
    </row>
    <row r="712" spans="2:13" x14ac:dyDescent="0.25">
      <c r="B712" s="37"/>
      <c r="C712" s="37"/>
      <c r="G712" s="37"/>
      <c r="J712" s="41"/>
      <c r="K712" s="21"/>
    </row>
    <row r="713" spans="2:13" x14ac:dyDescent="0.25">
      <c r="B713" s="37"/>
      <c r="C713" s="37"/>
      <c r="G713" s="37"/>
      <c r="J713" s="41"/>
      <c r="K713" s="21"/>
    </row>
    <row r="714" spans="2:13" x14ac:dyDescent="0.25">
      <c r="B714" s="37"/>
      <c r="C714" s="37"/>
      <c r="G714" s="37"/>
      <c r="J714" s="41"/>
      <c r="K714" s="21"/>
    </row>
    <row r="715" spans="2:13" x14ac:dyDescent="0.25">
      <c r="B715" s="37"/>
      <c r="C715" s="37"/>
      <c r="G715" s="37"/>
      <c r="J715" s="41"/>
      <c r="K715" s="21"/>
    </row>
    <row r="716" spans="2:13" x14ac:dyDescent="0.25">
      <c r="B716" s="37"/>
      <c r="C716" s="37"/>
      <c r="G716" s="22"/>
      <c r="J716" s="41"/>
      <c r="K716" s="21"/>
    </row>
    <row r="717" spans="2:13" x14ac:dyDescent="0.25">
      <c r="B717" s="37"/>
      <c r="C717" s="37"/>
      <c r="G717" s="37"/>
      <c r="J717" s="41"/>
      <c r="K717" s="21"/>
    </row>
    <row r="718" spans="2:13" x14ac:dyDescent="0.25">
      <c r="B718" s="37"/>
      <c r="C718" s="37"/>
      <c r="G718" s="37"/>
      <c r="J718" s="29"/>
      <c r="K718" s="21"/>
      <c r="M718" s="19"/>
    </row>
    <row r="719" spans="2:13" x14ac:dyDescent="0.25">
      <c r="B719" s="22"/>
      <c r="C719" s="22"/>
      <c r="D719" s="22"/>
      <c r="E719" s="1"/>
      <c r="G719" s="22"/>
      <c r="J719" s="10"/>
      <c r="K719" s="21"/>
    </row>
    <row r="720" spans="2:13" x14ac:dyDescent="0.25">
      <c r="B720" s="22"/>
      <c r="C720" s="22"/>
      <c r="D720" s="1"/>
      <c r="E720" s="1"/>
      <c r="G720" s="22"/>
      <c r="J720" s="10"/>
      <c r="K720" s="21"/>
    </row>
    <row r="721" spans="2:18" x14ac:dyDescent="0.25">
      <c r="B721" s="37"/>
      <c r="C721" s="37"/>
      <c r="G721" s="22"/>
      <c r="J721" s="10"/>
      <c r="K721" s="21"/>
    </row>
    <row r="722" spans="2:18" x14ac:dyDescent="0.25">
      <c r="B722" s="37"/>
      <c r="C722" s="37"/>
      <c r="G722" s="22"/>
      <c r="J722" s="41"/>
      <c r="K722" s="21"/>
    </row>
    <row r="723" spans="2:18" x14ac:dyDescent="0.25">
      <c r="B723" s="37"/>
      <c r="C723" s="37"/>
      <c r="G723" s="22"/>
      <c r="J723" s="41"/>
      <c r="K723" s="21"/>
    </row>
    <row r="724" spans="2:18" x14ac:dyDescent="0.25">
      <c r="B724" s="37"/>
      <c r="C724" s="37"/>
      <c r="G724" s="22"/>
      <c r="J724" s="41"/>
      <c r="K724" s="21"/>
    </row>
    <row r="725" spans="2:18" x14ac:dyDescent="0.25">
      <c r="B725" s="37"/>
      <c r="C725" s="37"/>
      <c r="G725" s="32"/>
      <c r="J725" s="41"/>
      <c r="K725" s="21"/>
      <c r="R725" s="60"/>
    </row>
    <row r="726" spans="2:18" x14ac:dyDescent="0.25">
      <c r="B726" s="37"/>
      <c r="C726" s="37"/>
      <c r="G726" s="22"/>
      <c r="J726" s="41"/>
      <c r="K726" s="21"/>
    </row>
    <row r="727" spans="2:18" x14ac:dyDescent="0.25">
      <c r="B727" s="37"/>
      <c r="C727" s="37"/>
      <c r="G727" s="22"/>
      <c r="J727" s="41"/>
      <c r="K727" s="21"/>
    </row>
    <row r="728" spans="2:18" x14ac:dyDescent="0.25">
      <c r="B728" s="37"/>
      <c r="C728" s="37"/>
      <c r="G728" s="22"/>
      <c r="J728" s="41"/>
      <c r="K728" s="21"/>
    </row>
    <row r="729" spans="2:18" x14ac:dyDescent="0.25">
      <c r="B729" s="37"/>
      <c r="C729" s="37"/>
      <c r="G729" s="22"/>
      <c r="J729" s="41"/>
      <c r="K729" s="21"/>
    </row>
    <row r="730" spans="2:18" x14ac:dyDescent="0.25">
      <c r="B730" s="22"/>
      <c r="C730" s="22"/>
      <c r="D730" s="22"/>
      <c r="E730" s="1"/>
      <c r="G730" s="22"/>
      <c r="J730" s="41"/>
      <c r="K730" s="21"/>
    </row>
    <row r="731" spans="2:18" x14ac:dyDescent="0.25">
      <c r="B731" s="22"/>
      <c r="C731" s="22"/>
      <c r="D731" s="1"/>
      <c r="E731" s="1"/>
      <c r="G731" s="22"/>
      <c r="J731" s="41"/>
      <c r="K731" s="21"/>
    </row>
    <row r="732" spans="2:18" x14ac:dyDescent="0.25">
      <c r="B732" s="22"/>
      <c r="C732" s="22"/>
      <c r="D732" s="22"/>
      <c r="E732" s="1"/>
      <c r="G732" s="22"/>
      <c r="J732" s="41"/>
      <c r="K732" s="21"/>
    </row>
    <row r="733" spans="2:18" x14ac:dyDescent="0.25">
      <c r="B733" s="22"/>
      <c r="C733" s="22"/>
      <c r="D733" s="1"/>
      <c r="E733" s="1"/>
      <c r="G733" s="22"/>
      <c r="J733" s="41"/>
      <c r="K733" s="21"/>
    </row>
    <row r="734" spans="2:18" x14ac:dyDescent="0.25">
      <c r="B734" s="22"/>
      <c r="C734" s="22"/>
      <c r="D734" s="22"/>
      <c r="E734" s="1"/>
      <c r="G734" s="22"/>
      <c r="J734" s="41"/>
      <c r="K734" s="21"/>
    </row>
    <row r="735" spans="2:18" x14ac:dyDescent="0.25">
      <c r="B735" s="22"/>
      <c r="C735" s="22"/>
      <c r="D735" s="22"/>
      <c r="E735" s="1"/>
      <c r="G735" s="22"/>
      <c r="J735" s="41"/>
      <c r="K735" s="21"/>
    </row>
    <row r="736" spans="2:18" x14ac:dyDescent="0.25">
      <c r="B736" s="22"/>
      <c r="C736" s="22"/>
      <c r="D736" s="1"/>
      <c r="E736" s="1"/>
      <c r="G736" s="22"/>
      <c r="J736" s="41"/>
      <c r="K736" s="21"/>
    </row>
    <row r="737" spans="2:18" x14ac:dyDescent="0.25">
      <c r="B737" s="22"/>
      <c r="C737" s="22"/>
      <c r="D737" s="22"/>
      <c r="E737" s="1"/>
      <c r="G737" s="22"/>
      <c r="J737" s="41"/>
      <c r="K737" s="21"/>
    </row>
    <row r="738" spans="2:18" x14ac:dyDescent="0.25">
      <c r="B738" s="22"/>
      <c r="C738" s="22"/>
      <c r="D738" s="1"/>
      <c r="E738" s="1"/>
      <c r="G738" s="22"/>
      <c r="J738" s="41"/>
      <c r="K738" s="21"/>
    </row>
    <row r="739" spans="2:18" x14ac:dyDescent="0.25">
      <c r="B739" s="22"/>
      <c r="C739" s="22"/>
      <c r="D739" s="22"/>
      <c r="E739" s="1"/>
      <c r="G739" s="22"/>
      <c r="J739" s="41"/>
      <c r="K739" s="21"/>
    </row>
    <row r="740" spans="2:18" x14ac:dyDescent="0.25">
      <c r="B740" s="22"/>
      <c r="C740" s="22"/>
      <c r="D740" s="1"/>
      <c r="E740" s="1"/>
      <c r="G740" s="22"/>
      <c r="J740" s="41"/>
      <c r="K740" s="21"/>
    </row>
    <row r="741" spans="2:18" x14ac:dyDescent="0.25">
      <c r="B741" s="22"/>
      <c r="C741" s="22"/>
      <c r="D741" s="1"/>
      <c r="E741" s="1"/>
      <c r="G741" s="22"/>
      <c r="J741" s="41"/>
      <c r="K741" s="21"/>
    </row>
    <row r="742" spans="2:18" x14ac:dyDescent="0.25">
      <c r="B742" s="22"/>
      <c r="C742" s="22"/>
      <c r="D742" s="1"/>
      <c r="E742" s="1"/>
      <c r="G742" s="22"/>
      <c r="J742" s="41"/>
      <c r="K742" s="21"/>
    </row>
    <row r="743" spans="2:18" x14ac:dyDescent="0.25">
      <c r="B743" s="22"/>
      <c r="C743" s="22"/>
      <c r="D743" s="22"/>
      <c r="E743" s="1"/>
      <c r="G743" s="22"/>
      <c r="J743" s="41"/>
      <c r="K743" s="21"/>
    </row>
    <row r="744" spans="2:18" x14ac:dyDescent="0.25">
      <c r="B744" s="22"/>
      <c r="C744" s="22"/>
      <c r="D744" s="22"/>
      <c r="E744" s="1"/>
      <c r="G744" s="22"/>
      <c r="J744" s="41"/>
      <c r="K744" s="21"/>
    </row>
    <row r="745" spans="2:18" x14ac:dyDescent="0.25">
      <c r="B745" s="22"/>
      <c r="C745" s="22"/>
      <c r="D745" s="1"/>
      <c r="E745" s="1"/>
      <c r="G745" s="22"/>
      <c r="J745" s="41"/>
      <c r="K745" s="21"/>
    </row>
    <row r="746" spans="2:18" x14ac:dyDescent="0.25">
      <c r="B746" s="22"/>
      <c r="C746" s="22"/>
      <c r="D746" s="22"/>
      <c r="E746" s="1"/>
      <c r="G746" s="22"/>
      <c r="J746" s="41"/>
      <c r="K746" s="21"/>
    </row>
    <row r="747" spans="2:18" x14ac:dyDescent="0.25">
      <c r="B747" s="22"/>
      <c r="C747" s="22"/>
      <c r="D747" s="1"/>
      <c r="E747" s="1"/>
      <c r="G747" s="22"/>
      <c r="J747" s="41"/>
      <c r="K747" s="21"/>
    </row>
    <row r="748" spans="2:18" x14ac:dyDescent="0.25">
      <c r="B748" s="22"/>
      <c r="C748" s="22"/>
      <c r="D748" s="22"/>
      <c r="E748" s="1"/>
      <c r="G748" s="22"/>
      <c r="J748" s="41"/>
      <c r="K748" s="21"/>
      <c r="R748" s="60"/>
    </row>
    <row r="749" spans="2:18" x14ac:dyDescent="0.25">
      <c r="B749" s="37"/>
      <c r="C749" s="37"/>
      <c r="G749" s="22"/>
      <c r="J749" s="29"/>
      <c r="K749" s="21"/>
    </row>
    <row r="750" spans="2:18" x14ac:dyDescent="0.25">
      <c r="B750" s="37"/>
      <c r="C750" s="37"/>
      <c r="G750" s="37"/>
      <c r="J750" s="29"/>
      <c r="K750" s="21"/>
    </row>
    <row r="751" spans="2:18" x14ac:dyDescent="0.25">
      <c r="B751" s="37"/>
      <c r="C751" s="37"/>
      <c r="G751" s="37"/>
      <c r="J751" s="29"/>
      <c r="K751" s="21"/>
    </row>
    <row r="752" spans="2:18" x14ac:dyDescent="0.25">
      <c r="B752" s="37"/>
      <c r="C752" s="37"/>
      <c r="G752" s="37"/>
      <c r="J752" s="29"/>
      <c r="K752" s="21"/>
    </row>
    <row r="753" spans="2:11" x14ac:dyDescent="0.25">
      <c r="B753" s="37"/>
      <c r="C753" s="37"/>
      <c r="G753" s="37"/>
      <c r="J753" s="29"/>
      <c r="K753" s="21"/>
    </row>
    <row r="754" spans="2:11" x14ac:dyDescent="0.25">
      <c r="B754" s="37"/>
      <c r="C754" s="37"/>
      <c r="G754" s="37"/>
      <c r="J754" s="29"/>
      <c r="K754" s="21"/>
    </row>
    <row r="755" spans="2:11" x14ac:dyDescent="0.25">
      <c r="B755" s="37"/>
      <c r="C755" s="37"/>
      <c r="G755" s="37"/>
      <c r="J755" s="29"/>
      <c r="K755" s="21"/>
    </row>
    <row r="756" spans="2:11" x14ac:dyDescent="0.25">
      <c r="B756" s="37"/>
      <c r="C756" s="37"/>
      <c r="G756" s="37"/>
      <c r="J756" s="29"/>
      <c r="K756" s="21"/>
    </row>
    <row r="757" spans="2:11" x14ac:dyDescent="0.25">
      <c r="B757" s="37"/>
      <c r="C757" s="37"/>
      <c r="G757" s="37"/>
      <c r="J757" s="29"/>
      <c r="K757" s="21"/>
    </row>
    <row r="758" spans="2:11" x14ac:dyDescent="0.25">
      <c r="B758" s="37"/>
      <c r="C758" s="37"/>
      <c r="G758" s="37"/>
      <c r="J758" s="29"/>
      <c r="K758" s="21"/>
    </row>
    <row r="759" spans="2:11" x14ac:dyDescent="0.25">
      <c r="B759" s="37"/>
      <c r="C759" s="37"/>
      <c r="G759" s="37"/>
      <c r="J759" s="29"/>
      <c r="K759" s="21"/>
    </row>
    <row r="760" spans="2:11" x14ac:dyDescent="0.25">
      <c r="B760" s="37"/>
      <c r="C760" s="37"/>
      <c r="G760" s="37"/>
      <c r="J760" s="29"/>
      <c r="K760" s="21"/>
    </row>
    <row r="761" spans="2:11" x14ac:dyDescent="0.25">
      <c r="B761" s="37"/>
      <c r="C761" s="37"/>
      <c r="G761" s="22"/>
      <c r="J761" s="41"/>
      <c r="K761" s="21"/>
    </row>
    <row r="762" spans="2:11" x14ac:dyDescent="0.25">
      <c r="B762" s="37"/>
      <c r="C762" s="37"/>
      <c r="G762" s="22"/>
      <c r="J762" s="41"/>
      <c r="K762" s="21"/>
    </row>
    <row r="763" spans="2:11" x14ac:dyDescent="0.25">
      <c r="B763" s="37"/>
      <c r="C763" s="37"/>
      <c r="G763" s="22"/>
      <c r="J763" s="41"/>
      <c r="K763" s="21"/>
    </row>
    <row r="764" spans="2:11" x14ac:dyDescent="0.25">
      <c r="B764" s="37"/>
      <c r="C764" s="37"/>
      <c r="G764" s="22"/>
      <c r="J764" s="41"/>
      <c r="K764" s="21"/>
    </row>
    <row r="765" spans="2:11" x14ac:dyDescent="0.25">
      <c r="B765" s="37"/>
      <c r="C765" s="37"/>
      <c r="G765" s="22"/>
      <c r="J765" s="41"/>
      <c r="K765" s="21"/>
    </row>
    <row r="766" spans="2:11" x14ac:dyDescent="0.25">
      <c r="B766" s="37"/>
      <c r="C766" s="37"/>
      <c r="G766" s="22"/>
      <c r="J766" s="41"/>
      <c r="K766" s="21"/>
    </row>
    <row r="767" spans="2:11" x14ac:dyDescent="0.25">
      <c r="B767" s="37"/>
      <c r="C767" s="37"/>
      <c r="G767" s="22"/>
      <c r="J767" s="41"/>
      <c r="K767" s="21"/>
    </row>
    <row r="768" spans="2:11" x14ac:dyDescent="0.25">
      <c r="B768" s="37"/>
      <c r="C768" s="37"/>
      <c r="G768" s="22"/>
      <c r="J768" s="41"/>
      <c r="K768" s="21"/>
    </row>
    <row r="769" spans="2:11" x14ac:dyDescent="0.25">
      <c r="B769" s="37"/>
      <c r="C769" s="37"/>
      <c r="G769" s="22"/>
      <c r="J769" s="41"/>
      <c r="K769" s="21"/>
    </row>
    <row r="770" spans="2:11" x14ac:dyDescent="0.25">
      <c r="B770" s="37"/>
      <c r="C770" s="37"/>
      <c r="G770" s="22"/>
      <c r="J770" s="41"/>
      <c r="K770" s="21"/>
    </row>
    <row r="771" spans="2:11" x14ac:dyDescent="0.25">
      <c r="B771" s="37"/>
      <c r="C771" s="37"/>
      <c r="G771" s="22"/>
      <c r="J771" s="41"/>
      <c r="K771" s="21"/>
    </row>
    <row r="772" spans="2:11" x14ac:dyDescent="0.25">
      <c r="B772" s="37"/>
      <c r="C772" s="37"/>
      <c r="G772" s="22"/>
      <c r="J772" s="41"/>
      <c r="K772" s="21"/>
    </row>
    <row r="773" spans="2:11" x14ac:dyDescent="0.25">
      <c r="B773" s="37"/>
      <c r="C773" s="37"/>
      <c r="G773" s="22"/>
      <c r="J773" s="41"/>
      <c r="K773" s="21"/>
    </row>
    <row r="774" spans="2:11" x14ac:dyDescent="0.25">
      <c r="B774" s="37"/>
      <c r="C774" s="37"/>
      <c r="G774" s="22"/>
      <c r="J774" s="41"/>
      <c r="K774" s="21"/>
    </row>
    <row r="775" spans="2:11" x14ac:dyDescent="0.25">
      <c r="B775" s="37"/>
      <c r="C775" s="37"/>
      <c r="G775" s="22"/>
      <c r="J775" s="41"/>
      <c r="K775" s="21"/>
    </row>
    <row r="776" spans="2:11" x14ac:dyDescent="0.25">
      <c r="B776" s="37"/>
      <c r="C776" s="37"/>
      <c r="G776" s="22"/>
      <c r="J776" s="41"/>
      <c r="K776" s="21"/>
    </row>
    <row r="777" spans="2:11" x14ac:dyDescent="0.25">
      <c r="B777" s="22"/>
      <c r="C777" s="22"/>
      <c r="D777" s="1"/>
      <c r="E777" s="1"/>
      <c r="G777" s="22"/>
      <c r="J777" s="41"/>
      <c r="K777" s="21"/>
    </row>
    <row r="778" spans="2:11" x14ac:dyDescent="0.25">
      <c r="B778" s="22"/>
      <c r="C778" s="22"/>
      <c r="D778" s="1"/>
      <c r="E778" s="1"/>
      <c r="G778" s="22"/>
      <c r="J778" s="41"/>
      <c r="K778" s="21"/>
    </row>
    <row r="779" spans="2:11" x14ac:dyDescent="0.25">
      <c r="B779" s="22"/>
      <c r="C779" s="22"/>
      <c r="D779" s="1"/>
      <c r="E779" s="1"/>
      <c r="G779" s="22"/>
      <c r="J779" s="41"/>
      <c r="K779" s="21"/>
    </row>
    <row r="780" spans="2:11" x14ac:dyDescent="0.25">
      <c r="B780" s="22"/>
      <c r="C780" s="22"/>
      <c r="D780" s="1"/>
      <c r="E780" s="1"/>
      <c r="G780" s="22"/>
      <c r="J780" s="41"/>
      <c r="K780" s="21"/>
    </row>
    <row r="781" spans="2:11" x14ac:dyDescent="0.25">
      <c r="B781" s="22"/>
      <c r="C781" s="22"/>
      <c r="D781" s="1"/>
      <c r="E781" s="1"/>
      <c r="G781" s="22"/>
      <c r="J781" s="41"/>
      <c r="K781" s="21"/>
    </row>
    <row r="782" spans="2:11" x14ac:dyDescent="0.25">
      <c r="B782" s="22"/>
      <c r="C782" s="22"/>
      <c r="D782" s="1"/>
      <c r="E782" s="1"/>
      <c r="G782" s="22"/>
      <c r="J782" s="41"/>
      <c r="K782" s="21"/>
    </row>
    <row r="783" spans="2:11" x14ac:dyDescent="0.25">
      <c r="B783" s="22"/>
      <c r="C783" s="22"/>
      <c r="D783" s="1"/>
      <c r="E783" s="1"/>
      <c r="G783" s="22"/>
      <c r="J783" s="41"/>
      <c r="K783" s="21"/>
    </row>
    <row r="784" spans="2:11" x14ac:dyDescent="0.25">
      <c r="B784" s="22"/>
      <c r="C784" s="22"/>
      <c r="D784" s="1"/>
      <c r="E784" s="1"/>
      <c r="G784" s="22"/>
      <c r="J784" s="41"/>
      <c r="K784" s="21"/>
    </row>
    <row r="785" spans="2:11" x14ac:dyDescent="0.25">
      <c r="B785" s="22"/>
      <c r="C785" s="22"/>
      <c r="D785" s="1"/>
      <c r="E785" s="1"/>
      <c r="G785" s="22"/>
      <c r="J785" s="41"/>
      <c r="K785" s="21"/>
    </row>
    <row r="786" spans="2:11" x14ac:dyDescent="0.25">
      <c r="B786" s="22"/>
      <c r="C786" s="22"/>
      <c r="D786" s="1"/>
      <c r="E786" s="1"/>
      <c r="G786" s="22"/>
      <c r="J786" s="41"/>
      <c r="K786" s="21"/>
    </row>
    <row r="787" spans="2:11" x14ac:dyDescent="0.25">
      <c r="B787" s="37"/>
      <c r="C787" s="37"/>
      <c r="G787" s="37"/>
      <c r="J787" s="29"/>
      <c r="K787" s="21"/>
    </row>
    <row r="788" spans="2:11" x14ac:dyDescent="0.25">
      <c r="B788" s="37"/>
      <c r="C788" s="37"/>
      <c r="G788" s="37"/>
      <c r="J788" s="29"/>
      <c r="K788" s="21"/>
    </row>
    <row r="789" spans="2:11" x14ac:dyDescent="0.25">
      <c r="B789" s="37"/>
      <c r="C789" s="37"/>
      <c r="G789" s="22"/>
      <c r="J789" s="29"/>
      <c r="K789" s="21"/>
    </row>
    <row r="790" spans="2:11" x14ac:dyDescent="0.25">
      <c r="B790" s="37"/>
      <c r="C790" s="37"/>
      <c r="G790" s="22"/>
      <c r="J790" s="29"/>
      <c r="K790" s="21"/>
    </row>
    <row r="791" spans="2:11" x14ac:dyDescent="0.25">
      <c r="B791" s="37"/>
      <c r="C791" s="37"/>
      <c r="G791" s="22"/>
      <c r="J791" s="29"/>
      <c r="K791" s="21"/>
    </row>
    <row r="792" spans="2:11" x14ac:dyDescent="0.25">
      <c r="B792" s="37"/>
      <c r="C792" s="37"/>
      <c r="G792" s="22"/>
      <c r="J792" s="29"/>
      <c r="K792" s="21"/>
    </row>
    <row r="793" spans="2:11" x14ac:dyDescent="0.25">
      <c r="B793" s="37"/>
      <c r="C793" s="37"/>
      <c r="G793" s="22"/>
      <c r="J793" s="29"/>
      <c r="K793" s="21"/>
    </row>
    <row r="794" spans="2:11" x14ac:dyDescent="0.25">
      <c r="B794" s="37"/>
      <c r="C794" s="37"/>
      <c r="G794" s="22"/>
      <c r="J794" s="29"/>
      <c r="K794" s="21"/>
    </row>
    <row r="795" spans="2:11" x14ac:dyDescent="0.25">
      <c r="B795" s="37"/>
      <c r="C795" s="37"/>
      <c r="G795" s="22"/>
      <c r="J795" s="29"/>
      <c r="K795" s="21"/>
    </row>
    <row r="796" spans="2:11" x14ac:dyDescent="0.25">
      <c r="B796" s="37"/>
      <c r="C796" s="37"/>
      <c r="G796" s="22"/>
      <c r="J796" s="29"/>
      <c r="K796" s="21"/>
    </row>
    <row r="797" spans="2:11" x14ac:dyDescent="0.25">
      <c r="B797" s="37"/>
      <c r="C797" s="37"/>
      <c r="G797" s="22"/>
      <c r="J797" s="41"/>
      <c r="K797" s="21"/>
    </row>
    <row r="798" spans="2:11" x14ac:dyDescent="0.25">
      <c r="B798" s="37"/>
      <c r="C798" s="37"/>
      <c r="G798" s="22"/>
      <c r="J798" s="41"/>
      <c r="K798" s="21"/>
    </row>
    <row r="799" spans="2:11" x14ac:dyDescent="0.25">
      <c r="B799" s="37"/>
      <c r="C799" s="37"/>
      <c r="G799" s="37"/>
      <c r="J799" s="41"/>
      <c r="K799" s="21"/>
    </row>
    <row r="800" spans="2:11" x14ac:dyDescent="0.25">
      <c r="B800" s="37"/>
      <c r="C800" s="37"/>
      <c r="G800" s="22"/>
      <c r="J800" s="41"/>
      <c r="K800" s="21"/>
    </row>
    <row r="801" spans="2:13" x14ac:dyDescent="0.25">
      <c r="B801" s="37"/>
      <c r="C801" s="37"/>
      <c r="G801" s="37"/>
      <c r="J801" s="41"/>
      <c r="K801" s="21"/>
    </row>
    <row r="802" spans="2:13" x14ac:dyDescent="0.25">
      <c r="B802" s="37"/>
      <c r="C802" s="37"/>
      <c r="G802" s="37"/>
      <c r="J802" s="41"/>
      <c r="K802" s="21"/>
    </row>
    <row r="803" spans="2:13" x14ac:dyDescent="0.25">
      <c r="B803" s="37"/>
      <c r="C803" s="37"/>
      <c r="G803" s="37"/>
      <c r="J803" s="41"/>
      <c r="K803" s="21"/>
    </row>
    <row r="804" spans="2:13" x14ac:dyDescent="0.25">
      <c r="B804" s="37"/>
      <c r="C804" s="37"/>
      <c r="G804" s="22"/>
      <c r="J804" s="41"/>
      <c r="K804" s="21"/>
    </row>
    <row r="805" spans="2:13" x14ac:dyDescent="0.25">
      <c r="B805" s="37"/>
      <c r="C805" s="37"/>
      <c r="G805" s="37"/>
      <c r="J805" s="29"/>
      <c r="K805" s="21"/>
      <c r="M805" s="19"/>
    </row>
    <row r="806" spans="2:13" x14ac:dyDescent="0.25">
      <c r="B806" s="37"/>
      <c r="C806" s="37"/>
      <c r="F806" s="18"/>
      <c r="G806" s="22"/>
      <c r="J806" s="41"/>
      <c r="K806" s="21"/>
    </row>
    <row r="807" spans="2:13" x14ac:dyDescent="0.25">
      <c r="B807" s="37"/>
      <c r="C807" s="37"/>
      <c r="G807" s="22"/>
      <c r="J807" s="41"/>
      <c r="K807" s="21"/>
    </row>
    <row r="808" spans="2:13" x14ac:dyDescent="0.25">
      <c r="B808" s="37"/>
      <c r="C808" s="37"/>
      <c r="G808" s="37"/>
      <c r="J808" s="41"/>
      <c r="K808" s="21"/>
    </row>
    <row r="809" spans="2:13" x14ac:dyDescent="0.25">
      <c r="B809" s="37"/>
      <c r="C809" s="37"/>
      <c r="G809" s="22"/>
      <c r="J809" s="41"/>
      <c r="K809" s="21"/>
    </row>
    <row r="810" spans="2:13" x14ac:dyDescent="0.25">
      <c r="B810" s="37"/>
      <c r="C810" s="37"/>
      <c r="G810" s="22"/>
      <c r="J810" s="41"/>
      <c r="K810" s="21"/>
    </row>
    <row r="811" spans="2:13" x14ac:dyDescent="0.25">
      <c r="B811" s="37"/>
      <c r="C811" s="37"/>
      <c r="G811" s="22"/>
      <c r="J811" s="41"/>
      <c r="K811" s="21"/>
    </row>
    <row r="812" spans="2:13" x14ac:dyDescent="0.25">
      <c r="B812" s="37"/>
      <c r="C812" s="37"/>
      <c r="G812" s="22"/>
      <c r="J812" s="41"/>
      <c r="K812" s="21"/>
    </row>
    <row r="813" spans="2:13" x14ac:dyDescent="0.25">
      <c r="B813" s="37"/>
      <c r="C813" s="37"/>
      <c r="G813" s="22"/>
      <c r="J813" s="41"/>
      <c r="K813" s="21"/>
    </row>
    <row r="814" spans="2:13" x14ac:dyDescent="0.25">
      <c r="B814" s="37"/>
      <c r="C814" s="37"/>
      <c r="G814" s="22"/>
      <c r="J814" s="41"/>
      <c r="K814" s="21"/>
    </row>
    <row r="815" spans="2:13" x14ac:dyDescent="0.25">
      <c r="B815" s="37"/>
      <c r="C815" s="37"/>
      <c r="G815" s="22"/>
      <c r="J815" s="41"/>
      <c r="K815" s="21"/>
    </row>
    <row r="816" spans="2:13" x14ac:dyDescent="0.25">
      <c r="B816" s="37"/>
      <c r="C816" s="37"/>
      <c r="G816" s="37"/>
      <c r="J816" s="41"/>
      <c r="K816" s="21"/>
    </row>
    <row r="817" spans="2:11" x14ac:dyDescent="0.25">
      <c r="B817" s="37"/>
      <c r="C817" s="37"/>
      <c r="G817" s="37"/>
      <c r="J817" s="41"/>
      <c r="K817" s="21"/>
    </row>
    <row r="818" spans="2:11" x14ac:dyDescent="0.25">
      <c r="B818" s="37"/>
      <c r="C818" s="37"/>
      <c r="G818" s="22"/>
      <c r="J818" s="41"/>
      <c r="K818" s="21"/>
    </row>
    <row r="819" spans="2:11" x14ac:dyDescent="0.25">
      <c r="B819" s="37"/>
      <c r="C819" s="37"/>
      <c r="G819" s="37"/>
      <c r="J819" s="41"/>
      <c r="K819" s="21"/>
    </row>
    <row r="820" spans="2:11" x14ac:dyDescent="0.25">
      <c r="B820" s="37"/>
      <c r="C820" s="37"/>
      <c r="G820" s="37"/>
      <c r="J820" s="41"/>
      <c r="K820" s="21"/>
    </row>
    <row r="821" spans="2:11" x14ac:dyDescent="0.25">
      <c r="B821" s="37"/>
      <c r="C821" s="37"/>
      <c r="G821" s="22"/>
      <c r="J821" s="41"/>
      <c r="K821" s="21"/>
    </row>
    <row r="822" spans="2:11" x14ac:dyDescent="0.25">
      <c r="B822" s="37"/>
      <c r="C822" s="37"/>
      <c r="G822" s="22"/>
      <c r="J822" s="41"/>
      <c r="K822" s="21"/>
    </row>
    <row r="823" spans="2:11" x14ac:dyDescent="0.25">
      <c r="B823" s="37"/>
      <c r="C823" s="37"/>
      <c r="G823" s="22"/>
      <c r="J823" s="41"/>
      <c r="K823" s="21"/>
    </row>
    <row r="824" spans="2:11" x14ac:dyDescent="0.25">
      <c r="B824" s="37"/>
      <c r="C824" s="37"/>
      <c r="G824" s="22"/>
      <c r="J824" s="41"/>
      <c r="K824" s="21"/>
    </row>
    <row r="825" spans="2:11" x14ac:dyDescent="0.25">
      <c r="B825" s="37"/>
      <c r="C825" s="37"/>
      <c r="G825" s="22"/>
      <c r="J825" s="41"/>
      <c r="K825" s="21"/>
    </row>
    <row r="826" spans="2:11" x14ac:dyDescent="0.25">
      <c r="B826" s="37"/>
      <c r="C826" s="37"/>
      <c r="G826" s="22"/>
      <c r="J826" s="41"/>
      <c r="K826" s="21"/>
    </row>
    <row r="827" spans="2:11" x14ac:dyDescent="0.25">
      <c r="B827" s="37"/>
      <c r="C827" s="37"/>
      <c r="G827" s="22"/>
      <c r="J827" s="41"/>
      <c r="K827" s="21"/>
    </row>
    <row r="828" spans="2:11" x14ac:dyDescent="0.25">
      <c r="B828" s="37"/>
      <c r="C828" s="37"/>
      <c r="G828" s="22"/>
      <c r="J828" s="41"/>
      <c r="K828" s="21"/>
    </row>
    <row r="829" spans="2:11" x14ac:dyDescent="0.25">
      <c r="B829" s="37"/>
      <c r="C829" s="37"/>
      <c r="G829" s="22"/>
      <c r="J829" s="41"/>
      <c r="K829" s="21"/>
    </row>
    <row r="830" spans="2:11" x14ac:dyDescent="0.25">
      <c r="B830" s="37"/>
      <c r="C830" s="37"/>
      <c r="G830" s="22"/>
      <c r="J830" s="41"/>
      <c r="K830" s="21"/>
    </row>
    <row r="831" spans="2:11" x14ac:dyDescent="0.25">
      <c r="B831" s="37"/>
      <c r="C831" s="37"/>
      <c r="G831" s="22"/>
      <c r="J831" s="41"/>
      <c r="K831" s="21"/>
    </row>
    <row r="832" spans="2:11" x14ac:dyDescent="0.25">
      <c r="B832" s="37"/>
      <c r="C832" s="37"/>
      <c r="G832" s="22"/>
      <c r="J832" s="41"/>
      <c r="K832" s="21"/>
    </row>
    <row r="833" spans="2:18" x14ac:dyDescent="0.25">
      <c r="B833" s="37"/>
      <c r="C833" s="37"/>
      <c r="G833" s="22"/>
      <c r="J833" s="41"/>
      <c r="K833" s="21"/>
    </row>
    <row r="834" spans="2:18" x14ac:dyDescent="0.25">
      <c r="B834" s="37"/>
      <c r="C834" s="37"/>
      <c r="G834" s="22"/>
      <c r="J834" s="41"/>
      <c r="K834" s="21"/>
    </row>
    <row r="835" spans="2:18" x14ac:dyDescent="0.25">
      <c r="B835" s="37"/>
      <c r="C835" s="37"/>
      <c r="G835" s="22"/>
      <c r="J835" s="41"/>
      <c r="K835" s="21"/>
      <c r="R835" s="60"/>
    </row>
    <row r="836" spans="2:18" x14ac:dyDescent="0.25">
      <c r="B836" s="37"/>
      <c r="C836" s="55"/>
      <c r="D836" s="1"/>
      <c r="E836" s="1"/>
      <c r="G836" s="32"/>
      <c r="K836" s="21"/>
      <c r="R836" s="60"/>
    </row>
    <row r="837" spans="2:18" x14ac:dyDescent="0.25">
      <c r="B837" s="37"/>
      <c r="C837" s="55"/>
      <c r="D837" s="1"/>
      <c r="E837" s="1"/>
      <c r="G837" s="32"/>
      <c r="K837" s="21"/>
    </row>
    <row r="838" spans="2:18" x14ac:dyDescent="0.25">
      <c r="B838" s="37"/>
      <c r="C838" s="22"/>
      <c r="D838" s="1"/>
      <c r="E838" s="1"/>
      <c r="G838" s="32"/>
      <c r="K838" s="21"/>
    </row>
    <row r="839" spans="2:18" x14ac:dyDescent="0.25">
      <c r="B839" s="37"/>
      <c r="C839" s="22"/>
      <c r="D839" s="1"/>
      <c r="E839" s="1"/>
      <c r="G839" s="32"/>
      <c r="K839" s="21"/>
    </row>
    <row r="840" spans="2:18" x14ac:dyDescent="0.25">
      <c r="B840" s="37"/>
      <c r="C840" s="22"/>
      <c r="D840" s="1"/>
      <c r="E840" s="1"/>
      <c r="G840" s="32"/>
      <c r="K840" s="21"/>
    </row>
    <row r="841" spans="2:18" x14ac:dyDescent="0.25">
      <c r="B841" s="37"/>
      <c r="C841" s="22"/>
      <c r="D841" s="1"/>
      <c r="E841" s="1"/>
      <c r="G841" s="32"/>
      <c r="K841" s="21"/>
    </row>
    <row r="842" spans="2:18" x14ac:dyDescent="0.25">
      <c r="B842" s="37"/>
      <c r="C842" s="22"/>
      <c r="D842" s="1"/>
      <c r="E842" s="16"/>
      <c r="G842" s="32"/>
      <c r="K842" s="21"/>
    </row>
    <row r="843" spans="2:18" x14ac:dyDescent="0.25">
      <c r="B843" s="37"/>
      <c r="C843" s="22"/>
      <c r="D843" s="1"/>
      <c r="E843" s="1"/>
      <c r="G843" s="32"/>
      <c r="K843" s="21"/>
    </row>
    <row r="844" spans="2:18" x14ac:dyDescent="0.25">
      <c r="B844" s="37"/>
      <c r="C844" s="22"/>
      <c r="D844" s="1"/>
      <c r="E844" s="1"/>
      <c r="G844" s="32"/>
      <c r="K844" s="21"/>
    </row>
    <row r="845" spans="2:18" x14ac:dyDescent="0.25">
      <c r="B845" s="37"/>
      <c r="C845" s="22"/>
      <c r="D845" s="1"/>
      <c r="E845" s="1"/>
      <c r="G845" s="32"/>
      <c r="K845" s="21"/>
    </row>
    <row r="846" spans="2:18" x14ac:dyDescent="0.25">
      <c r="B846" s="37"/>
      <c r="C846" s="22"/>
      <c r="D846" s="1"/>
      <c r="E846" s="1"/>
      <c r="G846" s="32"/>
      <c r="K846" s="21"/>
    </row>
    <row r="847" spans="2:18" x14ac:dyDescent="0.25">
      <c r="B847" s="37"/>
      <c r="C847" s="22"/>
      <c r="D847" s="1"/>
      <c r="E847" s="1"/>
      <c r="G847" s="32"/>
      <c r="K847" s="21"/>
    </row>
    <row r="848" spans="2:18" x14ac:dyDescent="0.25">
      <c r="B848" s="37"/>
      <c r="C848" s="22"/>
      <c r="D848" s="1"/>
      <c r="E848" s="1"/>
      <c r="G848" s="32"/>
      <c r="K848" s="21"/>
    </row>
    <row r="849" spans="2:11" x14ac:dyDescent="0.25">
      <c r="B849" s="37"/>
      <c r="C849" s="22"/>
      <c r="D849" s="1"/>
      <c r="E849" s="1"/>
      <c r="G849" s="32"/>
      <c r="K849" s="21"/>
    </row>
    <row r="850" spans="2:11" x14ac:dyDescent="0.25">
      <c r="B850" s="37"/>
      <c r="C850" s="22"/>
      <c r="D850" s="1"/>
      <c r="E850" s="1"/>
      <c r="G850" s="32"/>
      <c r="K850" s="21"/>
    </row>
    <row r="851" spans="2:11" x14ac:dyDescent="0.25">
      <c r="B851" s="37"/>
      <c r="C851" s="22"/>
      <c r="D851" s="1"/>
      <c r="E851" s="1"/>
      <c r="G851" s="32"/>
      <c r="K851" s="21"/>
    </row>
    <row r="852" spans="2:11" x14ac:dyDescent="0.25">
      <c r="B852" s="37"/>
      <c r="C852" s="22"/>
      <c r="D852" s="1"/>
      <c r="E852" s="1"/>
      <c r="G852" s="32"/>
      <c r="K852" s="21"/>
    </row>
    <row r="853" spans="2:11" x14ac:dyDescent="0.25">
      <c r="B853" s="37"/>
      <c r="C853" s="22"/>
      <c r="D853" s="1"/>
      <c r="E853" s="1"/>
      <c r="G853" s="32"/>
      <c r="K853" s="21"/>
    </row>
    <row r="854" spans="2:11" x14ac:dyDescent="0.25">
      <c r="B854" s="37"/>
      <c r="C854" s="22"/>
      <c r="D854" s="1"/>
      <c r="E854" s="1"/>
      <c r="G854" s="32"/>
      <c r="K854" s="21"/>
    </row>
    <row r="855" spans="2:11" x14ac:dyDescent="0.25">
      <c r="B855" s="37"/>
      <c r="C855" s="22"/>
      <c r="D855" s="1"/>
      <c r="E855" s="1"/>
      <c r="G855" s="32"/>
      <c r="K855" s="21"/>
    </row>
    <row r="856" spans="2:11" x14ac:dyDescent="0.25">
      <c r="B856" s="37"/>
      <c r="C856" s="22"/>
      <c r="D856" s="1"/>
      <c r="E856" s="1"/>
      <c r="G856" s="32"/>
      <c r="K856" s="21"/>
    </row>
    <row r="857" spans="2:11" x14ac:dyDescent="0.25">
      <c r="B857" s="37"/>
      <c r="C857" s="22"/>
      <c r="D857" s="1"/>
      <c r="E857" s="1"/>
      <c r="G857" s="32"/>
      <c r="K857" s="21"/>
    </row>
    <row r="858" spans="2:11" x14ac:dyDescent="0.25">
      <c r="B858" s="37"/>
      <c r="C858" s="22"/>
      <c r="D858" s="1"/>
      <c r="E858" s="1"/>
      <c r="G858" s="32"/>
      <c r="K858" s="21"/>
    </row>
    <row r="859" spans="2:11" x14ac:dyDescent="0.25">
      <c r="B859" s="37"/>
      <c r="G859" s="22"/>
      <c r="J859" s="41"/>
      <c r="K859" s="21"/>
    </row>
    <row r="860" spans="2:11" x14ac:dyDescent="0.25">
      <c r="B860" s="37"/>
      <c r="G860" s="22"/>
      <c r="J860" s="41"/>
      <c r="K860" s="21"/>
    </row>
    <row r="861" spans="2:11" x14ac:dyDescent="0.25">
      <c r="B861" s="37"/>
      <c r="G861" s="22"/>
      <c r="J861" s="41"/>
      <c r="K861" s="21"/>
    </row>
    <row r="862" spans="2:11" x14ac:dyDescent="0.25">
      <c r="B862" s="37"/>
      <c r="G862" s="22"/>
      <c r="J862" s="41"/>
      <c r="K862" s="21"/>
    </row>
    <row r="863" spans="2:11" x14ac:dyDescent="0.25">
      <c r="B863" s="37"/>
      <c r="G863" s="22"/>
      <c r="J863" s="41"/>
      <c r="K863" s="21"/>
    </row>
    <row r="864" spans="2:11" x14ac:dyDescent="0.25">
      <c r="B864" s="37"/>
      <c r="G864" s="22"/>
      <c r="J864" s="41"/>
      <c r="K864" s="21"/>
    </row>
    <row r="865" spans="2:18" x14ac:dyDescent="0.25">
      <c r="B865" s="37"/>
      <c r="G865" s="22"/>
      <c r="J865" s="41"/>
      <c r="K865" s="21"/>
    </row>
    <row r="866" spans="2:18" x14ac:dyDescent="0.25">
      <c r="B866" s="37"/>
      <c r="G866" s="22"/>
      <c r="J866" s="41"/>
      <c r="K866" s="21"/>
      <c r="R866" s="60"/>
    </row>
    <row r="867" spans="2:18" x14ac:dyDescent="0.25">
      <c r="B867" s="37"/>
      <c r="G867" s="22"/>
      <c r="J867" s="41"/>
      <c r="K867" s="21"/>
    </row>
    <row r="868" spans="2:18" x14ac:dyDescent="0.25">
      <c r="B868" s="37"/>
      <c r="G868" s="22"/>
      <c r="J868" s="41"/>
      <c r="K868" s="21"/>
    </row>
    <row r="869" spans="2:18" x14ac:dyDescent="0.25">
      <c r="B869" s="37"/>
      <c r="G869" s="22"/>
      <c r="J869" s="41"/>
      <c r="K869" s="21"/>
    </row>
    <row r="870" spans="2:18" x14ac:dyDescent="0.25">
      <c r="B870" s="37"/>
      <c r="G870" s="22"/>
      <c r="J870" s="41"/>
      <c r="K870" s="21"/>
    </row>
    <row r="871" spans="2:18" x14ac:dyDescent="0.25">
      <c r="B871" s="37"/>
      <c r="G871" s="22"/>
      <c r="J871" s="41"/>
      <c r="K871" s="21"/>
    </row>
    <row r="872" spans="2:18" x14ac:dyDescent="0.25">
      <c r="B872" s="37"/>
      <c r="G872" s="22"/>
      <c r="J872" s="41"/>
      <c r="K872" s="21"/>
    </row>
    <row r="873" spans="2:18" x14ac:dyDescent="0.25">
      <c r="B873" s="37"/>
      <c r="G873" s="22"/>
      <c r="J873" s="41"/>
      <c r="K873" s="21"/>
    </row>
    <row r="874" spans="2:18" x14ac:dyDescent="0.25">
      <c r="B874" s="37"/>
      <c r="G874" s="22"/>
      <c r="J874" s="41"/>
      <c r="K874" s="21"/>
    </row>
    <row r="875" spans="2:18" x14ac:dyDescent="0.25">
      <c r="B875" s="37"/>
      <c r="G875" s="22"/>
      <c r="J875" s="41"/>
      <c r="K875" s="21"/>
    </row>
    <row r="876" spans="2:18" x14ac:dyDescent="0.25">
      <c r="B876" s="37"/>
      <c r="G876" s="22"/>
      <c r="J876" s="41"/>
      <c r="K876" s="21"/>
    </row>
    <row r="877" spans="2:18" x14ac:dyDescent="0.25">
      <c r="B877" s="37"/>
      <c r="G877" s="22"/>
      <c r="J877" s="41"/>
      <c r="K877" s="21"/>
    </row>
    <row r="878" spans="2:18" x14ac:dyDescent="0.25">
      <c r="B878" s="37"/>
      <c r="G878" s="22"/>
      <c r="J878" s="41"/>
      <c r="K878" s="21"/>
    </row>
    <row r="879" spans="2:18" x14ac:dyDescent="0.25">
      <c r="B879" s="37"/>
      <c r="G879" s="22"/>
      <c r="J879" s="41"/>
      <c r="K879" s="21"/>
    </row>
    <row r="880" spans="2:18" x14ac:dyDescent="0.25">
      <c r="B880" s="37"/>
      <c r="G880" s="22"/>
      <c r="J880" s="41"/>
      <c r="K880" s="21"/>
    </row>
    <row r="881" spans="2:18" x14ac:dyDescent="0.25">
      <c r="B881" s="37"/>
      <c r="G881" s="37"/>
      <c r="J881" s="29"/>
      <c r="K881" s="21"/>
      <c r="R881" s="60"/>
    </row>
    <row r="882" spans="2:18" x14ac:dyDescent="0.25">
      <c r="B882" s="37"/>
      <c r="G882" s="22"/>
      <c r="J882" s="29"/>
      <c r="K882" s="21"/>
      <c r="Q882" s="57"/>
    </row>
    <row r="883" spans="2:18" x14ac:dyDescent="0.25">
      <c r="G883" s="22"/>
      <c r="J883" s="41"/>
      <c r="K883" s="21"/>
      <c r="Q883" s="57"/>
    </row>
    <row r="884" spans="2:18" x14ac:dyDescent="0.25">
      <c r="J884" s="41"/>
      <c r="K884" s="21"/>
    </row>
    <row r="885" spans="2:18" x14ac:dyDescent="0.25">
      <c r="J885" s="41"/>
      <c r="K885" s="21"/>
    </row>
    <row r="886" spans="2:18" x14ac:dyDescent="0.25">
      <c r="J886" s="41"/>
      <c r="K886" s="21"/>
    </row>
    <row r="887" spans="2:18" x14ac:dyDescent="0.25">
      <c r="J887" s="41"/>
      <c r="K887" s="21"/>
    </row>
    <row r="888" spans="2:18" x14ac:dyDescent="0.25">
      <c r="J888" s="41"/>
      <c r="K888" s="21"/>
    </row>
    <row r="889" spans="2:18" x14ac:dyDescent="0.25">
      <c r="G889" s="22"/>
      <c r="J889" s="41"/>
      <c r="K889" s="21"/>
    </row>
  </sheetData>
  <autoFilter ref="A1:K889" xr:uid="{3EFB4FEA-6566-4A08-BBD4-A6959652A9F1}">
    <filterColumn colId="4">
      <customFilters>
        <customFilter operator="notEqual" val=" "/>
      </customFilters>
    </filterColumn>
  </autoFilter>
  <pageMargins left="0.25" right="0.25" top="0.75" bottom="0.75" header="0.3" footer="0.3"/>
  <pageSetup paperSize="9" scale="38" orientation="landscape" horizontalDpi="360" verticalDpi="360" r:id="rId1"/>
  <colBreaks count="1" manualBreakCount="1">
    <brk id="22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893E0-64EC-40CD-B79F-841CD920D499}">
  <sheetPr codeName="Hoja6"/>
  <dimension ref="A1:AE2081"/>
  <sheetViews>
    <sheetView workbookViewId="0">
      <selection activeCell="A1380" sqref="A1:XFD1048576"/>
    </sheetView>
  </sheetViews>
  <sheetFormatPr baseColWidth="10" defaultRowHeight="15" x14ac:dyDescent="0.25"/>
  <sheetData>
    <row r="1" spans="1:31" x14ac:dyDescent="0.25">
      <c r="A1" t="s">
        <v>82</v>
      </c>
      <c r="B1" t="s">
        <v>996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553</v>
      </c>
      <c r="M1" t="s">
        <v>92</v>
      </c>
      <c r="N1" t="s">
        <v>93</v>
      </c>
      <c r="O1" t="s">
        <v>94</v>
      </c>
      <c r="P1" t="s">
        <v>95</v>
      </c>
      <c r="Q1" t="s">
        <v>96</v>
      </c>
      <c r="R1" t="s">
        <v>502</v>
      </c>
      <c r="S1" t="s">
        <v>503</v>
      </c>
      <c r="T1" t="s">
        <v>97</v>
      </c>
      <c r="U1" t="s">
        <v>98</v>
      </c>
      <c r="V1" t="s">
        <v>504</v>
      </c>
      <c r="W1" t="s">
        <v>99</v>
      </c>
      <c r="X1" t="s">
        <v>100</v>
      </c>
      <c r="Y1" t="s">
        <v>101</v>
      </c>
      <c r="Z1" t="s">
        <v>102</v>
      </c>
      <c r="AA1" t="s">
        <v>505</v>
      </c>
      <c r="AB1" t="s">
        <v>506</v>
      </c>
      <c r="AC1">
        <v>30000</v>
      </c>
      <c r="AD1" t="s">
        <v>103</v>
      </c>
      <c r="AE1">
        <v>890</v>
      </c>
    </row>
    <row r="2" spans="1:31" x14ac:dyDescent="0.25">
      <c r="B2" t="s">
        <v>510</v>
      </c>
      <c r="C2" t="s">
        <v>511</v>
      </c>
      <c r="D2">
        <v>98000</v>
      </c>
      <c r="E2">
        <v>88000</v>
      </c>
      <c r="F2" t="s">
        <v>68</v>
      </c>
      <c r="G2" t="s">
        <v>103</v>
      </c>
      <c r="H2" t="s">
        <v>104</v>
      </c>
      <c r="I2" t="s">
        <v>105</v>
      </c>
      <c r="J2">
        <v>1</v>
      </c>
      <c r="K2">
        <v>45561.519212962965</v>
      </c>
      <c r="L2">
        <v>76000</v>
      </c>
      <c r="N2" t="s">
        <v>512</v>
      </c>
      <c r="O2">
        <v>2400</v>
      </c>
      <c r="P2">
        <v>36</v>
      </c>
      <c r="Q2">
        <v>1599.9999999999943</v>
      </c>
    </row>
    <row r="3" spans="1:31" x14ac:dyDescent="0.25">
      <c r="B3" t="s">
        <v>510</v>
      </c>
      <c r="C3" t="s">
        <v>511</v>
      </c>
      <c r="D3" t="s">
        <v>106</v>
      </c>
      <c r="E3">
        <v>141800</v>
      </c>
      <c r="F3" t="s">
        <v>68</v>
      </c>
      <c r="G3" t="s">
        <v>107</v>
      </c>
      <c r="H3" t="s">
        <v>108</v>
      </c>
      <c r="I3" t="s">
        <v>105</v>
      </c>
      <c r="J3">
        <v>1</v>
      </c>
      <c r="K3">
        <v>45510.612291666665</v>
      </c>
      <c r="L3">
        <v>111800</v>
      </c>
      <c r="O3">
        <v>1200</v>
      </c>
      <c r="P3">
        <v>118</v>
      </c>
      <c r="Q3">
        <v>200.00000000000568</v>
      </c>
    </row>
    <row r="4" spans="1:31" x14ac:dyDescent="0.25">
      <c r="B4" t="s">
        <v>510</v>
      </c>
      <c r="C4" t="s">
        <v>106</v>
      </c>
      <c r="D4" t="s">
        <v>106</v>
      </c>
      <c r="E4">
        <v>20000</v>
      </c>
      <c r="F4" t="s">
        <v>68</v>
      </c>
      <c r="G4" t="s">
        <v>110</v>
      </c>
      <c r="H4" t="s">
        <v>111</v>
      </c>
      <c r="I4" t="s">
        <v>105</v>
      </c>
      <c r="J4">
        <v>1</v>
      </c>
      <c r="K4">
        <v>45474.665231481478</v>
      </c>
      <c r="L4">
        <v>10000</v>
      </c>
      <c r="O4">
        <v>2400</v>
      </c>
      <c r="P4">
        <v>8</v>
      </c>
      <c r="Q4">
        <v>800.00000000000136</v>
      </c>
    </row>
    <row r="5" spans="1:31" x14ac:dyDescent="0.25">
      <c r="B5" t="s">
        <v>510</v>
      </c>
      <c r="C5" t="s">
        <v>511</v>
      </c>
      <c r="D5">
        <v>31300</v>
      </c>
      <c r="E5">
        <v>2600</v>
      </c>
      <c r="F5" t="s">
        <v>68</v>
      </c>
      <c r="G5" t="s">
        <v>113</v>
      </c>
      <c r="H5" t="s">
        <v>114</v>
      </c>
      <c r="I5" t="s">
        <v>105</v>
      </c>
      <c r="J5">
        <v>1</v>
      </c>
      <c r="K5">
        <v>45450.582638888889</v>
      </c>
      <c r="L5">
        <v>2600</v>
      </c>
      <c r="N5" t="s">
        <v>513</v>
      </c>
      <c r="O5">
        <v>3000</v>
      </c>
      <c r="P5">
        <v>0</v>
      </c>
      <c r="Q5">
        <v>2600</v>
      </c>
    </row>
    <row r="6" spans="1:31" x14ac:dyDescent="0.25">
      <c r="B6" t="s">
        <v>510</v>
      </c>
      <c r="C6" t="s">
        <v>514</v>
      </c>
      <c r="D6">
        <v>6650</v>
      </c>
      <c r="E6">
        <v>4050</v>
      </c>
      <c r="F6" t="s">
        <v>68</v>
      </c>
      <c r="G6" t="s">
        <v>115</v>
      </c>
      <c r="H6" t="s">
        <v>116</v>
      </c>
      <c r="I6" t="s">
        <v>105</v>
      </c>
      <c r="J6">
        <v>1</v>
      </c>
      <c r="K6">
        <v>45569.455451388887</v>
      </c>
      <c r="L6">
        <v>50</v>
      </c>
      <c r="O6">
        <v>700</v>
      </c>
      <c r="P6">
        <v>5</v>
      </c>
      <c r="Q6">
        <v>549.99999999999989</v>
      </c>
    </row>
    <row r="7" spans="1:31" x14ac:dyDescent="0.25">
      <c r="B7" t="s">
        <v>510</v>
      </c>
      <c r="C7" t="s">
        <v>106</v>
      </c>
      <c r="D7" t="s">
        <v>106</v>
      </c>
      <c r="E7">
        <v>1900</v>
      </c>
      <c r="F7" t="s">
        <v>68</v>
      </c>
      <c r="G7" t="s">
        <v>117</v>
      </c>
      <c r="H7" t="s">
        <v>118</v>
      </c>
      <c r="I7" t="s">
        <v>105</v>
      </c>
      <c r="J7">
        <v>1</v>
      </c>
      <c r="K7">
        <v>45474.665243055555</v>
      </c>
      <c r="L7">
        <v>900</v>
      </c>
      <c r="O7">
        <v>3000</v>
      </c>
      <c r="P7">
        <v>0</v>
      </c>
      <c r="Q7">
        <v>1900</v>
      </c>
    </row>
    <row r="8" spans="1:31" x14ac:dyDescent="0.25">
      <c r="B8" t="s">
        <v>510</v>
      </c>
      <c r="C8" t="s">
        <v>106</v>
      </c>
      <c r="D8" t="s">
        <v>66</v>
      </c>
      <c r="E8">
        <v>18400</v>
      </c>
      <c r="F8" t="s">
        <v>68</v>
      </c>
      <c r="G8" t="s">
        <v>119</v>
      </c>
      <c r="H8" t="s">
        <v>120</v>
      </c>
      <c r="I8" t="s">
        <v>105</v>
      </c>
      <c r="J8">
        <v>1</v>
      </c>
      <c r="K8">
        <v>45450.582662037035</v>
      </c>
      <c r="L8">
        <v>18400</v>
      </c>
      <c r="O8">
        <v>2400</v>
      </c>
      <c r="P8">
        <v>7</v>
      </c>
      <c r="Q8">
        <v>1600.0000000000007</v>
      </c>
    </row>
    <row r="9" spans="1:31" x14ac:dyDescent="0.25">
      <c r="B9" t="s">
        <v>510</v>
      </c>
      <c r="C9" t="s">
        <v>511</v>
      </c>
      <c r="D9">
        <v>27800</v>
      </c>
      <c r="E9">
        <v>13000</v>
      </c>
      <c r="F9" t="s">
        <v>68</v>
      </c>
      <c r="G9" t="s">
        <v>121</v>
      </c>
      <c r="H9" t="s">
        <v>122</v>
      </c>
      <c r="I9" t="s">
        <v>105</v>
      </c>
      <c r="J9">
        <v>1</v>
      </c>
      <c r="K9">
        <v>45492.415462962963</v>
      </c>
      <c r="L9">
        <v>14000</v>
      </c>
      <c r="O9">
        <v>3000</v>
      </c>
      <c r="P9">
        <v>4</v>
      </c>
      <c r="Q9">
        <v>999.99999999999909</v>
      </c>
    </row>
    <row r="10" spans="1:31" x14ac:dyDescent="0.25">
      <c r="B10" t="s">
        <v>510</v>
      </c>
      <c r="C10" t="s">
        <v>511</v>
      </c>
      <c r="D10">
        <v>76500</v>
      </c>
      <c r="E10">
        <v>73300</v>
      </c>
      <c r="F10" t="s">
        <v>68</v>
      </c>
      <c r="G10" t="s">
        <v>123</v>
      </c>
      <c r="H10" t="s">
        <v>124</v>
      </c>
      <c r="I10" t="s">
        <v>105</v>
      </c>
      <c r="J10">
        <v>1</v>
      </c>
      <c r="K10">
        <v>45510.612395833334</v>
      </c>
      <c r="L10">
        <v>33300</v>
      </c>
      <c r="N10">
        <v>43700</v>
      </c>
      <c r="O10">
        <v>2400</v>
      </c>
      <c r="P10">
        <v>30</v>
      </c>
      <c r="Q10">
        <v>1300.0000000000027</v>
      </c>
    </row>
    <row r="11" spans="1:31" x14ac:dyDescent="0.25">
      <c r="B11" t="s">
        <v>510</v>
      </c>
      <c r="C11" t="s">
        <v>106</v>
      </c>
      <c r="D11" t="s">
        <v>106</v>
      </c>
      <c r="E11">
        <v>9580</v>
      </c>
      <c r="F11" t="s">
        <v>68</v>
      </c>
      <c r="G11" t="s">
        <v>125</v>
      </c>
      <c r="H11" t="s">
        <v>126</v>
      </c>
      <c r="I11" t="s">
        <v>105</v>
      </c>
      <c r="J11">
        <v>1</v>
      </c>
      <c r="K11">
        <v>45526.689953703702</v>
      </c>
      <c r="L11">
        <v>10330</v>
      </c>
      <c r="O11">
        <v>2400</v>
      </c>
      <c r="P11">
        <v>3</v>
      </c>
      <c r="Q11">
        <v>2380</v>
      </c>
    </row>
    <row r="12" spans="1:31" x14ac:dyDescent="0.25">
      <c r="B12" t="s">
        <v>510</v>
      </c>
      <c r="C12" t="s">
        <v>511</v>
      </c>
      <c r="D12" t="s">
        <v>106</v>
      </c>
      <c r="E12">
        <v>5290</v>
      </c>
      <c r="F12" t="s">
        <v>127</v>
      </c>
      <c r="G12" t="s">
        <v>128</v>
      </c>
      <c r="H12" t="s">
        <v>129</v>
      </c>
      <c r="I12" t="s">
        <v>130</v>
      </c>
      <c r="J12">
        <v>1</v>
      </c>
      <c r="K12">
        <v>45450.582708333335</v>
      </c>
      <c r="L12">
        <v>5290</v>
      </c>
      <c r="O12">
        <v>10</v>
      </c>
      <c r="P12">
        <v>529</v>
      </c>
      <c r="Q12">
        <v>0</v>
      </c>
      <c r="V12" t="s">
        <v>554</v>
      </c>
    </row>
    <row r="13" spans="1:31" x14ac:dyDescent="0.25">
      <c r="B13" t="s">
        <v>510</v>
      </c>
      <c r="C13" t="s">
        <v>106</v>
      </c>
      <c r="D13">
        <v>6275</v>
      </c>
      <c r="E13">
        <v>4090</v>
      </c>
      <c r="F13" t="s">
        <v>127</v>
      </c>
      <c r="G13" t="s">
        <v>131</v>
      </c>
      <c r="H13" t="s">
        <v>132</v>
      </c>
      <c r="I13" t="s">
        <v>130</v>
      </c>
      <c r="J13">
        <v>1</v>
      </c>
      <c r="K13">
        <v>45532.693819444445</v>
      </c>
      <c r="L13">
        <v>4080</v>
      </c>
      <c r="O13">
        <v>10</v>
      </c>
      <c r="P13">
        <v>409</v>
      </c>
      <c r="Q13">
        <v>0</v>
      </c>
      <c r="V13" t="s">
        <v>554</v>
      </c>
    </row>
    <row r="14" spans="1:31" x14ac:dyDescent="0.25">
      <c r="B14" t="s">
        <v>510</v>
      </c>
      <c r="C14" t="s">
        <v>106</v>
      </c>
      <c r="D14" t="s">
        <v>106</v>
      </c>
      <c r="E14">
        <v>3130</v>
      </c>
      <c r="F14" t="s">
        <v>127</v>
      </c>
      <c r="G14" t="s">
        <v>133</v>
      </c>
      <c r="H14" t="s">
        <v>134</v>
      </c>
      <c r="I14" t="s">
        <v>130</v>
      </c>
      <c r="J14">
        <v>1</v>
      </c>
      <c r="K14">
        <v>45450.582789351851</v>
      </c>
      <c r="L14">
        <v>3130</v>
      </c>
      <c r="O14">
        <v>10</v>
      </c>
      <c r="P14">
        <v>313</v>
      </c>
      <c r="Q14">
        <v>0</v>
      </c>
      <c r="V14" t="s">
        <v>554</v>
      </c>
    </row>
    <row r="15" spans="1:31" x14ac:dyDescent="0.25">
      <c r="B15" t="s">
        <v>510</v>
      </c>
      <c r="C15" t="s">
        <v>515</v>
      </c>
      <c r="D15" t="s">
        <v>106</v>
      </c>
      <c r="E15">
        <v>1246</v>
      </c>
      <c r="F15" t="s">
        <v>135</v>
      </c>
      <c r="G15" t="s">
        <v>136</v>
      </c>
      <c r="H15" t="s">
        <v>137</v>
      </c>
      <c r="I15" t="s">
        <v>138</v>
      </c>
      <c r="J15">
        <v>1</v>
      </c>
      <c r="K15">
        <v>45450.582800925928</v>
      </c>
      <c r="L15">
        <v>1246</v>
      </c>
      <c r="O15">
        <v>144</v>
      </c>
      <c r="P15">
        <v>8</v>
      </c>
      <c r="Q15">
        <v>94.000000000000114</v>
      </c>
    </row>
    <row r="16" spans="1:31" x14ac:dyDescent="0.25">
      <c r="B16" t="s">
        <v>510</v>
      </c>
      <c r="C16" t="s">
        <v>515</v>
      </c>
      <c r="D16">
        <v>5792</v>
      </c>
      <c r="E16">
        <v>3560</v>
      </c>
      <c r="F16" t="s">
        <v>135</v>
      </c>
      <c r="G16" t="s">
        <v>139</v>
      </c>
      <c r="H16" t="s">
        <v>137</v>
      </c>
      <c r="I16" t="s">
        <v>138</v>
      </c>
      <c r="J16">
        <v>1</v>
      </c>
      <c r="K16">
        <v>45534.446134259262</v>
      </c>
      <c r="L16">
        <v>4048</v>
      </c>
      <c r="N16" t="s">
        <v>516</v>
      </c>
      <c r="O16">
        <v>144</v>
      </c>
      <c r="P16">
        <v>24</v>
      </c>
      <c r="Q16">
        <v>103.99999999999989</v>
      </c>
    </row>
    <row r="17" spans="2:22" x14ac:dyDescent="0.25">
      <c r="B17" t="s">
        <v>510</v>
      </c>
      <c r="C17" t="s">
        <v>515</v>
      </c>
      <c r="D17" t="s">
        <v>106</v>
      </c>
      <c r="E17">
        <v>2570</v>
      </c>
      <c r="F17" t="s">
        <v>135</v>
      </c>
      <c r="G17" t="s">
        <v>140</v>
      </c>
      <c r="H17" t="s">
        <v>137</v>
      </c>
      <c r="I17" t="s">
        <v>138</v>
      </c>
      <c r="J17">
        <v>1</v>
      </c>
      <c r="K17">
        <v>45568.363206018519</v>
      </c>
      <c r="L17">
        <v>2858</v>
      </c>
      <c r="O17">
        <v>144</v>
      </c>
      <c r="P17">
        <v>17</v>
      </c>
      <c r="Q17">
        <v>121.99999999999989</v>
      </c>
    </row>
    <row r="18" spans="2:22" x14ac:dyDescent="0.25">
      <c r="B18" t="s">
        <v>510</v>
      </c>
      <c r="C18" t="s">
        <v>515</v>
      </c>
      <c r="D18" t="s">
        <v>106</v>
      </c>
      <c r="E18">
        <v>2020</v>
      </c>
      <c r="F18" t="s">
        <v>135</v>
      </c>
      <c r="G18" t="s">
        <v>141</v>
      </c>
      <c r="H18" t="s">
        <v>137</v>
      </c>
      <c r="I18" t="s">
        <v>138</v>
      </c>
      <c r="J18">
        <v>1</v>
      </c>
      <c r="K18">
        <v>45554.338553240741</v>
      </c>
      <c r="L18">
        <v>2308</v>
      </c>
      <c r="O18">
        <v>144</v>
      </c>
      <c r="P18">
        <v>14</v>
      </c>
      <c r="Q18">
        <v>4.0000000000001137</v>
      </c>
    </row>
    <row r="19" spans="2:22" x14ac:dyDescent="0.25">
      <c r="B19" t="s">
        <v>510</v>
      </c>
      <c r="C19" t="s">
        <v>106</v>
      </c>
      <c r="D19">
        <v>9248</v>
      </c>
      <c r="E19">
        <v>6600</v>
      </c>
      <c r="F19" t="s">
        <v>68</v>
      </c>
      <c r="G19" t="s">
        <v>142</v>
      </c>
      <c r="H19" t="s">
        <v>143</v>
      </c>
      <c r="I19" t="s">
        <v>144</v>
      </c>
      <c r="J19">
        <v>1</v>
      </c>
      <c r="K19">
        <v>45450.582835648151</v>
      </c>
      <c r="L19">
        <v>6600</v>
      </c>
      <c r="O19">
        <v>24</v>
      </c>
      <c r="P19">
        <v>275</v>
      </c>
      <c r="Q19">
        <v>0</v>
      </c>
    </row>
    <row r="20" spans="2:22" x14ac:dyDescent="0.25">
      <c r="B20" t="s">
        <v>510</v>
      </c>
      <c r="C20">
        <v>20618</v>
      </c>
      <c r="D20">
        <v>15528</v>
      </c>
      <c r="E20">
        <v>9118</v>
      </c>
      <c r="F20" t="s">
        <v>68</v>
      </c>
      <c r="G20" t="s">
        <v>146</v>
      </c>
      <c r="H20" t="s">
        <v>147</v>
      </c>
      <c r="I20" t="s">
        <v>144</v>
      </c>
      <c r="J20">
        <v>1</v>
      </c>
      <c r="K20">
        <v>45488.609143518515</v>
      </c>
      <c r="L20">
        <v>11000</v>
      </c>
      <c r="N20">
        <v>23020</v>
      </c>
      <c r="O20">
        <v>500</v>
      </c>
      <c r="P20">
        <v>20</v>
      </c>
      <c r="Q20">
        <v>318</v>
      </c>
    </row>
    <row r="21" spans="2:22" x14ac:dyDescent="0.25">
      <c r="B21" t="s">
        <v>510</v>
      </c>
      <c r="C21" t="s">
        <v>106</v>
      </c>
      <c r="D21" t="s">
        <v>106</v>
      </c>
      <c r="E21">
        <v>101</v>
      </c>
      <c r="F21" t="s">
        <v>68</v>
      </c>
      <c r="G21" t="s">
        <v>482</v>
      </c>
      <c r="H21" t="s">
        <v>148</v>
      </c>
      <c r="I21" t="s">
        <v>144</v>
      </c>
      <c r="J21">
        <v>1</v>
      </c>
      <c r="K21">
        <v>45567.516643518517</v>
      </c>
      <c r="L21">
        <v>125</v>
      </c>
      <c r="O21">
        <v>24</v>
      </c>
      <c r="P21">
        <v>4</v>
      </c>
      <c r="Q21">
        <v>4.9999999999999929</v>
      </c>
    </row>
    <row r="22" spans="2:22" x14ac:dyDescent="0.25">
      <c r="B22" t="s">
        <v>510</v>
      </c>
      <c r="C22" t="s">
        <v>507</v>
      </c>
      <c r="D22" t="s">
        <v>106</v>
      </c>
      <c r="E22">
        <v>3066</v>
      </c>
      <c r="F22" t="s">
        <v>68</v>
      </c>
      <c r="G22" t="s">
        <v>355</v>
      </c>
      <c r="H22" t="s">
        <v>149</v>
      </c>
      <c r="I22" t="s">
        <v>144</v>
      </c>
      <c r="J22">
        <v>1</v>
      </c>
      <c r="K22">
        <v>45450.582870370374</v>
      </c>
      <c r="L22">
        <v>3066</v>
      </c>
      <c r="O22">
        <v>60</v>
      </c>
      <c r="P22">
        <v>51</v>
      </c>
      <c r="Q22">
        <v>6.0000000000000853</v>
      </c>
      <c r="V22" t="s">
        <v>555</v>
      </c>
    </row>
    <row r="23" spans="2:22" x14ac:dyDescent="0.25">
      <c r="B23" t="s">
        <v>510</v>
      </c>
      <c r="C23" t="s">
        <v>106</v>
      </c>
      <c r="D23" t="s">
        <v>106</v>
      </c>
      <c r="E23">
        <v>214</v>
      </c>
      <c r="F23" t="s">
        <v>68</v>
      </c>
      <c r="G23" t="s">
        <v>483</v>
      </c>
      <c r="H23" t="s">
        <v>150</v>
      </c>
      <c r="I23" t="s">
        <v>144</v>
      </c>
      <c r="J23">
        <v>1</v>
      </c>
      <c r="K23">
        <v>45568.363194444442</v>
      </c>
      <c r="L23">
        <v>234</v>
      </c>
      <c r="O23">
        <v>4</v>
      </c>
      <c r="P23">
        <v>53</v>
      </c>
      <c r="Q23">
        <v>2</v>
      </c>
    </row>
    <row r="24" spans="2:22" x14ac:dyDescent="0.25">
      <c r="B24" t="s">
        <v>510</v>
      </c>
      <c r="C24" t="s">
        <v>106</v>
      </c>
      <c r="D24" t="s">
        <v>106</v>
      </c>
      <c r="E24">
        <v>614</v>
      </c>
      <c r="F24" t="s">
        <v>68</v>
      </c>
      <c r="G24" t="s">
        <v>151</v>
      </c>
      <c r="H24" t="s">
        <v>152</v>
      </c>
      <c r="I24" t="s">
        <v>105</v>
      </c>
      <c r="J24">
        <v>1</v>
      </c>
      <c r="K24">
        <v>45569.455393518518</v>
      </c>
      <c r="L24">
        <v>14</v>
      </c>
      <c r="O24">
        <v>200</v>
      </c>
      <c r="P24">
        <v>3</v>
      </c>
      <c r="Q24">
        <v>13.999999999999968</v>
      </c>
      <c r="U24">
        <v>0</v>
      </c>
    </row>
    <row r="25" spans="2:22" x14ac:dyDescent="0.25">
      <c r="B25" t="s">
        <v>510</v>
      </c>
      <c r="C25" t="s">
        <v>106</v>
      </c>
      <c r="D25" t="s">
        <v>106</v>
      </c>
      <c r="E25">
        <v>1300</v>
      </c>
      <c r="F25" t="s">
        <v>68</v>
      </c>
      <c r="G25" t="s">
        <v>153</v>
      </c>
      <c r="H25" t="s">
        <v>154</v>
      </c>
      <c r="I25" t="s">
        <v>105</v>
      </c>
      <c r="J25">
        <v>1</v>
      </c>
      <c r="K25">
        <v>45568.363217592596</v>
      </c>
      <c r="L25">
        <v>1800</v>
      </c>
      <c r="O25">
        <v>100</v>
      </c>
      <c r="P25">
        <v>13</v>
      </c>
      <c r="Q25">
        <v>0</v>
      </c>
    </row>
    <row r="26" spans="2:22" x14ac:dyDescent="0.25">
      <c r="B26" t="s">
        <v>510</v>
      </c>
      <c r="C26" t="s">
        <v>517</v>
      </c>
      <c r="D26">
        <v>1662</v>
      </c>
      <c r="E26">
        <v>1212</v>
      </c>
      <c r="F26" t="s">
        <v>68</v>
      </c>
      <c r="G26" t="s">
        <v>155</v>
      </c>
      <c r="H26" t="s">
        <v>156</v>
      </c>
      <c r="J26">
        <v>1</v>
      </c>
      <c r="K26">
        <v>45568.363217592596</v>
      </c>
      <c r="L26">
        <v>1452</v>
      </c>
      <c r="O26">
        <v>24</v>
      </c>
      <c r="P26">
        <v>50</v>
      </c>
      <c r="Q26">
        <v>12</v>
      </c>
    </row>
    <row r="27" spans="2:22" x14ac:dyDescent="0.25">
      <c r="B27" t="s">
        <v>510</v>
      </c>
      <c r="C27" t="s">
        <v>515</v>
      </c>
      <c r="D27">
        <v>1216</v>
      </c>
      <c r="E27">
        <v>994</v>
      </c>
      <c r="F27" t="s">
        <v>68</v>
      </c>
      <c r="G27" t="s">
        <v>157</v>
      </c>
      <c r="H27" t="s">
        <v>156</v>
      </c>
      <c r="J27">
        <v>1</v>
      </c>
      <c r="K27">
        <v>45561.363449074073</v>
      </c>
      <c r="L27">
        <v>1034</v>
      </c>
      <c r="O27">
        <v>12</v>
      </c>
      <c r="P27">
        <v>82</v>
      </c>
      <c r="Q27">
        <v>9.9999999999999432</v>
      </c>
    </row>
    <row r="28" spans="2:22" x14ac:dyDescent="0.25">
      <c r="B28" t="s">
        <v>510</v>
      </c>
      <c r="C28" t="s">
        <v>158</v>
      </c>
      <c r="D28">
        <v>2844</v>
      </c>
      <c r="E28">
        <v>972</v>
      </c>
      <c r="F28" t="s">
        <v>68</v>
      </c>
      <c r="G28" t="s">
        <v>159</v>
      </c>
      <c r="H28" t="s">
        <v>796</v>
      </c>
      <c r="I28" t="s">
        <v>161</v>
      </c>
      <c r="J28">
        <v>1</v>
      </c>
      <c r="K28">
        <v>45568.363171296296</v>
      </c>
      <c r="L28">
        <v>1012</v>
      </c>
      <c r="N28" t="s">
        <v>518</v>
      </c>
      <c r="O28">
        <v>36</v>
      </c>
      <c r="P28">
        <v>27</v>
      </c>
      <c r="Q28">
        <v>0</v>
      </c>
    </row>
    <row r="29" spans="2:22" x14ac:dyDescent="0.25">
      <c r="B29" t="s">
        <v>510</v>
      </c>
      <c r="C29" t="s">
        <v>519</v>
      </c>
      <c r="D29" t="s">
        <v>106</v>
      </c>
      <c r="E29">
        <v>0</v>
      </c>
      <c r="F29" t="s">
        <v>68</v>
      </c>
      <c r="G29" t="s">
        <v>109</v>
      </c>
      <c r="H29" t="s">
        <v>162</v>
      </c>
      <c r="J29">
        <v>1</v>
      </c>
      <c r="K29">
        <v>45525.379895833335</v>
      </c>
      <c r="L29">
        <v>636</v>
      </c>
      <c r="O29">
        <v>96</v>
      </c>
      <c r="P29">
        <v>0</v>
      </c>
      <c r="Q29">
        <v>0</v>
      </c>
      <c r="V29" t="s">
        <v>797</v>
      </c>
    </row>
    <row r="30" spans="2:22" x14ac:dyDescent="0.25">
      <c r="B30" t="s">
        <v>510</v>
      </c>
      <c r="C30" t="s">
        <v>515</v>
      </c>
      <c r="D30" t="s">
        <v>106</v>
      </c>
      <c r="E30">
        <v>3562</v>
      </c>
      <c r="F30" t="s">
        <v>68</v>
      </c>
      <c r="G30" t="s">
        <v>163</v>
      </c>
      <c r="H30" t="s">
        <v>164</v>
      </c>
      <c r="I30" t="s">
        <v>165</v>
      </c>
      <c r="J30">
        <v>1</v>
      </c>
      <c r="K30">
        <v>45568.363182870373</v>
      </c>
      <c r="L30">
        <v>3862</v>
      </c>
      <c r="O30">
        <v>12</v>
      </c>
      <c r="P30">
        <v>296</v>
      </c>
      <c r="Q30">
        <v>9.9999999999997726</v>
      </c>
    </row>
    <row r="31" spans="2:22" x14ac:dyDescent="0.25">
      <c r="B31" t="s">
        <v>510</v>
      </c>
      <c r="C31" t="s">
        <v>106</v>
      </c>
      <c r="D31">
        <v>590</v>
      </c>
      <c r="E31">
        <v>480</v>
      </c>
      <c r="F31" t="s">
        <v>68</v>
      </c>
      <c r="G31" t="s">
        <v>166</v>
      </c>
      <c r="H31" t="s">
        <v>709</v>
      </c>
      <c r="J31">
        <v>1</v>
      </c>
      <c r="K31">
        <v>45568.363159722219</v>
      </c>
      <c r="L31">
        <v>516</v>
      </c>
      <c r="M31">
        <v>31</v>
      </c>
      <c r="N31">
        <v>534</v>
      </c>
      <c r="O31">
        <v>4</v>
      </c>
      <c r="P31">
        <v>120</v>
      </c>
      <c r="Q31">
        <v>0</v>
      </c>
    </row>
    <row r="32" spans="2:22" x14ac:dyDescent="0.25">
      <c r="B32" t="s">
        <v>510</v>
      </c>
      <c r="C32" t="s">
        <v>106</v>
      </c>
      <c r="D32" t="s">
        <v>106</v>
      </c>
      <c r="E32">
        <v>0</v>
      </c>
      <c r="F32" t="s">
        <v>68</v>
      </c>
      <c r="G32" t="s">
        <v>168</v>
      </c>
      <c r="H32" t="s">
        <v>520</v>
      </c>
      <c r="J32">
        <v>1</v>
      </c>
      <c r="K32">
        <v>45525.379872685182</v>
      </c>
      <c r="L32">
        <v>7328</v>
      </c>
      <c r="O32">
        <v>500</v>
      </c>
      <c r="P32">
        <v>0</v>
      </c>
      <c r="Q32">
        <v>0</v>
      </c>
    </row>
    <row r="33" spans="2:22" x14ac:dyDescent="0.25">
      <c r="B33" t="s">
        <v>510</v>
      </c>
      <c r="C33" t="s">
        <v>521</v>
      </c>
      <c r="D33" t="s">
        <v>106</v>
      </c>
      <c r="E33">
        <v>1150</v>
      </c>
      <c r="F33" t="s">
        <v>68</v>
      </c>
      <c r="G33" t="s">
        <v>484</v>
      </c>
      <c r="H33" t="s">
        <v>169</v>
      </c>
      <c r="I33" t="s">
        <v>144</v>
      </c>
      <c r="J33">
        <v>1</v>
      </c>
      <c r="K33">
        <v>45483.705347222225</v>
      </c>
      <c r="L33">
        <v>550</v>
      </c>
      <c r="N33" t="s">
        <v>557</v>
      </c>
      <c r="O33">
        <v>25</v>
      </c>
      <c r="P33">
        <v>46</v>
      </c>
      <c r="Q33">
        <v>0</v>
      </c>
    </row>
    <row r="34" spans="2:22" x14ac:dyDescent="0.25">
      <c r="B34" t="s">
        <v>510</v>
      </c>
      <c r="C34" t="s">
        <v>511</v>
      </c>
      <c r="D34">
        <v>30000</v>
      </c>
      <c r="E34">
        <v>8000</v>
      </c>
      <c r="F34" t="s">
        <v>68</v>
      </c>
      <c r="G34" t="s">
        <v>170</v>
      </c>
      <c r="H34" t="s">
        <v>171</v>
      </c>
      <c r="I34" t="s">
        <v>105</v>
      </c>
      <c r="J34">
        <v>1</v>
      </c>
      <c r="K34">
        <v>45469.656990740739</v>
      </c>
      <c r="L34">
        <v>0</v>
      </c>
      <c r="O34">
        <v>2400</v>
      </c>
      <c r="P34">
        <v>3</v>
      </c>
      <c r="Q34">
        <v>800.00000000000034</v>
      </c>
    </row>
    <row r="35" spans="2:22" x14ac:dyDescent="0.25">
      <c r="B35" t="s">
        <v>510</v>
      </c>
      <c r="C35" t="s">
        <v>106</v>
      </c>
      <c r="D35" t="s">
        <v>106</v>
      </c>
      <c r="E35">
        <v>21900</v>
      </c>
      <c r="F35" t="s">
        <v>68</v>
      </c>
      <c r="G35" t="s">
        <v>172</v>
      </c>
      <c r="H35" t="s">
        <v>173</v>
      </c>
      <c r="I35" t="s">
        <v>105</v>
      </c>
      <c r="J35">
        <v>1</v>
      </c>
      <c r="K35">
        <v>45532.695625</v>
      </c>
      <c r="L35">
        <v>0</v>
      </c>
      <c r="O35">
        <v>2400</v>
      </c>
      <c r="P35">
        <v>9</v>
      </c>
      <c r="Q35">
        <v>300</v>
      </c>
    </row>
    <row r="36" spans="2:22" x14ac:dyDescent="0.25">
      <c r="B36" t="s">
        <v>510</v>
      </c>
      <c r="C36" t="s">
        <v>106</v>
      </c>
      <c r="D36" t="s">
        <v>106</v>
      </c>
      <c r="E36">
        <v>500</v>
      </c>
      <c r="F36" t="s">
        <v>174</v>
      </c>
      <c r="G36" t="s">
        <v>175</v>
      </c>
      <c r="H36" t="s">
        <v>176</v>
      </c>
      <c r="J36">
        <v>1</v>
      </c>
      <c r="K36">
        <v>45450.583124999997</v>
      </c>
      <c r="L36">
        <v>500</v>
      </c>
      <c r="O36">
        <v>20</v>
      </c>
      <c r="P36">
        <v>25</v>
      </c>
      <c r="Q36">
        <v>0</v>
      </c>
    </row>
    <row r="37" spans="2:22" x14ac:dyDescent="0.25">
      <c r="B37" t="s">
        <v>510</v>
      </c>
      <c r="C37" t="s">
        <v>177</v>
      </c>
      <c r="D37">
        <v>2750</v>
      </c>
      <c r="E37">
        <v>1880</v>
      </c>
      <c r="F37" t="s">
        <v>68</v>
      </c>
      <c r="G37" t="s">
        <v>485</v>
      </c>
      <c r="H37" t="s">
        <v>178</v>
      </c>
      <c r="I37" t="s">
        <v>144</v>
      </c>
      <c r="J37">
        <v>1</v>
      </c>
      <c r="K37">
        <v>45568.363194444442</v>
      </c>
      <c r="L37">
        <v>2000</v>
      </c>
      <c r="O37">
        <v>100</v>
      </c>
      <c r="P37">
        <v>18</v>
      </c>
      <c r="Q37">
        <v>80.000000000000071</v>
      </c>
      <c r="V37" t="s">
        <v>798</v>
      </c>
    </row>
    <row r="38" spans="2:22" x14ac:dyDescent="0.25">
      <c r="B38" t="s">
        <v>510</v>
      </c>
      <c r="C38" t="s">
        <v>522</v>
      </c>
      <c r="D38" t="s">
        <v>106</v>
      </c>
      <c r="E38">
        <v>12800</v>
      </c>
      <c r="F38" t="s">
        <v>68</v>
      </c>
      <c r="G38" t="s">
        <v>179</v>
      </c>
      <c r="H38" t="s">
        <v>180</v>
      </c>
      <c r="I38" t="s">
        <v>144</v>
      </c>
      <c r="J38">
        <v>1</v>
      </c>
      <c r="K38">
        <v>45567.49490740741</v>
      </c>
      <c r="L38">
        <v>2800</v>
      </c>
      <c r="O38">
        <v>2000</v>
      </c>
      <c r="P38">
        <v>6</v>
      </c>
      <c r="Q38">
        <v>800.00000000000068</v>
      </c>
    </row>
    <row r="39" spans="2:22" x14ac:dyDescent="0.25">
      <c r="B39" t="s">
        <v>510</v>
      </c>
      <c r="C39" t="s">
        <v>106</v>
      </c>
      <c r="D39" t="s">
        <v>106</v>
      </c>
      <c r="E39">
        <v>0</v>
      </c>
      <c r="F39" t="s">
        <v>68</v>
      </c>
      <c r="G39" t="s">
        <v>357</v>
      </c>
      <c r="H39" t="s">
        <v>181</v>
      </c>
      <c r="J39">
        <v>1</v>
      </c>
      <c r="K39">
        <v>45525.379907407405</v>
      </c>
      <c r="L39">
        <v>58</v>
      </c>
      <c r="O39">
        <v>40</v>
      </c>
      <c r="P39">
        <v>0</v>
      </c>
      <c r="Q39">
        <v>0</v>
      </c>
      <c r="R39">
        <v>800.00000000000068</v>
      </c>
    </row>
    <row r="40" spans="2:22" x14ac:dyDescent="0.25">
      <c r="B40" t="s">
        <v>510</v>
      </c>
      <c r="C40" t="s">
        <v>106</v>
      </c>
      <c r="D40" t="s">
        <v>106</v>
      </c>
      <c r="E40">
        <v>34</v>
      </c>
      <c r="F40" t="s">
        <v>68</v>
      </c>
      <c r="G40" t="s">
        <v>182</v>
      </c>
      <c r="H40" t="s">
        <v>183</v>
      </c>
      <c r="J40">
        <v>1</v>
      </c>
      <c r="K40">
        <v>45568.363171296296</v>
      </c>
      <c r="L40">
        <v>39</v>
      </c>
      <c r="O40">
        <v>36</v>
      </c>
      <c r="P40">
        <v>0</v>
      </c>
      <c r="Q40">
        <v>34</v>
      </c>
    </row>
    <row r="41" spans="2:22" x14ac:dyDescent="0.25">
      <c r="B41" t="s">
        <v>510</v>
      </c>
      <c r="C41" t="s">
        <v>523</v>
      </c>
      <c r="D41" t="s">
        <v>106</v>
      </c>
      <c r="E41">
        <v>1500</v>
      </c>
      <c r="F41" t="s">
        <v>68</v>
      </c>
      <c r="G41" t="s">
        <v>201</v>
      </c>
      <c r="H41" t="s">
        <v>202</v>
      </c>
      <c r="I41" t="s">
        <v>144</v>
      </c>
      <c r="J41">
        <v>1</v>
      </c>
      <c r="K41">
        <v>45568.363206018519</v>
      </c>
      <c r="L41">
        <v>1700</v>
      </c>
      <c r="O41">
        <v>100</v>
      </c>
      <c r="P41">
        <v>15</v>
      </c>
      <c r="Q41">
        <v>0</v>
      </c>
    </row>
    <row r="42" spans="2:22" x14ac:dyDescent="0.25">
      <c r="B42" t="s">
        <v>510</v>
      </c>
      <c r="C42" t="s">
        <v>67</v>
      </c>
      <c r="D42" t="s">
        <v>67</v>
      </c>
      <c r="E42">
        <v>9</v>
      </c>
      <c r="F42" t="s">
        <v>135</v>
      </c>
      <c r="G42" t="s">
        <v>225</v>
      </c>
      <c r="H42" t="s">
        <v>208</v>
      </c>
      <c r="I42" t="s">
        <v>209</v>
      </c>
      <c r="J42">
        <v>1</v>
      </c>
      <c r="K42">
        <v>45450.583229166667</v>
      </c>
      <c r="L42">
        <v>9</v>
      </c>
      <c r="O42">
        <v>1</v>
      </c>
      <c r="P42">
        <v>9</v>
      </c>
      <c r="Q42">
        <v>0</v>
      </c>
    </row>
    <row r="43" spans="2:22" x14ac:dyDescent="0.25">
      <c r="B43" t="s">
        <v>510</v>
      </c>
      <c r="C43" t="s">
        <v>67</v>
      </c>
      <c r="D43" t="s">
        <v>67</v>
      </c>
      <c r="E43">
        <v>10</v>
      </c>
      <c r="F43" t="s">
        <v>135</v>
      </c>
      <c r="G43" t="s">
        <v>226</v>
      </c>
      <c r="H43" t="s">
        <v>208</v>
      </c>
      <c r="I43" t="s">
        <v>209</v>
      </c>
      <c r="J43">
        <v>1</v>
      </c>
      <c r="K43">
        <v>45450.583229166667</v>
      </c>
      <c r="L43">
        <v>10</v>
      </c>
      <c r="O43">
        <v>1</v>
      </c>
      <c r="P43">
        <v>10</v>
      </c>
      <c r="Q43">
        <v>0</v>
      </c>
    </row>
    <row r="44" spans="2:22" x14ac:dyDescent="0.25">
      <c r="B44" t="s">
        <v>510</v>
      </c>
      <c r="C44" t="s">
        <v>67</v>
      </c>
      <c r="D44" t="s">
        <v>67</v>
      </c>
      <c r="E44">
        <v>0</v>
      </c>
      <c r="F44" t="s">
        <v>135</v>
      </c>
      <c r="G44" t="s">
        <v>62</v>
      </c>
      <c r="H44" t="s">
        <v>208</v>
      </c>
      <c r="I44" t="s">
        <v>209</v>
      </c>
      <c r="J44">
        <v>1</v>
      </c>
      <c r="K44">
        <v>45567.501666666663</v>
      </c>
      <c r="L44">
        <v>51</v>
      </c>
      <c r="O44">
        <v>1</v>
      </c>
      <c r="P44">
        <v>0</v>
      </c>
      <c r="Q44">
        <v>0</v>
      </c>
    </row>
    <row r="45" spans="2:22" x14ac:dyDescent="0.25">
      <c r="B45" t="s">
        <v>510</v>
      </c>
      <c r="C45" t="s">
        <v>67</v>
      </c>
      <c r="D45" t="s">
        <v>67</v>
      </c>
      <c r="E45">
        <v>0</v>
      </c>
      <c r="F45" t="s">
        <v>135</v>
      </c>
      <c r="G45" t="s">
        <v>227</v>
      </c>
      <c r="H45" t="s">
        <v>208</v>
      </c>
      <c r="I45" t="s">
        <v>209</v>
      </c>
      <c r="J45">
        <v>1</v>
      </c>
      <c r="K45">
        <v>45567.501689814817</v>
      </c>
      <c r="L45">
        <v>58</v>
      </c>
      <c r="O45">
        <v>1</v>
      </c>
      <c r="P45">
        <v>0</v>
      </c>
      <c r="Q45">
        <v>0</v>
      </c>
    </row>
    <row r="46" spans="2:22" x14ac:dyDescent="0.25">
      <c r="B46" t="s">
        <v>510</v>
      </c>
      <c r="C46" t="s">
        <v>67</v>
      </c>
      <c r="D46" t="s">
        <v>67</v>
      </c>
      <c r="E46">
        <v>0</v>
      </c>
      <c r="F46" t="s">
        <v>135</v>
      </c>
      <c r="G46" t="s">
        <v>63</v>
      </c>
      <c r="H46" t="s">
        <v>208</v>
      </c>
      <c r="I46" t="s">
        <v>209</v>
      </c>
      <c r="J46">
        <v>1</v>
      </c>
      <c r="K46">
        <v>45567.501701388886</v>
      </c>
      <c r="L46">
        <v>4</v>
      </c>
      <c r="O46">
        <v>1</v>
      </c>
      <c r="P46">
        <v>0</v>
      </c>
      <c r="Q46">
        <v>0</v>
      </c>
    </row>
    <row r="47" spans="2:22" x14ac:dyDescent="0.25">
      <c r="B47" t="s">
        <v>510</v>
      </c>
      <c r="C47" t="s">
        <v>67</v>
      </c>
      <c r="D47" t="s">
        <v>67</v>
      </c>
      <c r="E47">
        <v>0</v>
      </c>
      <c r="F47" t="s">
        <v>135</v>
      </c>
      <c r="G47" t="s">
        <v>228</v>
      </c>
      <c r="H47" t="s">
        <v>208</v>
      </c>
      <c r="I47" t="s">
        <v>209</v>
      </c>
      <c r="J47">
        <v>1</v>
      </c>
      <c r="K47">
        <v>45525.379976851851</v>
      </c>
      <c r="L47">
        <v>2</v>
      </c>
      <c r="O47">
        <v>1</v>
      </c>
      <c r="P47">
        <v>0</v>
      </c>
      <c r="Q47">
        <v>0</v>
      </c>
    </row>
    <row r="48" spans="2:22" x14ac:dyDescent="0.25">
      <c r="B48" t="s">
        <v>510</v>
      </c>
      <c r="C48" t="s">
        <v>67</v>
      </c>
      <c r="D48">
        <v>4</v>
      </c>
      <c r="E48">
        <v>0</v>
      </c>
      <c r="F48" t="s">
        <v>135</v>
      </c>
      <c r="G48" t="s">
        <v>229</v>
      </c>
      <c r="H48" t="s">
        <v>208</v>
      </c>
      <c r="I48" t="s">
        <v>209</v>
      </c>
      <c r="J48">
        <v>1</v>
      </c>
      <c r="K48">
        <v>45525.379988425928</v>
      </c>
      <c r="L48">
        <v>3</v>
      </c>
      <c r="O48">
        <v>1</v>
      </c>
      <c r="P48">
        <v>0</v>
      </c>
      <c r="Q48">
        <v>0</v>
      </c>
    </row>
    <row r="49" spans="2:17" x14ac:dyDescent="0.25">
      <c r="B49" t="s">
        <v>510</v>
      </c>
      <c r="C49" t="s">
        <v>67</v>
      </c>
      <c r="D49">
        <v>4</v>
      </c>
      <c r="E49">
        <v>0</v>
      </c>
      <c r="F49" t="s">
        <v>135</v>
      </c>
      <c r="G49" t="s">
        <v>230</v>
      </c>
      <c r="H49" t="s">
        <v>208</v>
      </c>
      <c r="I49" t="s">
        <v>209</v>
      </c>
      <c r="J49">
        <v>1</v>
      </c>
      <c r="K49">
        <v>45525.379988425928</v>
      </c>
      <c r="L49">
        <v>5</v>
      </c>
      <c r="O49">
        <v>1</v>
      </c>
      <c r="P49">
        <v>0</v>
      </c>
      <c r="Q49">
        <v>0</v>
      </c>
    </row>
    <row r="50" spans="2:17" x14ac:dyDescent="0.25">
      <c r="B50" t="s">
        <v>510</v>
      </c>
      <c r="C50" t="s">
        <v>67</v>
      </c>
      <c r="D50">
        <v>56</v>
      </c>
      <c r="E50">
        <v>0</v>
      </c>
      <c r="F50" t="s">
        <v>135</v>
      </c>
      <c r="G50" t="s">
        <v>64</v>
      </c>
      <c r="H50" t="s">
        <v>208</v>
      </c>
      <c r="I50" t="s">
        <v>209</v>
      </c>
      <c r="J50">
        <v>1</v>
      </c>
      <c r="K50">
        <v>45525.379930555559</v>
      </c>
      <c r="L50">
        <v>94</v>
      </c>
      <c r="O50">
        <v>1</v>
      </c>
      <c r="P50">
        <v>0</v>
      </c>
      <c r="Q50">
        <v>0</v>
      </c>
    </row>
    <row r="51" spans="2:17" x14ac:dyDescent="0.25">
      <c r="B51" t="s">
        <v>510</v>
      </c>
      <c r="C51" t="s">
        <v>67</v>
      </c>
      <c r="D51" t="s">
        <v>67</v>
      </c>
      <c r="E51">
        <v>14</v>
      </c>
      <c r="F51" t="s">
        <v>135</v>
      </c>
      <c r="G51" t="s">
        <v>215</v>
      </c>
      <c r="H51" t="s">
        <v>208</v>
      </c>
      <c r="I51" t="s">
        <v>209</v>
      </c>
      <c r="J51">
        <v>1</v>
      </c>
      <c r="K51">
        <v>45450.583298611113</v>
      </c>
      <c r="L51">
        <v>14</v>
      </c>
      <c r="O51">
        <v>1</v>
      </c>
      <c r="P51">
        <v>14</v>
      </c>
      <c r="Q51">
        <v>0</v>
      </c>
    </row>
    <row r="52" spans="2:17" x14ac:dyDescent="0.25">
      <c r="B52" t="s">
        <v>510</v>
      </c>
      <c r="C52" t="s">
        <v>67</v>
      </c>
      <c r="D52" t="s">
        <v>67</v>
      </c>
      <c r="E52">
        <v>0</v>
      </c>
      <c r="F52" t="s">
        <v>135</v>
      </c>
      <c r="G52" t="s">
        <v>216</v>
      </c>
      <c r="H52" t="s">
        <v>208</v>
      </c>
      <c r="I52" t="s">
        <v>209</v>
      </c>
      <c r="J52">
        <v>1</v>
      </c>
      <c r="K52">
        <v>45525.379918981482</v>
      </c>
      <c r="L52">
        <v>45</v>
      </c>
      <c r="O52">
        <v>1</v>
      </c>
      <c r="P52">
        <v>0</v>
      </c>
      <c r="Q52">
        <v>0</v>
      </c>
    </row>
    <row r="53" spans="2:17" x14ac:dyDescent="0.25">
      <c r="B53" t="s">
        <v>510</v>
      </c>
      <c r="C53" t="s">
        <v>67</v>
      </c>
      <c r="D53">
        <v>39</v>
      </c>
      <c r="E53">
        <v>0</v>
      </c>
      <c r="F53" t="s">
        <v>135</v>
      </c>
      <c r="G53" t="s">
        <v>217</v>
      </c>
      <c r="H53" t="s">
        <v>208</v>
      </c>
      <c r="I53" t="s">
        <v>209</v>
      </c>
      <c r="J53">
        <v>1</v>
      </c>
      <c r="K53">
        <v>45525.379942129628</v>
      </c>
      <c r="L53">
        <v>46</v>
      </c>
      <c r="O53">
        <v>1</v>
      </c>
      <c r="P53">
        <v>0</v>
      </c>
      <c r="Q53">
        <v>0</v>
      </c>
    </row>
    <row r="54" spans="2:17" x14ac:dyDescent="0.25">
      <c r="B54" t="s">
        <v>510</v>
      </c>
      <c r="C54" t="s">
        <v>67</v>
      </c>
      <c r="D54" t="s">
        <v>67</v>
      </c>
      <c r="E54">
        <v>0</v>
      </c>
      <c r="F54" t="s">
        <v>135</v>
      </c>
      <c r="G54" t="s">
        <v>218</v>
      </c>
      <c r="H54" t="s">
        <v>208</v>
      </c>
      <c r="I54" t="s">
        <v>209</v>
      </c>
      <c r="J54">
        <v>1</v>
      </c>
      <c r="K54">
        <v>45525.379953703705</v>
      </c>
      <c r="L54">
        <v>56</v>
      </c>
      <c r="O54">
        <v>1</v>
      </c>
      <c r="P54">
        <v>0</v>
      </c>
      <c r="Q54">
        <v>0</v>
      </c>
    </row>
    <row r="55" spans="2:17" x14ac:dyDescent="0.25">
      <c r="B55" t="s">
        <v>510</v>
      </c>
      <c r="C55" t="s">
        <v>67</v>
      </c>
      <c r="D55" t="s">
        <v>67</v>
      </c>
      <c r="E55">
        <v>0</v>
      </c>
      <c r="F55" t="s">
        <v>135</v>
      </c>
      <c r="G55" t="s">
        <v>219</v>
      </c>
      <c r="H55" t="s">
        <v>208</v>
      </c>
      <c r="I55" t="s">
        <v>209</v>
      </c>
      <c r="J55">
        <v>1</v>
      </c>
      <c r="K55">
        <v>45525.38</v>
      </c>
      <c r="L55">
        <v>55</v>
      </c>
      <c r="O55">
        <v>1</v>
      </c>
      <c r="P55">
        <v>0</v>
      </c>
      <c r="Q55">
        <v>0</v>
      </c>
    </row>
    <row r="56" spans="2:17" x14ac:dyDescent="0.25">
      <c r="B56" t="s">
        <v>510</v>
      </c>
      <c r="C56" t="s">
        <v>67</v>
      </c>
      <c r="D56" t="s">
        <v>67</v>
      </c>
      <c r="E56">
        <v>0</v>
      </c>
      <c r="F56" t="s">
        <v>135</v>
      </c>
      <c r="G56" t="s">
        <v>220</v>
      </c>
      <c r="H56" t="s">
        <v>208</v>
      </c>
      <c r="I56" t="s">
        <v>209</v>
      </c>
      <c r="J56">
        <v>1</v>
      </c>
      <c r="K56">
        <v>45525.379965277774</v>
      </c>
      <c r="L56">
        <v>4</v>
      </c>
      <c r="O56">
        <v>1</v>
      </c>
      <c r="P56">
        <v>0</v>
      </c>
      <c r="Q56">
        <v>0</v>
      </c>
    </row>
    <row r="57" spans="2:17" x14ac:dyDescent="0.25">
      <c r="B57" t="s">
        <v>510</v>
      </c>
      <c r="C57" t="s">
        <v>465</v>
      </c>
      <c r="D57" t="s">
        <v>231</v>
      </c>
      <c r="E57">
        <v>70</v>
      </c>
      <c r="F57" t="s">
        <v>68</v>
      </c>
      <c r="G57" t="s">
        <v>490</v>
      </c>
      <c r="H57" t="s">
        <v>233</v>
      </c>
      <c r="I57" t="s">
        <v>234</v>
      </c>
      <c r="J57">
        <v>1</v>
      </c>
      <c r="K57">
        <v>45509.456666666665</v>
      </c>
      <c r="L57">
        <v>80</v>
      </c>
      <c r="O57">
        <v>1</v>
      </c>
      <c r="P57">
        <v>70</v>
      </c>
      <c r="Q57">
        <v>0</v>
      </c>
    </row>
    <row r="58" spans="2:17" x14ac:dyDescent="0.25">
      <c r="B58" t="s">
        <v>510</v>
      </c>
      <c r="C58" t="s">
        <v>66</v>
      </c>
      <c r="D58" t="s">
        <v>66</v>
      </c>
      <c r="E58">
        <v>1400</v>
      </c>
      <c r="F58" t="s">
        <v>68</v>
      </c>
      <c r="G58" t="s">
        <v>274</v>
      </c>
      <c r="H58" t="s">
        <v>275</v>
      </c>
      <c r="I58" t="s">
        <v>105</v>
      </c>
      <c r="J58">
        <v>1</v>
      </c>
      <c r="K58">
        <v>45450.583356481482</v>
      </c>
      <c r="L58">
        <v>1400</v>
      </c>
      <c r="O58">
        <v>1</v>
      </c>
      <c r="P58">
        <v>1400</v>
      </c>
      <c r="Q58">
        <v>0</v>
      </c>
    </row>
    <row r="59" spans="2:17" x14ac:dyDescent="0.25">
      <c r="B59" t="s">
        <v>510</v>
      </c>
      <c r="C59" t="s">
        <v>66</v>
      </c>
      <c r="D59">
        <v>31200</v>
      </c>
      <c r="E59">
        <v>27000</v>
      </c>
      <c r="F59" t="s">
        <v>68</v>
      </c>
      <c r="G59" t="s">
        <v>278</v>
      </c>
      <c r="H59" t="s">
        <v>279</v>
      </c>
      <c r="I59" t="s">
        <v>105</v>
      </c>
      <c r="J59">
        <v>1</v>
      </c>
      <c r="K59">
        <v>45450.583368055559</v>
      </c>
      <c r="L59">
        <v>27000</v>
      </c>
      <c r="O59">
        <v>2400</v>
      </c>
      <c r="P59">
        <v>11</v>
      </c>
      <c r="Q59">
        <v>600</v>
      </c>
    </row>
    <row r="60" spans="2:17" x14ac:dyDescent="0.25">
      <c r="B60" t="s">
        <v>510</v>
      </c>
      <c r="C60" t="s">
        <v>67</v>
      </c>
      <c r="D60" t="s">
        <v>67</v>
      </c>
      <c r="E60">
        <v>9994</v>
      </c>
      <c r="F60" t="s">
        <v>68</v>
      </c>
      <c r="G60" t="s">
        <v>112</v>
      </c>
      <c r="H60" t="s">
        <v>323</v>
      </c>
      <c r="I60" t="s">
        <v>66</v>
      </c>
      <c r="J60">
        <v>1</v>
      </c>
      <c r="K60">
        <v>45450.583379629628</v>
      </c>
      <c r="L60">
        <v>9994</v>
      </c>
      <c r="M60" t="s">
        <v>324</v>
      </c>
      <c r="O60">
        <v>100</v>
      </c>
      <c r="P60">
        <v>99</v>
      </c>
      <c r="Q60">
        <v>93.999999999999773</v>
      </c>
    </row>
    <row r="61" spans="2:17" x14ac:dyDescent="0.25">
      <c r="B61" t="s">
        <v>510</v>
      </c>
      <c r="C61" t="s">
        <v>330</v>
      </c>
      <c r="D61" t="s">
        <v>66</v>
      </c>
      <c r="E61">
        <v>0</v>
      </c>
      <c r="F61" t="s">
        <v>135</v>
      </c>
      <c r="G61" t="s">
        <v>331</v>
      </c>
      <c r="H61" t="s">
        <v>208</v>
      </c>
      <c r="I61" t="s">
        <v>209</v>
      </c>
      <c r="J61">
        <v>1</v>
      </c>
      <c r="K61">
        <v>45525.379942129628</v>
      </c>
      <c r="L61">
        <v>68</v>
      </c>
      <c r="O61">
        <v>1</v>
      </c>
      <c r="P61">
        <v>0</v>
      </c>
      <c r="Q61">
        <v>0</v>
      </c>
    </row>
    <row r="62" spans="2:17" x14ac:dyDescent="0.25">
      <c r="B62" t="s">
        <v>510</v>
      </c>
      <c r="C62" t="s">
        <v>330</v>
      </c>
      <c r="D62">
        <v>21</v>
      </c>
      <c r="E62">
        <v>0</v>
      </c>
      <c r="F62" t="s">
        <v>135</v>
      </c>
      <c r="G62" t="s">
        <v>332</v>
      </c>
      <c r="H62" t="s">
        <v>208</v>
      </c>
      <c r="I62" t="s">
        <v>209</v>
      </c>
      <c r="J62">
        <v>1</v>
      </c>
      <c r="K62">
        <v>45567.501701388886</v>
      </c>
      <c r="L62">
        <v>32</v>
      </c>
      <c r="O62">
        <v>1</v>
      </c>
      <c r="P62">
        <v>0</v>
      </c>
      <c r="Q62">
        <v>0</v>
      </c>
    </row>
    <row r="63" spans="2:17" x14ac:dyDescent="0.25">
      <c r="B63" t="s">
        <v>510</v>
      </c>
      <c r="C63" t="s">
        <v>330</v>
      </c>
      <c r="D63" t="s">
        <v>66</v>
      </c>
      <c r="E63">
        <v>0</v>
      </c>
      <c r="F63" t="s">
        <v>135</v>
      </c>
      <c r="G63" t="s">
        <v>65</v>
      </c>
      <c r="H63" t="s">
        <v>208</v>
      </c>
      <c r="I63" t="s">
        <v>209</v>
      </c>
      <c r="J63">
        <v>1</v>
      </c>
      <c r="K63">
        <v>45525.379965277774</v>
      </c>
      <c r="L63">
        <v>53</v>
      </c>
      <c r="O63">
        <v>1</v>
      </c>
      <c r="P63">
        <v>0</v>
      </c>
      <c r="Q63">
        <v>0</v>
      </c>
    </row>
    <row r="64" spans="2:17" x14ac:dyDescent="0.25">
      <c r="B64" t="s">
        <v>510</v>
      </c>
      <c r="C64" t="s">
        <v>330</v>
      </c>
      <c r="D64">
        <v>43</v>
      </c>
      <c r="E64">
        <v>0</v>
      </c>
      <c r="F64" t="s">
        <v>135</v>
      </c>
      <c r="G64" t="s">
        <v>333</v>
      </c>
      <c r="H64" t="s">
        <v>208</v>
      </c>
      <c r="I64" t="s">
        <v>209</v>
      </c>
      <c r="J64">
        <v>1</v>
      </c>
      <c r="K64">
        <v>45567.501712962963</v>
      </c>
      <c r="L64">
        <v>32</v>
      </c>
      <c r="O64">
        <v>1</v>
      </c>
      <c r="P64">
        <v>0</v>
      </c>
      <c r="Q64">
        <v>0</v>
      </c>
    </row>
    <row r="65" spans="2:31" x14ac:dyDescent="0.25">
      <c r="B65" t="s">
        <v>510</v>
      </c>
      <c r="C65" t="s">
        <v>330</v>
      </c>
      <c r="D65" t="s">
        <v>66</v>
      </c>
      <c r="E65">
        <v>24</v>
      </c>
      <c r="F65" t="s">
        <v>135</v>
      </c>
      <c r="G65" t="s">
        <v>334</v>
      </c>
      <c r="H65" t="s">
        <v>208</v>
      </c>
      <c r="I65" t="s">
        <v>209</v>
      </c>
      <c r="J65">
        <v>1</v>
      </c>
      <c r="K65">
        <v>45450.583425925928</v>
      </c>
      <c r="L65">
        <v>24</v>
      </c>
      <c r="M65">
        <v>45265</v>
      </c>
      <c r="O65">
        <v>1</v>
      </c>
      <c r="P65">
        <v>24</v>
      </c>
      <c r="Q65">
        <v>0</v>
      </c>
    </row>
    <row r="66" spans="2:31" x14ac:dyDescent="0.25">
      <c r="B66" t="s">
        <v>510</v>
      </c>
      <c r="C66" t="s">
        <v>347</v>
      </c>
      <c r="D66">
        <v>42</v>
      </c>
      <c r="E66">
        <v>0</v>
      </c>
      <c r="F66" t="s">
        <v>135</v>
      </c>
      <c r="G66" t="s">
        <v>350</v>
      </c>
      <c r="H66" t="s">
        <v>208</v>
      </c>
      <c r="I66" t="s">
        <v>209</v>
      </c>
      <c r="J66">
        <v>1</v>
      </c>
      <c r="K66">
        <v>45525.379918981482</v>
      </c>
      <c r="L66">
        <v>44</v>
      </c>
      <c r="M66">
        <v>45058</v>
      </c>
      <c r="O66">
        <v>1</v>
      </c>
      <c r="P66">
        <v>0</v>
      </c>
      <c r="Q66">
        <v>0</v>
      </c>
    </row>
    <row r="67" spans="2:31" x14ac:dyDescent="0.25">
      <c r="B67" t="s">
        <v>510</v>
      </c>
      <c r="C67">
        <v>38856</v>
      </c>
      <c r="D67" t="s">
        <v>66</v>
      </c>
      <c r="E67">
        <v>96</v>
      </c>
      <c r="F67" t="s">
        <v>68</v>
      </c>
      <c r="G67" t="s">
        <v>552</v>
      </c>
      <c r="H67" t="s">
        <v>692</v>
      </c>
      <c r="I67" t="s">
        <v>693</v>
      </c>
      <c r="J67">
        <v>1</v>
      </c>
      <c r="K67">
        <v>45568.36314814815</v>
      </c>
      <c r="L67">
        <v>108</v>
      </c>
      <c r="M67" t="s">
        <v>694</v>
      </c>
      <c r="O67">
        <v>12</v>
      </c>
      <c r="P67">
        <v>8</v>
      </c>
      <c r="Q67">
        <v>0</v>
      </c>
      <c r="V67" t="s">
        <v>695</v>
      </c>
    </row>
    <row r="68" spans="2:31" x14ac:dyDescent="0.25">
      <c r="B68" t="s">
        <v>510</v>
      </c>
      <c r="C68" t="s">
        <v>997</v>
      </c>
      <c r="D68" t="s">
        <v>998</v>
      </c>
      <c r="E68">
        <v>9920</v>
      </c>
      <c r="G68" t="s">
        <v>999</v>
      </c>
      <c r="H68" t="s">
        <v>1000</v>
      </c>
      <c r="J68">
        <v>1</v>
      </c>
      <c r="K68">
        <v>45567.49491898148</v>
      </c>
      <c r="L68">
        <v>4960</v>
      </c>
      <c r="M68" t="s">
        <v>1001</v>
      </c>
      <c r="O68">
        <v>160</v>
      </c>
      <c r="P68">
        <v>62</v>
      </c>
      <c r="Q68">
        <v>0</v>
      </c>
    </row>
    <row r="69" spans="2:31" x14ac:dyDescent="0.25">
      <c r="B69" t="s">
        <v>293</v>
      </c>
      <c r="C69" t="s">
        <v>247</v>
      </c>
      <c r="D69">
        <v>431</v>
      </c>
      <c r="E69">
        <v>900</v>
      </c>
      <c r="F69" t="s">
        <v>68</v>
      </c>
      <c r="G69" t="s">
        <v>115</v>
      </c>
      <c r="H69" t="s">
        <v>184</v>
      </c>
      <c r="I69" t="s">
        <v>105</v>
      </c>
      <c r="J69">
        <v>0</v>
      </c>
      <c r="K69">
        <v>45224</v>
      </c>
      <c r="O69">
        <v>100</v>
      </c>
      <c r="AC69">
        <v>18</v>
      </c>
      <c r="AD69" t="s">
        <v>225</v>
      </c>
      <c r="AE69">
        <v>890</v>
      </c>
    </row>
    <row r="70" spans="2:31" x14ac:dyDescent="0.25">
      <c r="B70" t="s">
        <v>293</v>
      </c>
      <c r="C70" t="s">
        <v>247</v>
      </c>
      <c r="D70">
        <v>432</v>
      </c>
      <c r="E70">
        <v>2500</v>
      </c>
      <c r="F70" t="s">
        <v>68</v>
      </c>
      <c r="G70" t="s">
        <v>121</v>
      </c>
      <c r="H70" t="s">
        <v>185</v>
      </c>
      <c r="I70" t="s">
        <v>105</v>
      </c>
      <c r="J70">
        <v>0</v>
      </c>
      <c r="K70">
        <v>45224</v>
      </c>
      <c r="O70">
        <v>1</v>
      </c>
      <c r="AC70">
        <v>6</v>
      </c>
      <c r="AD70" t="s">
        <v>226</v>
      </c>
      <c r="AE70">
        <v>890</v>
      </c>
    </row>
    <row r="71" spans="2:31" x14ac:dyDescent="0.25">
      <c r="B71" t="s">
        <v>293</v>
      </c>
      <c r="C71" t="s">
        <v>346</v>
      </c>
      <c r="D71">
        <v>432</v>
      </c>
      <c r="E71">
        <v>800</v>
      </c>
      <c r="F71" t="s">
        <v>68</v>
      </c>
      <c r="G71" t="s">
        <v>125</v>
      </c>
      <c r="H71" t="s">
        <v>126</v>
      </c>
      <c r="I71" t="s">
        <v>105</v>
      </c>
      <c r="J71">
        <v>0</v>
      </c>
      <c r="K71">
        <v>45224</v>
      </c>
      <c r="O71">
        <v>1</v>
      </c>
      <c r="AC71">
        <v>35</v>
      </c>
      <c r="AD71" t="s">
        <v>62</v>
      </c>
      <c r="AE71">
        <v>890</v>
      </c>
    </row>
    <row r="72" spans="2:31" x14ac:dyDescent="0.25">
      <c r="B72" t="s">
        <v>293</v>
      </c>
      <c r="C72" t="s">
        <v>249</v>
      </c>
      <c r="D72">
        <v>433</v>
      </c>
      <c r="E72">
        <v>300</v>
      </c>
      <c r="F72" t="s">
        <v>127</v>
      </c>
      <c r="G72" t="s">
        <v>128</v>
      </c>
      <c r="H72" t="s">
        <v>186</v>
      </c>
      <c r="J72">
        <v>0</v>
      </c>
      <c r="K72">
        <v>45224</v>
      </c>
      <c r="O72">
        <v>1</v>
      </c>
      <c r="V72" t="s">
        <v>554</v>
      </c>
      <c r="AC72">
        <v>26</v>
      </c>
      <c r="AD72" t="s">
        <v>227</v>
      </c>
      <c r="AE72">
        <v>890</v>
      </c>
    </row>
    <row r="73" spans="2:31" x14ac:dyDescent="0.25">
      <c r="B73" t="s">
        <v>293</v>
      </c>
      <c r="C73" t="s">
        <v>249</v>
      </c>
      <c r="D73">
        <v>433</v>
      </c>
      <c r="E73">
        <v>350</v>
      </c>
      <c r="F73" t="s">
        <v>68</v>
      </c>
      <c r="G73" t="s">
        <v>159</v>
      </c>
      <c r="H73" t="s">
        <v>187</v>
      </c>
      <c r="J73">
        <v>0</v>
      </c>
      <c r="K73">
        <v>45224</v>
      </c>
      <c r="O73">
        <v>1</v>
      </c>
      <c r="AC73">
        <v>5</v>
      </c>
      <c r="AD73" t="s">
        <v>63</v>
      </c>
      <c r="AE73">
        <v>890</v>
      </c>
    </row>
    <row r="74" spans="2:31" x14ac:dyDescent="0.25">
      <c r="B74" t="s">
        <v>293</v>
      </c>
      <c r="C74" t="s">
        <v>249</v>
      </c>
      <c r="D74">
        <v>433</v>
      </c>
      <c r="E74">
        <v>25000</v>
      </c>
      <c r="F74" t="s">
        <v>68</v>
      </c>
      <c r="G74" t="s">
        <v>103</v>
      </c>
      <c r="H74" t="s">
        <v>188</v>
      </c>
      <c r="J74">
        <v>0</v>
      </c>
      <c r="K74">
        <v>45224</v>
      </c>
      <c r="O74">
        <v>1</v>
      </c>
      <c r="AC74">
        <v>4</v>
      </c>
      <c r="AD74" t="s">
        <v>228</v>
      </c>
      <c r="AE74">
        <v>890</v>
      </c>
    </row>
    <row r="75" spans="2:31" x14ac:dyDescent="0.25">
      <c r="B75" t="s">
        <v>293</v>
      </c>
      <c r="C75" t="s">
        <v>249</v>
      </c>
      <c r="D75">
        <v>433</v>
      </c>
      <c r="E75">
        <v>5</v>
      </c>
      <c r="F75" t="s">
        <v>68</v>
      </c>
      <c r="G75" t="s">
        <v>182</v>
      </c>
      <c r="H75" t="s">
        <v>183</v>
      </c>
      <c r="J75">
        <v>0</v>
      </c>
      <c r="K75">
        <v>45224</v>
      </c>
      <c r="O75">
        <v>1</v>
      </c>
      <c r="AC75">
        <v>4</v>
      </c>
      <c r="AD75" t="s">
        <v>229</v>
      </c>
      <c r="AE75">
        <v>890</v>
      </c>
    </row>
    <row r="76" spans="2:31" x14ac:dyDescent="0.25">
      <c r="B76" t="s">
        <v>293</v>
      </c>
      <c r="C76" t="s">
        <v>395</v>
      </c>
      <c r="D76">
        <v>434</v>
      </c>
      <c r="E76">
        <v>2000</v>
      </c>
      <c r="F76" t="s">
        <v>68</v>
      </c>
      <c r="G76" t="s">
        <v>142</v>
      </c>
      <c r="H76" t="s">
        <v>143</v>
      </c>
      <c r="I76" t="s">
        <v>144</v>
      </c>
      <c r="J76">
        <v>0</v>
      </c>
      <c r="O76">
        <v>1</v>
      </c>
      <c r="AC76">
        <v>4</v>
      </c>
      <c r="AD76" t="s">
        <v>230</v>
      </c>
      <c r="AE76">
        <v>890</v>
      </c>
    </row>
    <row r="77" spans="2:31" x14ac:dyDescent="0.25">
      <c r="B77" t="s">
        <v>293</v>
      </c>
      <c r="C77" t="s">
        <v>309</v>
      </c>
      <c r="D77">
        <v>438</v>
      </c>
      <c r="E77">
        <v>20000</v>
      </c>
      <c r="F77" t="s">
        <v>68</v>
      </c>
      <c r="G77" t="s">
        <v>123</v>
      </c>
      <c r="H77" t="s">
        <v>124</v>
      </c>
      <c r="I77" t="s">
        <v>105</v>
      </c>
      <c r="J77">
        <v>0</v>
      </c>
      <c r="K77">
        <v>45229.493993055556</v>
      </c>
      <c r="O77">
        <v>1</v>
      </c>
      <c r="AC77">
        <v>43</v>
      </c>
      <c r="AD77" t="s">
        <v>64</v>
      </c>
      <c r="AE77">
        <v>890</v>
      </c>
    </row>
    <row r="78" spans="2:31" x14ac:dyDescent="0.25">
      <c r="B78" t="s">
        <v>293</v>
      </c>
      <c r="C78" t="s">
        <v>309</v>
      </c>
      <c r="D78">
        <v>435</v>
      </c>
      <c r="E78">
        <v>3000</v>
      </c>
      <c r="F78" t="s">
        <v>68</v>
      </c>
      <c r="G78" t="s">
        <v>107</v>
      </c>
      <c r="H78" t="s">
        <v>189</v>
      </c>
      <c r="I78" t="s">
        <v>105</v>
      </c>
      <c r="J78">
        <v>0</v>
      </c>
      <c r="K78">
        <v>45229.480821759258</v>
      </c>
      <c r="O78">
        <v>1</v>
      </c>
      <c r="AC78">
        <v>10</v>
      </c>
      <c r="AD78" t="s">
        <v>215</v>
      </c>
      <c r="AE78">
        <v>890</v>
      </c>
    </row>
    <row r="79" spans="2:31" x14ac:dyDescent="0.25">
      <c r="B79" t="s">
        <v>190</v>
      </c>
      <c r="C79" t="s">
        <v>191</v>
      </c>
      <c r="E79">
        <v>2000</v>
      </c>
      <c r="F79" t="s">
        <v>127</v>
      </c>
      <c r="G79" t="s">
        <v>131</v>
      </c>
      <c r="H79" t="s">
        <v>192</v>
      </c>
      <c r="I79" t="s">
        <v>524</v>
      </c>
      <c r="J79">
        <v>1</v>
      </c>
      <c r="K79">
        <v>45229.506006944444</v>
      </c>
      <c r="N79" t="s">
        <v>193</v>
      </c>
      <c r="O79">
        <v>1</v>
      </c>
      <c r="AC79">
        <v>45</v>
      </c>
      <c r="AD79" t="s">
        <v>216</v>
      </c>
      <c r="AE79">
        <v>890</v>
      </c>
    </row>
    <row r="80" spans="2:31" x14ac:dyDescent="0.25">
      <c r="B80" t="s">
        <v>486</v>
      </c>
      <c r="C80" t="s">
        <v>194</v>
      </c>
      <c r="D80">
        <v>797576</v>
      </c>
      <c r="E80">
        <v>20000</v>
      </c>
      <c r="F80" t="s">
        <v>68</v>
      </c>
      <c r="G80" t="s">
        <v>146</v>
      </c>
      <c r="H80" t="s">
        <v>195</v>
      </c>
      <c r="I80" t="s">
        <v>144</v>
      </c>
      <c r="J80">
        <v>1</v>
      </c>
      <c r="K80">
        <v>45229.613541666666</v>
      </c>
      <c r="N80" t="s">
        <v>196</v>
      </c>
      <c r="O80">
        <v>1</v>
      </c>
      <c r="AC80">
        <v>15</v>
      </c>
      <c r="AD80" t="s">
        <v>217</v>
      </c>
      <c r="AE80">
        <v>890</v>
      </c>
    </row>
    <row r="81" spans="2:31" x14ac:dyDescent="0.25">
      <c r="B81" t="s">
        <v>487</v>
      </c>
      <c r="C81" t="s">
        <v>197</v>
      </c>
      <c r="D81">
        <v>793970</v>
      </c>
      <c r="E81">
        <v>300</v>
      </c>
      <c r="F81" t="s">
        <v>68</v>
      </c>
      <c r="G81">
        <v>501</v>
      </c>
      <c r="H81" t="s">
        <v>198</v>
      </c>
      <c r="I81" t="s">
        <v>144</v>
      </c>
      <c r="J81">
        <v>1</v>
      </c>
      <c r="K81">
        <v>45229.616666666669</v>
      </c>
      <c r="O81">
        <v>1</v>
      </c>
      <c r="AC81">
        <v>20</v>
      </c>
      <c r="AD81" t="s">
        <v>218</v>
      </c>
      <c r="AE81">
        <v>890</v>
      </c>
    </row>
    <row r="82" spans="2:31" x14ac:dyDescent="0.25">
      <c r="B82" t="s">
        <v>488</v>
      </c>
      <c r="C82" t="s">
        <v>194</v>
      </c>
      <c r="D82">
        <v>789278</v>
      </c>
      <c r="E82">
        <v>600</v>
      </c>
      <c r="F82" t="s">
        <v>68</v>
      </c>
      <c r="G82">
        <v>6885</v>
      </c>
      <c r="H82" t="s">
        <v>199</v>
      </c>
      <c r="I82" t="s">
        <v>144</v>
      </c>
      <c r="J82">
        <v>1</v>
      </c>
      <c r="K82">
        <v>45229.619004629632</v>
      </c>
      <c r="N82" t="s">
        <v>200</v>
      </c>
      <c r="O82">
        <v>1</v>
      </c>
      <c r="AC82">
        <v>21</v>
      </c>
      <c r="AD82" t="s">
        <v>219</v>
      </c>
      <c r="AE82">
        <v>890</v>
      </c>
    </row>
    <row r="83" spans="2:31" x14ac:dyDescent="0.25">
      <c r="B83" t="s">
        <v>489</v>
      </c>
      <c r="C83" t="s">
        <v>197</v>
      </c>
      <c r="D83">
        <v>782092</v>
      </c>
      <c r="E83">
        <v>700</v>
      </c>
      <c r="F83" t="s">
        <v>68</v>
      </c>
      <c r="G83">
        <v>501</v>
      </c>
      <c r="H83" t="s">
        <v>198</v>
      </c>
      <c r="I83" t="s">
        <v>144</v>
      </c>
      <c r="J83">
        <v>1</v>
      </c>
      <c r="K83">
        <v>45229.636782407404</v>
      </c>
      <c r="O83">
        <v>1</v>
      </c>
      <c r="AC83">
        <v>20</v>
      </c>
      <c r="AD83">
        <v>111023</v>
      </c>
      <c r="AE83">
        <v>890</v>
      </c>
    </row>
    <row r="84" spans="2:31" x14ac:dyDescent="0.25">
      <c r="B84" t="s">
        <v>489</v>
      </c>
      <c r="C84" t="s">
        <v>197</v>
      </c>
      <c r="D84">
        <v>782092</v>
      </c>
      <c r="E84">
        <v>2000</v>
      </c>
      <c r="F84" t="s">
        <v>68</v>
      </c>
      <c r="G84" t="s">
        <v>201</v>
      </c>
      <c r="H84" t="s">
        <v>202</v>
      </c>
      <c r="I84" t="s">
        <v>144</v>
      </c>
      <c r="J84">
        <v>1</v>
      </c>
      <c r="K84">
        <v>45229.641840277778</v>
      </c>
      <c r="O84">
        <v>1</v>
      </c>
      <c r="AC84">
        <v>400</v>
      </c>
      <c r="AD84" t="s">
        <v>274</v>
      </c>
      <c r="AE84">
        <v>890</v>
      </c>
    </row>
    <row r="85" spans="2:31" x14ac:dyDescent="0.25">
      <c r="B85" t="s">
        <v>489</v>
      </c>
      <c r="C85" t="s">
        <v>197</v>
      </c>
      <c r="D85">
        <v>782092</v>
      </c>
      <c r="E85">
        <v>1680</v>
      </c>
      <c r="F85" t="s">
        <v>68</v>
      </c>
      <c r="G85">
        <v>6001</v>
      </c>
      <c r="H85" t="s">
        <v>203</v>
      </c>
      <c r="I85" t="s">
        <v>144</v>
      </c>
      <c r="J85">
        <v>1</v>
      </c>
      <c r="K85">
        <v>45229.643807870372</v>
      </c>
      <c r="O85">
        <v>100</v>
      </c>
      <c r="AC85">
        <v>2400</v>
      </c>
      <c r="AD85" t="s">
        <v>278</v>
      </c>
      <c r="AE85">
        <v>890</v>
      </c>
    </row>
    <row r="86" spans="2:31" x14ac:dyDescent="0.25">
      <c r="B86" t="s">
        <v>293</v>
      </c>
      <c r="C86" t="s">
        <v>249</v>
      </c>
      <c r="D86">
        <v>1061</v>
      </c>
      <c r="E86">
        <v>600</v>
      </c>
      <c r="F86" t="s">
        <v>68</v>
      </c>
      <c r="G86" t="s">
        <v>115</v>
      </c>
      <c r="H86" t="s">
        <v>204</v>
      </c>
      <c r="I86" t="s">
        <v>105</v>
      </c>
      <c r="J86">
        <v>0</v>
      </c>
      <c r="K86">
        <v>45231.507141203707</v>
      </c>
      <c r="AC86">
        <v>0</v>
      </c>
      <c r="AD86" t="s">
        <v>112</v>
      </c>
      <c r="AE86">
        <v>890</v>
      </c>
    </row>
    <row r="87" spans="2:31" x14ac:dyDescent="0.25">
      <c r="B87" t="s">
        <v>293</v>
      </c>
      <c r="C87" t="s">
        <v>249</v>
      </c>
      <c r="D87">
        <v>1061</v>
      </c>
      <c r="E87">
        <v>240</v>
      </c>
      <c r="F87" t="s">
        <v>68</v>
      </c>
      <c r="G87">
        <v>501</v>
      </c>
      <c r="H87" t="s">
        <v>205</v>
      </c>
      <c r="I87" t="s">
        <v>144</v>
      </c>
      <c r="J87">
        <v>0</v>
      </c>
      <c r="K87">
        <v>45231.510972222219</v>
      </c>
      <c r="AC87">
        <v>44</v>
      </c>
      <c r="AD87" t="s">
        <v>331</v>
      </c>
      <c r="AE87">
        <v>890</v>
      </c>
    </row>
    <row r="88" spans="2:31" x14ac:dyDescent="0.25">
      <c r="B88" t="s">
        <v>293</v>
      </c>
      <c r="C88" t="s">
        <v>249</v>
      </c>
      <c r="D88">
        <v>1061</v>
      </c>
      <c r="E88">
        <v>60</v>
      </c>
      <c r="F88" t="s">
        <v>68</v>
      </c>
      <c r="G88">
        <v>6885</v>
      </c>
      <c r="H88" t="s">
        <v>169</v>
      </c>
      <c r="I88" t="s">
        <v>144</v>
      </c>
      <c r="J88">
        <v>0</v>
      </c>
      <c r="K88">
        <v>45231.51253472222</v>
      </c>
      <c r="AC88">
        <v>15</v>
      </c>
      <c r="AD88" t="s">
        <v>332</v>
      </c>
      <c r="AE88">
        <v>890</v>
      </c>
    </row>
    <row r="89" spans="2:31" x14ac:dyDescent="0.25">
      <c r="B89" t="s">
        <v>293</v>
      </c>
      <c r="C89" t="s">
        <v>249</v>
      </c>
      <c r="D89">
        <v>1061</v>
      </c>
      <c r="E89">
        <v>24</v>
      </c>
      <c r="F89" t="s">
        <v>68</v>
      </c>
      <c r="G89">
        <v>6800</v>
      </c>
      <c r="H89" t="s">
        <v>150</v>
      </c>
      <c r="I89" t="s">
        <v>144</v>
      </c>
      <c r="J89">
        <v>0</v>
      </c>
      <c r="K89">
        <v>45231.513194444444</v>
      </c>
      <c r="AC89">
        <v>38</v>
      </c>
      <c r="AD89" t="s">
        <v>65</v>
      </c>
      <c r="AE89">
        <v>890</v>
      </c>
    </row>
    <row r="90" spans="2:31" x14ac:dyDescent="0.25">
      <c r="B90" t="s">
        <v>293</v>
      </c>
      <c r="C90" t="s">
        <v>248</v>
      </c>
      <c r="D90">
        <v>1062</v>
      </c>
      <c r="E90">
        <v>422</v>
      </c>
      <c r="F90" t="s">
        <v>68</v>
      </c>
      <c r="G90" t="s">
        <v>155</v>
      </c>
      <c r="H90" t="s">
        <v>156</v>
      </c>
      <c r="J90">
        <v>0</v>
      </c>
      <c r="K90">
        <v>45231.516064814816</v>
      </c>
      <c r="AC90">
        <v>23</v>
      </c>
      <c r="AD90" t="s">
        <v>333</v>
      </c>
      <c r="AE90">
        <v>890</v>
      </c>
    </row>
    <row r="91" spans="2:31" x14ac:dyDescent="0.25">
      <c r="B91" t="s">
        <v>293</v>
      </c>
      <c r="C91" t="s">
        <v>248</v>
      </c>
      <c r="D91">
        <v>1062</v>
      </c>
      <c r="E91">
        <v>10</v>
      </c>
      <c r="F91" t="s">
        <v>68</v>
      </c>
      <c r="G91" t="s">
        <v>157</v>
      </c>
      <c r="H91" t="s">
        <v>156</v>
      </c>
      <c r="J91">
        <v>0</v>
      </c>
      <c r="K91">
        <v>45231.516967592594</v>
      </c>
      <c r="AC91">
        <v>0</v>
      </c>
      <c r="AD91" t="s">
        <v>334</v>
      </c>
      <c r="AE91">
        <v>890</v>
      </c>
    </row>
    <row r="92" spans="2:31" x14ac:dyDescent="0.25">
      <c r="B92" t="s">
        <v>293</v>
      </c>
      <c r="C92" t="s">
        <v>248</v>
      </c>
      <c r="D92">
        <v>1062</v>
      </c>
      <c r="E92">
        <v>300</v>
      </c>
      <c r="F92" t="s">
        <v>68</v>
      </c>
      <c r="G92" t="s">
        <v>151</v>
      </c>
      <c r="H92" t="s">
        <v>206</v>
      </c>
      <c r="I92" t="s">
        <v>105</v>
      </c>
      <c r="J92">
        <v>0</v>
      </c>
      <c r="K92">
        <v>45231.519120370373</v>
      </c>
      <c r="AC92">
        <v>29</v>
      </c>
      <c r="AD92" t="s">
        <v>350</v>
      </c>
      <c r="AE92">
        <v>890</v>
      </c>
    </row>
    <row r="93" spans="2:31" x14ac:dyDescent="0.25">
      <c r="B93" t="s">
        <v>158</v>
      </c>
      <c r="C93" t="s">
        <v>242</v>
      </c>
      <c r="D93">
        <v>1063</v>
      </c>
      <c r="E93">
        <v>12</v>
      </c>
      <c r="F93" t="s">
        <v>68</v>
      </c>
      <c r="G93">
        <v>6200</v>
      </c>
      <c r="H93" t="s">
        <v>207</v>
      </c>
      <c r="I93" t="s">
        <v>144</v>
      </c>
      <c r="J93">
        <v>0</v>
      </c>
      <c r="K93">
        <v>45231.658310185187</v>
      </c>
    </row>
    <row r="94" spans="2:31" x14ac:dyDescent="0.25">
      <c r="B94" t="s">
        <v>158</v>
      </c>
      <c r="C94" t="s">
        <v>339</v>
      </c>
      <c r="D94">
        <v>1064</v>
      </c>
      <c r="E94">
        <v>4</v>
      </c>
      <c r="F94" t="s">
        <v>135</v>
      </c>
      <c r="G94" t="s">
        <v>64</v>
      </c>
      <c r="H94" t="s">
        <v>208</v>
      </c>
      <c r="I94" t="s">
        <v>209</v>
      </c>
      <c r="J94">
        <v>0</v>
      </c>
      <c r="K94">
        <v>45231.658356481479</v>
      </c>
      <c r="N94" t="s">
        <v>210</v>
      </c>
    </row>
    <row r="95" spans="2:31" x14ac:dyDescent="0.25">
      <c r="B95" t="s">
        <v>158</v>
      </c>
      <c r="C95" t="s">
        <v>337</v>
      </c>
      <c r="D95">
        <v>1065</v>
      </c>
      <c r="E95">
        <v>198</v>
      </c>
      <c r="F95" t="s">
        <v>135</v>
      </c>
      <c r="G95" t="s">
        <v>141</v>
      </c>
      <c r="H95" t="s">
        <v>137</v>
      </c>
      <c r="I95" t="s">
        <v>138</v>
      </c>
      <c r="J95">
        <v>0</v>
      </c>
      <c r="K95">
        <v>45231.658692129633</v>
      </c>
    </row>
    <row r="96" spans="2:31" x14ac:dyDescent="0.25">
      <c r="B96" t="s">
        <v>158</v>
      </c>
      <c r="C96" t="s">
        <v>244</v>
      </c>
      <c r="D96">
        <v>1066</v>
      </c>
      <c r="E96">
        <v>1000</v>
      </c>
      <c r="F96" t="s">
        <v>68</v>
      </c>
      <c r="G96" t="s">
        <v>121</v>
      </c>
      <c r="H96" t="s">
        <v>211</v>
      </c>
      <c r="I96" t="s">
        <v>105</v>
      </c>
      <c r="J96">
        <v>0</v>
      </c>
      <c r="K96">
        <v>45231.659155092595</v>
      </c>
    </row>
    <row r="97" spans="2:14" x14ac:dyDescent="0.25">
      <c r="B97" t="s">
        <v>158</v>
      </c>
      <c r="C97" t="s">
        <v>244</v>
      </c>
      <c r="D97">
        <v>1066</v>
      </c>
      <c r="E97">
        <v>12</v>
      </c>
      <c r="F97" t="s">
        <v>127</v>
      </c>
      <c r="G97" t="s">
        <v>133</v>
      </c>
      <c r="H97" t="s">
        <v>212</v>
      </c>
      <c r="J97">
        <v>0</v>
      </c>
      <c r="K97">
        <v>45231.661168981482</v>
      </c>
    </row>
    <row r="98" spans="2:14" x14ac:dyDescent="0.25">
      <c r="B98" t="s">
        <v>158</v>
      </c>
      <c r="C98" t="s">
        <v>244</v>
      </c>
      <c r="D98">
        <v>1066</v>
      </c>
      <c r="E98">
        <v>6</v>
      </c>
      <c r="F98" t="s">
        <v>127</v>
      </c>
      <c r="G98" t="s">
        <v>131</v>
      </c>
      <c r="H98" t="s">
        <v>212</v>
      </c>
      <c r="J98">
        <v>0</v>
      </c>
      <c r="K98">
        <v>45231.662118055552</v>
      </c>
    </row>
    <row r="99" spans="2:14" x14ac:dyDescent="0.25">
      <c r="B99" t="s">
        <v>293</v>
      </c>
      <c r="C99" t="s">
        <v>245</v>
      </c>
      <c r="D99">
        <v>1067</v>
      </c>
      <c r="E99">
        <v>100</v>
      </c>
      <c r="F99" t="s">
        <v>174</v>
      </c>
      <c r="G99" t="s">
        <v>175</v>
      </c>
      <c r="H99" t="s">
        <v>176</v>
      </c>
      <c r="J99">
        <v>0</v>
      </c>
      <c r="K99">
        <v>45231.659317129626</v>
      </c>
      <c r="N99" t="s">
        <v>213</v>
      </c>
    </row>
    <row r="100" spans="2:14" x14ac:dyDescent="0.25">
      <c r="B100" t="s">
        <v>158</v>
      </c>
      <c r="C100" t="s">
        <v>243</v>
      </c>
      <c r="D100">
        <v>1068</v>
      </c>
      <c r="E100">
        <v>480</v>
      </c>
      <c r="F100" t="s">
        <v>68</v>
      </c>
      <c r="G100" t="s">
        <v>163</v>
      </c>
      <c r="H100" t="s">
        <v>214</v>
      </c>
      <c r="I100" t="s">
        <v>525</v>
      </c>
      <c r="J100">
        <v>0</v>
      </c>
      <c r="K100">
        <v>45232.418055555558</v>
      </c>
    </row>
    <row r="101" spans="2:14" x14ac:dyDescent="0.25">
      <c r="B101" t="s">
        <v>158</v>
      </c>
      <c r="C101" t="s">
        <v>243</v>
      </c>
      <c r="D101">
        <v>1068</v>
      </c>
      <c r="E101">
        <v>360</v>
      </c>
      <c r="F101" t="s">
        <v>135</v>
      </c>
      <c r="G101" t="s">
        <v>136</v>
      </c>
      <c r="H101" t="s">
        <v>137</v>
      </c>
      <c r="I101" t="s">
        <v>138</v>
      </c>
      <c r="J101">
        <v>0</v>
      </c>
      <c r="K101">
        <v>45232.419178240743</v>
      </c>
    </row>
    <row r="102" spans="2:14" x14ac:dyDescent="0.25">
      <c r="B102" t="s">
        <v>158</v>
      </c>
      <c r="C102" t="s">
        <v>243</v>
      </c>
      <c r="D102">
        <v>1068</v>
      </c>
      <c r="E102">
        <v>360</v>
      </c>
      <c r="F102" t="s">
        <v>135</v>
      </c>
      <c r="G102" t="s">
        <v>139</v>
      </c>
      <c r="H102" t="s">
        <v>137</v>
      </c>
      <c r="I102" t="s">
        <v>138</v>
      </c>
      <c r="J102">
        <v>0</v>
      </c>
      <c r="K102">
        <v>45232.419722222221</v>
      </c>
    </row>
    <row r="103" spans="2:14" x14ac:dyDescent="0.25">
      <c r="B103" t="s">
        <v>158</v>
      </c>
      <c r="C103" t="s">
        <v>243</v>
      </c>
      <c r="D103">
        <v>1068</v>
      </c>
      <c r="E103">
        <v>360</v>
      </c>
      <c r="F103" t="s">
        <v>135</v>
      </c>
      <c r="G103" t="s">
        <v>140</v>
      </c>
      <c r="H103" t="s">
        <v>137</v>
      </c>
      <c r="I103" t="s">
        <v>138</v>
      </c>
      <c r="J103">
        <v>0</v>
      </c>
      <c r="K103">
        <v>45232.42019675926</v>
      </c>
    </row>
    <row r="104" spans="2:14" x14ac:dyDescent="0.25">
      <c r="B104" t="s">
        <v>293</v>
      </c>
      <c r="C104" t="s">
        <v>395</v>
      </c>
      <c r="D104">
        <v>1070</v>
      </c>
      <c r="E104">
        <v>2000</v>
      </c>
      <c r="F104" t="s">
        <v>68</v>
      </c>
      <c r="G104" t="s">
        <v>142</v>
      </c>
      <c r="H104" t="s">
        <v>143</v>
      </c>
      <c r="I104" t="s">
        <v>144</v>
      </c>
      <c r="J104">
        <v>0</v>
      </c>
      <c r="K104">
        <v>45232.545243055552</v>
      </c>
    </row>
    <row r="105" spans="2:14" x14ac:dyDescent="0.25">
      <c r="B105" t="s">
        <v>293</v>
      </c>
      <c r="C105" t="s">
        <v>403</v>
      </c>
      <c r="D105">
        <v>1069</v>
      </c>
      <c r="E105">
        <v>2</v>
      </c>
      <c r="F105" t="s">
        <v>135</v>
      </c>
      <c r="G105" t="s">
        <v>215</v>
      </c>
      <c r="H105" t="s">
        <v>208</v>
      </c>
      <c r="I105" t="s">
        <v>209</v>
      </c>
      <c r="J105">
        <v>0</v>
      </c>
      <c r="K105">
        <v>45232.545312499999</v>
      </c>
      <c r="N105" t="s">
        <v>210</v>
      </c>
    </row>
    <row r="106" spans="2:14" x14ac:dyDescent="0.25">
      <c r="B106" t="s">
        <v>293</v>
      </c>
      <c r="C106" t="s">
        <v>403</v>
      </c>
      <c r="D106">
        <v>1069</v>
      </c>
      <c r="E106">
        <v>10</v>
      </c>
      <c r="F106" t="s">
        <v>135</v>
      </c>
      <c r="G106" t="s">
        <v>216</v>
      </c>
      <c r="H106" t="s">
        <v>208</v>
      </c>
      <c r="I106" t="s">
        <v>209</v>
      </c>
      <c r="J106">
        <v>0</v>
      </c>
      <c r="K106">
        <v>45232.545381944445</v>
      </c>
      <c r="N106" t="s">
        <v>210</v>
      </c>
    </row>
    <row r="107" spans="2:14" x14ac:dyDescent="0.25">
      <c r="B107" t="s">
        <v>293</v>
      </c>
      <c r="C107" t="s">
        <v>403</v>
      </c>
      <c r="D107">
        <v>1069</v>
      </c>
      <c r="E107">
        <v>10</v>
      </c>
      <c r="F107" t="s">
        <v>135</v>
      </c>
      <c r="G107" t="s">
        <v>217</v>
      </c>
      <c r="H107" t="s">
        <v>208</v>
      </c>
      <c r="I107" t="s">
        <v>209</v>
      </c>
      <c r="J107">
        <v>0</v>
      </c>
      <c r="K107">
        <v>45232.545405092591</v>
      </c>
      <c r="N107" t="s">
        <v>210</v>
      </c>
    </row>
    <row r="108" spans="2:14" x14ac:dyDescent="0.25">
      <c r="B108" t="s">
        <v>293</v>
      </c>
      <c r="C108" t="s">
        <v>403</v>
      </c>
      <c r="D108">
        <v>1069</v>
      </c>
      <c r="E108">
        <v>20</v>
      </c>
      <c r="F108" t="s">
        <v>135</v>
      </c>
      <c r="G108" t="s">
        <v>218</v>
      </c>
      <c r="H108" t="s">
        <v>208</v>
      </c>
      <c r="I108" t="s">
        <v>209</v>
      </c>
      <c r="J108">
        <v>0</v>
      </c>
      <c r="K108">
        <v>45232.545439814814</v>
      </c>
      <c r="N108" t="s">
        <v>210</v>
      </c>
    </row>
    <row r="109" spans="2:14" x14ac:dyDescent="0.25">
      <c r="B109" t="s">
        <v>293</v>
      </c>
      <c r="C109" t="s">
        <v>403</v>
      </c>
      <c r="D109">
        <v>1069</v>
      </c>
      <c r="E109">
        <v>2</v>
      </c>
      <c r="F109" t="s">
        <v>135</v>
      </c>
      <c r="G109" t="s">
        <v>219</v>
      </c>
      <c r="H109" t="s">
        <v>208</v>
      </c>
      <c r="I109" t="s">
        <v>209</v>
      </c>
      <c r="J109">
        <v>0</v>
      </c>
      <c r="K109">
        <v>45232.54550925926</v>
      </c>
      <c r="N109" t="s">
        <v>210</v>
      </c>
    </row>
    <row r="110" spans="2:14" x14ac:dyDescent="0.25">
      <c r="B110" t="s">
        <v>293</v>
      </c>
      <c r="C110" t="s">
        <v>403</v>
      </c>
      <c r="D110">
        <v>1069</v>
      </c>
      <c r="E110">
        <v>1</v>
      </c>
      <c r="F110" t="s">
        <v>135</v>
      </c>
      <c r="G110" t="s">
        <v>220</v>
      </c>
      <c r="H110" t="s">
        <v>208</v>
      </c>
      <c r="I110" t="s">
        <v>209</v>
      </c>
      <c r="J110">
        <v>0</v>
      </c>
      <c r="K110">
        <v>45232.545532407406</v>
      </c>
      <c r="N110" t="s">
        <v>210</v>
      </c>
    </row>
    <row r="111" spans="2:14" x14ac:dyDescent="0.25">
      <c r="B111" t="s">
        <v>293</v>
      </c>
      <c r="C111" t="s">
        <v>248</v>
      </c>
      <c r="D111">
        <v>1072</v>
      </c>
      <c r="E111">
        <v>50</v>
      </c>
      <c r="F111" t="s">
        <v>68</v>
      </c>
      <c r="G111" t="s">
        <v>157</v>
      </c>
      <c r="H111" t="s">
        <v>156</v>
      </c>
      <c r="J111">
        <v>0</v>
      </c>
      <c r="K111">
        <v>45233.506597222222</v>
      </c>
      <c r="N111" t="s">
        <v>221</v>
      </c>
    </row>
    <row r="112" spans="2:14" x14ac:dyDescent="0.25">
      <c r="B112" t="s">
        <v>293</v>
      </c>
      <c r="C112" t="s">
        <v>249</v>
      </c>
      <c r="D112">
        <v>1073</v>
      </c>
      <c r="E112">
        <v>350</v>
      </c>
      <c r="F112" t="s">
        <v>127</v>
      </c>
      <c r="G112" t="s">
        <v>128</v>
      </c>
      <c r="H112" t="s">
        <v>129</v>
      </c>
      <c r="J112">
        <v>0</v>
      </c>
      <c r="K112">
        <v>45233.50922453704</v>
      </c>
    </row>
    <row r="113" spans="2:15" x14ac:dyDescent="0.25">
      <c r="B113" t="s">
        <v>293</v>
      </c>
      <c r="C113" t="s">
        <v>327</v>
      </c>
      <c r="D113">
        <v>1071</v>
      </c>
      <c r="E113">
        <v>5000</v>
      </c>
      <c r="F113" t="s">
        <v>68</v>
      </c>
      <c r="G113" t="s">
        <v>107</v>
      </c>
      <c r="H113" t="s">
        <v>189</v>
      </c>
      <c r="I113" t="s">
        <v>105</v>
      </c>
      <c r="J113">
        <v>0</v>
      </c>
      <c r="K113">
        <v>45233.51021990741</v>
      </c>
    </row>
    <row r="114" spans="2:15" x14ac:dyDescent="0.25">
      <c r="B114" t="s">
        <v>158</v>
      </c>
      <c r="C114" t="s">
        <v>242</v>
      </c>
      <c r="D114">
        <v>1074</v>
      </c>
      <c r="E114">
        <v>24</v>
      </c>
      <c r="F114" t="s">
        <v>68</v>
      </c>
      <c r="G114">
        <v>6200</v>
      </c>
      <c r="H114" t="s">
        <v>148</v>
      </c>
      <c r="I114" t="s">
        <v>144</v>
      </c>
      <c r="J114">
        <v>0</v>
      </c>
      <c r="K114">
        <v>45233.654537037037</v>
      </c>
    </row>
    <row r="115" spans="2:15" x14ac:dyDescent="0.25">
      <c r="B115" t="s">
        <v>158</v>
      </c>
      <c r="C115" t="s">
        <v>243</v>
      </c>
      <c r="D115">
        <v>1077</v>
      </c>
      <c r="E115">
        <v>100</v>
      </c>
      <c r="F115" t="s">
        <v>135</v>
      </c>
      <c r="G115" t="s">
        <v>136</v>
      </c>
      <c r="H115" t="s">
        <v>137</v>
      </c>
      <c r="I115" t="s">
        <v>138</v>
      </c>
      <c r="J115">
        <v>0</v>
      </c>
      <c r="K115">
        <v>45233.654675925929</v>
      </c>
    </row>
    <row r="116" spans="2:15" x14ac:dyDescent="0.25">
      <c r="B116" t="s">
        <v>158</v>
      </c>
      <c r="C116" t="s">
        <v>313</v>
      </c>
      <c r="D116">
        <v>1078</v>
      </c>
      <c r="E116">
        <v>1200</v>
      </c>
      <c r="F116" t="s">
        <v>68</v>
      </c>
      <c r="G116" t="s">
        <v>117</v>
      </c>
      <c r="H116" t="s">
        <v>118</v>
      </c>
      <c r="I116" t="s">
        <v>105</v>
      </c>
      <c r="J116">
        <v>0</v>
      </c>
      <c r="K116">
        <v>45233.654849537037</v>
      </c>
    </row>
    <row r="117" spans="2:15" x14ac:dyDescent="0.25">
      <c r="B117" t="s">
        <v>158</v>
      </c>
      <c r="C117" t="s">
        <v>244</v>
      </c>
      <c r="D117">
        <v>1075</v>
      </c>
      <c r="E117">
        <v>2000</v>
      </c>
      <c r="F117" t="s">
        <v>68</v>
      </c>
      <c r="G117" t="s">
        <v>121</v>
      </c>
      <c r="H117" t="s">
        <v>211</v>
      </c>
      <c r="I117" t="s">
        <v>105</v>
      </c>
      <c r="J117">
        <v>0</v>
      </c>
      <c r="K117">
        <v>45233.654999999999</v>
      </c>
    </row>
    <row r="118" spans="2:15" x14ac:dyDescent="0.25">
      <c r="B118" t="s">
        <v>158</v>
      </c>
      <c r="C118" t="s">
        <v>244</v>
      </c>
      <c r="D118">
        <v>1075</v>
      </c>
      <c r="E118">
        <v>10</v>
      </c>
      <c r="F118" t="s">
        <v>127</v>
      </c>
      <c r="G118" t="s">
        <v>131</v>
      </c>
      <c r="H118" t="s">
        <v>132</v>
      </c>
      <c r="I118" t="s">
        <v>130</v>
      </c>
      <c r="J118">
        <v>0</v>
      </c>
      <c r="K118">
        <v>45233.655486111114</v>
      </c>
    </row>
    <row r="119" spans="2:15" x14ac:dyDescent="0.25">
      <c r="B119" t="s">
        <v>158</v>
      </c>
      <c r="C119" t="s">
        <v>297</v>
      </c>
      <c r="D119">
        <v>1076</v>
      </c>
      <c r="E119">
        <v>2000</v>
      </c>
      <c r="F119" t="s">
        <v>68</v>
      </c>
      <c r="G119" t="s">
        <v>146</v>
      </c>
      <c r="H119" t="s">
        <v>222</v>
      </c>
      <c r="I119" t="s">
        <v>144</v>
      </c>
      <c r="J119">
        <v>0</v>
      </c>
      <c r="K119">
        <v>45233.655729166669</v>
      </c>
    </row>
    <row r="120" spans="2:15" x14ac:dyDescent="0.25">
      <c r="B120" t="s">
        <v>223</v>
      </c>
      <c r="C120" t="s">
        <v>191</v>
      </c>
      <c r="D120" t="s">
        <v>224</v>
      </c>
      <c r="E120">
        <v>2200</v>
      </c>
      <c r="F120" t="s">
        <v>127</v>
      </c>
      <c r="G120" t="s">
        <v>128</v>
      </c>
      <c r="H120" t="s">
        <v>129</v>
      </c>
      <c r="I120" t="s">
        <v>130</v>
      </c>
      <c r="J120">
        <v>1</v>
      </c>
      <c r="K120">
        <v>45236.532256944447</v>
      </c>
    </row>
    <row r="121" spans="2:15" x14ac:dyDescent="0.25">
      <c r="B121" t="s">
        <v>223</v>
      </c>
      <c r="C121" t="s">
        <v>191</v>
      </c>
      <c r="D121" t="s">
        <v>224</v>
      </c>
      <c r="E121">
        <v>2400</v>
      </c>
      <c r="F121" t="s">
        <v>127</v>
      </c>
      <c r="G121" t="s">
        <v>131</v>
      </c>
      <c r="H121" t="s">
        <v>132</v>
      </c>
      <c r="I121" t="s">
        <v>130</v>
      </c>
      <c r="J121">
        <v>1</v>
      </c>
      <c r="K121">
        <v>45236.532187500001</v>
      </c>
    </row>
    <row r="122" spans="2:15" x14ac:dyDescent="0.25">
      <c r="B122" t="s">
        <v>465</v>
      </c>
      <c r="C122" t="s">
        <v>231</v>
      </c>
      <c r="D122" t="s">
        <v>67</v>
      </c>
      <c r="E122">
        <v>3456</v>
      </c>
      <c r="F122" t="s">
        <v>68</v>
      </c>
      <c r="G122" t="s">
        <v>155</v>
      </c>
      <c r="H122" t="s">
        <v>156</v>
      </c>
      <c r="I122" t="s">
        <v>232</v>
      </c>
      <c r="J122">
        <v>1</v>
      </c>
      <c r="K122">
        <v>45237.457673611112</v>
      </c>
      <c r="O122">
        <v>3000</v>
      </c>
    </row>
    <row r="123" spans="2:15" x14ac:dyDescent="0.25">
      <c r="B123" t="s">
        <v>235</v>
      </c>
      <c r="C123" t="s">
        <v>66</v>
      </c>
      <c r="D123" t="s">
        <v>66</v>
      </c>
      <c r="E123">
        <v>2000</v>
      </c>
      <c r="F123" t="s">
        <v>68</v>
      </c>
      <c r="G123" t="s">
        <v>153</v>
      </c>
      <c r="H123" t="s">
        <v>154</v>
      </c>
      <c r="I123" t="s">
        <v>105</v>
      </c>
      <c r="J123">
        <v>1</v>
      </c>
      <c r="K123">
        <v>45238.746886574074</v>
      </c>
      <c r="M123">
        <v>45232</v>
      </c>
    </row>
    <row r="124" spans="2:15" x14ac:dyDescent="0.25">
      <c r="B124" t="s">
        <v>293</v>
      </c>
      <c r="C124" t="s">
        <v>310</v>
      </c>
      <c r="D124">
        <v>1104</v>
      </c>
      <c r="E124">
        <v>360</v>
      </c>
      <c r="F124" t="s">
        <v>68</v>
      </c>
      <c r="G124" t="s">
        <v>163</v>
      </c>
      <c r="H124" t="s">
        <v>214</v>
      </c>
      <c r="I124" t="s">
        <v>165</v>
      </c>
      <c r="J124">
        <v>0</v>
      </c>
      <c r="K124">
        <v>45238.748333333337</v>
      </c>
    </row>
    <row r="125" spans="2:15" x14ac:dyDescent="0.25">
      <c r="B125" t="s">
        <v>293</v>
      </c>
      <c r="C125" t="s">
        <v>326</v>
      </c>
      <c r="D125">
        <v>1103</v>
      </c>
      <c r="E125">
        <v>240</v>
      </c>
      <c r="F125" t="s">
        <v>135</v>
      </c>
      <c r="G125" t="s">
        <v>140</v>
      </c>
      <c r="H125" t="s">
        <v>137</v>
      </c>
      <c r="I125" t="s">
        <v>138</v>
      </c>
      <c r="J125">
        <v>0</v>
      </c>
      <c r="K125">
        <v>45238.749212962961</v>
      </c>
      <c r="O125">
        <v>3000</v>
      </c>
    </row>
    <row r="126" spans="2:15" x14ac:dyDescent="0.25">
      <c r="B126" t="s">
        <v>293</v>
      </c>
      <c r="C126" t="s">
        <v>466</v>
      </c>
      <c r="D126">
        <v>1102</v>
      </c>
      <c r="E126">
        <v>1000</v>
      </c>
      <c r="F126" t="s">
        <v>68</v>
      </c>
      <c r="G126" t="s">
        <v>179</v>
      </c>
      <c r="H126" t="s">
        <v>180</v>
      </c>
      <c r="I126" t="s">
        <v>144</v>
      </c>
      <c r="J126">
        <v>0</v>
      </c>
      <c r="K126">
        <v>45238.750486111108</v>
      </c>
      <c r="O126">
        <v>2400</v>
      </c>
    </row>
    <row r="127" spans="2:15" x14ac:dyDescent="0.25">
      <c r="B127" t="s">
        <v>293</v>
      </c>
      <c r="C127" t="s">
        <v>327</v>
      </c>
      <c r="D127">
        <v>1101</v>
      </c>
      <c r="E127">
        <v>3500</v>
      </c>
      <c r="F127" t="s">
        <v>68</v>
      </c>
      <c r="G127" t="s">
        <v>107</v>
      </c>
      <c r="H127" t="s">
        <v>108</v>
      </c>
      <c r="I127" t="s">
        <v>105</v>
      </c>
      <c r="J127">
        <v>0</v>
      </c>
      <c r="K127">
        <v>45238.751608796294</v>
      </c>
    </row>
    <row r="128" spans="2:15" x14ac:dyDescent="0.25">
      <c r="B128" t="s">
        <v>293</v>
      </c>
      <c r="C128" t="s">
        <v>249</v>
      </c>
      <c r="D128">
        <v>1100</v>
      </c>
      <c r="E128">
        <v>16500</v>
      </c>
      <c r="F128" t="s">
        <v>68</v>
      </c>
      <c r="G128" t="s">
        <v>103</v>
      </c>
      <c r="H128" t="s">
        <v>104</v>
      </c>
      <c r="I128" t="s">
        <v>105</v>
      </c>
      <c r="J128">
        <v>0</v>
      </c>
      <c r="K128">
        <v>45238.752418981479</v>
      </c>
      <c r="O128">
        <v>10</v>
      </c>
    </row>
    <row r="129" spans="2:15" x14ac:dyDescent="0.25">
      <c r="B129" t="s">
        <v>293</v>
      </c>
      <c r="C129" t="s">
        <v>249</v>
      </c>
      <c r="D129">
        <v>1100</v>
      </c>
      <c r="E129">
        <v>40</v>
      </c>
      <c r="F129" t="s">
        <v>68</v>
      </c>
      <c r="G129">
        <v>6885</v>
      </c>
      <c r="H129" t="s">
        <v>169</v>
      </c>
      <c r="I129" t="s">
        <v>144</v>
      </c>
      <c r="J129">
        <v>0</v>
      </c>
      <c r="K129">
        <v>45238.752743055556</v>
      </c>
      <c r="O129">
        <v>10</v>
      </c>
    </row>
    <row r="130" spans="2:15" x14ac:dyDescent="0.25">
      <c r="B130" t="s">
        <v>293</v>
      </c>
      <c r="C130" t="s">
        <v>249</v>
      </c>
      <c r="D130">
        <v>1100</v>
      </c>
      <c r="E130">
        <v>60</v>
      </c>
      <c r="F130" t="s">
        <v>68</v>
      </c>
      <c r="G130" t="s">
        <v>166</v>
      </c>
      <c r="H130" t="s">
        <v>167</v>
      </c>
      <c r="J130">
        <v>0</v>
      </c>
      <c r="K130">
        <v>45238.752951388888</v>
      </c>
      <c r="O130">
        <v>10</v>
      </c>
    </row>
    <row r="131" spans="2:15" x14ac:dyDescent="0.25">
      <c r="B131" t="s">
        <v>293</v>
      </c>
      <c r="C131" t="s">
        <v>249</v>
      </c>
      <c r="D131">
        <v>1100</v>
      </c>
      <c r="E131">
        <v>24</v>
      </c>
      <c r="F131" t="s">
        <v>68</v>
      </c>
      <c r="G131">
        <v>6800</v>
      </c>
      <c r="H131" t="s">
        <v>150</v>
      </c>
      <c r="I131" t="s">
        <v>144</v>
      </c>
      <c r="J131">
        <v>0</v>
      </c>
      <c r="K131">
        <v>45238.753159722219</v>
      </c>
      <c r="O131">
        <v>144</v>
      </c>
    </row>
    <row r="132" spans="2:15" x14ac:dyDescent="0.25">
      <c r="B132" t="s">
        <v>158</v>
      </c>
      <c r="C132" t="s">
        <v>245</v>
      </c>
      <c r="D132">
        <v>1106</v>
      </c>
      <c r="E132">
        <v>160</v>
      </c>
      <c r="F132" t="s">
        <v>174</v>
      </c>
      <c r="G132" t="s">
        <v>175</v>
      </c>
      <c r="H132" t="s">
        <v>176</v>
      </c>
      <c r="J132">
        <v>0</v>
      </c>
      <c r="K132">
        <v>45238.753935185188</v>
      </c>
      <c r="O132">
        <v>144</v>
      </c>
    </row>
    <row r="133" spans="2:15" x14ac:dyDescent="0.25">
      <c r="B133" t="s">
        <v>158</v>
      </c>
      <c r="C133" t="s">
        <v>243</v>
      </c>
      <c r="D133">
        <v>1109</v>
      </c>
      <c r="E133">
        <v>480</v>
      </c>
      <c r="F133" t="s">
        <v>68</v>
      </c>
      <c r="G133" t="s">
        <v>163</v>
      </c>
      <c r="H133" t="s">
        <v>214</v>
      </c>
      <c r="I133" t="s">
        <v>165</v>
      </c>
      <c r="J133">
        <v>0</v>
      </c>
      <c r="K133">
        <v>45238.756006944444</v>
      </c>
      <c r="O133">
        <v>144</v>
      </c>
    </row>
    <row r="134" spans="2:15" x14ac:dyDescent="0.25">
      <c r="B134" t="s">
        <v>158</v>
      </c>
      <c r="C134" t="s">
        <v>243</v>
      </c>
      <c r="D134">
        <v>1109</v>
      </c>
      <c r="E134">
        <v>480</v>
      </c>
      <c r="F134" t="s">
        <v>135</v>
      </c>
      <c r="G134" t="s">
        <v>136</v>
      </c>
      <c r="H134" t="s">
        <v>137</v>
      </c>
      <c r="I134" t="s">
        <v>138</v>
      </c>
      <c r="J134">
        <v>0</v>
      </c>
      <c r="K134">
        <v>45238.75644675926</v>
      </c>
      <c r="O134">
        <v>144</v>
      </c>
    </row>
    <row r="135" spans="2:15" x14ac:dyDescent="0.25">
      <c r="B135" t="s">
        <v>158</v>
      </c>
      <c r="C135" t="s">
        <v>244</v>
      </c>
      <c r="D135">
        <v>1108</v>
      </c>
      <c r="E135">
        <v>1500</v>
      </c>
      <c r="F135" t="s">
        <v>68</v>
      </c>
      <c r="G135" t="s">
        <v>121</v>
      </c>
      <c r="H135" t="s">
        <v>211</v>
      </c>
      <c r="I135" t="s">
        <v>105</v>
      </c>
      <c r="J135">
        <v>0</v>
      </c>
      <c r="K135">
        <v>45238.757870370369</v>
      </c>
      <c r="O135">
        <v>24</v>
      </c>
    </row>
    <row r="136" spans="2:15" x14ac:dyDescent="0.25">
      <c r="B136" t="s">
        <v>158</v>
      </c>
      <c r="C136" t="s">
        <v>244</v>
      </c>
      <c r="D136">
        <v>1108</v>
      </c>
      <c r="E136">
        <v>10</v>
      </c>
      <c r="F136" t="s">
        <v>127</v>
      </c>
      <c r="G136" t="s">
        <v>131</v>
      </c>
      <c r="H136" t="s">
        <v>132</v>
      </c>
      <c r="I136" t="s">
        <v>130</v>
      </c>
      <c r="J136">
        <v>0</v>
      </c>
      <c r="K136">
        <v>45238.758252314816</v>
      </c>
      <c r="O136">
        <v>440</v>
      </c>
    </row>
    <row r="137" spans="2:15" x14ac:dyDescent="0.25">
      <c r="B137" t="s">
        <v>158</v>
      </c>
      <c r="C137" t="s">
        <v>244</v>
      </c>
      <c r="D137">
        <v>1108</v>
      </c>
      <c r="E137">
        <v>10</v>
      </c>
      <c r="F137" t="s">
        <v>127</v>
      </c>
      <c r="G137" t="s">
        <v>133</v>
      </c>
      <c r="H137" t="s">
        <v>134</v>
      </c>
      <c r="I137" t="s">
        <v>130</v>
      </c>
      <c r="J137">
        <v>0</v>
      </c>
      <c r="K137">
        <v>45238.758530092593</v>
      </c>
      <c r="O137">
        <v>500</v>
      </c>
    </row>
    <row r="138" spans="2:15" x14ac:dyDescent="0.25">
      <c r="B138" t="s">
        <v>158</v>
      </c>
      <c r="C138" t="s">
        <v>242</v>
      </c>
      <c r="D138">
        <v>1107</v>
      </c>
      <c r="E138">
        <v>15</v>
      </c>
      <c r="F138" t="s">
        <v>68</v>
      </c>
      <c r="G138">
        <v>6200</v>
      </c>
      <c r="H138" t="s">
        <v>148</v>
      </c>
      <c r="I138" t="s">
        <v>144</v>
      </c>
      <c r="J138">
        <v>0</v>
      </c>
      <c r="K138">
        <v>45238.759120370371</v>
      </c>
      <c r="O138">
        <v>24</v>
      </c>
    </row>
    <row r="139" spans="2:15" x14ac:dyDescent="0.25">
      <c r="B139" t="s">
        <v>158</v>
      </c>
      <c r="C139" t="s">
        <v>252</v>
      </c>
      <c r="D139">
        <v>1110</v>
      </c>
      <c r="E139">
        <v>3000</v>
      </c>
      <c r="F139" t="s">
        <v>68</v>
      </c>
      <c r="G139" t="s">
        <v>146</v>
      </c>
      <c r="H139" t="s">
        <v>222</v>
      </c>
      <c r="I139" t="s">
        <v>144</v>
      </c>
      <c r="J139">
        <v>0</v>
      </c>
      <c r="K139">
        <v>45239.48946759259</v>
      </c>
      <c r="O139">
        <v>60</v>
      </c>
    </row>
    <row r="140" spans="2:15" x14ac:dyDescent="0.25">
      <c r="B140" t="s">
        <v>158</v>
      </c>
      <c r="C140" t="s">
        <v>313</v>
      </c>
      <c r="D140">
        <v>1111</v>
      </c>
      <c r="E140">
        <v>2000</v>
      </c>
      <c r="F140" t="s">
        <v>68</v>
      </c>
      <c r="G140" t="s">
        <v>119</v>
      </c>
      <c r="H140" t="s">
        <v>120</v>
      </c>
      <c r="I140" t="s">
        <v>105</v>
      </c>
      <c r="J140">
        <v>0</v>
      </c>
      <c r="K140">
        <v>45240.715162037035</v>
      </c>
      <c r="O140">
        <v>4</v>
      </c>
    </row>
    <row r="141" spans="2:15" x14ac:dyDescent="0.25">
      <c r="B141" t="s">
        <v>158</v>
      </c>
      <c r="C141" t="s">
        <v>246</v>
      </c>
      <c r="D141">
        <v>1112</v>
      </c>
      <c r="E141">
        <v>8000</v>
      </c>
      <c r="F141" t="s">
        <v>68</v>
      </c>
      <c r="G141" t="s">
        <v>103</v>
      </c>
      <c r="H141" t="s">
        <v>104</v>
      </c>
      <c r="I141" t="s">
        <v>105</v>
      </c>
      <c r="J141">
        <v>0</v>
      </c>
      <c r="K141">
        <v>45240.715231481481</v>
      </c>
      <c r="O141">
        <v>200</v>
      </c>
    </row>
    <row r="142" spans="2:15" x14ac:dyDescent="0.25">
      <c r="B142" t="s">
        <v>158</v>
      </c>
      <c r="C142" t="s">
        <v>244</v>
      </c>
      <c r="D142">
        <v>1113</v>
      </c>
      <c r="E142">
        <v>2000</v>
      </c>
      <c r="F142" t="s">
        <v>68</v>
      </c>
      <c r="G142" t="s">
        <v>121</v>
      </c>
      <c r="H142" t="s">
        <v>211</v>
      </c>
      <c r="I142" t="s">
        <v>105</v>
      </c>
      <c r="J142">
        <v>0</v>
      </c>
      <c r="K142">
        <v>45240.715289351851</v>
      </c>
      <c r="O142">
        <v>100</v>
      </c>
    </row>
    <row r="143" spans="2:15" x14ac:dyDescent="0.25">
      <c r="B143" t="s">
        <v>158</v>
      </c>
      <c r="C143" t="s">
        <v>244</v>
      </c>
      <c r="D143">
        <v>1113</v>
      </c>
      <c r="E143">
        <v>10</v>
      </c>
      <c r="F143" t="s">
        <v>127</v>
      </c>
      <c r="G143" t="s">
        <v>131</v>
      </c>
      <c r="H143" t="s">
        <v>132</v>
      </c>
      <c r="I143" t="s">
        <v>130</v>
      </c>
      <c r="J143">
        <v>0</v>
      </c>
      <c r="K143">
        <v>45240.71534722222</v>
      </c>
    </row>
    <row r="144" spans="2:15" x14ac:dyDescent="0.25">
      <c r="B144" t="s">
        <v>158</v>
      </c>
      <c r="C144" t="s">
        <v>244</v>
      </c>
      <c r="D144">
        <v>1113</v>
      </c>
      <c r="E144">
        <v>10</v>
      </c>
      <c r="F144" t="s">
        <v>127</v>
      </c>
      <c r="G144" t="s">
        <v>133</v>
      </c>
      <c r="H144" t="s">
        <v>134</v>
      </c>
      <c r="I144" t="s">
        <v>130</v>
      </c>
      <c r="J144">
        <v>0</v>
      </c>
      <c r="K144">
        <v>45240.71539351852</v>
      </c>
    </row>
    <row r="145" spans="2:15" x14ac:dyDescent="0.25">
      <c r="B145" t="s">
        <v>158</v>
      </c>
      <c r="C145" t="s">
        <v>243</v>
      </c>
      <c r="D145">
        <v>1114</v>
      </c>
      <c r="E145">
        <v>68</v>
      </c>
      <c r="F145" t="s">
        <v>135</v>
      </c>
      <c r="G145" t="s">
        <v>136</v>
      </c>
      <c r="H145" t="s">
        <v>137</v>
      </c>
      <c r="I145" t="s">
        <v>138</v>
      </c>
      <c r="J145">
        <v>0</v>
      </c>
      <c r="K145">
        <v>45240.715462962966</v>
      </c>
      <c r="O145">
        <v>36</v>
      </c>
    </row>
    <row r="146" spans="2:15" x14ac:dyDescent="0.25">
      <c r="B146" t="s">
        <v>236</v>
      </c>
      <c r="C146" t="s">
        <v>467</v>
      </c>
      <c r="D146">
        <v>789363</v>
      </c>
      <c r="E146">
        <v>2000</v>
      </c>
      <c r="F146" t="s">
        <v>68</v>
      </c>
      <c r="G146" t="s">
        <v>201</v>
      </c>
      <c r="H146" t="s">
        <v>202</v>
      </c>
      <c r="I146" t="s">
        <v>144</v>
      </c>
      <c r="J146">
        <v>1</v>
      </c>
      <c r="K146">
        <v>45244.428923611114</v>
      </c>
      <c r="M146">
        <v>45180</v>
      </c>
      <c r="O146">
        <v>96</v>
      </c>
    </row>
    <row r="147" spans="2:15" x14ac:dyDescent="0.25">
      <c r="B147" t="s">
        <v>237</v>
      </c>
      <c r="C147" t="s">
        <v>468</v>
      </c>
      <c r="D147">
        <v>797939</v>
      </c>
      <c r="E147">
        <v>6000</v>
      </c>
      <c r="F147" t="s">
        <v>135</v>
      </c>
      <c r="G147" t="s">
        <v>179</v>
      </c>
      <c r="H147" t="s">
        <v>180</v>
      </c>
      <c r="I147" t="s">
        <v>144</v>
      </c>
      <c r="J147">
        <v>1</v>
      </c>
      <c r="K147">
        <v>45244.42863425926</v>
      </c>
      <c r="M147">
        <v>45180</v>
      </c>
      <c r="O147">
        <v>300</v>
      </c>
    </row>
    <row r="148" spans="2:15" x14ac:dyDescent="0.25">
      <c r="B148" t="s">
        <v>238</v>
      </c>
      <c r="C148" t="s">
        <v>239</v>
      </c>
      <c r="D148" t="s">
        <v>231</v>
      </c>
      <c r="E148">
        <v>720</v>
      </c>
      <c r="F148" t="s">
        <v>135</v>
      </c>
      <c r="G148" t="s">
        <v>141</v>
      </c>
      <c r="H148" t="s">
        <v>137</v>
      </c>
      <c r="I148" t="s">
        <v>138</v>
      </c>
      <c r="J148">
        <v>1</v>
      </c>
      <c r="K148">
        <v>45244.428148148145</v>
      </c>
      <c r="M148">
        <v>45210</v>
      </c>
      <c r="O148">
        <v>4</v>
      </c>
    </row>
    <row r="149" spans="2:15" x14ac:dyDescent="0.25">
      <c r="B149" t="s">
        <v>158</v>
      </c>
      <c r="C149" t="s">
        <v>240</v>
      </c>
      <c r="D149">
        <v>1118</v>
      </c>
      <c r="E149">
        <v>40</v>
      </c>
      <c r="F149" t="s">
        <v>68</v>
      </c>
      <c r="G149" t="s">
        <v>109</v>
      </c>
      <c r="H149" t="s">
        <v>241</v>
      </c>
      <c r="J149">
        <v>0</v>
      </c>
      <c r="K149">
        <v>45244.724849537037</v>
      </c>
      <c r="O149">
        <v>500</v>
      </c>
    </row>
    <row r="150" spans="2:15" x14ac:dyDescent="0.25">
      <c r="B150" t="s">
        <v>158</v>
      </c>
      <c r="C150" t="s">
        <v>242</v>
      </c>
      <c r="D150">
        <v>1120</v>
      </c>
      <c r="E150">
        <v>26</v>
      </c>
      <c r="F150" t="s">
        <v>68</v>
      </c>
      <c r="G150">
        <v>6200</v>
      </c>
      <c r="H150" t="s">
        <v>148</v>
      </c>
      <c r="I150" t="s">
        <v>144</v>
      </c>
      <c r="J150">
        <v>0</v>
      </c>
      <c r="K150">
        <v>45244.724803240744</v>
      </c>
      <c r="O150">
        <v>100</v>
      </c>
    </row>
    <row r="151" spans="2:15" x14ac:dyDescent="0.25">
      <c r="B151" t="s">
        <v>158</v>
      </c>
      <c r="C151" t="s">
        <v>243</v>
      </c>
      <c r="D151">
        <v>1119</v>
      </c>
      <c r="E151">
        <v>480</v>
      </c>
      <c r="F151" t="s">
        <v>68</v>
      </c>
      <c r="G151" t="s">
        <v>163</v>
      </c>
      <c r="H151" t="s">
        <v>214</v>
      </c>
      <c r="I151" t="s">
        <v>165</v>
      </c>
      <c r="J151">
        <v>0</v>
      </c>
      <c r="K151">
        <v>45244.724710648145</v>
      </c>
      <c r="O151">
        <v>2400</v>
      </c>
    </row>
    <row r="152" spans="2:15" x14ac:dyDescent="0.25">
      <c r="B152" t="s">
        <v>158</v>
      </c>
      <c r="C152" t="s">
        <v>244</v>
      </c>
      <c r="D152">
        <v>1121</v>
      </c>
      <c r="E152">
        <v>3600</v>
      </c>
      <c r="F152" t="s">
        <v>68</v>
      </c>
      <c r="G152" t="s">
        <v>121</v>
      </c>
      <c r="H152" t="s">
        <v>211</v>
      </c>
      <c r="I152" t="s">
        <v>105</v>
      </c>
      <c r="J152">
        <v>0</v>
      </c>
      <c r="K152">
        <v>45244.724618055552</v>
      </c>
    </row>
    <row r="153" spans="2:15" x14ac:dyDescent="0.25">
      <c r="B153" t="s">
        <v>158</v>
      </c>
      <c r="C153" t="s">
        <v>244</v>
      </c>
      <c r="D153">
        <v>1121</v>
      </c>
      <c r="E153">
        <v>5</v>
      </c>
      <c r="F153" t="s">
        <v>127</v>
      </c>
      <c r="G153" t="s">
        <v>131</v>
      </c>
      <c r="H153" t="s">
        <v>132</v>
      </c>
      <c r="I153" t="s">
        <v>130</v>
      </c>
      <c r="J153">
        <v>0</v>
      </c>
      <c r="K153">
        <v>45244.724560185183</v>
      </c>
      <c r="O153">
        <v>20</v>
      </c>
    </row>
    <row r="154" spans="2:15" x14ac:dyDescent="0.25">
      <c r="B154" t="s">
        <v>158</v>
      </c>
      <c r="C154" t="s">
        <v>244</v>
      </c>
      <c r="D154">
        <v>1121</v>
      </c>
      <c r="E154">
        <v>150</v>
      </c>
      <c r="F154" t="s">
        <v>68</v>
      </c>
      <c r="G154" t="s">
        <v>166</v>
      </c>
      <c r="H154" t="s">
        <v>167</v>
      </c>
      <c r="J154">
        <v>0</v>
      </c>
      <c r="K154">
        <v>45244.724930555552</v>
      </c>
      <c r="O154">
        <v>100</v>
      </c>
    </row>
    <row r="155" spans="2:15" x14ac:dyDescent="0.25">
      <c r="B155" t="s">
        <v>158</v>
      </c>
      <c r="C155" t="s">
        <v>245</v>
      </c>
      <c r="D155">
        <v>1122</v>
      </c>
      <c r="E155">
        <v>408</v>
      </c>
      <c r="F155" t="s">
        <v>68</v>
      </c>
      <c r="G155" t="s">
        <v>142</v>
      </c>
      <c r="H155" t="s">
        <v>143</v>
      </c>
      <c r="I155" t="s">
        <v>144</v>
      </c>
      <c r="J155">
        <v>0</v>
      </c>
      <c r="K155">
        <v>45244.724999999999</v>
      </c>
      <c r="O155">
        <v>2000</v>
      </c>
    </row>
    <row r="156" spans="2:15" x14ac:dyDescent="0.25">
      <c r="B156" t="s">
        <v>158</v>
      </c>
      <c r="C156" t="s">
        <v>246</v>
      </c>
      <c r="D156">
        <v>1123</v>
      </c>
      <c r="E156">
        <v>2000</v>
      </c>
      <c r="F156" t="s">
        <v>68</v>
      </c>
      <c r="G156" t="s">
        <v>125</v>
      </c>
      <c r="H156" t="s">
        <v>126</v>
      </c>
      <c r="I156" t="s">
        <v>105</v>
      </c>
      <c r="J156">
        <v>0</v>
      </c>
      <c r="K156">
        <v>45244.725057870368</v>
      </c>
      <c r="O156">
        <v>40</v>
      </c>
    </row>
    <row r="157" spans="2:15" x14ac:dyDescent="0.25">
      <c r="B157" t="s">
        <v>293</v>
      </c>
      <c r="C157" t="s">
        <v>247</v>
      </c>
      <c r="D157">
        <v>1115</v>
      </c>
      <c r="E157">
        <v>900</v>
      </c>
      <c r="F157" t="s">
        <v>68</v>
      </c>
      <c r="G157" t="s">
        <v>115</v>
      </c>
      <c r="H157" t="s">
        <v>116</v>
      </c>
      <c r="I157" t="s">
        <v>105</v>
      </c>
      <c r="J157">
        <v>0</v>
      </c>
      <c r="K157">
        <v>45245.736203703702</v>
      </c>
      <c r="O157">
        <v>36</v>
      </c>
    </row>
    <row r="158" spans="2:15" x14ac:dyDescent="0.25">
      <c r="B158" t="s">
        <v>293</v>
      </c>
      <c r="C158" t="s">
        <v>247</v>
      </c>
      <c r="D158">
        <v>1115</v>
      </c>
      <c r="E158">
        <v>15</v>
      </c>
      <c r="F158" t="s">
        <v>68</v>
      </c>
      <c r="G158">
        <v>6200</v>
      </c>
      <c r="H158" t="s">
        <v>148</v>
      </c>
      <c r="I158" t="s">
        <v>144</v>
      </c>
      <c r="J158">
        <v>0</v>
      </c>
      <c r="K158">
        <v>45245.736238425925</v>
      </c>
      <c r="O158">
        <v>100</v>
      </c>
    </row>
    <row r="159" spans="2:15" x14ac:dyDescent="0.25">
      <c r="B159" t="s">
        <v>293</v>
      </c>
      <c r="C159" t="s">
        <v>248</v>
      </c>
      <c r="D159">
        <v>1116</v>
      </c>
      <c r="E159">
        <v>520</v>
      </c>
      <c r="F159" t="s">
        <v>68</v>
      </c>
      <c r="G159" t="s">
        <v>155</v>
      </c>
      <c r="H159" t="s">
        <v>156</v>
      </c>
      <c r="J159">
        <v>0</v>
      </c>
      <c r="K159">
        <v>45245.736273148148</v>
      </c>
      <c r="O159">
        <v>1</v>
      </c>
    </row>
    <row r="160" spans="2:15" x14ac:dyDescent="0.25">
      <c r="B160" t="s">
        <v>293</v>
      </c>
      <c r="C160" t="s">
        <v>248</v>
      </c>
      <c r="D160">
        <v>1116</v>
      </c>
      <c r="E160">
        <v>34</v>
      </c>
      <c r="F160" t="s">
        <v>68</v>
      </c>
      <c r="G160" t="s">
        <v>109</v>
      </c>
      <c r="H160" t="s">
        <v>241</v>
      </c>
      <c r="J160">
        <v>0</v>
      </c>
      <c r="K160">
        <v>45245.736319444448</v>
      </c>
      <c r="O160">
        <v>1</v>
      </c>
    </row>
    <row r="161" spans="2:15" x14ac:dyDescent="0.25">
      <c r="B161" t="s">
        <v>293</v>
      </c>
      <c r="C161" t="s">
        <v>249</v>
      </c>
      <c r="D161">
        <v>1117</v>
      </c>
      <c r="E161">
        <v>300</v>
      </c>
      <c r="F161" t="s">
        <v>127</v>
      </c>
      <c r="G161" t="s">
        <v>128</v>
      </c>
      <c r="H161" t="s">
        <v>129</v>
      </c>
      <c r="I161" t="s">
        <v>130</v>
      </c>
      <c r="J161">
        <v>0</v>
      </c>
      <c r="K161">
        <v>45245.73636574074</v>
      </c>
      <c r="O161">
        <v>1</v>
      </c>
    </row>
    <row r="162" spans="2:15" x14ac:dyDescent="0.25">
      <c r="B162" t="s">
        <v>491</v>
      </c>
      <c r="C162" t="s">
        <v>250</v>
      </c>
      <c r="D162">
        <v>134952</v>
      </c>
      <c r="E162">
        <v>100000</v>
      </c>
      <c r="F162" t="s">
        <v>68</v>
      </c>
      <c r="G162" t="s">
        <v>103</v>
      </c>
      <c r="H162" t="s">
        <v>104</v>
      </c>
      <c r="I162" t="s">
        <v>105</v>
      </c>
      <c r="J162">
        <v>1</v>
      </c>
      <c r="K162">
        <v>45245.542384259257</v>
      </c>
      <c r="M162">
        <v>44937</v>
      </c>
      <c r="O162">
        <v>1</v>
      </c>
    </row>
    <row r="163" spans="2:15" x14ac:dyDescent="0.25">
      <c r="B163" t="s">
        <v>491</v>
      </c>
      <c r="C163" t="s">
        <v>250</v>
      </c>
      <c r="D163">
        <v>134952</v>
      </c>
      <c r="E163">
        <v>60000</v>
      </c>
      <c r="F163" t="s">
        <v>68</v>
      </c>
      <c r="G163" t="s">
        <v>123</v>
      </c>
      <c r="H163" t="s">
        <v>124</v>
      </c>
      <c r="I163" t="s">
        <v>105</v>
      </c>
      <c r="J163">
        <v>1</v>
      </c>
      <c r="K163">
        <v>45245.542638888888</v>
      </c>
      <c r="M163">
        <v>44937</v>
      </c>
      <c r="O163">
        <v>1</v>
      </c>
    </row>
    <row r="164" spans="2:15" x14ac:dyDescent="0.25">
      <c r="B164" t="s">
        <v>491</v>
      </c>
      <c r="C164" t="s">
        <v>250</v>
      </c>
      <c r="D164">
        <v>134952</v>
      </c>
      <c r="E164">
        <v>15000</v>
      </c>
      <c r="F164" t="s">
        <v>68</v>
      </c>
      <c r="G164" t="s">
        <v>121</v>
      </c>
      <c r="H164" t="s">
        <v>211</v>
      </c>
      <c r="I164" t="s">
        <v>105</v>
      </c>
      <c r="J164">
        <v>1</v>
      </c>
      <c r="K164">
        <v>45245.542731481481</v>
      </c>
      <c r="M164">
        <v>44937</v>
      </c>
      <c r="O164">
        <v>1</v>
      </c>
    </row>
    <row r="165" spans="2:15" x14ac:dyDescent="0.25">
      <c r="B165" t="s">
        <v>491</v>
      </c>
      <c r="C165" t="s">
        <v>250</v>
      </c>
      <c r="D165">
        <v>134952</v>
      </c>
      <c r="E165">
        <v>3000</v>
      </c>
      <c r="F165" t="s">
        <v>68</v>
      </c>
      <c r="G165" t="s">
        <v>110</v>
      </c>
      <c r="H165" t="s">
        <v>111</v>
      </c>
      <c r="I165" t="s">
        <v>105</v>
      </c>
      <c r="J165">
        <v>1</v>
      </c>
      <c r="K165">
        <v>45245.542916666665</v>
      </c>
      <c r="M165">
        <v>44937</v>
      </c>
      <c r="O165">
        <v>1</v>
      </c>
    </row>
    <row r="166" spans="2:15" x14ac:dyDescent="0.25">
      <c r="B166" t="s">
        <v>491</v>
      </c>
      <c r="C166" t="s">
        <v>250</v>
      </c>
      <c r="D166">
        <v>134952</v>
      </c>
      <c r="E166">
        <v>3000</v>
      </c>
      <c r="F166" t="s">
        <v>68</v>
      </c>
      <c r="G166" t="s">
        <v>115</v>
      </c>
      <c r="H166" t="s">
        <v>116</v>
      </c>
      <c r="I166" t="s">
        <v>105</v>
      </c>
      <c r="J166">
        <v>1</v>
      </c>
      <c r="K166">
        <v>45245.543935185182</v>
      </c>
      <c r="M166">
        <v>44937</v>
      </c>
      <c r="O166">
        <v>1</v>
      </c>
    </row>
    <row r="167" spans="2:15" x14ac:dyDescent="0.25">
      <c r="B167" t="s">
        <v>158</v>
      </c>
      <c r="C167" t="s">
        <v>243</v>
      </c>
      <c r="D167">
        <v>1128</v>
      </c>
      <c r="E167">
        <v>480</v>
      </c>
      <c r="F167" t="s">
        <v>68</v>
      </c>
      <c r="G167" t="s">
        <v>163</v>
      </c>
      <c r="H167" t="s">
        <v>214</v>
      </c>
      <c r="I167" t="s">
        <v>165</v>
      </c>
      <c r="J167">
        <v>0</v>
      </c>
      <c r="K167">
        <v>45245.737060185187</v>
      </c>
      <c r="O167">
        <v>1</v>
      </c>
    </row>
    <row r="168" spans="2:15" x14ac:dyDescent="0.25">
      <c r="B168" t="s">
        <v>158</v>
      </c>
      <c r="C168" t="s">
        <v>251</v>
      </c>
      <c r="D168">
        <v>1129</v>
      </c>
      <c r="E168">
        <v>300</v>
      </c>
      <c r="F168" t="s">
        <v>68</v>
      </c>
      <c r="G168" t="s">
        <v>142</v>
      </c>
      <c r="H168" t="s">
        <v>143</v>
      </c>
      <c r="I168" t="s">
        <v>144</v>
      </c>
      <c r="J168">
        <v>0</v>
      </c>
      <c r="K168">
        <v>45245.73777777778</v>
      </c>
      <c r="O168">
        <v>1</v>
      </c>
    </row>
    <row r="169" spans="2:15" x14ac:dyDescent="0.25">
      <c r="B169" t="s">
        <v>158</v>
      </c>
      <c r="C169" t="s">
        <v>246</v>
      </c>
      <c r="D169">
        <v>1130</v>
      </c>
      <c r="E169">
        <v>3200</v>
      </c>
      <c r="F169" t="s">
        <v>68</v>
      </c>
      <c r="G169" t="s">
        <v>125</v>
      </c>
      <c r="H169" t="s">
        <v>126</v>
      </c>
      <c r="I169" t="s">
        <v>105</v>
      </c>
      <c r="J169">
        <v>0</v>
      </c>
      <c r="K169">
        <v>45245.738275462965</v>
      </c>
      <c r="O169">
        <v>1</v>
      </c>
    </row>
    <row r="170" spans="2:15" x14ac:dyDescent="0.25">
      <c r="B170" t="s">
        <v>158</v>
      </c>
      <c r="C170" t="s">
        <v>252</v>
      </c>
      <c r="D170">
        <v>1132</v>
      </c>
      <c r="E170">
        <v>4000</v>
      </c>
      <c r="F170" t="s">
        <v>68</v>
      </c>
      <c r="G170" t="s">
        <v>146</v>
      </c>
      <c r="H170" t="s">
        <v>222</v>
      </c>
      <c r="I170" t="s">
        <v>144</v>
      </c>
      <c r="J170">
        <v>0</v>
      </c>
      <c r="K170">
        <v>45245.738900462966</v>
      </c>
      <c r="O170">
        <v>1</v>
      </c>
    </row>
    <row r="171" spans="2:15" x14ac:dyDescent="0.25">
      <c r="B171" t="s">
        <v>158</v>
      </c>
      <c r="C171" t="s">
        <v>244</v>
      </c>
      <c r="D171">
        <v>1131</v>
      </c>
      <c r="E171">
        <v>2000</v>
      </c>
      <c r="F171" t="s">
        <v>68</v>
      </c>
      <c r="G171" t="s">
        <v>121</v>
      </c>
      <c r="H171" t="s">
        <v>211</v>
      </c>
      <c r="I171" t="s">
        <v>105</v>
      </c>
      <c r="J171">
        <v>0</v>
      </c>
      <c r="K171">
        <v>45245.739421296297</v>
      </c>
      <c r="O171">
        <v>1</v>
      </c>
    </row>
    <row r="172" spans="2:15" x14ac:dyDescent="0.25">
      <c r="B172" t="s">
        <v>158</v>
      </c>
      <c r="C172" t="s">
        <v>244</v>
      </c>
      <c r="D172">
        <v>1131</v>
      </c>
      <c r="E172">
        <v>6</v>
      </c>
      <c r="F172" t="s">
        <v>127</v>
      </c>
      <c r="G172" t="s">
        <v>133</v>
      </c>
      <c r="H172" t="s">
        <v>134</v>
      </c>
      <c r="I172" t="s">
        <v>130</v>
      </c>
      <c r="J172">
        <v>0</v>
      </c>
      <c r="K172">
        <v>45245.739942129629</v>
      </c>
      <c r="O172">
        <v>1</v>
      </c>
    </row>
    <row r="173" spans="2:15" x14ac:dyDescent="0.25">
      <c r="B173" t="s">
        <v>158</v>
      </c>
      <c r="C173" t="s">
        <v>244</v>
      </c>
      <c r="D173">
        <v>1131</v>
      </c>
      <c r="E173">
        <v>300</v>
      </c>
      <c r="F173" t="s">
        <v>68</v>
      </c>
      <c r="G173" t="s">
        <v>166</v>
      </c>
      <c r="H173" t="s">
        <v>167</v>
      </c>
      <c r="J173">
        <v>0</v>
      </c>
      <c r="K173">
        <v>45245.740405092591</v>
      </c>
      <c r="O173">
        <v>1</v>
      </c>
    </row>
    <row r="174" spans="2:15" x14ac:dyDescent="0.25">
      <c r="B174" t="s">
        <v>492</v>
      </c>
      <c r="C174" t="s">
        <v>253</v>
      </c>
      <c r="D174">
        <v>32575</v>
      </c>
      <c r="E174">
        <v>600</v>
      </c>
      <c r="F174" t="s">
        <v>68</v>
      </c>
      <c r="G174" t="s">
        <v>166</v>
      </c>
      <c r="H174" t="s">
        <v>167</v>
      </c>
      <c r="J174">
        <v>1</v>
      </c>
      <c r="K174">
        <v>45246.527881944443</v>
      </c>
      <c r="M174" t="s">
        <v>254</v>
      </c>
      <c r="O174">
        <v>1</v>
      </c>
    </row>
    <row r="175" spans="2:15" x14ac:dyDescent="0.25">
      <c r="B175" t="s">
        <v>158</v>
      </c>
      <c r="C175" t="s">
        <v>327</v>
      </c>
      <c r="D175">
        <v>1126</v>
      </c>
      <c r="E175">
        <v>6000</v>
      </c>
      <c r="F175" t="s">
        <v>68</v>
      </c>
      <c r="G175" t="s">
        <v>107</v>
      </c>
      <c r="H175" t="s">
        <v>108</v>
      </c>
      <c r="I175" t="s">
        <v>105</v>
      </c>
      <c r="J175">
        <v>0</v>
      </c>
      <c r="K175">
        <v>45246.536562499998</v>
      </c>
      <c r="O175">
        <v>100</v>
      </c>
    </row>
    <row r="176" spans="2:15" x14ac:dyDescent="0.25">
      <c r="B176" t="s">
        <v>158</v>
      </c>
      <c r="C176" t="s">
        <v>247</v>
      </c>
      <c r="D176">
        <v>1124</v>
      </c>
      <c r="E176">
        <v>2000</v>
      </c>
      <c r="F176" t="s">
        <v>68</v>
      </c>
      <c r="G176" t="s">
        <v>121</v>
      </c>
      <c r="H176" t="s">
        <v>211</v>
      </c>
      <c r="I176" t="s">
        <v>105</v>
      </c>
      <c r="J176">
        <v>0</v>
      </c>
      <c r="K176">
        <v>45246.536504629628</v>
      </c>
    </row>
    <row r="177" spans="2:14" x14ac:dyDescent="0.25">
      <c r="B177" t="s">
        <v>158</v>
      </c>
      <c r="C177" t="s">
        <v>247</v>
      </c>
      <c r="D177">
        <v>1124</v>
      </c>
      <c r="E177">
        <v>100</v>
      </c>
      <c r="F177" t="s">
        <v>68</v>
      </c>
      <c r="G177" t="s">
        <v>115</v>
      </c>
      <c r="H177" t="s">
        <v>116</v>
      </c>
      <c r="I177" t="s">
        <v>105</v>
      </c>
      <c r="J177">
        <v>0</v>
      </c>
      <c r="K177">
        <v>45246.539189814815</v>
      </c>
      <c r="M177" t="s">
        <v>255</v>
      </c>
    </row>
    <row r="178" spans="2:14" x14ac:dyDescent="0.25">
      <c r="B178" t="s">
        <v>158</v>
      </c>
      <c r="C178" t="s">
        <v>247</v>
      </c>
      <c r="D178">
        <v>1124</v>
      </c>
      <c r="E178">
        <v>15</v>
      </c>
      <c r="F178" t="s">
        <v>68</v>
      </c>
      <c r="G178">
        <v>6200</v>
      </c>
      <c r="H178" t="s">
        <v>148</v>
      </c>
      <c r="I178" t="s">
        <v>144</v>
      </c>
      <c r="J178">
        <v>0</v>
      </c>
      <c r="K178">
        <v>45246.53533564815</v>
      </c>
    </row>
    <row r="179" spans="2:14" x14ac:dyDescent="0.25">
      <c r="B179" t="s">
        <v>158</v>
      </c>
      <c r="C179" t="s">
        <v>249</v>
      </c>
      <c r="D179">
        <v>1127</v>
      </c>
      <c r="E179">
        <v>18000</v>
      </c>
      <c r="F179" t="s">
        <v>68</v>
      </c>
      <c r="G179" t="s">
        <v>103</v>
      </c>
      <c r="H179" t="s">
        <v>104</v>
      </c>
      <c r="I179" t="s">
        <v>105</v>
      </c>
      <c r="J179">
        <v>0</v>
      </c>
      <c r="K179">
        <v>45246.535243055558</v>
      </c>
    </row>
    <row r="180" spans="2:14" x14ac:dyDescent="0.25">
      <c r="B180" t="s">
        <v>158</v>
      </c>
      <c r="C180" t="s">
        <v>249</v>
      </c>
      <c r="D180">
        <v>1127</v>
      </c>
      <c r="E180">
        <v>4</v>
      </c>
      <c r="F180" t="s">
        <v>68</v>
      </c>
      <c r="G180" t="s">
        <v>182</v>
      </c>
      <c r="H180" t="s">
        <v>183</v>
      </c>
      <c r="J180">
        <v>0</v>
      </c>
      <c r="K180">
        <v>45246.535162037035</v>
      </c>
    </row>
    <row r="181" spans="2:14" x14ac:dyDescent="0.25">
      <c r="B181" t="s">
        <v>158</v>
      </c>
      <c r="C181" t="s">
        <v>249</v>
      </c>
      <c r="D181">
        <v>1127</v>
      </c>
      <c r="E181">
        <v>600</v>
      </c>
      <c r="F181" t="s">
        <v>68</v>
      </c>
      <c r="G181" t="s">
        <v>159</v>
      </c>
      <c r="H181" t="s">
        <v>256</v>
      </c>
      <c r="I181" t="s">
        <v>161</v>
      </c>
      <c r="J181">
        <v>0</v>
      </c>
      <c r="K181">
        <v>45246.534629629627</v>
      </c>
    </row>
    <row r="182" spans="2:14" x14ac:dyDescent="0.25">
      <c r="B182" t="s">
        <v>158</v>
      </c>
      <c r="C182" t="s">
        <v>249</v>
      </c>
      <c r="D182">
        <v>1127</v>
      </c>
      <c r="E182">
        <v>200</v>
      </c>
      <c r="F182" t="s">
        <v>68</v>
      </c>
      <c r="G182">
        <v>501</v>
      </c>
      <c r="H182" t="s">
        <v>178</v>
      </c>
      <c r="I182" t="s">
        <v>144</v>
      </c>
      <c r="J182">
        <v>0</v>
      </c>
      <c r="K182">
        <v>45246.534583333334</v>
      </c>
    </row>
    <row r="183" spans="2:14" x14ac:dyDescent="0.25">
      <c r="B183" t="s">
        <v>158</v>
      </c>
      <c r="C183" t="s">
        <v>249</v>
      </c>
      <c r="D183">
        <v>1127</v>
      </c>
      <c r="E183">
        <v>300</v>
      </c>
      <c r="F183" t="s">
        <v>127</v>
      </c>
      <c r="G183" t="s">
        <v>128</v>
      </c>
      <c r="H183" t="s">
        <v>129</v>
      </c>
      <c r="I183" t="s">
        <v>130</v>
      </c>
      <c r="J183">
        <v>0</v>
      </c>
      <c r="K183">
        <v>45246.534537037034</v>
      </c>
    </row>
    <row r="184" spans="2:14" x14ac:dyDescent="0.25">
      <c r="B184" t="s">
        <v>158</v>
      </c>
      <c r="C184" t="s">
        <v>469</v>
      </c>
      <c r="D184">
        <v>1125</v>
      </c>
      <c r="E184">
        <v>900</v>
      </c>
      <c r="F184" t="s">
        <v>68</v>
      </c>
      <c r="G184" t="s">
        <v>125</v>
      </c>
      <c r="H184" t="s">
        <v>126</v>
      </c>
      <c r="I184" t="s">
        <v>105</v>
      </c>
      <c r="J184">
        <v>0</v>
      </c>
      <c r="K184">
        <v>45246.534490740742</v>
      </c>
    </row>
    <row r="185" spans="2:14" x14ac:dyDescent="0.25">
      <c r="B185" t="s">
        <v>66</v>
      </c>
      <c r="C185" t="s">
        <v>257</v>
      </c>
      <c r="D185" t="s">
        <v>257</v>
      </c>
      <c r="E185">
        <v>24</v>
      </c>
      <c r="F185" t="s">
        <v>68</v>
      </c>
      <c r="G185" t="s">
        <v>155</v>
      </c>
      <c r="H185" t="s">
        <v>156</v>
      </c>
      <c r="J185">
        <v>0</v>
      </c>
      <c r="K185">
        <v>45246.560069444444</v>
      </c>
      <c r="M185">
        <v>45237</v>
      </c>
      <c r="N185" t="s">
        <v>258</v>
      </c>
    </row>
    <row r="186" spans="2:14" x14ac:dyDescent="0.25">
      <c r="B186" t="s">
        <v>158</v>
      </c>
      <c r="C186" t="s">
        <v>252</v>
      </c>
      <c r="D186">
        <v>1140</v>
      </c>
      <c r="E186">
        <v>2000</v>
      </c>
      <c r="F186" t="s">
        <v>68</v>
      </c>
      <c r="G186" t="s">
        <v>146</v>
      </c>
      <c r="H186" t="s">
        <v>222</v>
      </c>
      <c r="I186" t="s">
        <v>144</v>
      </c>
      <c r="J186">
        <v>0</v>
      </c>
      <c r="K186">
        <v>45246.694791666669</v>
      </c>
    </row>
    <row r="187" spans="2:14" x14ac:dyDescent="0.25">
      <c r="B187" t="s">
        <v>158</v>
      </c>
      <c r="C187" t="s">
        <v>245</v>
      </c>
      <c r="D187">
        <v>1139</v>
      </c>
      <c r="E187">
        <v>500</v>
      </c>
      <c r="F187" t="s">
        <v>68</v>
      </c>
      <c r="G187" t="s">
        <v>142</v>
      </c>
      <c r="H187" t="s">
        <v>143</v>
      </c>
      <c r="I187" t="s">
        <v>144</v>
      </c>
      <c r="J187">
        <v>0</v>
      </c>
      <c r="K187">
        <v>45246.697210648148</v>
      </c>
    </row>
    <row r="188" spans="2:14" x14ac:dyDescent="0.25">
      <c r="B188" t="s">
        <v>158</v>
      </c>
      <c r="C188" t="s">
        <v>244</v>
      </c>
      <c r="D188">
        <v>1138</v>
      </c>
      <c r="E188">
        <v>1200</v>
      </c>
      <c r="F188" t="s">
        <v>68</v>
      </c>
      <c r="G188" t="s">
        <v>121</v>
      </c>
      <c r="H188" t="s">
        <v>211</v>
      </c>
      <c r="I188" t="s">
        <v>105</v>
      </c>
      <c r="J188">
        <v>0</v>
      </c>
      <c r="K188">
        <v>45246.697175925925</v>
      </c>
    </row>
    <row r="189" spans="2:14" x14ac:dyDescent="0.25">
      <c r="B189" t="s">
        <v>158</v>
      </c>
      <c r="C189" t="s">
        <v>244</v>
      </c>
      <c r="D189">
        <v>1138</v>
      </c>
      <c r="E189">
        <v>8</v>
      </c>
      <c r="F189" t="s">
        <v>127</v>
      </c>
      <c r="G189" t="s">
        <v>133</v>
      </c>
      <c r="H189" t="s">
        <v>134</v>
      </c>
      <c r="I189" t="s">
        <v>130</v>
      </c>
      <c r="J189">
        <v>0</v>
      </c>
      <c r="K189">
        <v>45246.697141203702</v>
      </c>
    </row>
    <row r="190" spans="2:14" x14ac:dyDescent="0.25">
      <c r="B190" t="s">
        <v>158</v>
      </c>
      <c r="C190" t="s">
        <v>244</v>
      </c>
      <c r="D190">
        <v>1138</v>
      </c>
      <c r="E190">
        <v>8</v>
      </c>
      <c r="F190" t="s">
        <v>127</v>
      </c>
      <c r="G190" t="s">
        <v>131</v>
      </c>
      <c r="H190" t="s">
        <v>132</v>
      </c>
      <c r="I190" t="s">
        <v>130</v>
      </c>
      <c r="J190">
        <v>0</v>
      </c>
      <c r="K190">
        <v>45246.697118055556</v>
      </c>
    </row>
    <row r="191" spans="2:14" x14ac:dyDescent="0.25">
      <c r="B191" t="s">
        <v>158</v>
      </c>
      <c r="C191" t="s">
        <v>240</v>
      </c>
      <c r="D191">
        <v>1137</v>
      </c>
      <c r="E191">
        <v>105</v>
      </c>
      <c r="F191" t="s">
        <v>68</v>
      </c>
      <c r="G191">
        <v>6885</v>
      </c>
      <c r="H191" t="s">
        <v>169</v>
      </c>
      <c r="I191" t="s">
        <v>144</v>
      </c>
      <c r="J191">
        <v>0</v>
      </c>
      <c r="K191">
        <v>45246.697060185186</v>
      </c>
    </row>
    <row r="192" spans="2:14" x14ac:dyDescent="0.25">
      <c r="B192" t="s">
        <v>293</v>
      </c>
      <c r="C192" t="s">
        <v>259</v>
      </c>
      <c r="D192">
        <v>441</v>
      </c>
      <c r="E192">
        <v>25000</v>
      </c>
      <c r="F192" t="s">
        <v>68</v>
      </c>
      <c r="G192" t="s">
        <v>123</v>
      </c>
      <c r="H192" t="s">
        <v>124</v>
      </c>
      <c r="I192" t="s">
        <v>105</v>
      </c>
      <c r="J192">
        <v>0</v>
      </c>
      <c r="K192">
        <v>45247.5784375</v>
      </c>
    </row>
    <row r="193" spans="2:13" x14ac:dyDescent="0.25">
      <c r="B193" t="s">
        <v>293</v>
      </c>
      <c r="C193" t="s">
        <v>260</v>
      </c>
      <c r="D193">
        <v>439</v>
      </c>
      <c r="E193">
        <v>400</v>
      </c>
      <c r="F193" t="s">
        <v>68</v>
      </c>
      <c r="G193" t="s">
        <v>153</v>
      </c>
      <c r="H193" t="s">
        <v>154</v>
      </c>
      <c r="I193" t="s">
        <v>105</v>
      </c>
      <c r="J193">
        <v>0</v>
      </c>
      <c r="K193">
        <v>45247.5783912037</v>
      </c>
    </row>
    <row r="194" spans="2:13" x14ac:dyDescent="0.25">
      <c r="B194" t="s">
        <v>293</v>
      </c>
      <c r="C194" t="s">
        <v>261</v>
      </c>
      <c r="D194">
        <v>440</v>
      </c>
      <c r="E194">
        <v>250</v>
      </c>
      <c r="F194" t="s">
        <v>68</v>
      </c>
      <c r="G194" t="s">
        <v>140</v>
      </c>
      <c r="H194" t="s">
        <v>137</v>
      </c>
      <c r="I194" t="s">
        <v>138</v>
      </c>
      <c r="J194">
        <v>0</v>
      </c>
      <c r="K194">
        <v>45247.578368055554</v>
      </c>
    </row>
    <row r="195" spans="2:13" x14ac:dyDescent="0.25">
      <c r="B195" t="s">
        <v>293</v>
      </c>
      <c r="C195" t="s">
        <v>262</v>
      </c>
      <c r="D195">
        <v>442</v>
      </c>
      <c r="E195">
        <v>40</v>
      </c>
      <c r="F195" t="s">
        <v>68</v>
      </c>
      <c r="G195">
        <v>6885</v>
      </c>
      <c r="H195" t="s">
        <v>169</v>
      </c>
      <c r="I195" t="s">
        <v>144</v>
      </c>
      <c r="J195">
        <v>0</v>
      </c>
      <c r="K195">
        <v>45247.578321759262</v>
      </c>
    </row>
    <row r="196" spans="2:13" x14ac:dyDescent="0.25">
      <c r="B196" t="s">
        <v>293</v>
      </c>
      <c r="C196" t="s">
        <v>262</v>
      </c>
      <c r="D196">
        <v>442</v>
      </c>
      <c r="E196">
        <v>180</v>
      </c>
      <c r="F196" t="s">
        <v>127</v>
      </c>
      <c r="G196" t="s">
        <v>128</v>
      </c>
      <c r="H196" t="s">
        <v>129</v>
      </c>
      <c r="I196" t="s">
        <v>130</v>
      </c>
      <c r="J196">
        <v>0</v>
      </c>
      <c r="K196">
        <v>45247.578275462962</v>
      </c>
    </row>
    <row r="197" spans="2:13" x14ac:dyDescent="0.25">
      <c r="B197" t="s">
        <v>293</v>
      </c>
      <c r="C197" t="s">
        <v>262</v>
      </c>
      <c r="D197">
        <v>442</v>
      </c>
      <c r="E197">
        <v>6</v>
      </c>
      <c r="F197" t="s">
        <v>68</v>
      </c>
      <c r="G197" t="s">
        <v>182</v>
      </c>
      <c r="H197" t="s">
        <v>183</v>
      </c>
      <c r="J197">
        <v>0</v>
      </c>
      <c r="K197">
        <v>45247.577835648146</v>
      </c>
    </row>
    <row r="198" spans="2:13" x14ac:dyDescent="0.25">
      <c r="B198" t="s">
        <v>293</v>
      </c>
      <c r="C198" t="s">
        <v>263</v>
      </c>
      <c r="D198">
        <v>1135</v>
      </c>
      <c r="E198">
        <v>178</v>
      </c>
      <c r="F198" t="s">
        <v>68</v>
      </c>
      <c r="G198" t="s">
        <v>163</v>
      </c>
      <c r="H198" t="s">
        <v>214</v>
      </c>
      <c r="I198" t="s">
        <v>165</v>
      </c>
      <c r="J198">
        <v>0</v>
      </c>
      <c r="K198">
        <v>45247.578206018516</v>
      </c>
    </row>
    <row r="199" spans="2:13" x14ac:dyDescent="0.25">
      <c r="B199" t="s">
        <v>293</v>
      </c>
      <c r="C199" t="s">
        <v>264</v>
      </c>
      <c r="D199">
        <v>1134</v>
      </c>
      <c r="E199">
        <v>6500</v>
      </c>
      <c r="F199" t="s">
        <v>68</v>
      </c>
      <c r="G199" t="s">
        <v>107</v>
      </c>
      <c r="H199" t="s">
        <v>108</v>
      </c>
      <c r="I199" t="s">
        <v>105</v>
      </c>
      <c r="J199">
        <v>0</v>
      </c>
      <c r="K199">
        <v>45247.577650462961</v>
      </c>
    </row>
    <row r="200" spans="2:13" x14ac:dyDescent="0.25">
      <c r="B200" t="s">
        <v>293</v>
      </c>
      <c r="C200" t="s">
        <v>260</v>
      </c>
      <c r="D200">
        <v>1136</v>
      </c>
      <c r="E200">
        <v>2500</v>
      </c>
      <c r="F200" t="s">
        <v>68</v>
      </c>
      <c r="G200" t="s">
        <v>121</v>
      </c>
      <c r="H200" t="s">
        <v>211</v>
      </c>
      <c r="I200" t="s">
        <v>105</v>
      </c>
      <c r="J200">
        <v>0</v>
      </c>
      <c r="K200">
        <v>45247.577604166669</v>
      </c>
    </row>
    <row r="201" spans="2:13" x14ac:dyDescent="0.25">
      <c r="B201" t="s">
        <v>293</v>
      </c>
      <c r="C201" t="s">
        <v>262</v>
      </c>
      <c r="D201">
        <v>1133</v>
      </c>
      <c r="E201">
        <v>20000</v>
      </c>
      <c r="F201" t="s">
        <v>68</v>
      </c>
      <c r="G201" t="s">
        <v>103</v>
      </c>
      <c r="H201" t="s">
        <v>104</v>
      </c>
      <c r="I201" t="s">
        <v>105</v>
      </c>
      <c r="J201">
        <v>0</v>
      </c>
      <c r="K201">
        <v>45247.577534722222</v>
      </c>
    </row>
    <row r="202" spans="2:13" x14ac:dyDescent="0.25">
      <c r="B202" t="s">
        <v>293</v>
      </c>
      <c r="C202" t="s">
        <v>262</v>
      </c>
      <c r="D202">
        <v>1133</v>
      </c>
      <c r="E202">
        <v>650</v>
      </c>
      <c r="F202" t="s">
        <v>68</v>
      </c>
      <c r="G202" t="s">
        <v>159</v>
      </c>
      <c r="H202" t="s">
        <v>265</v>
      </c>
      <c r="I202" t="s">
        <v>161</v>
      </c>
      <c r="J202">
        <v>0</v>
      </c>
      <c r="K202">
        <v>45247.577453703707</v>
      </c>
    </row>
    <row r="203" spans="2:13" x14ac:dyDescent="0.25">
      <c r="B203" t="s">
        <v>293</v>
      </c>
      <c r="C203" t="s">
        <v>262</v>
      </c>
      <c r="D203">
        <v>1133</v>
      </c>
      <c r="E203">
        <v>200</v>
      </c>
      <c r="F203" t="s">
        <v>68</v>
      </c>
      <c r="G203">
        <v>501</v>
      </c>
      <c r="H203" t="s">
        <v>178</v>
      </c>
      <c r="I203" t="s">
        <v>144</v>
      </c>
      <c r="J203">
        <v>0</v>
      </c>
      <c r="K203">
        <v>45247.577384259261</v>
      </c>
    </row>
    <row r="204" spans="2:13" x14ac:dyDescent="0.25">
      <c r="B204" t="s">
        <v>293</v>
      </c>
      <c r="C204" t="s">
        <v>262</v>
      </c>
      <c r="D204">
        <v>1133</v>
      </c>
      <c r="E204">
        <v>80</v>
      </c>
      <c r="F204" t="s">
        <v>68</v>
      </c>
      <c r="G204" t="s">
        <v>166</v>
      </c>
      <c r="H204" t="s">
        <v>167</v>
      </c>
      <c r="J204">
        <v>0</v>
      </c>
      <c r="K204">
        <v>45247.577291666668</v>
      </c>
    </row>
    <row r="205" spans="2:13" x14ac:dyDescent="0.25">
      <c r="B205" t="s">
        <v>158</v>
      </c>
      <c r="C205" t="s">
        <v>266</v>
      </c>
      <c r="D205">
        <v>445</v>
      </c>
      <c r="E205">
        <v>2000</v>
      </c>
      <c r="F205" t="s">
        <v>68</v>
      </c>
      <c r="G205" t="s">
        <v>146</v>
      </c>
      <c r="H205" t="s">
        <v>222</v>
      </c>
      <c r="I205" t="s">
        <v>144</v>
      </c>
      <c r="J205">
        <v>0</v>
      </c>
      <c r="K205">
        <v>45247.602060185185</v>
      </c>
    </row>
    <row r="206" spans="2:13" x14ac:dyDescent="0.25">
      <c r="B206" t="s">
        <v>158</v>
      </c>
      <c r="C206" t="s">
        <v>267</v>
      </c>
      <c r="D206">
        <v>444</v>
      </c>
      <c r="E206">
        <v>15</v>
      </c>
      <c r="F206" t="s">
        <v>68</v>
      </c>
      <c r="G206">
        <v>6800</v>
      </c>
      <c r="H206" t="s">
        <v>150</v>
      </c>
      <c r="I206" t="s">
        <v>144</v>
      </c>
      <c r="J206">
        <v>0</v>
      </c>
      <c r="K206">
        <v>45247.605520833335</v>
      </c>
      <c r="M206" t="s">
        <v>268</v>
      </c>
    </row>
    <row r="207" spans="2:13" x14ac:dyDescent="0.25">
      <c r="B207" t="s">
        <v>158</v>
      </c>
      <c r="C207" t="s">
        <v>269</v>
      </c>
      <c r="D207">
        <v>443</v>
      </c>
      <c r="E207">
        <v>240</v>
      </c>
      <c r="F207" t="s">
        <v>68</v>
      </c>
      <c r="G207" t="s">
        <v>142</v>
      </c>
      <c r="H207" t="s">
        <v>143</v>
      </c>
      <c r="I207" t="s">
        <v>144</v>
      </c>
      <c r="J207">
        <v>0</v>
      </c>
      <c r="K207">
        <v>45247.603402777779</v>
      </c>
    </row>
    <row r="208" spans="2:13" x14ac:dyDescent="0.25">
      <c r="B208" t="s">
        <v>293</v>
      </c>
      <c r="C208" t="s">
        <v>270</v>
      </c>
      <c r="D208">
        <v>446</v>
      </c>
      <c r="E208">
        <v>5500</v>
      </c>
      <c r="F208" t="s">
        <v>68</v>
      </c>
      <c r="G208" t="s">
        <v>146</v>
      </c>
      <c r="H208" t="s">
        <v>222</v>
      </c>
      <c r="I208" t="s">
        <v>144</v>
      </c>
      <c r="J208">
        <v>0</v>
      </c>
      <c r="K208">
        <v>45247.607858796298</v>
      </c>
    </row>
    <row r="209" spans="2:15" x14ac:dyDescent="0.25">
      <c r="B209" t="s">
        <v>293</v>
      </c>
      <c r="C209" t="s">
        <v>270</v>
      </c>
      <c r="D209">
        <v>446</v>
      </c>
      <c r="E209">
        <v>2400</v>
      </c>
      <c r="F209" t="s">
        <v>68</v>
      </c>
      <c r="G209" t="s">
        <v>179</v>
      </c>
      <c r="H209" t="s">
        <v>180</v>
      </c>
      <c r="I209" t="s">
        <v>144</v>
      </c>
      <c r="J209">
        <v>0</v>
      </c>
      <c r="K209">
        <v>45247.607812499999</v>
      </c>
    </row>
    <row r="210" spans="2:15" x14ac:dyDescent="0.25">
      <c r="B210" t="s">
        <v>493</v>
      </c>
      <c r="C210" t="s">
        <v>271</v>
      </c>
      <c r="D210" t="s">
        <v>272</v>
      </c>
      <c r="E210">
        <v>1512</v>
      </c>
      <c r="F210" t="s">
        <v>68</v>
      </c>
      <c r="G210" t="s">
        <v>159</v>
      </c>
      <c r="H210" t="s">
        <v>265</v>
      </c>
      <c r="I210" t="s">
        <v>161</v>
      </c>
      <c r="J210">
        <v>1</v>
      </c>
      <c r="K210">
        <v>45250.391331018516</v>
      </c>
      <c r="M210" t="s">
        <v>273</v>
      </c>
    </row>
    <row r="211" spans="2:15" x14ac:dyDescent="0.25">
      <c r="B211" t="s">
        <v>276</v>
      </c>
      <c r="C211" t="s">
        <v>248</v>
      </c>
      <c r="D211">
        <v>386</v>
      </c>
      <c r="E211">
        <v>52</v>
      </c>
      <c r="F211" t="s">
        <v>135</v>
      </c>
      <c r="G211" t="s">
        <v>109</v>
      </c>
      <c r="H211" t="s">
        <v>162</v>
      </c>
      <c r="J211">
        <v>1</v>
      </c>
      <c r="K211">
        <v>45190</v>
      </c>
      <c r="L211">
        <v>52</v>
      </c>
      <c r="M211">
        <v>45188</v>
      </c>
      <c r="N211" t="s">
        <v>277</v>
      </c>
    </row>
    <row r="212" spans="2:15" x14ac:dyDescent="0.25">
      <c r="B212" t="s">
        <v>280</v>
      </c>
      <c r="C212" t="s">
        <v>281</v>
      </c>
      <c r="D212" t="s">
        <v>66</v>
      </c>
      <c r="E212">
        <v>4000</v>
      </c>
      <c r="F212" t="s">
        <v>68</v>
      </c>
      <c r="G212" t="s">
        <v>163</v>
      </c>
      <c r="H212" t="s">
        <v>214</v>
      </c>
      <c r="I212" t="s">
        <v>165</v>
      </c>
      <c r="J212">
        <v>1</v>
      </c>
      <c r="K212">
        <v>45251.562847222223</v>
      </c>
      <c r="M212" t="s">
        <v>255</v>
      </c>
    </row>
    <row r="213" spans="2:15" x14ac:dyDescent="0.25">
      <c r="B213" t="s">
        <v>282</v>
      </c>
      <c r="C213" t="s">
        <v>283</v>
      </c>
      <c r="D213" t="s">
        <v>284</v>
      </c>
      <c r="E213">
        <v>400</v>
      </c>
      <c r="F213" t="s">
        <v>68</v>
      </c>
      <c r="G213">
        <v>6885</v>
      </c>
      <c r="H213" t="s">
        <v>169</v>
      </c>
      <c r="I213" t="s">
        <v>144</v>
      </c>
      <c r="J213">
        <v>1</v>
      </c>
      <c r="K213">
        <v>45251.639594907407</v>
      </c>
      <c r="M213" t="s">
        <v>285</v>
      </c>
      <c r="O213">
        <v>100</v>
      </c>
    </row>
    <row r="214" spans="2:15" x14ac:dyDescent="0.25">
      <c r="B214" t="s">
        <v>282</v>
      </c>
      <c r="C214" t="s">
        <v>283</v>
      </c>
      <c r="D214" t="s">
        <v>284</v>
      </c>
      <c r="E214">
        <v>240</v>
      </c>
      <c r="F214" t="s">
        <v>68</v>
      </c>
      <c r="G214">
        <v>6200</v>
      </c>
      <c r="H214" t="s">
        <v>148</v>
      </c>
      <c r="I214" t="s">
        <v>144</v>
      </c>
      <c r="J214">
        <v>1</v>
      </c>
      <c r="K214">
        <v>45251.640868055554</v>
      </c>
      <c r="M214" t="s">
        <v>285</v>
      </c>
    </row>
    <row r="215" spans="2:15" x14ac:dyDescent="0.25">
      <c r="B215" t="s">
        <v>158</v>
      </c>
      <c r="C215" t="s">
        <v>242</v>
      </c>
      <c r="D215">
        <v>449</v>
      </c>
      <c r="E215">
        <v>15</v>
      </c>
      <c r="F215" t="s">
        <v>68</v>
      </c>
      <c r="G215">
        <v>6800</v>
      </c>
      <c r="H215" t="s">
        <v>150</v>
      </c>
      <c r="I215" t="s">
        <v>144</v>
      </c>
      <c r="J215">
        <v>0</v>
      </c>
      <c r="K215">
        <v>45251.727060185185</v>
      </c>
    </row>
    <row r="216" spans="2:15" x14ac:dyDescent="0.25">
      <c r="B216" t="s">
        <v>158</v>
      </c>
      <c r="C216" t="s">
        <v>243</v>
      </c>
      <c r="D216">
        <v>447</v>
      </c>
      <c r="E216">
        <v>720</v>
      </c>
      <c r="F216" t="s">
        <v>135</v>
      </c>
      <c r="G216" t="s">
        <v>140</v>
      </c>
      <c r="H216" t="s">
        <v>137</v>
      </c>
      <c r="I216" t="s">
        <v>138</v>
      </c>
      <c r="J216">
        <v>0</v>
      </c>
      <c r="K216">
        <v>45251.824074074073</v>
      </c>
    </row>
    <row r="217" spans="2:15" x14ac:dyDescent="0.25">
      <c r="B217" t="s">
        <v>158</v>
      </c>
      <c r="C217" t="s">
        <v>286</v>
      </c>
      <c r="D217">
        <v>452</v>
      </c>
      <c r="E217">
        <v>3600</v>
      </c>
      <c r="F217" t="s">
        <v>68</v>
      </c>
      <c r="G217" t="s">
        <v>123</v>
      </c>
      <c r="H217" t="s">
        <v>124</v>
      </c>
      <c r="I217" t="s">
        <v>105</v>
      </c>
      <c r="J217">
        <v>0</v>
      </c>
      <c r="K217">
        <v>45251.824895833335</v>
      </c>
    </row>
    <row r="218" spans="2:15" x14ac:dyDescent="0.25">
      <c r="B218" t="s">
        <v>158</v>
      </c>
      <c r="C218" t="s">
        <v>287</v>
      </c>
      <c r="D218">
        <v>448</v>
      </c>
      <c r="E218">
        <v>3600</v>
      </c>
      <c r="F218" t="s">
        <v>68</v>
      </c>
      <c r="G218" t="s">
        <v>103</v>
      </c>
      <c r="H218" t="s">
        <v>104</v>
      </c>
      <c r="I218" t="s">
        <v>105</v>
      </c>
      <c r="J218">
        <v>0</v>
      </c>
      <c r="K218">
        <v>45251.82540509259</v>
      </c>
    </row>
    <row r="219" spans="2:15" x14ac:dyDescent="0.25">
      <c r="B219" t="s">
        <v>158</v>
      </c>
      <c r="C219" t="s">
        <v>245</v>
      </c>
      <c r="D219">
        <v>451</v>
      </c>
      <c r="E219">
        <v>1000</v>
      </c>
      <c r="F219" t="s">
        <v>68</v>
      </c>
      <c r="G219" t="s">
        <v>142</v>
      </c>
      <c r="H219" t="s">
        <v>143</v>
      </c>
      <c r="I219" t="s">
        <v>144</v>
      </c>
      <c r="J219">
        <v>0</v>
      </c>
      <c r="K219">
        <v>45251.825891203705</v>
      </c>
    </row>
    <row r="220" spans="2:15" x14ac:dyDescent="0.25">
      <c r="B220" t="s">
        <v>158</v>
      </c>
      <c r="C220" t="s">
        <v>244</v>
      </c>
      <c r="D220">
        <v>450</v>
      </c>
      <c r="E220">
        <v>8</v>
      </c>
      <c r="F220" t="s">
        <v>127</v>
      </c>
      <c r="G220" t="s">
        <v>133</v>
      </c>
      <c r="H220" t="s">
        <v>134</v>
      </c>
      <c r="I220" t="s">
        <v>130</v>
      </c>
      <c r="J220">
        <v>0</v>
      </c>
      <c r="K220">
        <v>45251.826608796298</v>
      </c>
    </row>
    <row r="221" spans="2:15" x14ac:dyDescent="0.25">
      <c r="B221" t="s">
        <v>158</v>
      </c>
      <c r="C221" t="s">
        <v>288</v>
      </c>
      <c r="D221">
        <v>453</v>
      </c>
      <c r="E221">
        <v>1000</v>
      </c>
      <c r="F221" t="s">
        <v>68</v>
      </c>
      <c r="G221" t="s">
        <v>119</v>
      </c>
      <c r="H221" t="s">
        <v>120</v>
      </c>
      <c r="I221" t="s">
        <v>105</v>
      </c>
      <c r="J221">
        <v>0</v>
      </c>
      <c r="K221">
        <v>45252.7580787037</v>
      </c>
    </row>
    <row r="222" spans="2:15" x14ac:dyDescent="0.25">
      <c r="B222" t="s">
        <v>158</v>
      </c>
      <c r="C222" t="s">
        <v>289</v>
      </c>
      <c r="D222">
        <v>454</v>
      </c>
      <c r="E222">
        <v>8</v>
      </c>
      <c r="F222" t="s">
        <v>127</v>
      </c>
      <c r="G222" t="s">
        <v>131</v>
      </c>
      <c r="H222" t="s">
        <v>132</v>
      </c>
      <c r="I222" t="s">
        <v>130</v>
      </c>
      <c r="J222">
        <v>0</v>
      </c>
      <c r="K222">
        <v>45252.760335648149</v>
      </c>
    </row>
    <row r="223" spans="2:15" x14ac:dyDescent="0.25">
      <c r="B223" t="s">
        <v>158</v>
      </c>
      <c r="C223" t="s">
        <v>290</v>
      </c>
      <c r="D223">
        <v>456</v>
      </c>
      <c r="E223">
        <v>720</v>
      </c>
      <c r="F223" t="s">
        <v>135</v>
      </c>
      <c r="G223" t="s">
        <v>140</v>
      </c>
      <c r="H223" t="s">
        <v>137</v>
      </c>
      <c r="I223" t="s">
        <v>138</v>
      </c>
      <c r="J223">
        <v>0</v>
      </c>
      <c r="K223">
        <v>45252.761111111111</v>
      </c>
    </row>
    <row r="224" spans="2:15" x14ac:dyDescent="0.25">
      <c r="B224" t="s">
        <v>158</v>
      </c>
      <c r="C224" t="s">
        <v>267</v>
      </c>
      <c r="D224">
        <v>455</v>
      </c>
      <c r="E224">
        <v>20</v>
      </c>
      <c r="F224" t="s">
        <v>68</v>
      </c>
      <c r="G224">
        <v>6800</v>
      </c>
      <c r="H224" t="s">
        <v>150</v>
      </c>
      <c r="I224" t="s">
        <v>144</v>
      </c>
      <c r="J224">
        <v>0</v>
      </c>
      <c r="K224">
        <v>45252.76185185185</v>
      </c>
    </row>
    <row r="225" spans="2:13" x14ac:dyDescent="0.25">
      <c r="B225" t="s">
        <v>291</v>
      </c>
      <c r="C225" t="s">
        <v>292</v>
      </c>
      <c r="D225" t="s">
        <v>66</v>
      </c>
      <c r="E225">
        <v>1008</v>
      </c>
      <c r="F225" t="s">
        <v>135</v>
      </c>
      <c r="G225" t="s">
        <v>136</v>
      </c>
      <c r="H225" t="s">
        <v>137</v>
      </c>
      <c r="I225" t="s">
        <v>138</v>
      </c>
      <c r="J225">
        <v>1</v>
      </c>
      <c r="K225">
        <v>45252.767546296294</v>
      </c>
      <c r="M225" t="s">
        <v>255</v>
      </c>
    </row>
    <row r="226" spans="2:13" x14ac:dyDescent="0.25">
      <c r="B226" t="s">
        <v>293</v>
      </c>
      <c r="C226" t="s">
        <v>270</v>
      </c>
      <c r="D226">
        <v>458</v>
      </c>
      <c r="E226">
        <v>2600</v>
      </c>
      <c r="F226" t="s">
        <v>68</v>
      </c>
      <c r="G226" t="s">
        <v>146</v>
      </c>
      <c r="H226" t="s">
        <v>147</v>
      </c>
      <c r="I226" t="s">
        <v>144</v>
      </c>
      <c r="J226">
        <v>0</v>
      </c>
      <c r="K226">
        <v>45253.641493055555</v>
      </c>
    </row>
    <row r="227" spans="2:13" x14ac:dyDescent="0.25">
      <c r="B227" t="s">
        <v>293</v>
      </c>
      <c r="C227" t="s">
        <v>270</v>
      </c>
      <c r="D227">
        <v>458</v>
      </c>
      <c r="E227">
        <v>350</v>
      </c>
      <c r="F227" t="s">
        <v>68</v>
      </c>
      <c r="G227" t="s">
        <v>155</v>
      </c>
      <c r="H227" t="s">
        <v>156</v>
      </c>
      <c r="J227">
        <v>0</v>
      </c>
      <c r="K227">
        <v>45253.641886574071</v>
      </c>
    </row>
    <row r="228" spans="2:13" x14ac:dyDescent="0.25">
      <c r="B228" t="s">
        <v>293</v>
      </c>
      <c r="C228" t="s">
        <v>270</v>
      </c>
      <c r="D228">
        <v>458</v>
      </c>
      <c r="E228">
        <v>1200</v>
      </c>
      <c r="F228" t="s">
        <v>68</v>
      </c>
      <c r="G228" t="s">
        <v>179</v>
      </c>
      <c r="H228" t="s">
        <v>180</v>
      </c>
      <c r="I228" t="s">
        <v>144</v>
      </c>
      <c r="J228">
        <v>0</v>
      </c>
      <c r="K228">
        <v>45253.642233796294</v>
      </c>
    </row>
    <row r="229" spans="2:13" x14ac:dyDescent="0.25">
      <c r="B229" t="s">
        <v>293</v>
      </c>
      <c r="C229" t="s">
        <v>262</v>
      </c>
      <c r="D229">
        <v>457</v>
      </c>
      <c r="E229">
        <v>35</v>
      </c>
      <c r="F229" t="s">
        <v>68</v>
      </c>
      <c r="G229">
        <v>6885</v>
      </c>
      <c r="H229" t="s">
        <v>169</v>
      </c>
      <c r="I229" t="s">
        <v>144</v>
      </c>
      <c r="J229">
        <v>0</v>
      </c>
      <c r="K229">
        <v>45253.642858796295</v>
      </c>
      <c r="L229">
        <v>720</v>
      </c>
      <c r="M229">
        <v>660</v>
      </c>
    </row>
    <row r="230" spans="2:13" x14ac:dyDescent="0.25">
      <c r="B230" t="s">
        <v>294</v>
      </c>
      <c r="C230" t="s">
        <v>250</v>
      </c>
      <c r="D230">
        <v>136592</v>
      </c>
      <c r="E230">
        <v>2400</v>
      </c>
      <c r="F230" t="s">
        <v>68</v>
      </c>
      <c r="G230" t="s">
        <v>119</v>
      </c>
      <c r="H230" t="s">
        <v>120</v>
      </c>
      <c r="I230" t="s">
        <v>105</v>
      </c>
      <c r="J230">
        <v>1</v>
      </c>
      <c r="K230">
        <v>45254.461793981478</v>
      </c>
      <c r="M230" t="s">
        <v>285</v>
      </c>
    </row>
    <row r="231" spans="2:13" x14ac:dyDescent="0.25">
      <c r="B231" t="s">
        <v>294</v>
      </c>
      <c r="C231" t="s">
        <v>250</v>
      </c>
      <c r="D231">
        <v>136592</v>
      </c>
      <c r="E231">
        <v>2400</v>
      </c>
      <c r="F231" t="s">
        <v>68</v>
      </c>
      <c r="G231" t="s">
        <v>117</v>
      </c>
      <c r="H231" t="s">
        <v>118</v>
      </c>
      <c r="I231" t="s">
        <v>105</v>
      </c>
      <c r="J231">
        <v>1</v>
      </c>
      <c r="K231">
        <v>45254.463599537034</v>
      </c>
      <c r="M231" t="s">
        <v>285</v>
      </c>
    </row>
    <row r="232" spans="2:13" x14ac:dyDescent="0.25">
      <c r="B232" t="s">
        <v>294</v>
      </c>
      <c r="C232" t="s">
        <v>250</v>
      </c>
      <c r="D232">
        <v>136592</v>
      </c>
      <c r="E232">
        <v>1000</v>
      </c>
      <c r="F232" t="s">
        <v>68</v>
      </c>
      <c r="G232" t="s">
        <v>151</v>
      </c>
      <c r="H232" t="s">
        <v>295</v>
      </c>
      <c r="I232" t="s">
        <v>105</v>
      </c>
      <c r="J232">
        <v>1</v>
      </c>
      <c r="K232">
        <v>45254.470868055556</v>
      </c>
      <c r="M232" t="s">
        <v>285</v>
      </c>
    </row>
    <row r="233" spans="2:13" x14ac:dyDescent="0.25">
      <c r="B233" t="s">
        <v>296</v>
      </c>
      <c r="C233" t="s">
        <v>250</v>
      </c>
      <c r="D233">
        <v>136351</v>
      </c>
      <c r="E233">
        <v>5000</v>
      </c>
      <c r="F233" t="s">
        <v>68</v>
      </c>
      <c r="G233" t="s">
        <v>117</v>
      </c>
      <c r="H233" t="s">
        <v>118</v>
      </c>
      <c r="I233" t="s">
        <v>105</v>
      </c>
      <c r="J233">
        <v>1</v>
      </c>
      <c r="K233">
        <v>45254.473067129627</v>
      </c>
      <c r="M233">
        <v>45241</v>
      </c>
    </row>
    <row r="234" spans="2:13" x14ac:dyDescent="0.25">
      <c r="B234" t="s">
        <v>158</v>
      </c>
      <c r="C234" t="s">
        <v>287</v>
      </c>
      <c r="D234">
        <v>1142</v>
      </c>
      <c r="E234">
        <v>3600</v>
      </c>
      <c r="F234" t="s">
        <v>68</v>
      </c>
      <c r="G234" t="s">
        <v>103</v>
      </c>
      <c r="H234" t="s">
        <v>104</v>
      </c>
      <c r="I234" t="s">
        <v>105</v>
      </c>
      <c r="J234">
        <v>0</v>
      </c>
      <c r="K234">
        <v>45257.594629629632</v>
      </c>
    </row>
    <row r="235" spans="2:13" x14ac:dyDescent="0.25">
      <c r="B235" t="s">
        <v>66</v>
      </c>
      <c r="C235" t="s">
        <v>245</v>
      </c>
      <c r="D235">
        <v>1143</v>
      </c>
      <c r="E235">
        <v>360</v>
      </c>
      <c r="F235" t="s">
        <v>68</v>
      </c>
      <c r="G235" t="s">
        <v>142</v>
      </c>
      <c r="H235" t="s">
        <v>143</v>
      </c>
      <c r="I235" t="s">
        <v>144</v>
      </c>
      <c r="J235">
        <v>0</v>
      </c>
      <c r="K235">
        <v>45257.595289351855</v>
      </c>
    </row>
    <row r="236" spans="2:13" x14ac:dyDescent="0.25">
      <c r="B236" t="s">
        <v>66</v>
      </c>
      <c r="C236" t="s">
        <v>297</v>
      </c>
      <c r="D236">
        <v>1141</v>
      </c>
      <c r="E236">
        <v>700</v>
      </c>
      <c r="F236" t="s">
        <v>68</v>
      </c>
      <c r="G236" t="s">
        <v>201</v>
      </c>
      <c r="H236" t="s">
        <v>202</v>
      </c>
      <c r="I236" t="s">
        <v>144</v>
      </c>
      <c r="J236">
        <v>0</v>
      </c>
      <c r="K236">
        <v>45257.595925925925</v>
      </c>
    </row>
    <row r="237" spans="2:13" x14ac:dyDescent="0.25">
      <c r="B237" t="s">
        <v>298</v>
      </c>
      <c r="C237" t="s">
        <v>299</v>
      </c>
      <c r="D237" t="s">
        <v>300</v>
      </c>
      <c r="E237">
        <v>1000</v>
      </c>
      <c r="F237" t="s">
        <v>68</v>
      </c>
      <c r="G237">
        <v>501</v>
      </c>
      <c r="H237" t="s">
        <v>178</v>
      </c>
      <c r="I237" t="s">
        <v>144</v>
      </c>
      <c r="J237">
        <v>1</v>
      </c>
      <c r="K237">
        <v>45257.599270833336</v>
      </c>
      <c r="M237" t="s">
        <v>301</v>
      </c>
    </row>
    <row r="238" spans="2:13" x14ac:dyDescent="0.25">
      <c r="B238" t="s">
        <v>298</v>
      </c>
      <c r="C238" t="s">
        <v>299</v>
      </c>
      <c r="D238" t="s">
        <v>300</v>
      </c>
      <c r="E238">
        <v>700</v>
      </c>
      <c r="F238" t="s">
        <v>68</v>
      </c>
      <c r="G238" t="s">
        <v>201</v>
      </c>
      <c r="H238" t="s">
        <v>202</v>
      </c>
      <c r="I238" t="s">
        <v>144</v>
      </c>
      <c r="J238">
        <v>1</v>
      </c>
      <c r="K238">
        <v>45257.600856481484</v>
      </c>
      <c r="M238" t="s">
        <v>301</v>
      </c>
    </row>
    <row r="239" spans="2:13" x14ac:dyDescent="0.25">
      <c r="B239" t="s">
        <v>302</v>
      </c>
      <c r="C239" t="s">
        <v>303</v>
      </c>
      <c r="D239" t="s">
        <v>300</v>
      </c>
      <c r="E239">
        <v>1300</v>
      </c>
      <c r="F239" t="s">
        <v>68</v>
      </c>
      <c r="G239" t="s">
        <v>201</v>
      </c>
      <c r="H239" t="s">
        <v>202</v>
      </c>
      <c r="I239" t="s">
        <v>144</v>
      </c>
      <c r="J239">
        <v>1</v>
      </c>
      <c r="K239">
        <v>45257.602662037039</v>
      </c>
      <c r="M239" t="s">
        <v>301</v>
      </c>
    </row>
    <row r="240" spans="2:13" x14ac:dyDescent="0.25">
      <c r="B240" t="s">
        <v>304</v>
      </c>
      <c r="C240" t="s">
        <v>305</v>
      </c>
      <c r="D240" t="s">
        <v>194</v>
      </c>
      <c r="E240">
        <v>400</v>
      </c>
      <c r="F240" t="s">
        <v>68</v>
      </c>
      <c r="G240" t="s">
        <v>201</v>
      </c>
      <c r="H240" t="s">
        <v>202</v>
      </c>
      <c r="I240" t="s">
        <v>144</v>
      </c>
      <c r="J240">
        <v>1</v>
      </c>
      <c r="K240">
        <v>45257.604351851849</v>
      </c>
      <c r="M240" t="s">
        <v>301</v>
      </c>
    </row>
    <row r="241" spans="2:14" x14ac:dyDescent="0.25">
      <c r="B241" t="s">
        <v>306</v>
      </c>
      <c r="C241" t="s">
        <v>307</v>
      </c>
      <c r="D241" t="s">
        <v>308</v>
      </c>
      <c r="E241">
        <v>1000</v>
      </c>
      <c r="F241" t="s">
        <v>68</v>
      </c>
      <c r="G241">
        <v>501</v>
      </c>
      <c r="H241" t="s">
        <v>178</v>
      </c>
      <c r="I241" t="s">
        <v>144</v>
      </c>
      <c r="J241">
        <v>1</v>
      </c>
      <c r="K241">
        <v>45257.605196759258</v>
      </c>
      <c r="M241" t="s">
        <v>301</v>
      </c>
    </row>
    <row r="242" spans="2:14" x14ac:dyDescent="0.25">
      <c r="B242" t="s">
        <v>158</v>
      </c>
      <c r="C242" t="s">
        <v>266</v>
      </c>
      <c r="D242">
        <v>463</v>
      </c>
      <c r="E242">
        <v>4000</v>
      </c>
      <c r="F242" t="s">
        <v>68</v>
      </c>
      <c r="G242" t="s">
        <v>146</v>
      </c>
      <c r="H242" t="s">
        <v>147</v>
      </c>
      <c r="I242" t="s">
        <v>144</v>
      </c>
      <c r="J242">
        <v>0</v>
      </c>
      <c r="K242">
        <v>45258.596377314818</v>
      </c>
    </row>
    <row r="243" spans="2:14" x14ac:dyDescent="0.25">
      <c r="B243" t="s">
        <v>293</v>
      </c>
      <c r="C243" t="s">
        <v>249</v>
      </c>
      <c r="D243">
        <v>459</v>
      </c>
      <c r="E243">
        <v>13</v>
      </c>
      <c r="F243" t="s">
        <v>68</v>
      </c>
      <c r="G243">
        <v>6800</v>
      </c>
      <c r="H243" t="s">
        <v>150</v>
      </c>
      <c r="I243" t="s">
        <v>144</v>
      </c>
      <c r="J243">
        <v>0</v>
      </c>
      <c r="K243">
        <v>45258.598379629628</v>
      </c>
      <c r="N243">
        <v>163</v>
      </c>
    </row>
    <row r="244" spans="2:14" x14ac:dyDescent="0.25">
      <c r="B244" t="s">
        <v>293</v>
      </c>
      <c r="C244" t="s">
        <v>249</v>
      </c>
      <c r="D244">
        <v>459</v>
      </c>
      <c r="E244">
        <v>36</v>
      </c>
      <c r="F244" t="s">
        <v>68</v>
      </c>
      <c r="G244" t="s">
        <v>166</v>
      </c>
      <c r="H244" t="s">
        <v>167</v>
      </c>
      <c r="J244">
        <v>0</v>
      </c>
      <c r="K244">
        <v>45258.599722222221</v>
      </c>
    </row>
    <row r="245" spans="2:14" x14ac:dyDescent="0.25">
      <c r="B245" t="s">
        <v>293</v>
      </c>
      <c r="C245" t="s">
        <v>249</v>
      </c>
      <c r="D245">
        <v>459</v>
      </c>
      <c r="E245">
        <v>30</v>
      </c>
      <c r="F245" t="s">
        <v>68</v>
      </c>
      <c r="G245">
        <v>6885</v>
      </c>
      <c r="H245" t="s">
        <v>169</v>
      </c>
      <c r="I245" t="s">
        <v>144</v>
      </c>
      <c r="J245">
        <v>0</v>
      </c>
      <c r="K245">
        <v>45258.600092592591</v>
      </c>
    </row>
    <row r="246" spans="2:14" x14ac:dyDescent="0.25">
      <c r="B246" t="s">
        <v>293</v>
      </c>
      <c r="C246" t="s">
        <v>249</v>
      </c>
      <c r="D246">
        <v>459</v>
      </c>
      <c r="E246">
        <v>300</v>
      </c>
      <c r="F246" t="s">
        <v>127</v>
      </c>
      <c r="G246" t="s">
        <v>128</v>
      </c>
      <c r="H246" t="s">
        <v>129</v>
      </c>
      <c r="I246" t="s">
        <v>130</v>
      </c>
      <c r="J246">
        <v>0</v>
      </c>
      <c r="K246">
        <v>45258.601111111115</v>
      </c>
    </row>
    <row r="247" spans="2:14" x14ac:dyDescent="0.25">
      <c r="B247" t="s">
        <v>293</v>
      </c>
      <c r="C247" t="s">
        <v>309</v>
      </c>
      <c r="D247">
        <v>461</v>
      </c>
      <c r="E247">
        <v>8100</v>
      </c>
      <c r="F247" t="s">
        <v>68</v>
      </c>
      <c r="G247" t="s">
        <v>123</v>
      </c>
      <c r="H247" t="s">
        <v>124</v>
      </c>
      <c r="I247" t="s">
        <v>105</v>
      </c>
      <c r="J247">
        <v>0</v>
      </c>
      <c r="K247">
        <v>45258.598379629628</v>
      </c>
    </row>
    <row r="248" spans="2:14" x14ac:dyDescent="0.25">
      <c r="B248" t="s">
        <v>293</v>
      </c>
      <c r="C248" t="s">
        <v>310</v>
      </c>
      <c r="D248">
        <v>460</v>
      </c>
      <c r="E248">
        <v>228</v>
      </c>
      <c r="F248" t="s">
        <v>68</v>
      </c>
      <c r="G248" t="s">
        <v>163</v>
      </c>
      <c r="H248" t="s">
        <v>164</v>
      </c>
      <c r="I248" t="s">
        <v>165</v>
      </c>
      <c r="J248">
        <v>0</v>
      </c>
      <c r="K248">
        <v>45258.599722222221</v>
      </c>
      <c r="N248">
        <v>3774</v>
      </c>
    </row>
    <row r="249" spans="2:14" x14ac:dyDescent="0.25">
      <c r="B249" t="s">
        <v>293</v>
      </c>
      <c r="C249" t="s">
        <v>311</v>
      </c>
      <c r="D249">
        <v>462</v>
      </c>
      <c r="E249">
        <v>12</v>
      </c>
      <c r="F249" t="s">
        <v>68</v>
      </c>
      <c r="G249" t="s">
        <v>109</v>
      </c>
      <c r="H249" t="s">
        <v>162</v>
      </c>
      <c r="J249">
        <v>0</v>
      </c>
      <c r="K249">
        <v>45258.600092592591</v>
      </c>
      <c r="N249" t="s">
        <v>312</v>
      </c>
    </row>
    <row r="250" spans="2:14" x14ac:dyDescent="0.25">
      <c r="B250" t="s">
        <v>293</v>
      </c>
      <c r="C250" t="s">
        <v>311</v>
      </c>
      <c r="D250">
        <v>462</v>
      </c>
      <c r="E250">
        <v>1200</v>
      </c>
      <c r="F250" t="s">
        <v>68</v>
      </c>
      <c r="G250" t="s">
        <v>179</v>
      </c>
      <c r="H250" t="s">
        <v>180</v>
      </c>
      <c r="I250" t="s">
        <v>144</v>
      </c>
      <c r="J250">
        <v>0</v>
      </c>
      <c r="K250">
        <v>45258.601111111115</v>
      </c>
    </row>
    <row r="251" spans="2:14" x14ac:dyDescent="0.25">
      <c r="B251" t="s">
        <v>158</v>
      </c>
      <c r="C251" t="s">
        <v>245</v>
      </c>
      <c r="D251">
        <v>467</v>
      </c>
      <c r="E251">
        <v>240</v>
      </c>
      <c r="F251" t="s">
        <v>68</v>
      </c>
      <c r="G251" t="s">
        <v>142</v>
      </c>
      <c r="H251" t="s">
        <v>143</v>
      </c>
      <c r="I251" t="s">
        <v>144</v>
      </c>
      <c r="J251">
        <v>0</v>
      </c>
      <c r="K251">
        <v>45259.468148148146</v>
      </c>
    </row>
    <row r="252" spans="2:14" x14ac:dyDescent="0.25">
      <c r="B252" t="s">
        <v>158</v>
      </c>
      <c r="C252" t="s">
        <v>246</v>
      </c>
      <c r="D252">
        <v>466</v>
      </c>
      <c r="E252">
        <v>4400</v>
      </c>
      <c r="F252" t="s">
        <v>68</v>
      </c>
      <c r="G252" t="s">
        <v>103</v>
      </c>
      <c r="H252" t="s">
        <v>104</v>
      </c>
      <c r="I252" t="s">
        <v>105</v>
      </c>
      <c r="J252">
        <v>0</v>
      </c>
      <c r="K252">
        <v>45259.469189814816</v>
      </c>
    </row>
    <row r="253" spans="2:14" x14ac:dyDescent="0.25">
      <c r="B253" t="s">
        <v>158</v>
      </c>
      <c r="C253" t="s">
        <v>286</v>
      </c>
      <c r="D253">
        <v>464</v>
      </c>
      <c r="E253">
        <v>3600</v>
      </c>
      <c r="F253" t="s">
        <v>68</v>
      </c>
      <c r="G253" t="s">
        <v>123</v>
      </c>
      <c r="H253" t="s">
        <v>124</v>
      </c>
      <c r="I253" t="s">
        <v>105</v>
      </c>
      <c r="J253">
        <v>0</v>
      </c>
      <c r="K253">
        <v>45259.470590277779</v>
      </c>
    </row>
    <row r="254" spans="2:14" x14ac:dyDescent="0.25">
      <c r="B254" t="s">
        <v>158</v>
      </c>
      <c r="C254" t="s">
        <v>313</v>
      </c>
      <c r="D254">
        <v>465</v>
      </c>
      <c r="E254">
        <v>1600</v>
      </c>
      <c r="F254" t="s">
        <v>68</v>
      </c>
      <c r="G254" t="s">
        <v>117</v>
      </c>
      <c r="H254" t="s">
        <v>118</v>
      </c>
      <c r="I254" t="s">
        <v>105</v>
      </c>
      <c r="J254">
        <v>0</v>
      </c>
      <c r="K254">
        <v>45259.47934027778</v>
      </c>
    </row>
    <row r="255" spans="2:14" x14ac:dyDescent="0.25">
      <c r="B255" t="s">
        <v>314</v>
      </c>
      <c r="C255" t="s">
        <v>253</v>
      </c>
      <c r="D255">
        <v>32575</v>
      </c>
      <c r="E255">
        <v>600</v>
      </c>
      <c r="F255" t="s">
        <v>68</v>
      </c>
      <c r="G255" t="s">
        <v>166</v>
      </c>
      <c r="H255" t="s">
        <v>167</v>
      </c>
      <c r="J255">
        <v>1</v>
      </c>
      <c r="K255">
        <v>45259.561909722222</v>
      </c>
      <c r="M255" t="s">
        <v>315</v>
      </c>
    </row>
    <row r="256" spans="2:14" x14ac:dyDescent="0.25">
      <c r="B256" t="s">
        <v>316</v>
      </c>
      <c r="C256" t="s">
        <v>317</v>
      </c>
      <c r="D256" t="s">
        <v>67</v>
      </c>
      <c r="E256">
        <v>9000</v>
      </c>
      <c r="F256" t="s">
        <v>68</v>
      </c>
      <c r="G256" t="s">
        <v>115</v>
      </c>
      <c r="H256" t="s">
        <v>116</v>
      </c>
      <c r="I256" t="s">
        <v>105</v>
      </c>
      <c r="J256">
        <v>1</v>
      </c>
      <c r="K256">
        <v>45260.416608796295</v>
      </c>
      <c r="M256" t="s">
        <v>318</v>
      </c>
    </row>
    <row r="257" spans="2:17" x14ac:dyDescent="0.25">
      <c r="B257" t="s">
        <v>158</v>
      </c>
      <c r="C257" t="s">
        <v>319</v>
      </c>
      <c r="D257">
        <v>472</v>
      </c>
      <c r="E257">
        <v>720</v>
      </c>
      <c r="F257" t="s">
        <v>68</v>
      </c>
      <c r="G257" t="s">
        <v>163</v>
      </c>
      <c r="H257" t="s">
        <v>164</v>
      </c>
      <c r="I257" t="s">
        <v>165</v>
      </c>
      <c r="J257">
        <v>0</v>
      </c>
      <c r="K257">
        <v>45260.54011574074</v>
      </c>
      <c r="L257">
        <v>720</v>
      </c>
    </row>
    <row r="258" spans="2:17" x14ac:dyDescent="0.25">
      <c r="B258" t="s">
        <v>293</v>
      </c>
      <c r="C258" t="s">
        <v>264</v>
      </c>
      <c r="D258">
        <v>468</v>
      </c>
      <c r="E258">
        <v>3000</v>
      </c>
      <c r="F258" t="s">
        <v>68</v>
      </c>
      <c r="G258" t="s">
        <v>107</v>
      </c>
      <c r="H258" t="s">
        <v>108</v>
      </c>
      <c r="I258" t="s">
        <v>105</v>
      </c>
      <c r="J258">
        <v>0</v>
      </c>
      <c r="K258">
        <v>45260.542592592596</v>
      </c>
      <c r="L258">
        <v>3000</v>
      </c>
    </row>
    <row r="259" spans="2:17" x14ac:dyDescent="0.25">
      <c r="B259" t="s">
        <v>293</v>
      </c>
      <c r="C259" t="s">
        <v>310</v>
      </c>
      <c r="D259">
        <v>469</v>
      </c>
      <c r="E259">
        <v>228</v>
      </c>
      <c r="F259" t="s">
        <v>68</v>
      </c>
      <c r="G259" t="s">
        <v>163</v>
      </c>
      <c r="H259" t="s">
        <v>164</v>
      </c>
      <c r="I259" t="s">
        <v>165</v>
      </c>
      <c r="J259">
        <v>0</v>
      </c>
      <c r="K259">
        <v>45260.543391203704</v>
      </c>
      <c r="L259">
        <v>228</v>
      </c>
    </row>
    <row r="260" spans="2:17" x14ac:dyDescent="0.25">
      <c r="B260" t="s">
        <v>293</v>
      </c>
      <c r="C260" t="s">
        <v>260</v>
      </c>
      <c r="D260">
        <v>470</v>
      </c>
      <c r="E260">
        <v>250</v>
      </c>
      <c r="F260" t="s">
        <v>68</v>
      </c>
      <c r="G260" t="s">
        <v>115</v>
      </c>
      <c r="H260" t="s">
        <v>116</v>
      </c>
      <c r="I260" t="s">
        <v>105</v>
      </c>
      <c r="J260">
        <v>0</v>
      </c>
      <c r="K260">
        <v>45260.544560185182</v>
      </c>
      <c r="L260">
        <v>250</v>
      </c>
    </row>
    <row r="261" spans="2:17" x14ac:dyDescent="0.25">
      <c r="B261" t="s">
        <v>293</v>
      </c>
      <c r="C261" t="s">
        <v>262</v>
      </c>
      <c r="D261">
        <v>471</v>
      </c>
      <c r="E261">
        <v>12</v>
      </c>
      <c r="F261" t="s">
        <v>68</v>
      </c>
      <c r="G261">
        <v>6800</v>
      </c>
      <c r="H261" t="s">
        <v>150</v>
      </c>
      <c r="I261" t="s">
        <v>144</v>
      </c>
      <c r="J261">
        <v>0</v>
      </c>
      <c r="K261">
        <v>45260.545451388891</v>
      </c>
      <c r="L261">
        <v>12</v>
      </c>
    </row>
    <row r="262" spans="2:17" x14ac:dyDescent="0.25">
      <c r="B262" t="s">
        <v>293</v>
      </c>
      <c r="C262" t="s">
        <v>262</v>
      </c>
      <c r="D262">
        <v>471</v>
      </c>
      <c r="E262">
        <v>30</v>
      </c>
      <c r="F262" t="s">
        <v>68</v>
      </c>
      <c r="G262">
        <v>6885</v>
      </c>
      <c r="H262" t="s">
        <v>169</v>
      </c>
      <c r="I262" t="s">
        <v>144</v>
      </c>
      <c r="J262">
        <v>0</v>
      </c>
      <c r="K262">
        <v>45260.546203703707</v>
      </c>
      <c r="L262">
        <v>30</v>
      </c>
      <c r="N262" t="s">
        <v>320</v>
      </c>
    </row>
    <row r="263" spans="2:17" x14ac:dyDescent="0.25">
      <c r="B263" t="s">
        <v>321</v>
      </c>
      <c r="C263" t="s">
        <v>322</v>
      </c>
      <c r="D263" t="s">
        <v>66</v>
      </c>
      <c r="E263">
        <v>100000</v>
      </c>
      <c r="F263" t="s">
        <v>68</v>
      </c>
      <c r="G263" t="s">
        <v>103</v>
      </c>
      <c r="H263" t="s">
        <v>104</v>
      </c>
      <c r="I263" t="s">
        <v>105</v>
      </c>
      <c r="J263">
        <v>1</v>
      </c>
      <c r="K263">
        <v>45260.593645833331</v>
      </c>
      <c r="M263" t="s">
        <v>301</v>
      </c>
    </row>
    <row r="264" spans="2:17" x14ac:dyDescent="0.25">
      <c r="B264" t="s">
        <v>321</v>
      </c>
      <c r="C264" t="s">
        <v>322</v>
      </c>
      <c r="D264" t="s">
        <v>66</v>
      </c>
      <c r="E264">
        <v>15000</v>
      </c>
      <c r="F264" t="s">
        <v>68</v>
      </c>
      <c r="G264" t="s">
        <v>121</v>
      </c>
      <c r="H264" t="s">
        <v>122</v>
      </c>
      <c r="I264" t="s">
        <v>105</v>
      </c>
      <c r="J264">
        <v>1</v>
      </c>
      <c r="K264">
        <v>45260.593645833331</v>
      </c>
      <c r="M264" t="s">
        <v>301</v>
      </c>
    </row>
    <row r="265" spans="2:17" x14ac:dyDescent="0.25">
      <c r="B265" t="s">
        <v>321</v>
      </c>
      <c r="C265" t="s">
        <v>322</v>
      </c>
      <c r="D265" t="s">
        <v>66</v>
      </c>
      <c r="E265">
        <v>3000</v>
      </c>
      <c r="F265" t="s">
        <v>68</v>
      </c>
      <c r="G265" t="s">
        <v>115</v>
      </c>
      <c r="H265" t="s">
        <v>116</v>
      </c>
      <c r="I265" t="s">
        <v>105</v>
      </c>
      <c r="J265">
        <v>1</v>
      </c>
      <c r="K265">
        <v>45260.604097222225</v>
      </c>
      <c r="M265" t="s">
        <v>301</v>
      </c>
    </row>
    <row r="266" spans="2:17" x14ac:dyDescent="0.25">
      <c r="B266" t="s">
        <v>158</v>
      </c>
      <c r="C266" t="s">
        <v>286</v>
      </c>
      <c r="D266">
        <v>473</v>
      </c>
      <c r="E266">
        <v>48</v>
      </c>
      <c r="F266" t="s">
        <v>68</v>
      </c>
      <c r="G266">
        <v>6200</v>
      </c>
      <c r="H266" t="s">
        <v>148</v>
      </c>
      <c r="I266" t="s">
        <v>144</v>
      </c>
      <c r="J266">
        <v>0</v>
      </c>
      <c r="K266">
        <v>45260.693067129629</v>
      </c>
    </row>
    <row r="267" spans="2:17" x14ac:dyDescent="0.25">
      <c r="B267" t="s">
        <v>66</v>
      </c>
      <c r="C267" t="s">
        <v>66</v>
      </c>
      <c r="D267" t="s">
        <v>66</v>
      </c>
      <c r="E267">
        <v>257</v>
      </c>
      <c r="F267" t="s">
        <v>68</v>
      </c>
      <c r="G267" t="s">
        <v>112</v>
      </c>
      <c r="H267" t="s">
        <v>323</v>
      </c>
      <c r="I267" t="s">
        <v>66</v>
      </c>
      <c r="J267">
        <v>1</v>
      </c>
      <c r="K267">
        <v>45267.503125000003</v>
      </c>
      <c r="L267">
        <v>9999</v>
      </c>
      <c r="M267" t="s">
        <v>324</v>
      </c>
      <c r="O267">
        <v>100</v>
      </c>
      <c r="P267">
        <v>2</v>
      </c>
      <c r="Q267">
        <v>56.999999999999986</v>
      </c>
    </row>
    <row r="268" spans="2:17" x14ac:dyDescent="0.25">
      <c r="B268" t="s">
        <v>158</v>
      </c>
      <c r="C268" t="s">
        <v>242</v>
      </c>
      <c r="D268">
        <v>1146</v>
      </c>
      <c r="E268">
        <v>14</v>
      </c>
      <c r="F268" t="s">
        <v>68</v>
      </c>
      <c r="G268">
        <v>6800</v>
      </c>
      <c r="H268" t="s">
        <v>150</v>
      </c>
      <c r="I268" t="s">
        <v>144</v>
      </c>
      <c r="J268">
        <v>0</v>
      </c>
      <c r="K268">
        <v>45261.531099537038</v>
      </c>
      <c r="L268">
        <v>137</v>
      </c>
    </row>
    <row r="269" spans="2:17" x14ac:dyDescent="0.25">
      <c r="B269" t="s">
        <v>158</v>
      </c>
      <c r="C269" t="s">
        <v>243</v>
      </c>
      <c r="D269">
        <v>1145</v>
      </c>
      <c r="E269">
        <v>1200</v>
      </c>
      <c r="F269" t="s">
        <v>135</v>
      </c>
      <c r="G269" t="s">
        <v>139</v>
      </c>
      <c r="H269" t="s">
        <v>137</v>
      </c>
      <c r="I269" t="s">
        <v>138</v>
      </c>
      <c r="J269">
        <v>0</v>
      </c>
      <c r="K269">
        <v>45261.613807870373</v>
      </c>
      <c r="L269">
        <v>5528</v>
      </c>
    </row>
    <row r="270" spans="2:17" x14ac:dyDescent="0.25">
      <c r="B270" t="s">
        <v>158</v>
      </c>
      <c r="C270" t="s">
        <v>325</v>
      </c>
      <c r="D270">
        <v>114</v>
      </c>
      <c r="E270">
        <v>1200</v>
      </c>
      <c r="F270" t="s">
        <v>68</v>
      </c>
      <c r="G270" t="s">
        <v>172</v>
      </c>
      <c r="H270" t="s">
        <v>173</v>
      </c>
      <c r="I270" t="s">
        <v>105</v>
      </c>
      <c r="J270">
        <v>0</v>
      </c>
      <c r="K270">
        <v>45261.644594907404</v>
      </c>
      <c r="L270">
        <v>1200</v>
      </c>
    </row>
    <row r="271" spans="2:17" x14ac:dyDescent="0.25">
      <c r="B271" t="s">
        <v>293</v>
      </c>
      <c r="C271" t="s">
        <v>326</v>
      </c>
      <c r="D271">
        <v>1182</v>
      </c>
      <c r="E271">
        <v>482</v>
      </c>
      <c r="F271" t="s">
        <v>135</v>
      </c>
      <c r="G271" t="s">
        <v>140</v>
      </c>
      <c r="H271" t="s">
        <v>137</v>
      </c>
      <c r="I271" t="s">
        <v>138</v>
      </c>
      <c r="J271">
        <v>0</v>
      </c>
      <c r="K271">
        <v>45264.645266203705</v>
      </c>
      <c r="L271">
        <v>0</v>
      </c>
    </row>
    <row r="272" spans="2:17" x14ac:dyDescent="0.25">
      <c r="B272" t="s">
        <v>293</v>
      </c>
      <c r="C272" t="s">
        <v>249</v>
      </c>
      <c r="D272">
        <v>1183</v>
      </c>
      <c r="E272">
        <v>16500</v>
      </c>
      <c r="F272" t="s">
        <v>68</v>
      </c>
      <c r="G272" t="s">
        <v>103</v>
      </c>
      <c r="H272" t="s">
        <v>104</v>
      </c>
      <c r="I272" t="s">
        <v>105</v>
      </c>
      <c r="J272">
        <v>0</v>
      </c>
      <c r="K272">
        <v>45264.645439814813</v>
      </c>
      <c r="L272">
        <v>212200</v>
      </c>
      <c r="N272">
        <v>672000</v>
      </c>
    </row>
    <row r="273" spans="2:13" x14ac:dyDescent="0.25">
      <c r="B273" t="s">
        <v>293</v>
      </c>
      <c r="C273" t="s">
        <v>249</v>
      </c>
      <c r="D273">
        <v>1183</v>
      </c>
      <c r="E273">
        <v>100</v>
      </c>
      <c r="F273" t="s">
        <v>68</v>
      </c>
      <c r="G273">
        <v>501</v>
      </c>
      <c r="H273" t="s">
        <v>178</v>
      </c>
      <c r="I273" t="s">
        <v>144</v>
      </c>
      <c r="J273">
        <v>0</v>
      </c>
      <c r="K273">
        <v>45264.645729166667</v>
      </c>
      <c r="L273">
        <v>2260</v>
      </c>
    </row>
    <row r="274" spans="2:13" x14ac:dyDescent="0.25">
      <c r="B274" t="s">
        <v>293</v>
      </c>
      <c r="C274" t="s">
        <v>249</v>
      </c>
      <c r="D274">
        <v>1183</v>
      </c>
      <c r="E274">
        <v>25</v>
      </c>
      <c r="F274" t="s">
        <v>68</v>
      </c>
      <c r="G274">
        <v>6885</v>
      </c>
      <c r="H274" t="s">
        <v>169</v>
      </c>
      <c r="I274" t="s">
        <v>144</v>
      </c>
      <c r="J274">
        <v>0</v>
      </c>
      <c r="K274">
        <v>45264.645879629628</v>
      </c>
      <c r="L274">
        <v>635</v>
      </c>
    </row>
    <row r="275" spans="2:13" x14ac:dyDescent="0.25">
      <c r="B275" t="s">
        <v>293</v>
      </c>
      <c r="C275" t="s">
        <v>249</v>
      </c>
      <c r="D275">
        <v>1183</v>
      </c>
      <c r="E275">
        <v>230</v>
      </c>
      <c r="F275" t="s">
        <v>127</v>
      </c>
      <c r="G275" t="s">
        <v>128</v>
      </c>
      <c r="H275" t="s">
        <v>129</v>
      </c>
      <c r="I275" t="s">
        <v>130</v>
      </c>
      <c r="J275">
        <v>0</v>
      </c>
      <c r="K275">
        <v>45264.645949074074</v>
      </c>
      <c r="L275">
        <v>2118</v>
      </c>
    </row>
    <row r="276" spans="2:13" x14ac:dyDescent="0.25">
      <c r="B276" t="s">
        <v>293</v>
      </c>
      <c r="C276" t="s">
        <v>249</v>
      </c>
      <c r="D276">
        <v>1183</v>
      </c>
      <c r="E276">
        <v>24</v>
      </c>
      <c r="F276" t="s">
        <v>68</v>
      </c>
      <c r="G276">
        <v>6800</v>
      </c>
      <c r="H276" t="s">
        <v>150</v>
      </c>
      <c r="I276" t="s">
        <v>144</v>
      </c>
      <c r="J276">
        <v>0</v>
      </c>
      <c r="K276">
        <v>45264.646145833336</v>
      </c>
      <c r="L276">
        <v>113</v>
      </c>
    </row>
    <row r="277" spans="2:13" x14ac:dyDescent="0.25">
      <c r="B277" t="s">
        <v>293</v>
      </c>
      <c r="C277" t="s">
        <v>247</v>
      </c>
      <c r="D277">
        <v>1184</v>
      </c>
      <c r="E277">
        <v>250</v>
      </c>
      <c r="F277" t="s">
        <v>68</v>
      </c>
      <c r="G277" t="s">
        <v>115</v>
      </c>
      <c r="H277" t="s">
        <v>116</v>
      </c>
      <c r="I277" t="s">
        <v>105</v>
      </c>
      <c r="J277">
        <v>0</v>
      </c>
      <c r="K277">
        <v>45264.646238425928</v>
      </c>
      <c r="L277">
        <v>14500</v>
      </c>
    </row>
    <row r="278" spans="2:13" x14ac:dyDescent="0.25">
      <c r="B278" t="s">
        <v>293</v>
      </c>
      <c r="C278" t="s">
        <v>327</v>
      </c>
      <c r="D278">
        <v>1185</v>
      </c>
      <c r="E278">
        <v>6000</v>
      </c>
      <c r="F278" t="s">
        <v>68</v>
      </c>
      <c r="G278" t="s">
        <v>107</v>
      </c>
      <c r="H278" t="s">
        <v>108</v>
      </c>
      <c r="I278" t="s">
        <v>105</v>
      </c>
      <c r="J278">
        <v>0</v>
      </c>
      <c r="K278">
        <v>45264.646296296298</v>
      </c>
      <c r="L278">
        <v>61000</v>
      </c>
    </row>
    <row r="279" spans="2:13" x14ac:dyDescent="0.25">
      <c r="B279" t="s">
        <v>158</v>
      </c>
      <c r="C279" t="s">
        <v>244</v>
      </c>
      <c r="D279">
        <v>1186</v>
      </c>
      <c r="E279">
        <v>10</v>
      </c>
      <c r="F279" t="s">
        <v>127</v>
      </c>
      <c r="G279" t="s">
        <v>131</v>
      </c>
      <c r="H279" t="s">
        <v>132</v>
      </c>
      <c r="I279" t="s">
        <v>130</v>
      </c>
      <c r="J279">
        <v>0</v>
      </c>
      <c r="K279">
        <v>45264.646365740744</v>
      </c>
      <c r="L279">
        <v>6293</v>
      </c>
    </row>
    <row r="280" spans="2:13" x14ac:dyDescent="0.25">
      <c r="B280" t="s">
        <v>158</v>
      </c>
      <c r="C280" t="s">
        <v>245</v>
      </c>
      <c r="D280">
        <v>1187</v>
      </c>
      <c r="E280">
        <v>360</v>
      </c>
      <c r="F280" t="s">
        <v>68</v>
      </c>
      <c r="G280" t="s">
        <v>142</v>
      </c>
      <c r="H280" t="s">
        <v>143</v>
      </c>
      <c r="I280" t="s">
        <v>144</v>
      </c>
      <c r="J280">
        <v>0</v>
      </c>
      <c r="K280">
        <v>45264.646469907406</v>
      </c>
      <c r="L280">
        <v>7172</v>
      </c>
    </row>
    <row r="281" spans="2:13" x14ac:dyDescent="0.25">
      <c r="B281" t="s">
        <v>158</v>
      </c>
      <c r="C281" t="s">
        <v>286</v>
      </c>
      <c r="D281">
        <v>1188</v>
      </c>
      <c r="E281">
        <v>3600</v>
      </c>
      <c r="F281" t="s">
        <v>68</v>
      </c>
      <c r="G281" t="s">
        <v>123</v>
      </c>
      <c r="H281" t="s">
        <v>124</v>
      </c>
      <c r="I281" t="s">
        <v>105</v>
      </c>
      <c r="J281">
        <v>0</v>
      </c>
      <c r="K281">
        <v>45264.646539351852</v>
      </c>
      <c r="L281">
        <v>158600</v>
      </c>
    </row>
    <row r="282" spans="2:13" x14ac:dyDescent="0.25">
      <c r="B282" t="s">
        <v>328</v>
      </c>
      <c r="C282" t="s">
        <v>284</v>
      </c>
      <c r="D282" t="s">
        <v>66</v>
      </c>
      <c r="E282">
        <v>200</v>
      </c>
      <c r="F282" t="s">
        <v>68</v>
      </c>
      <c r="G282">
        <v>6800</v>
      </c>
      <c r="H282" t="s">
        <v>150</v>
      </c>
      <c r="I282" t="s">
        <v>144</v>
      </c>
      <c r="J282">
        <v>1</v>
      </c>
      <c r="K282">
        <v>45264.648055555554</v>
      </c>
      <c r="L282">
        <v>313</v>
      </c>
      <c r="M282" t="s">
        <v>329</v>
      </c>
    </row>
    <row r="283" spans="2:13" x14ac:dyDescent="0.25">
      <c r="B283" t="s">
        <v>328</v>
      </c>
      <c r="C283" t="s">
        <v>284</v>
      </c>
      <c r="D283" t="s">
        <v>66</v>
      </c>
      <c r="E283">
        <v>6000</v>
      </c>
      <c r="F283" t="s">
        <v>68</v>
      </c>
      <c r="G283" t="s">
        <v>179</v>
      </c>
      <c r="H283" t="s">
        <v>180</v>
      </c>
      <c r="I283" t="s">
        <v>144</v>
      </c>
      <c r="J283">
        <v>1</v>
      </c>
      <c r="K283">
        <v>45264.648715277777</v>
      </c>
      <c r="L283">
        <v>7200</v>
      </c>
      <c r="M283" t="s">
        <v>329</v>
      </c>
    </row>
    <row r="284" spans="2:13" x14ac:dyDescent="0.25">
      <c r="B284" t="s">
        <v>330</v>
      </c>
      <c r="C284" t="s">
        <v>253</v>
      </c>
      <c r="D284">
        <v>37205</v>
      </c>
      <c r="E284">
        <v>20</v>
      </c>
      <c r="F284" t="s">
        <v>135</v>
      </c>
      <c r="G284" t="s">
        <v>227</v>
      </c>
      <c r="H284" t="s">
        <v>208</v>
      </c>
      <c r="I284" t="s">
        <v>209</v>
      </c>
      <c r="J284">
        <v>1</v>
      </c>
      <c r="K284">
        <v>45265.520289351851</v>
      </c>
      <c r="L284">
        <v>26</v>
      </c>
      <c r="M284" t="s">
        <v>335</v>
      </c>
    </row>
    <row r="285" spans="2:13" x14ac:dyDescent="0.25">
      <c r="B285" t="s">
        <v>330</v>
      </c>
      <c r="C285" t="s">
        <v>253</v>
      </c>
      <c r="D285">
        <v>37205</v>
      </c>
      <c r="E285">
        <v>13</v>
      </c>
      <c r="F285" t="s">
        <v>135</v>
      </c>
      <c r="G285" t="s">
        <v>225</v>
      </c>
      <c r="H285" t="s">
        <v>208</v>
      </c>
      <c r="I285" t="s">
        <v>209</v>
      </c>
      <c r="J285">
        <v>1</v>
      </c>
      <c r="K285">
        <v>45265.520543981482</v>
      </c>
      <c r="L285">
        <v>19</v>
      </c>
      <c r="M285" t="s">
        <v>335</v>
      </c>
    </row>
    <row r="286" spans="2:13" x14ac:dyDescent="0.25">
      <c r="B286" t="s">
        <v>330</v>
      </c>
      <c r="C286" t="s">
        <v>253</v>
      </c>
      <c r="D286">
        <v>37205</v>
      </c>
      <c r="E286">
        <v>4</v>
      </c>
      <c r="F286" t="s">
        <v>135</v>
      </c>
      <c r="G286" t="s">
        <v>63</v>
      </c>
      <c r="H286" t="s">
        <v>208</v>
      </c>
      <c r="I286" t="s">
        <v>209</v>
      </c>
      <c r="J286">
        <v>1</v>
      </c>
      <c r="K286">
        <v>45265.520925925928</v>
      </c>
      <c r="L286">
        <v>5</v>
      </c>
      <c r="M286" t="s">
        <v>335</v>
      </c>
    </row>
    <row r="287" spans="2:13" x14ac:dyDescent="0.25">
      <c r="B287" t="s">
        <v>330</v>
      </c>
      <c r="C287" t="s">
        <v>253</v>
      </c>
      <c r="D287">
        <v>37205</v>
      </c>
      <c r="E287">
        <v>24</v>
      </c>
      <c r="F287" t="s">
        <v>135</v>
      </c>
      <c r="G287" t="s">
        <v>215</v>
      </c>
      <c r="H287" t="s">
        <v>208</v>
      </c>
      <c r="I287" t="s">
        <v>209</v>
      </c>
      <c r="J287">
        <v>1</v>
      </c>
      <c r="K287">
        <v>45265.521006944444</v>
      </c>
      <c r="L287">
        <v>24</v>
      </c>
      <c r="M287" t="s">
        <v>335</v>
      </c>
    </row>
    <row r="288" spans="2:13" x14ac:dyDescent="0.25">
      <c r="B288" t="s">
        <v>330</v>
      </c>
      <c r="C288" t="s">
        <v>253</v>
      </c>
      <c r="D288">
        <v>37205</v>
      </c>
      <c r="E288">
        <v>5</v>
      </c>
      <c r="F288" t="s">
        <v>135</v>
      </c>
      <c r="G288" t="s">
        <v>220</v>
      </c>
      <c r="H288" t="s">
        <v>208</v>
      </c>
      <c r="I288" t="s">
        <v>209</v>
      </c>
      <c r="J288">
        <v>1</v>
      </c>
      <c r="K288">
        <v>45265.521087962959</v>
      </c>
      <c r="L288">
        <v>5</v>
      </c>
      <c r="M288" t="s">
        <v>335</v>
      </c>
    </row>
    <row r="289" spans="2:13" x14ac:dyDescent="0.25">
      <c r="B289" t="s">
        <v>330</v>
      </c>
      <c r="C289" t="s">
        <v>253</v>
      </c>
      <c r="D289">
        <v>37205</v>
      </c>
      <c r="E289">
        <v>43</v>
      </c>
      <c r="F289" t="s">
        <v>135</v>
      </c>
      <c r="G289" t="s">
        <v>64</v>
      </c>
      <c r="H289" t="s">
        <v>208</v>
      </c>
      <c r="I289" t="s">
        <v>209</v>
      </c>
      <c r="J289">
        <v>1</v>
      </c>
      <c r="K289">
        <v>45265.521180555559</v>
      </c>
      <c r="L289">
        <v>43</v>
      </c>
      <c r="M289" t="s">
        <v>335</v>
      </c>
    </row>
    <row r="290" spans="2:13" x14ac:dyDescent="0.25">
      <c r="B290" t="s">
        <v>330</v>
      </c>
      <c r="C290" t="s">
        <v>253</v>
      </c>
      <c r="D290">
        <v>37205</v>
      </c>
      <c r="E290">
        <v>10</v>
      </c>
      <c r="F290" t="s">
        <v>135</v>
      </c>
      <c r="G290" t="s">
        <v>217</v>
      </c>
      <c r="H290" t="s">
        <v>208</v>
      </c>
      <c r="I290" t="s">
        <v>209</v>
      </c>
      <c r="J290">
        <v>1</v>
      </c>
      <c r="K290">
        <v>45265.521261574075</v>
      </c>
      <c r="L290">
        <v>10</v>
      </c>
      <c r="M290" t="s">
        <v>335</v>
      </c>
    </row>
    <row r="291" spans="2:13" x14ac:dyDescent="0.25">
      <c r="B291" t="s">
        <v>330</v>
      </c>
      <c r="C291" t="s">
        <v>253</v>
      </c>
      <c r="D291">
        <v>37205</v>
      </c>
      <c r="E291">
        <v>26</v>
      </c>
      <c r="F291" t="s">
        <v>135</v>
      </c>
      <c r="G291" t="s">
        <v>62</v>
      </c>
      <c r="H291" t="s">
        <v>208</v>
      </c>
      <c r="I291" t="s">
        <v>209</v>
      </c>
      <c r="J291">
        <v>1</v>
      </c>
      <c r="K291">
        <v>45265.521666666667</v>
      </c>
      <c r="L291">
        <v>35</v>
      </c>
      <c r="M291" t="s">
        <v>335</v>
      </c>
    </row>
    <row r="292" spans="2:13" x14ac:dyDescent="0.25">
      <c r="B292" t="s">
        <v>330</v>
      </c>
      <c r="C292" t="s">
        <v>253</v>
      </c>
      <c r="D292">
        <v>37205</v>
      </c>
      <c r="E292">
        <v>35</v>
      </c>
      <c r="F292" t="s">
        <v>135</v>
      </c>
      <c r="G292" t="s">
        <v>216</v>
      </c>
      <c r="H292" t="s">
        <v>208</v>
      </c>
      <c r="I292" t="s">
        <v>209</v>
      </c>
      <c r="J292">
        <v>1</v>
      </c>
      <c r="K292">
        <v>45265.52175925926</v>
      </c>
      <c r="L292">
        <v>35</v>
      </c>
      <c r="M292" t="s">
        <v>335</v>
      </c>
    </row>
    <row r="293" spans="2:13" x14ac:dyDescent="0.25">
      <c r="B293" t="s">
        <v>330</v>
      </c>
      <c r="C293" t="s">
        <v>253</v>
      </c>
      <c r="D293">
        <v>37205</v>
      </c>
      <c r="E293">
        <v>21</v>
      </c>
      <c r="F293" t="s">
        <v>135</v>
      </c>
      <c r="G293" t="s">
        <v>219</v>
      </c>
      <c r="H293" t="s">
        <v>208</v>
      </c>
      <c r="I293" t="s">
        <v>209</v>
      </c>
      <c r="J293">
        <v>1</v>
      </c>
      <c r="K293">
        <v>45265.521840277775</v>
      </c>
      <c r="L293">
        <v>21</v>
      </c>
      <c r="M293" t="s">
        <v>335</v>
      </c>
    </row>
    <row r="294" spans="2:13" x14ac:dyDescent="0.25">
      <c r="B294" t="s">
        <v>330</v>
      </c>
      <c r="C294" t="s">
        <v>253</v>
      </c>
      <c r="D294">
        <v>37205</v>
      </c>
      <c r="E294">
        <v>16</v>
      </c>
      <c r="F294" t="s">
        <v>135</v>
      </c>
      <c r="G294" t="s">
        <v>331</v>
      </c>
      <c r="H294" t="s">
        <v>208</v>
      </c>
      <c r="I294" t="s">
        <v>209</v>
      </c>
      <c r="J294">
        <v>1</v>
      </c>
      <c r="K294">
        <v>45265.521909722222</v>
      </c>
      <c r="L294">
        <v>16</v>
      </c>
      <c r="M294" t="s">
        <v>335</v>
      </c>
    </row>
    <row r="295" spans="2:13" x14ac:dyDescent="0.25">
      <c r="B295" t="s">
        <v>330</v>
      </c>
      <c r="C295" t="s">
        <v>253</v>
      </c>
      <c r="D295">
        <v>37205</v>
      </c>
      <c r="E295">
        <v>15</v>
      </c>
      <c r="F295" t="s">
        <v>135</v>
      </c>
      <c r="G295" t="s">
        <v>332</v>
      </c>
      <c r="H295" t="s">
        <v>208</v>
      </c>
      <c r="I295" t="s">
        <v>209</v>
      </c>
      <c r="J295">
        <v>1</v>
      </c>
      <c r="K295">
        <v>45265.521990740737</v>
      </c>
      <c r="L295">
        <v>15</v>
      </c>
      <c r="M295" t="s">
        <v>335</v>
      </c>
    </row>
    <row r="296" spans="2:13" x14ac:dyDescent="0.25">
      <c r="B296" t="s">
        <v>330</v>
      </c>
      <c r="C296" t="s">
        <v>253</v>
      </c>
      <c r="D296">
        <v>37205</v>
      </c>
      <c r="E296">
        <v>2</v>
      </c>
      <c r="F296" t="s">
        <v>135</v>
      </c>
      <c r="G296" t="s">
        <v>65</v>
      </c>
      <c r="H296" t="s">
        <v>208</v>
      </c>
      <c r="I296" t="s">
        <v>209</v>
      </c>
      <c r="J296">
        <v>1</v>
      </c>
      <c r="K296">
        <v>45265.52207175926</v>
      </c>
      <c r="L296">
        <v>2</v>
      </c>
      <c r="M296" t="s">
        <v>335</v>
      </c>
    </row>
    <row r="297" spans="2:13" x14ac:dyDescent="0.25">
      <c r="B297" t="s">
        <v>330</v>
      </c>
      <c r="C297" t="s">
        <v>253</v>
      </c>
      <c r="D297">
        <v>37205</v>
      </c>
      <c r="E297">
        <v>23</v>
      </c>
      <c r="F297" t="s">
        <v>135</v>
      </c>
      <c r="G297" t="s">
        <v>333</v>
      </c>
      <c r="H297" t="s">
        <v>208</v>
      </c>
      <c r="I297" t="s">
        <v>209</v>
      </c>
      <c r="J297">
        <v>1</v>
      </c>
      <c r="K297">
        <v>45265.522256944445</v>
      </c>
      <c r="L297">
        <v>23</v>
      </c>
      <c r="M297" t="s">
        <v>335</v>
      </c>
    </row>
    <row r="298" spans="2:13" x14ac:dyDescent="0.25">
      <c r="B298" t="s">
        <v>330</v>
      </c>
      <c r="C298" t="s">
        <v>253</v>
      </c>
      <c r="D298">
        <v>37205</v>
      </c>
      <c r="E298">
        <v>7</v>
      </c>
      <c r="F298" t="s">
        <v>135</v>
      </c>
      <c r="G298" t="s">
        <v>334</v>
      </c>
      <c r="H298" t="s">
        <v>208</v>
      </c>
      <c r="I298" t="s">
        <v>209</v>
      </c>
      <c r="J298">
        <v>1</v>
      </c>
      <c r="K298">
        <v>45265.522326388891</v>
      </c>
      <c r="L298">
        <v>7</v>
      </c>
      <c r="M298" t="s">
        <v>335</v>
      </c>
    </row>
    <row r="299" spans="2:13" x14ac:dyDescent="0.25">
      <c r="B299" t="s">
        <v>158</v>
      </c>
      <c r="C299" t="s">
        <v>286</v>
      </c>
      <c r="D299">
        <v>1190</v>
      </c>
      <c r="E299">
        <v>3600</v>
      </c>
      <c r="F299" t="s">
        <v>68</v>
      </c>
      <c r="G299" t="s">
        <v>123</v>
      </c>
      <c r="H299" t="s">
        <v>124</v>
      </c>
      <c r="I299" t="s">
        <v>105</v>
      </c>
      <c r="J299">
        <v>0</v>
      </c>
      <c r="K299">
        <v>45265.719976851855</v>
      </c>
      <c r="L299">
        <v>155000</v>
      </c>
    </row>
    <row r="300" spans="2:13" x14ac:dyDescent="0.25">
      <c r="B300" t="s">
        <v>158</v>
      </c>
      <c r="C300" t="s">
        <v>252</v>
      </c>
      <c r="D300">
        <v>1189</v>
      </c>
      <c r="E300">
        <v>6000</v>
      </c>
      <c r="F300" t="s">
        <v>68</v>
      </c>
      <c r="G300">
        <v>9205</v>
      </c>
      <c r="H300" t="s">
        <v>145</v>
      </c>
      <c r="I300" t="s">
        <v>144</v>
      </c>
      <c r="J300">
        <v>0</v>
      </c>
      <c r="K300">
        <v>45265.724502314813</v>
      </c>
      <c r="L300">
        <v>23920</v>
      </c>
    </row>
    <row r="301" spans="2:13" x14ac:dyDescent="0.25">
      <c r="B301" t="s">
        <v>158</v>
      </c>
      <c r="C301" t="s">
        <v>286</v>
      </c>
      <c r="D301">
        <v>1195</v>
      </c>
      <c r="E301">
        <v>4000</v>
      </c>
      <c r="F301" t="s">
        <v>68</v>
      </c>
      <c r="G301" t="s">
        <v>123</v>
      </c>
      <c r="H301" t="s">
        <v>124</v>
      </c>
      <c r="I301" t="s">
        <v>105</v>
      </c>
      <c r="J301">
        <v>0</v>
      </c>
      <c r="K301">
        <v>45266.778923611113</v>
      </c>
      <c r="L301">
        <v>151000</v>
      </c>
    </row>
    <row r="302" spans="2:13" x14ac:dyDescent="0.25">
      <c r="B302" t="s">
        <v>158</v>
      </c>
      <c r="C302" t="s">
        <v>287</v>
      </c>
      <c r="D302">
        <v>1193</v>
      </c>
      <c r="E302">
        <v>3600</v>
      </c>
      <c r="F302" t="s">
        <v>68</v>
      </c>
      <c r="G302" t="s">
        <v>103</v>
      </c>
      <c r="H302" t="s">
        <v>104</v>
      </c>
      <c r="I302" t="s">
        <v>105</v>
      </c>
      <c r="J302">
        <v>0</v>
      </c>
      <c r="K302">
        <v>45266.779016203705</v>
      </c>
      <c r="L302">
        <v>208600</v>
      </c>
    </row>
    <row r="303" spans="2:13" x14ac:dyDescent="0.25">
      <c r="B303" t="s">
        <v>158</v>
      </c>
      <c r="C303" t="s">
        <v>245</v>
      </c>
      <c r="D303">
        <v>1192</v>
      </c>
      <c r="E303">
        <v>360</v>
      </c>
      <c r="F303" t="s">
        <v>68</v>
      </c>
      <c r="G303" t="s">
        <v>142</v>
      </c>
      <c r="H303" t="s">
        <v>143</v>
      </c>
      <c r="I303" t="s">
        <v>144</v>
      </c>
      <c r="J303">
        <v>0</v>
      </c>
      <c r="K303">
        <v>45266.779062499998</v>
      </c>
      <c r="L303">
        <v>6812</v>
      </c>
    </row>
    <row r="304" spans="2:13" x14ac:dyDescent="0.25">
      <c r="B304" t="s">
        <v>158</v>
      </c>
      <c r="C304" t="s">
        <v>336</v>
      </c>
      <c r="D304">
        <v>1199</v>
      </c>
      <c r="E304">
        <v>3600</v>
      </c>
      <c r="F304" t="s">
        <v>68</v>
      </c>
      <c r="G304" t="s">
        <v>107</v>
      </c>
      <c r="H304" t="s">
        <v>108</v>
      </c>
      <c r="I304" t="s">
        <v>105</v>
      </c>
      <c r="J304">
        <v>0</v>
      </c>
      <c r="K304">
        <v>45266.779097222221</v>
      </c>
      <c r="L304">
        <v>57400</v>
      </c>
    </row>
    <row r="305" spans="2:12" x14ac:dyDescent="0.25">
      <c r="B305" t="s">
        <v>158</v>
      </c>
      <c r="C305" t="s">
        <v>336</v>
      </c>
      <c r="D305">
        <v>1199</v>
      </c>
      <c r="E305">
        <v>3600</v>
      </c>
      <c r="F305" t="s">
        <v>68</v>
      </c>
      <c r="G305" t="s">
        <v>170</v>
      </c>
      <c r="H305" t="s">
        <v>171</v>
      </c>
      <c r="I305" t="s">
        <v>105</v>
      </c>
      <c r="J305">
        <v>0</v>
      </c>
      <c r="K305">
        <v>45266.779120370367</v>
      </c>
      <c r="L305">
        <v>6000</v>
      </c>
    </row>
    <row r="306" spans="2:12" x14ac:dyDescent="0.25">
      <c r="B306" t="s">
        <v>158</v>
      </c>
      <c r="C306" t="s">
        <v>336</v>
      </c>
      <c r="D306">
        <v>1199</v>
      </c>
      <c r="E306">
        <v>1200</v>
      </c>
      <c r="F306" t="s">
        <v>68</v>
      </c>
      <c r="G306" t="s">
        <v>172</v>
      </c>
      <c r="H306" t="s">
        <v>173</v>
      </c>
      <c r="I306" t="s">
        <v>105</v>
      </c>
      <c r="J306">
        <v>0</v>
      </c>
      <c r="K306">
        <v>45266.77915509259</v>
      </c>
      <c r="L306">
        <v>0</v>
      </c>
    </row>
    <row r="307" spans="2:12" x14ac:dyDescent="0.25">
      <c r="B307" t="s">
        <v>158</v>
      </c>
      <c r="C307" t="s">
        <v>336</v>
      </c>
      <c r="D307">
        <v>1199</v>
      </c>
      <c r="E307">
        <v>2400</v>
      </c>
      <c r="F307" t="s">
        <v>68</v>
      </c>
      <c r="G307" t="s">
        <v>278</v>
      </c>
      <c r="H307" t="s">
        <v>279</v>
      </c>
      <c r="I307" t="s">
        <v>105</v>
      </c>
      <c r="J307">
        <v>0</v>
      </c>
      <c r="K307">
        <v>45266.77920138889</v>
      </c>
      <c r="L307">
        <v>2400</v>
      </c>
    </row>
    <row r="308" spans="2:12" x14ac:dyDescent="0.25">
      <c r="B308" t="s">
        <v>158</v>
      </c>
      <c r="C308" t="s">
        <v>246</v>
      </c>
      <c r="D308">
        <v>1198</v>
      </c>
      <c r="E308">
        <v>1200</v>
      </c>
      <c r="F308" t="s">
        <v>68</v>
      </c>
      <c r="G308" t="s">
        <v>278</v>
      </c>
      <c r="H308" t="s">
        <v>279</v>
      </c>
      <c r="I308" t="s">
        <v>105</v>
      </c>
      <c r="J308">
        <v>0</v>
      </c>
      <c r="K308">
        <v>45266.779236111113</v>
      </c>
      <c r="L308">
        <v>1200</v>
      </c>
    </row>
    <row r="309" spans="2:12" x14ac:dyDescent="0.25">
      <c r="B309" t="s">
        <v>158</v>
      </c>
      <c r="C309" t="s">
        <v>337</v>
      </c>
      <c r="D309">
        <v>1194</v>
      </c>
      <c r="E309">
        <v>720</v>
      </c>
      <c r="F309" t="s">
        <v>135</v>
      </c>
      <c r="G309" t="s">
        <v>141</v>
      </c>
      <c r="H309" t="s">
        <v>137</v>
      </c>
      <c r="I309" t="s">
        <v>138</v>
      </c>
      <c r="J309">
        <v>0</v>
      </c>
      <c r="K309">
        <v>45266.77925925926</v>
      </c>
      <c r="L309">
        <v>0</v>
      </c>
    </row>
    <row r="310" spans="2:12" x14ac:dyDescent="0.25">
      <c r="B310" t="s">
        <v>158</v>
      </c>
      <c r="C310" t="s">
        <v>338</v>
      </c>
      <c r="D310">
        <v>1197</v>
      </c>
      <c r="E310">
        <v>7000</v>
      </c>
      <c r="F310" t="s">
        <v>68</v>
      </c>
      <c r="G310" t="s">
        <v>146</v>
      </c>
      <c r="H310" t="s">
        <v>147</v>
      </c>
      <c r="I310" t="s">
        <v>144</v>
      </c>
      <c r="J310">
        <v>0</v>
      </c>
      <c r="K310">
        <v>45266.779293981483</v>
      </c>
      <c r="L310">
        <v>100</v>
      </c>
    </row>
    <row r="311" spans="2:12" x14ac:dyDescent="0.25">
      <c r="B311" t="s">
        <v>158</v>
      </c>
      <c r="C311" t="s">
        <v>252</v>
      </c>
      <c r="D311">
        <v>1196</v>
      </c>
      <c r="E311">
        <v>1000</v>
      </c>
      <c r="F311" t="s">
        <v>68</v>
      </c>
      <c r="G311" t="s">
        <v>146</v>
      </c>
      <c r="H311" t="s">
        <v>147</v>
      </c>
      <c r="I311" t="s">
        <v>144</v>
      </c>
      <c r="J311">
        <v>0</v>
      </c>
      <c r="K311">
        <v>45266.779328703706</v>
      </c>
      <c r="L311">
        <v>-900</v>
      </c>
    </row>
    <row r="312" spans="2:12" x14ac:dyDescent="0.25">
      <c r="B312" t="s">
        <v>158</v>
      </c>
      <c r="C312" t="s">
        <v>339</v>
      </c>
      <c r="D312">
        <v>1191</v>
      </c>
      <c r="E312">
        <v>21</v>
      </c>
      <c r="F312" t="s">
        <v>135</v>
      </c>
      <c r="G312" t="s">
        <v>219</v>
      </c>
      <c r="H312" t="s">
        <v>208</v>
      </c>
      <c r="I312" t="s">
        <v>209</v>
      </c>
      <c r="J312">
        <v>0</v>
      </c>
      <c r="K312">
        <v>45266.779907407406</v>
      </c>
      <c r="L312">
        <v>0</v>
      </c>
    </row>
    <row r="313" spans="2:12" x14ac:dyDescent="0.25">
      <c r="B313" t="s">
        <v>158</v>
      </c>
      <c r="C313" t="s">
        <v>339</v>
      </c>
      <c r="D313">
        <v>1191</v>
      </c>
      <c r="E313">
        <v>5</v>
      </c>
      <c r="F313" t="s">
        <v>135</v>
      </c>
      <c r="G313" t="s">
        <v>220</v>
      </c>
      <c r="H313" t="s">
        <v>208</v>
      </c>
      <c r="I313" t="s">
        <v>209</v>
      </c>
      <c r="J313">
        <v>0</v>
      </c>
      <c r="K313">
        <v>45266.779965277776</v>
      </c>
      <c r="L313">
        <v>0</v>
      </c>
    </row>
    <row r="314" spans="2:12" x14ac:dyDescent="0.25">
      <c r="B314" t="s">
        <v>158</v>
      </c>
      <c r="C314" t="s">
        <v>339</v>
      </c>
      <c r="D314">
        <v>1191</v>
      </c>
      <c r="E314">
        <v>5</v>
      </c>
      <c r="F314" t="s">
        <v>135</v>
      </c>
      <c r="G314" t="s">
        <v>63</v>
      </c>
      <c r="H314" t="s">
        <v>208</v>
      </c>
      <c r="I314" t="s">
        <v>209</v>
      </c>
      <c r="J314">
        <v>0</v>
      </c>
      <c r="K314">
        <v>45266.779988425929</v>
      </c>
      <c r="L314">
        <v>0</v>
      </c>
    </row>
    <row r="315" spans="2:12" x14ac:dyDescent="0.25">
      <c r="B315" t="s">
        <v>158</v>
      </c>
      <c r="C315" t="s">
        <v>339</v>
      </c>
      <c r="D315">
        <v>1191</v>
      </c>
      <c r="E315">
        <v>4</v>
      </c>
      <c r="F315" t="s">
        <v>135</v>
      </c>
      <c r="G315" t="s">
        <v>228</v>
      </c>
      <c r="H315" t="s">
        <v>208</v>
      </c>
      <c r="I315" t="s">
        <v>209</v>
      </c>
      <c r="J315">
        <v>0</v>
      </c>
      <c r="K315">
        <v>45266.780011574076</v>
      </c>
      <c r="L315">
        <v>-1</v>
      </c>
    </row>
    <row r="316" spans="2:12" x14ac:dyDescent="0.25">
      <c r="B316" t="s">
        <v>158</v>
      </c>
      <c r="C316" t="s">
        <v>339</v>
      </c>
      <c r="D316">
        <v>1191</v>
      </c>
      <c r="E316">
        <v>4</v>
      </c>
      <c r="F316" t="s">
        <v>135</v>
      </c>
      <c r="G316" t="s">
        <v>229</v>
      </c>
      <c r="H316" t="s">
        <v>208</v>
      </c>
      <c r="I316" t="s">
        <v>209</v>
      </c>
      <c r="J316">
        <v>0</v>
      </c>
      <c r="K316">
        <v>45266.780046296299</v>
      </c>
      <c r="L316">
        <v>1</v>
      </c>
    </row>
    <row r="317" spans="2:12" x14ac:dyDescent="0.25">
      <c r="B317" t="s">
        <v>158</v>
      </c>
      <c r="C317" t="s">
        <v>339</v>
      </c>
      <c r="D317">
        <v>1191</v>
      </c>
      <c r="E317">
        <v>4</v>
      </c>
      <c r="F317" t="s">
        <v>135</v>
      </c>
      <c r="G317" t="s">
        <v>230</v>
      </c>
      <c r="H317" t="s">
        <v>208</v>
      </c>
      <c r="I317" t="s">
        <v>209</v>
      </c>
      <c r="J317">
        <v>0</v>
      </c>
      <c r="K317">
        <v>45266.778344907405</v>
      </c>
      <c r="L317">
        <v>0</v>
      </c>
    </row>
    <row r="318" spans="2:12" x14ac:dyDescent="0.25">
      <c r="B318" t="s">
        <v>158</v>
      </c>
      <c r="C318" t="s">
        <v>339</v>
      </c>
      <c r="D318">
        <v>1191</v>
      </c>
      <c r="E318">
        <v>26</v>
      </c>
      <c r="F318" t="s">
        <v>135</v>
      </c>
      <c r="G318" t="s">
        <v>227</v>
      </c>
      <c r="H318" t="s">
        <v>208</v>
      </c>
      <c r="I318" t="s">
        <v>209</v>
      </c>
      <c r="J318">
        <v>0</v>
      </c>
      <c r="K318">
        <v>45266.780092592591</v>
      </c>
      <c r="L318">
        <v>0</v>
      </c>
    </row>
    <row r="319" spans="2:12" x14ac:dyDescent="0.25">
      <c r="B319" t="s">
        <v>158</v>
      </c>
      <c r="C319" t="s">
        <v>339</v>
      </c>
      <c r="D319">
        <v>1191</v>
      </c>
      <c r="E319">
        <v>16</v>
      </c>
      <c r="F319" t="s">
        <v>135</v>
      </c>
      <c r="G319" t="s">
        <v>331</v>
      </c>
      <c r="H319" t="s">
        <v>208</v>
      </c>
      <c r="I319" t="s">
        <v>209</v>
      </c>
      <c r="J319">
        <v>0</v>
      </c>
      <c r="K319">
        <v>45266.780115740738</v>
      </c>
      <c r="L319">
        <v>0</v>
      </c>
    </row>
    <row r="320" spans="2:12" x14ac:dyDescent="0.25">
      <c r="B320" t="s">
        <v>158</v>
      </c>
      <c r="C320" t="s">
        <v>339</v>
      </c>
      <c r="D320">
        <v>1191</v>
      </c>
      <c r="E320">
        <v>18</v>
      </c>
      <c r="F320" t="s">
        <v>135</v>
      </c>
      <c r="G320" t="s">
        <v>225</v>
      </c>
      <c r="H320" t="s">
        <v>208</v>
      </c>
      <c r="I320" t="s">
        <v>209</v>
      </c>
      <c r="J320">
        <v>0</v>
      </c>
      <c r="K320">
        <v>45266.780138888891</v>
      </c>
      <c r="L320">
        <v>1</v>
      </c>
    </row>
    <row r="321" spans="2:17" x14ac:dyDescent="0.25">
      <c r="B321" t="s">
        <v>158</v>
      </c>
      <c r="C321" t="s">
        <v>339</v>
      </c>
      <c r="D321">
        <v>1191</v>
      </c>
      <c r="E321">
        <v>15</v>
      </c>
      <c r="F321" t="s">
        <v>135</v>
      </c>
      <c r="G321" t="s">
        <v>332</v>
      </c>
      <c r="H321" t="s">
        <v>208</v>
      </c>
      <c r="I321" t="s">
        <v>209</v>
      </c>
      <c r="J321">
        <v>0</v>
      </c>
      <c r="K321">
        <v>45266.780162037037</v>
      </c>
      <c r="L321">
        <v>0</v>
      </c>
    </row>
    <row r="322" spans="2:17" x14ac:dyDescent="0.25">
      <c r="B322" t="s">
        <v>158</v>
      </c>
      <c r="C322" t="s">
        <v>339</v>
      </c>
      <c r="D322">
        <v>1191</v>
      </c>
      <c r="E322">
        <v>10</v>
      </c>
      <c r="F322" t="s">
        <v>135</v>
      </c>
      <c r="G322" t="s">
        <v>215</v>
      </c>
      <c r="H322" t="s">
        <v>208</v>
      </c>
      <c r="I322" t="s">
        <v>209</v>
      </c>
      <c r="J322">
        <v>0</v>
      </c>
      <c r="K322">
        <v>45266.780185185184</v>
      </c>
      <c r="L322">
        <v>14</v>
      </c>
    </row>
    <row r="323" spans="2:17" x14ac:dyDescent="0.25">
      <c r="B323" t="s">
        <v>158</v>
      </c>
      <c r="C323" t="s">
        <v>339</v>
      </c>
      <c r="D323">
        <v>1191</v>
      </c>
      <c r="E323">
        <v>6</v>
      </c>
      <c r="F323" t="s">
        <v>135</v>
      </c>
      <c r="G323" t="s">
        <v>226</v>
      </c>
      <c r="H323" t="s">
        <v>208</v>
      </c>
      <c r="I323" t="s">
        <v>209</v>
      </c>
      <c r="J323">
        <v>0</v>
      </c>
      <c r="K323">
        <v>45266.78020833333</v>
      </c>
      <c r="L323">
        <v>-1</v>
      </c>
    </row>
    <row r="324" spans="2:17" x14ac:dyDescent="0.25">
      <c r="B324" t="s">
        <v>158</v>
      </c>
      <c r="C324" t="s">
        <v>339</v>
      </c>
      <c r="D324">
        <v>1191</v>
      </c>
      <c r="E324">
        <v>23</v>
      </c>
      <c r="F324" t="s">
        <v>135</v>
      </c>
      <c r="G324" t="s">
        <v>333</v>
      </c>
      <c r="H324" t="s">
        <v>208</v>
      </c>
      <c r="I324" t="s">
        <v>209</v>
      </c>
      <c r="J324">
        <v>0</v>
      </c>
      <c r="K324">
        <v>45266.780277777776</v>
      </c>
      <c r="L324">
        <v>0</v>
      </c>
    </row>
    <row r="325" spans="2:17" x14ac:dyDescent="0.25">
      <c r="B325" t="s">
        <v>158</v>
      </c>
      <c r="C325" t="s">
        <v>339</v>
      </c>
      <c r="D325">
        <v>1191</v>
      </c>
      <c r="E325">
        <v>35</v>
      </c>
      <c r="F325" t="s">
        <v>135</v>
      </c>
      <c r="G325" t="s">
        <v>62</v>
      </c>
      <c r="H325" t="s">
        <v>208</v>
      </c>
      <c r="I325" t="s">
        <v>209</v>
      </c>
      <c r="J325">
        <v>0</v>
      </c>
      <c r="K325">
        <v>45266.780787037038</v>
      </c>
      <c r="L325">
        <v>0</v>
      </c>
    </row>
    <row r="326" spans="2:17" x14ac:dyDescent="0.25">
      <c r="B326" t="s">
        <v>158</v>
      </c>
      <c r="C326" t="s">
        <v>339</v>
      </c>
      <c r="D326">
        <v>1191</v>
      </c>
      <c r="E326">
        <v>35</v>
      </c>
      <c r="F326" t="s">
        <v>135</v>
      </c>
      <c r="G326" t="s">
        <v>216</v>
      </c>
      <c r="H326" t="s">
        <v>208</v>
      </c>
      <c r="I326" t="s">
        <v>209</v>
      </c>
      <c r="J326">
        <v>0</v>
      </c>
      <c r="K326">
        <v>45266.780844907407</v>
      </c>
      <c r="L326">
        <v>0</v>
      </c>
    </row>
    <row r="327" spans="2:17" x14ac:dyDescent="0.25">
      <c r="B327" t="s">
        <v>158</v>
      </c>
      <c r="C327" t="s">
        <v>339</v>
      </c>
      <c r="D327">
        <v>1191</v>
      </c>
      <c r="E327">
        <v>43</v>
      </c>
      <c r="F327" t="s">
        <v>135</v>
      </c>
      <c r="G327" t="s">
        <v>64</v>
      </c>
      <c r="H327" t="s">
        <v>208</v>
      </c>
      <c r="I327" t="s">
        <v>209</v>
      </c>
      <c r="J327">
        <v>0</v>
      </c>
      <c r="K327">
        <v>45266.780868055554</v>
      </c>
      <c r="L327">
        <v>0</v>
      </c>
    </row>
    <row r="328" spans="2:17" x14ac:dyDescent="0.25">
      <c r="B328" t="s">
        <v>158</v>
      </c>
      <c r="C328" t="s">
        <v>339</v>
      </c>
      <c r="D328">
        <v>1191</v>
      </c>
      <c r="E328">
        <v>10</v>
      </c>
      <c r="F328" t="s">
        <v>135</v>
      </c>
      <c r="G328" t="s">
        <v>217</v>
      </c>
      <c r="H328" t="s">
        <v>208</v>
      </c>
      <c r="I328" t="s">
        <v>209</v>
      </c>
      <c r="J328">
        <v>0</v>
      </c>
      <c r="K328">
        <v>45266.780891203707</v>
      </c>
      <c r="L328">
        <v>0</v>
      </c>
    </row>
    <row r="329" spans="2:17" x14ac:dyDescent="0.25">
      <c r="B329" t="s">
        <v>158</v>
      </c>
      <c r="C329" t="s">
        <v>339</v>
      </c>
      <c r="D329">
        <v>1191</v>
      </c>
      <c r="E329">
        <v>2</v>
      </c>
      <c r="F329" t="s">
        <v>135</v>
      </c>
      <c r="G329" t="s">
        <v>65</v>
      </c>
      <c r="H329" t="s">
        <v>208</v>
      </c>
      <c r="I329" t="s">
        <v>209</v>
      </c>
      <c r="J329">
        <v>0</v>
      </c>
      <c r="K329">
        <v>45266.780914351853</v>
      </c>
      <c r="L329">
        <v>0</v>
      </c>
    </row>
    <row r="330" spans="2:17" x14ac:dyDescent="0.25">
      <c r="B330" t="s">
        <v>340</v>
      </c>
      <c r="C330" t="s">
        <v>341</v>
      </c>
      <c r="D330">
        <v>137244</v>
      </c>
      <c r="E330">
        <v>4000</v>
      </c>
      <c r="F330" t="s">
        <v>68</v>
      </c>
      <c r="G330" t="s">
        <v>119</v>
      </c>
      <c r="H330" t="s">
        <v>120</v>
      </c>
      <c r="I330" t="s">
        <v>105</v>
      </c>
      <c r="J330">
        <v>1</v>
      </c>
      <c r="K330">
        <v>45266.782824074071</v>
      </c>
      <c r="L330">
        <v>6400</v>
      </c>
      <c r="M330" t="s">
        <v>342</v>
      </c>
    </row>
    <row r="331" spans="2:17" x14ac:dyDescent="0.25">
      <c r="B331" t="s">
        <v>340</v>
      </c>
      <c r="C331" t="s">
        <v>341</v>
      </c>
      <c r="D331">
        <v>137244</v>
      </c>
      <c r="E331">
        <v>10000</v>
      </c>
      <c r="F331" t="s">
        <v>68</v>
      </c>
      <c r="G331" t="s">
        <v>125</v>
      </c>
      <c r="H331" t="s">
        <v>126</v>
      </c>
      <c r="I331" t="s">
        <v>105</v>
      </c>
      <c r="J331">
        <v>1</v>
      </c>
      <c r="K331">
        <v>45266.78297453704</v>
      </c>
      <c r="L331">
        <v>10000</v>
      </c>
      <c r="M331" t="s">
        <v>342</v>
      </c>
    </row>
    <row r="332" spans="2:17" x14ac:dyDescent="0.25">
      <c r="B332" t="s">
        <v>343</v>
      </c>
      <c r="C332" t="s">
        <v>67</v>
      </c>
      <c r="D332" t="s">
        <v>67</v>
      </c>
      <c r="E332">
        <v>29</v>
      </c>
      <c r="F332" t="s">
        <v>135</v>
      </c>
      <c r="G332" t="s">
        <v>65</v>
      </c>
      <c r="H332" t="s">
        <v>208</v>
      </c>
      <c r="I332" t="s">
        <v>209</v>
      </c>
      <c r="J332">
        <v>1</v>
      </c>
      <c r="K332">
        <v>45267.417939814812</v>
      </c>
      <c r="L332">
        <v>29</v>
      </c>
      <c r="M332" t="s">
        <v>315</v>
      </c>
    </row>
    <row r="333" spans="2:17" x14ac:dyDescent="0.25">
      <c r="B333" t="s">
        <v>343</v>
      </c>
      <c r="C333" t="s">
        <v>67</v>
      </c>
      <c r="D333" t="s">
        <v>67</v>
      </c>
      <c r="E333">
        <v>19</v>
      </c>
      <c r="F333" t="s">
        <v>135</v>
      </c>
      <c r="G333" t="s">
        <v>216</v>
      </c>
      <c r="H333" t="s">
        <v>208</v>
      </c>
      <c r="I333" t="s">
        <v>209</v>
      </c>
      <c r="J333">
        <v>1</v>
      </c>
      <c r="K333">
        <v>45267.418182870373</v>
      </c>
      <c r="L333">
        <v>19</v>
      </c>
      <c r="M333" t="s">
        <v>315</v>
      </c>
    </row>
    <row r="334" spans="2:17" x14ac:dyDescent="0.25">
      <c r="B334" t="s">
        <v>343</v>
      </c>
      <c r="C334" t="s">
        <v>67</v>
      </c>
      <c r="D334" t="s">
        <v>67</v>
      </c>
      <c r="E334">
        <v>24</v>
      </c>
      <c r="F334" t="s">
        <v>135</v>
      </c>
      <c r="G334" t="s">
        <v>331</v>
      </c>
      <c r="H334" t="s">
        <v>208</v>
      </c>
      <c r="I334" t="s">
        <v>209</v>
      </c>
      <c r="J334">
        <v>1</v>
      </c>
      <c r="K334">
        <v>45267.418495370373</v>
      </c>
      <c r="L334">
        <v>24</v>
      </c>
      <c r="M334" t="s">
        <v>315</v>
      </c>
    </row>
    <row r="335" spans="2:17" x14ac:dyDescent="0.25">
      <c r="B335" t="s">
        <v>344</v>
      </c>
      <c r="C335" t="s">
        <v>345</v>
      </c>
      <c r="D335">
        <v>136835</v>
      </c>
      <c r="E335">
        <v>60000</v>
      </c>
      <c r="F335" t="s">
        <v>68</v>
      </c>
      <c r="G335" t="s">
        <v>123</v>
      </c>
      <c r="H335" t="s">
        <v>124</v>
      </c>
      <c r="I335" t="s">
        <v>105</v>
      </c>
      <c r="J335">
        <v>1</v>
      </c>
      <c r="K335">
        <v>45267.66920138889</v>
      </c>
      <c r="L335">
        <v>211000</v>
      </c>
      <c r="M335">
        <v>44938</v>
      </c>
      <c r="O335">
        <v>2400</v>
      </c>
      <c r="P335">
        <v>25</v>
      </c>
      <c r="Q335">
        <v>0</v>
      </c>
    </row>
    <row r="336" spans="2:17" x14ac:dyDescent="0.25">
      <c r="B336" t="s">
        <v>344</v>
      </c>
      <c r="C336" t="s">
        <v>345</v>
      </c>
      <c r="D336">
        <v>136835</v>
      </c>
      <c r="E336">
        <v>3000</v>
      </c>
      <c r="F336" t="s">
        <v>68</v>
      </c>
      <c r="G336" t="s">
        <v>110</v>
      </c>
      <c r="H336" t="s">
        <v>111</v>
      </c>
      <c r="I336" t="s">
        <v>105</v>
      </c>
      <c r="J336">
        <v>1</v>
      </c>
      <c r="K336">
        <v>45267.669351851851</v>
      </c>
      <c r="L336">
        <v>9000</v>
      </c>
      <c r="M336">
        <v>44938</v>
      </c>
      <c r="O336">
        <v>1200</v>
      </c>
      <c r="P336">
        <v>2</v>
      </c>
      <c r="Q336">
        <v>600</v>
      </c>
    </row>
    <row r="337" spans="2:17" x14ac:dyDescent="0.25">
      <c r="B337" t="s">
        <v>158</v>
      </c>
      <c r="C337" t="s">
        <v>246</v>
      </c>
      <c r="D337">
        <v>1200</v>
      </c>
      <c r="E337">
        <v>1600</v>
      </c>
      <c r="F337" t="s">
        <v>68</v>
      </c>
      <c r="G337" t="s">
        <v>125</v>
      </c>
      <c r="H337" t="s">
        <v>126</v>
      </c>
      <c r="I337" t="s">
        <v>105</v>
      </c>
      <c r="J337">
        <v>0</v>
      </c>
      <c r="K337">
        <v>45268.429259259261</v>
      </c>
      <c r="L337">
        <v>8400</v>
      </c>
      <c r="O337">
        <v>1</v>
      </c>
      <c r="P337">
        <v>1600</v>
      </c>
      <c r="Q337">
        <v>0</v>
      </c>
    </row>
    <row r="338" spans="2:17" x14ac:dyDescent="0.25">
      <c r="B338" t="s">
        <v>158</v>
      </c>
      <c r="C338" t="s">
        <v>346</v>
      </c>
      <c r="D338">
        <v>1201</v>
      </c>
      <c r="E338">
        <v>1200</v>
      </c>
      <c r="F338" t="s">
        <v>68</v>
      </c>
      <c r="G338" t="s">
        <v>125</v>
      </c>
      <c r="H338" t="s">
        <v>126</v>
      </c>
      <c r="I338" t="s">
        <v>105</v>
      </c>
      <c r="J338">
        <v>0</v>
      </c>
      <c r="K338">
        <v>45268.429988425924</v>
      </c>
      <c r="L338">
        <v>7200</v>
      </c>
      <c r="O338">
        <v>1</v>
      </c>
      <c r="P338">
        <v>1200</v>
      </c>
      <c r="Q338">
        <v>0</v>
      </c>
    </row>
    <row r="339" spans="2:17" x14ac:dyDescent="0.25">
      <c r="B339" t="s">
        <v>158</v>
      </c>
      <c r="C339" t="s">
        <v>245</v>
      </c>
      <c r="D339">
        <v>1207</v>
      </c>
      <c r="E339">
        <v>252</v>
      </c>
      <c r="F339" t="s">
        <v>68</v>
      </c>
      <c r="G339" t="s">
        <v>142</v>
      </c>
      <c r="H339" t="s">
        <v>143</v>
      </c>
      <c r="I339" t="s">
        <v>144</v>
      </c>
      <c r="J339">
        <v>0</v>
      </c>
      <c r="K339">
        <v>45268.447766203702</v>
      </c>
      <c r="L339">
        <v>6560</v>
      </c>
      <c r="O339">
        <v>24</v>
      </c>
      <c r="P339">
        <v>10</v>
      </c>
      <c r="Q339">
        <v>12</v>
      </c>
    </row>
    <row r="340" spans="2:17" x14ac:dyDescent="0.25">
      <c r="B340" t="s">
        <v>158</v>
      </c>
      <c r="C340" t="s">
        <v>336</v>
      </c>
      <c r="D340">
        <v>1205</v>
      </c>
      <c r="E340">
        <v>1800</v>
      </c>
      <c r="F340" t="s">
        <v>68</v>
      </c>
      <c r="G340" t="s">
        <v>107</v>
      </c>
      <c r="H340" t="s">
        <v>108</v>
      </c>
      <c r="I340" t="s">
        <v>105</v>
      </c>
      <c r="J340">
        <v>0</v>
      </c>
      <c r="K340">
        <v>45268.448530092595</v>
      </c>
      <c r="L340">
        <v>55600</v>
      </c>
      <c r="O340">
        <v>1200</v>
      </c>
      <c r="P340">
        <v>1</v>
      </c>
      <c r="Q340">
        <v>600</v>
      </c>
    </row>
    <row r="341" spans="2:17" x14ac:dyDescent="0.25">
      <c r="B341" t="s">
        <v>158</v>
      </c>
      <c r="C341" t="s">
        <v>313</v>
      </c>
      <c r="D341">
        <v>1206</v>
      </c>
      <c r="E341">
        <v>4000</v>
      </c>
      <c r="F341" t="s">
        <v>68</v>
      </c>
      <c r="G341" t="s">
        <v>119</v>
      </c>
      <c r="H341" t="s">
        <v>120</v>
      </c>
      <c r="I341" t="s">
        <v>105</v>
      </c>
      <c r="J341">
        <v>0</v>
      </c>
      <c r="K341">
        <v>45268.449131944442</v>
      </c>
      <c r="L341">
        <v>2400</v>
      </c>
      <c r="O341">
        <v>1</v>
      </c>
      <c r="P341">
        <v>4000</v>
      </c>
      <c r="Q341">
        <v>0</v>
      </c>
    </row>
    <row r="342" spans="2:17" x14ac:dyDescent="0.25">
      <c r="B342" t="s">
        <v>158</v>
      </c>
      <c r="C342" t="s">
        <v>66</v>
      </c>
      <c r="D342">
        <v>1119</v>
      </c>
      <c r="E342">
        <v>720</v>
      </c>
      <c r="F342" t="s">
        <v>135</v>
      </c>
      <c r="G342" t="s">
        <v>139</v>
      </c>
      <c r="H342" t="s">
        <v>137</v>
      </c>
      <c r="I342" t="s">
        <v>138</v>
      </c>
      <c r="J342">
        <v>0</v>
      </c>
      <c r="K342">
        <v>45244.693124999998</v>
      </c>
      <c r="L342">
        <v>4808</v>
      </c>
      <c r="O342">
        <v>144</v>
      </c>
      <c r="P342">
        <v>5</v>
      </c>
      <c r="Q342">
        <v>0</v>
      </c>
    </row>
    <row r="343" spans="2:17" x14ac:dyDescent="0.25">
      <c r="B343" t="s">
        <v>347</v>
      </c>
      <c r="C343" t="s">
        <v>348</v>
      </c>
      <c r="D343" t="s">
        <v>349</v>
      </c>
      <c r="E343">
        <v>24</v>
      </c>
      <c r="F343" t="s">
        <v>135</v>
      </c>
      <c r="G343" t="s">
        <v>332</v>
      </c>
      <c r="H343" t="s">
        <v>208</v>
      </c>
      <c r="I343" t="s">
        <v>209</v>
      </c>
      <c r="J343">
        <v>1</v>
      </c>
      <c r="K343">
        <v>45271.47347222222</v>
      </c>
      <c r="L343">
        <v>24</v>
      </c>
      <c r="M343">
        <v>45058</v>
      </c>
      <c r="O343">
        <v>1</v>
      </c>
      <c r="P343">
        <v>24</v>
      </c>
      <c r="Q343">
        <v>0</v>
      </c>
    </row>
    <row r="344" spans="2:17" x14ac:dyDescent="0.25">
      <c r="B344" t="s">
        <v>347</v>
      </c>
      <c r="C344" t="s">
        <v>348</v>
      </c>
      <c r="D344" t="s">
        <v>349</v>
      </c>
      <c r="E344">
        <v>44</v>
      </c>
      <c r="F344" t="s">
        <v>135</v>
      </c>
      <c r="G344" t="s">
        <v>62</v>
      </c>
      <c r="H344" t="s">
        <v>208</v>
      </c>
      <c r="I344" t="s">
        <v>209</v>
      </c>
      <c r="J344">
        <v>1</v>
      </c>
      <c r="K344">
        <v>45271.473576388889</v>
      </c>
      <c r="L344">
        <v>44</v>
      </c>
      <c r="M344">
        <v>45058</v>
      </c>
      <c r="O344">
        <v>1</v>
      </c>
      <c r="P344">
        <v>44</v>
      </c>
      <c r="Q344">
        <v>0</v>
      </c>
    </row>
    <row r="345" spans="2:17" x14ac:dyDescent="0.25">
      <c r="B345" t="s">
        <v>347</v>
      </c>
      <c r="C345" t="s">
        <v>348</v>
      </c>
      <c r="D345" t="s">
        <v>349</v>
      </c>
      <c r="E345">
        <v>10</v>
      </c>
      <c r="F345" t="s">
        <v>135</v>
      </c>
      <c r="G345" t="s">
        <v>227</v>
      </c>
      <c r="H345" t="s">
        <v>208</v>
      </c>
      <c r="I345" t="s">
        <v>209</v>
      </c>
      <c r="J345">
        <v>1</v>
      </c>
      <c r="K345">
        <v>45271.479155092595</v>
      </c>
      <c r="L345">
        <v>10</v>
      </c>
      <c r="M345">
        <v>45058</v>
      </c>
      <c r="O345">
        <v>1</v>
      </c>
      <c r="P345">
        <v>10</v>
      </c>
      <c r="Q345">
        <v>0</v>
      </c>
    </row>
    <row r="346" spans="2:17" x14ac:dyDescent="0.25">
      <c r="B346" t="s">
        <v>347</v>
      </c>
      <c r="C346" t="s">
        <v>348</v>
      </c>
      <c r="D346" t="s">
        <v>349</v>
      </c>
      <c r="E346">
        <v>26</v>
      </c>
      <c r="F346" t="s">
        <v>135</v>
      </c>
      <c r="G346" t="s">
        <v>216</v>
      </c>
      <c r="H346" t="s">
        <v>208</v>
      </c>
      <c r="I346" t="s">
        <v>209</v>
      </c>
      <c r="J346">
        <v>1</v>
      </c>
      <c r="K346">
        <v>45271.479351851849</v>
      </c>
      <c r="L346">
        <v>45</v>
      </c>
      <c r="M346">
        <v>45058</v>
      </c>
      <c r="O346">
        <v>1</v>
      </c>
      <c r="P346">
        <v>26</v>
      </c>
      <c r="Q346">
        <v>0</v>
      </c>
    </row>
    <row r="347" spans="2:17" x14ac:dyDescent="0.25">
      <c r="B347" t="s">
        <v>347</v>
      </c>
      <c r="C347" t="s">
        <v>348</v>
      </c>
      <c r="D347" t="s">
        <v>349</v>
      </c>
      <c r="E347">
        <v>23</v>
      </c>
      <c r="F347" t="s">
        <v>135</v>
      </c>
      <c r="G347" t="s">
        <v>64</v>
      </c>
      <c r="H347" t="s">
        <v>208</v>
      </c>
      <c r="I347" t="s">
        <v>209</v>
      </c>
      <c r="J347">
        <v>1</v>
      </c>
      <c r="K347">
        <v>45271.480011574073</v>
      </c>
      <c r="L347">
        <v>23</v>
      </c>
      <c r="M347">
        <v>45058</v>
      </c>
      <c r="O347">
        <v>1</v>
      </c>
      <c r="P347">
        <v>23</v>
      </c>
      <c r="Q347">
        <v>0</v>
      </c>
    </row>
    <row r="348" spans="2:17" x14ac:dyDescent="0.25">
      <c r="B348" t="s">
        <v>347</v>
      </c>
      <c r="C348" t="s">
        <v>348</v>
      </c>
      <c r="D348" t="s">
        <v>349</v>
      </c>
      <c r="E348">
        <v>10</v>
      </c>
      <c r="F348" t="s">
        <v>135</v>
      </c>
      <c r="G348" t="s">
        <v>217</v>
      </c>
      <c r="H348" t="s">
        <v>208</v>
      </c>
      <c r="I348" t="s">
        <v>209</v>
      </c>
      <c r="J348">
        <v>1</v>
      </c>
      <c r="K348">
        <v>45271.480266203704</v>
      </c>
      <c r="L348">
        <v>10</v>
      </c>
      <c r="M348">
        <v>45058</v>
      </c>
      <c r="O348">
        <v>1</v>
      </c>
      <c r="P348">
        <v>10</v>
      </c>
      <c r="Q348">
        <v>0</v>
      </c>
    </row>
    <row r="349" spans="2:17" x14ac:dyDescent="0.25">
      <c r="B349" t="s">
        <v>347</v>
      </c>
      <c r="C349" t="s">
        <v>348</v>
      </c>
      <c r="D349" t="s">
        <v>349</v>
      </c>
      <c r="E349">
        <v>20</v>
      </c>
      <c r="F349" t="s">
        <v>135</v>
      </c>
      <c r="G349" t="s">
        <v>331</v>
      </c>
      <c r="H349" t="s">
        <v>208</v>
      </c>
      <c r="I349" t="s">
        <v>209</v>
      </c>
      <c r="J349">
        <v>1</v>
      </c>
      <c r="K349">
        <v>45271.48064814815</v>
      </c>
      <c r="L349">
        <v>44</v>
      </c>
      <c r="M349">
        <v>45058</v>
      </c>
      <c r="O349">
        <v>1</v>
      </c>
      <c r="P349">
        <v>20</v>
      </c>
      <c r="Q349">
        <v>0</v>
      </c>
    </row>
    <row r="350" spans="2:17" x14ac:dyDescent="0.25">
      <c r="B350" t="s">
        <v>347</v>
      </c>
      <c r="C350" t="s">
        <v>348</v>
      </c>
      <c r="D350" t="s">
        <v>349</v>
      </c>
      <c r="E350">
        <v>18</v>
      </c>
      <c r="F350" t="s">
        <v>135</v>
      </c>
      <c r="G350" t="s">
        <v>218</v>
      </c>
      <c r="H350" t="s">
        <v>208</v>
      </c>
      <c r="I350" t="s">
        <v>209</v>
      </c>
      <c r="J350">
        <v>1</v>
      </c>
      <c r="K350">
        <v>45271.480844907404</v>
      </c>
      <c r="L350">
        <v>18</v>
      </c>
      <c r="M350">
        <v>45058</v>
      </c>
      <c r="O350">
        <v>1</v>
      </c>
      <c r="P350">
        <v>18</v>
      </c>
      <c r="Q350">
        <v>0</v>
      </c>
    </row>
    <row r="351" spans="2:17" x14ac:dyDescent="0.25">
      <c r="B351" t="s">
        <v>347</v>
      </c>
      <c r="C351" t="s">
        <v>348</v>
      </c>
      <c r="D351" t="s">
        <v>349</v>
      </c>
      <c r="E351">
        <v>9</v>
      </c>
      <c r="F351" t="s">
        <v>135</v>
      </c>
      <c r="G351" t="s">
        <v>65</v>
      </c>
      <c r="H351" t="s">
        <v>208</v>
      </c>
      <c r="I351" t="s">
        <v>209</v>
      </c>
      <c r="J351">
        <v>1</v>
      </c>
      <c r="K351">
        <v>45271.480925925927</v>
      </c>
      <c r="L351">
        <v>38</v>
      </c>
      <c r="M351">
        <v>45058</v>
      </c>
      <c r="O351">
        <v>1</v>
      </c>
      <c r="P351">
        <v>9</v>
      </c>
      <c r="Q351">
        <v>0</v>
      </c>
    </row>
    <row r="352" spans="2:17" x14ac:dyDescent="0.25">
      <c r="B352" t="s">
        <v>347</v>
      </c>
      <c r="C352" t="s">
        <v>348</v>
      </c>
      <c r="D352" t="s">
        <v>349</v>
      </c>
      <c r="E352">
        <v>1</v>
      </c>
      <c r="F352" t="s">
        <v>135</v>
      </c>
      <c r="G352" t="s">
        <v>220</v>
      </c>
      <c r="H352" t="s">
        <v>208</v>
      </c>
      <c r="I352" t="s">
        <v>209</v>
      </c>
      <c r="J352">
        <v>1</v>
      </c>
      <c r="K352">
        <v>45271.48101851852</v>
      </c>
      <c r="L352">
        <v>1</v>
      </c>
      <c r="M352">
        <v>45058</v>
      </c>
      <c r="O352">
        <v>1</v>
      </c>
      <c r="P352">
        <v>1</v>
      </c>
      <c r="Q352">
        <v>0</v>
      </c>
    </row>
    <row r="353" spans="2:17" x14ac:dyDescent="0.25">
      <c r="B353" t="s">
        <v>347</v>
      </c>
      <c r="C353" t="s">
        <v>348</v>
      </c>
      <c r="D353" t="s">
        <v>349</v>
      </c>
      <c r="E353">
        <v>2</v>
      </c>
      <c r="F353" t="s">
        <v>135</v>
      </c>
      <c r="G353" t="s">
        <v>63</v>
      </c>
      <c r="H353" t="s">
        <v>208</v>
      </c>
      <c r="I353" t="s">
        <v>209</v>
      </c>
      <c r="J353">
        <v>1</v>
      </c>
      <c r="K353">
        <v>45271.481099537035</v>
      </c>
      <c r="L353">
        <v>2</v>
      </c>
      <c r="M353">
        <v>45058</v>
      </c>
      <c r="O353">
        <v>1</v>
      </c>
      <c r="P353">
        <v>2</v>
      </c>
      <c r="Q353">
        <v>0</v>
      </c>
    </row>
    <row r="354" spans="2:17" x14ac:dyDescent="0.25">
      <c r="B354" t="s">
        <v>347</v>
      </c>
      <c r="C354" t="s">
        <v>351</v>
      </c>
      <c r="D354" t="s">
        <v>352</v>
      </c>
      <c r="E354">
        <v>29</v>
      </c>
      <c r="F354" t="s">
        <v>135</v>
      </c>
      <c r="G354" t="s">
        <v>350</v>
      </c>
      <c r="H354" t="s">
        <v>208</v>
      </c>
      <c r="I354" t="s">
        <v>209</v>
      </c>
      <c r="J354">
        <v>1</v>
      </c>
      <c r="K354">
        <v>45271.481099537035</v>
      </c>
      <c r="L354">
        <v>29</v>
      </c>
      <c r="M354">
        <v>45058</v>
      </c>
      <c r="O354">
        <v>1</v>
      </c>
      <c r="P354">
        <v>29</v>
      </c>
      <c r="Q354">
        <v>0</v>
      </c>
    </row>
    <row r="355" spans="2:17" x14ac:dyDescent="0.25">
      <c r="B355" t="s">
        <v>158</v>
      </c>
      <c r="C355" t="s">
        <v>353</v>
      </c>
      <c r="D355">
        <v>1208</v>
      </c>
      <c r="E355">
        <v>4000</v>
      </c>
      <c r="F355" t="s">
        <v>68</v>
      </c>
      <c r="G355" t="s">
        <v>110</v>
      </c>
      <c r="H355" t="s">
        <v>111</v>
      </c>
      <c r="I355" t="s">
        <v>105</v>
      </c>
      <c r="J355">
        <v>0</v>
      </c>
      <c r="K355">
        <v>45271.581250000003</v>
      </c>
      <c r="L355">
        <v>5000</v>
      </c>
      <c r="O355">
        <v>2400</v>
      </c>
      <c r="P355">
        <v>1</v>
      </c>
      <c r="Q355">
        <v>1600.0000000000002</v>
      </c>
    </row>
    <row r="356" spans="2:17" x14ac:dyDescent="0.25">
      <c r="B356" t="s">
        <v>158</v>
      </c>
      <c r="C356" t="s">
        <v>336</v>
      </c>
      <c r="D356">
        <v>1209</v>
      </c>
      <c r="E356">
        <v>4000</v>
      </c>
      <c r="F356" t="s">
        <v>68</v>
      </c>
      <c r="G356" t="s">
        <v>107</v>
      </c>
      <c r="H356" t="s">
        <v>108</v>
      </c>
      <c r="I356" t="s">
        <v>105</v>
      </c>
      <c r="J356">
        <v>0</v>
      </c>
      <c r="K356">
        <v>45271.581747685188</v>
      </c>
      <c r="L356">
        <v>51600</v>
      </c>
      <c r="O356">
        <v>1200</v>
      </c>
      <c r="P356">
        <v>3</v>
      </c>
      <c r="Q356">
        <v>400.00000000000017</v>
      </c>
    </row>
    <row r="357" spans="2:17" x14ac:dyDescent="0.25">
      <c r="B357" t="s">
        <v>158</v>
      </c>
      <c r="C357" t="s">
        <v>336</v>
      </c>
      <c r="D357">
        <v>1209</v>
      </c>
      <c r="E357">
        <v>4000</v>
      </c>
      <c r="F357" t="s">
        <v>68</v>
      </c>
      <c r="G357" t="s">
        <v>170</v>
      </c>
      <c r="H357" t="s">
        <v>171</v>
      </c>
      <c r="I357" t="s">
        <v>105</v>
      </c>
      <c r="J357">
        <v>0</v>
      </c>
      <c r="K357">
        <v>45271.582175925927</v>
      </c>
      <c r="L357">
        <v>2000</v>
      </c>
      <c r="O357">
        <v>2400</v>
      </c>
      <c r="P357">
        <v>1</v>
      </c>
      <c r="Q357">
        <v>1600.0000000000002</v>
      </c>
    </row>
    <row r="358" spans="2:17" x14ac:dyDescent="0.25">
      <c r="B358" t="s">
        <v>158</v>
      </c>
      <c r="C358" t="s">
        <v>313</v>
      </c>
      <c r="D358">
        <v>1210</v>
      </c>
      <c r="E358">
        <v>1600</v>
      </c>
      <c r="F358" t="s">
        <v>68</v>
      </c>
      <c r="G358" t="s">
        <v>119</v>
      </c>
      <c r="H358" t="s">
        <v>120</v>
      </c>
      <c r="I358" t="s">
        <v>105</v>
      </c>
      <c r="J358">
        <v>0</v>
      </c>
      <c r="K358">
        <v>45271.582824074074</v>
      </c>
      <c r="L358">
        <v>800</v>
      </c>
      <c r="O358">
        <v>1</v>
      </c>
      <c r="P358">
        <v>1600</v>
      </c>
      <c r="Q358">
        <v>0</v>
      </c>
    </row>
    <row r="359" spans="2:17" x14ac:dyDescent="0.25">
      <c r="B359" t="s">
        <v>158</v>
      </c>
      <c r="C359" t="s">
        <v>354</v>
      </c>
      <c r="D359">
        <v>1211</v>
      </c>
      <c r="E359">
        <v>800</v>
      </c>
      <c r="F359" t="s">
        <v>68</v>
      </c>
      <c r="G359" t="s">
        <v>119</v>
      </c>
      <c r="H359" t="s">
        <v>120</v>
      </c>
      <c r="I359" t="s">
        <v>105</v>
      </c>
      <c r="J359">
        <v>0</v>
      </c>
      <c r="K359">
        <v>45271.583796296298</v>
      </c>
      <c r="L359">
        <v>0</v>
      </c>
      <c r="O359">
        <v>1</v>
      </c>
      <c r="P359">
        <v>800</v>
      </c>
      <c r="Q359">
        <v>0</v>
      </c>
    </row>
    <row r="360" spans="2:17" x14ac:dyDescent="0.25">
      <c r="B360" t="s">
        <v>158</v>
      </c>
      <c r="C360" t="s">
        <v>338</v>
      </c>
      <c r="D360">
        <v>1212</v>
      </c>
      <c r="E360">
        <v>8000</v>
      </c>
      <c r="F360" t="s">
        <v>68</v>
      </c>
      <c r="G360" t="s">
        <v>123</v>
      </c>
      <c r="H360" t="s">
        <v>124</v>
      </c>
      <c r="I360" t="s">
        <v>105</v>
      </c>
      <c r="J360">
        <v>0</v>
      </c>
      <c r="K360">
        <v>45271.584328703706</v>
      </c>
      <c r="L360">
        <v>203000</v>
      </c>
      <c r="O360">
        <v>2400</v>
      </c>
      <c r="P360">
        <v>3</v>
      </c>
      <c r="Q360">
        <v>800.00000000000034</v>
      </c>
    </row>
    <row r="361" spans="2:17" x14ac:dyDescent="0.25">
      <c r="B361" t="s">
        <v>158</v>
      </c>
      <c r="C361" t="s">
        <v>338</v>
      </c>
      <c r="D361">
        <v>1212</v>
      </c>
      <c r="E361">
        <v>480</v>
      </c>
      <c r="F361" t="s">
        <v>68</v>
      </c>
      <c r="G361" t="s">
        <v>163</v>
      </c>
      <c r="H361" t="s">
        <v>164</v>
      </c>
      <c r="I361" t="s">
        <v>165</v>
      </c>
      <c r="J361">
        <v>0</v>
      </c>
      <c r="K361">
        <v>45271.584560185183</v>
      </c>
      <c r="L361">
        <v>2346</v>
      </c>
      <c r="O361">
        <v>300</v>
      </c>
      <c r="P361">
        <v>1</v>
      </c>
      <c r="Q361">
        <v>180.00000000000003</v>
      </c>
    </row>
    <row r="362" spans="2:17" x14ac:dyDescent="0.25">
      <c r="B362" t="s">
        <v>158</v>
      </c>
      <c r="C362" t="s">
        <v>338</v>
      </c>
      <c r="D362">
        <v>1212</v>
      </c>
      <c r="E362">
        <v>800</v>
      </c>
      <c r="F362" t="s">
        <v>68</v>
      </c>
      <c r="G362" t="s">
        <v>201</v>
      </c>
      <c r="H362" t="s">
        <v>202</v>
      </c>
      <c r="I362" t="s">
        <v>144</v>
      </c>
      <c r="J362">
        <v>0</v>
      </c>
      <c r="K362">
        <v>45271.584803240738</v>
      </c>
      <c r="L362">
        <v>9500</v>
      </c>
      <c r="O362">
        <v>1</v>
      </c>
      <c r="P362">
        <v>800</v>
      </c>
      <c r="Q362">
        <v>0</v>
      </c>
    </row>
    <row r="363" spans="2:17" x14ac:dyDescent="0.25">
      <c r="B363" t="s">
        <v>158</v>
      </c>
      <c r="C363" t="s">
        <v>338</v>
      </c>
      <c r="D363">
        <v>1212</v>
      </c>
      <c r="E363">
        <v>20</v>
      </c>
      <c r="F363" t="s">
        <v>68</v>
      </c>
      <c r="G363">
        <v>6200</v>
      </c>
      <c r="H363" t="s">
        <v>148</v>
      </c>
      <c r="I363" t="s">
        <v>144</v>
      </c>
      <c r="J363">
        <v>0</v>
      </c>
      <c r="K363">
        <v>45271.585046296299</v>
      </c>
      <c r="L363">
        <v>275</v>
      </c>
      <c r="O363">
        <v>24</v>
      </c>
      <c r="P363">
        <v>0</v>
      </c>
      <c r="Q363">
        <v>20</v>
      </c>
    </row>
    <row r="364" spans="2:17" x14ac:dyDescent="0.25">
      <c r="B364" t="s">
        <v>158</v>
      </c>
      <c r="C364" t="s">
        <v>243</v>
      </c>
      <c r="D364">
        <v>1213</v>
      </c>
      <c r="E364">
        <v>720</v>
      </c>
      <c r="F364" t="s">
        <v>135</v>
      </c>
      <c r="G364" t="s">
        <v>136</v>
      </c>
      <c r="H364" t="s">
        <v>137</v>
      </c>
      <c r="I364" t="s">
        <v>138</v>
      </c>
      <c r="J364">
        <v>0</v>
      </c>
      <c r="K364">
        <v>45271.585949074077</v>
      </c>
      <c r="L364">
        <v>288</v>
      </c>
      <c r="O364">
        <v>144</v>
      </c>
      <c r="P364">
        <v>5</v>
      </c>
      <c r="Q364">
        <v>0</v>
      </c>
    </row>
    <row r="365" spans="2:17" x14ac:dyDescent="0.25">
      <c r="B365" t="s">
        <v>158</v>
      </c>
      <c r="C365" t="s">
        <v>243</v>
      </c>
      <c r="D365">
        <v>1213</v>
      </c>
      <c r="E365">
        <v>360</v>
      </c>
      <c r="F365" t="s">
        <v>135</v>
      </c>
      <c r="G365" t="s">
        <v>139</v>
      </c>
      <c r="H365" t="s">
        <v>137</v>
      </c>
      <c r="I365" t="s">
        <v>138</v>
      </c>
      <c r="J365">
        <v>0</v>
      </c>
      <c r="K365">
        <v>45271.586168981485</v>
      </c>
      <c r="L365">
        <v>4448</v>
      </c>
      <c r="O365">
        <v>144</v>
      </c>
      <c r="P365">
        <v>2</v>
      </c>
      <c r="Q365">
        <v>72</v>
      </c>
    </row>
    <row r="366" spans="2:17" x14ac:dyDescent="0.25">
      <c r="B366" t="s">
        <v>158</v>
      </c>
      <c r="C366" t="s">
        <v>244</v>
      </c>
      <c r="D366">
        <v>1214</v>
      </c>
      <c r="E366">
        <v>10</v>
      </c>
      <c r="F366" t="s">
        <v>127</v>
      </c>
      <c r="G366" t="s">
        <v>131</v>
      </c>
      <c r="H366" t="s">
        <v>132</v>
      </c>
      <c r="I366" t="s">
        <v>130</v>
      </c>
      <c r="J366">
        <v>0</v>
      </c>
      <c r="K366">
        <v>45271.586886574078</v>
      </c>
      <c r="L366">
        <v>6283</v>
      </c>
      <c r="O366">
        <v>10</v>
      </c>
      <c r="P366">
        <v>1</v>
      </c>
      <c r="Q366">
        <v>0</v>
      </c>
    </row>
    <row r="367" spans="2:17" x14ac:dyDescent="0.25">
      <c r="B367" t="s">
        <v>158</v>
      </c>
      <c r="C367" t="s">
        <v>244</v>
      </c>
      <c r="D367">
        <v>1214</v>
      </c>
      <c r="E367">
        <v>350</v>
      </c>
      <c r="F367" t="s">
        <v>68</v>
      </c>
      <c r="G367" t="s">
        <v>166</v>
      </c>
      <c r="H367" t="s">
        <v>167</v>
      </c>
      <c r="J367">
        <v>0</v>
      </c>
      <c r="K367">
        <v>45271.587118055555</v>
      </c>
      <c r="L367">
        <v>670</v>
      </c>
      <c r="O367">
        <v>4</v>
      </c>
      <c r="P367">
        <v>87</v>
      </c>
      <c r="Q367">
        <v>2</v>
      </c>
    </row>
    <row r="368" spans="2:17" x14ac:dyDescent="0.25">
      <c r="B368" t="s">
        <v>158</v>
      </c>
      <c r="C368" t="s">
        <v>244</v>
      </c>
      <c r="D368">
        <v>1214</v>
      </c>
      <c r="E368">
        <v>1180</v>
      </c>
      <c r="F368" t="s">
        <v>68</v>
      </c>
      <c r="G368">
        <v>6001</v>
      </c>
      <c r="H368" t="s">
        <v>149</v>
      </c>
      <c r="I368" t="s">
        <v>144</v>
      </c>
      <c r="J368">
        <v>0</v>
      </c>
      <c r="K368">
        <v>45271.590092592596</v>
      </c>
      <c r="L368">
        <v>1680</v>
      </c>
      <c r="O368">
        <v>60</v>
      </c>
      <c r="P368">
        <v>19</v>
      </c>
      <c r="Q368">
        <v>40.000000000000071</v>
      </c>
    </row>
    <row r="369" spans="2:17" x14ac:dyDescent="0.25">
      <c r="B369" t="s">
        <v>158</v>
      </c>
      <c r="C369" t="s">
        <v>287</v>
      </c>
      <c r="D369">
        <v>1215</v>
      </c>
      <c r="E369">
        <v>5000</v>
      </c>
      <c r="F369" t="s">
        <v>68</v>
      </c>
      <c r="G369" t="s">
        <v>103</v>
      </c>
      <c r="H369" t="s">
        <v>104</v>
      </c>
      <c r="I369" t="s">
        <v>105</v>
      </c>
      <c r="J369">
        <v>0</v>
      </c>
      <c r="K369">
        <v>45271.590694444443</v>
      </c>
      <c r="L369">
        <v>203600</v>
      </c>
      <c r="O369">
        <v>2400</v>
      </c>
      <c r="P369">
        <v>2</v>
      </c>
      <c r="Q369">
        <v>200.00000000000034</v>
      </c>
    </row>
    <row r="370" spans="2:17" x14ac:dyDescent="0.25">
      <c r="B370" t="s">
        <v>293</v>
      </c>
      <c r="C370" t="s">
        <v>356</v>
      </c>
      <c r="D370">
        <v>1216</v>
      </c>
      <c r="E370">
        <v>900</v>
      </c>
      <c r="F370" t="s">
        <v>68</v>
      </c>
      <c r="G370" t="s">
        <v>155</v>
      </c>
      <c r="H370" t="s">
        <v>156</v>
      </c>
      <c r="J370">
        <v>0</v>
      </c>
      <c r="K370">
        <v>45272.438946759263</v>
      </c>
      <c r="L370">
        <v>1662</v>
      </c>
      <c r="O370">
        <v>1</v>
      </c>
      <c r="P370">
        <v>900</v>
      </c>
      <c r="Q370">
        <v>0</v>
      </c>
    </row>
    <row r="371" spans="2:17" x14ac:dyDescent="0.25">
      <c r="B371" t="s">
        <v>293</v>
      </c>
      <c r="C371" t="s">
        <v>356</v>
      </c>
      <c r="D371">
        <v>1216</v>
      </c>
      <c r="E371">
        <v>800</v>
      </c>
      <c r="F371" t="s">
        <v>68</v>
      </c>
      <c r="G371" t="s">
        <v>201</v>
      </c>
      <c r="H371" t="s">
        <v>202</v>
      </c>
      <c r="I371" t="s">
        <v>144</v>
      </c>
      <c r="J371">
        <v>0</v>
      </c>
      <c r="K371">
        <v>45272.439247685186</v>
      </c>
      <c r="L371">
        <v>8700</v>
      </c>
      <c r="O371">
        <v>1</v>
      </c>
      <c r="P371">
        <v>800</v>
      </c>
      <c r="Q371">
        <v>0</v>
      </c>
    </row>
    <row r="372" spans="2:17" x14ac:dyDescent="0.25">
      <c r="B372" t="s">
        <v>293</v>
      </c>
      <c r="C372" t="s">
        <v>356</v>
      </c>
      <c r="D372">
        <v>1216</v>
      </c>
      <c r="E372">
        <v>10</v>
      </c>
      <c r="F372" t="s">
        <v>68</v>
      </c>
      <c r="G372">
        <v>81066</v>
      </c>
      <c r="H372" t="s">
        <v>181</v>
      </c>
      <c r="J372">
        <v>0</v>
      </c>
      <c r="K372">
        <v>45272.440648148149</v>
      </c>
      <c r="L372">
        <v>48</v>
      </c>
      <c r="O372">
        <v>40</v>
      </c>
      <c r="P372">
        <v>0</v>
      </c>
      <c r="Q372">
        <v>10</v>
      </c>
    </row>
    <row r="373" spans="2:17" x14ac:dyDescent="0.25">
      <c r="B373" t="s">
        <v>293</v>
      </c>
      <c r="C373" t="s">
        <v>327</v>
      </c>
      <c r="D373">
        <v>1217</v>
      </c>
      <c r="E373">
        <v>11600</v>
      </c>
      <c r="F373" t="s">
        <v>68</v>
      </c>
      <c r="G373" t="s">
        <v>107</v>
      </c>
      <c r="H373" t="s">
        <v>108</v>
      </c>
      <c r="I373" t="s">
        <v>105</v>
      </c>
      <c r="J373">
        <v>0</v>
      </c>
      <c r="K373">
        <v>45272.441388888888</v>
      </c>
      <c r="L373">
        <v>40000</v>
      </c>
      <c r="O373">
        <v>1200</v>
      </c>
      <c r="P373">
        <v>9</v>
      </c>
      <c r="Q373">
        <v>799.99999999999932</v>
      </c>
    </row>
    <row r="374" spans="2:17" x14ac:dyDescent="0.25">
      <c r="B374" t="s">
        <v>293</v>
      </c>
      <c r="C374" t="s">
        <v>247</v>
      </c>
      <c r="D374">
        <v>1218</v>
      </c>
      <c r="E374">
        <v>400</v>
      </c>
      <c r="F374" t="s">
        <v>68</v>
      </c>
      <c r="G374" t="s">
        <v>115</v>
      </c>
      <c r="H374" t="s">
        <v>116</v>
      </c>
      <c r="I374" t="s">
        <v>105</v>
      </c>
      <c r="J374">
        <v>0</v>
      </c>
      <c r="K374">
        <v>45272.442002314812</v>
      </c>
      <c r="L374">
        <v>14100</v>
      </c>
      <c r="O374">
        <v>1200</v>
      </c>
      <c r="P374">
        <v>0</v>
      </c>
      <c r="Q374">
        <v>400</v>
      </c>
    </row>
    <row r="375" spans="2:17" x14ac:dyDescent="0.25">
      <c r="B375" t="s">
        <v>293</v>
      </c>
      <c r="C375" t="s">
        <v>249</v>
      </c>
      <c r="D375">
        <v>1219</v>
      </c>
      <c r="E375">
        <v>1100</v>
      </c>
      <c r="F375" t="s">
        <v>68</v>
      </c>
      <c r="G375" t="s">
        <v>115</v>
      </c>
      <c r="H375" t="s">
        <v>116</v>
      </c>
      <c r="I375" t="s">
        <v>105</v>
      </c>
      <c r="J375">
        <v>0</v>
      </c>
      <c r="K375">
        <v>45272.442569444444</v>
      </c>
      <c r="L375">
        <v>13000</v>
      </c>
      <c r="O375">
        <v>1200</v>
      </c>
      <c r="P375">
        <v>0</v>
      </c>
      <c r="Q375">
        <v>1100</v>
      </c>
    </row>
    <row r="376" spans="2:17" x14ac:dyDescent="0.25">
      <c r="B376" t="s">
        <v>293</v>
      </c>
      <c r="C376" t="s">
        <v>311</v>
      </c>
      <c r="D376">
        <v>1220</v>
      </c>
      <c r="E376">
        <v>50</v>
      </c>
      <c r="F376" t="s">
        <v>68</v>
      </c>
      <c r="G376" t="s">
        <v>109</v>
      </c>
      <c r="H376" t="s">
        <v>162</v>
      </c>
      <c r="J376">
        <v>0</v>
      </c>
      <c r="K376">
        <v>45272.443171296298</v>
      </c>
      <c r="L376">
        <v>232</v>
      </c>
      <c r="O376">
        <v>96</v>
      </c>
      <c r="P376">
        <v>0</v>
      </c>
      <c r="Q376">
        <v>50</v>
      </c>
    </row>
    <row r="377" spans="2:17" x14ac:dyDescent="0.25">
      <c r="B377" t="s">
        <v>358</v>
      </c>
      <c r="C377" t="s">
        <v>359</v>
      </c>
      <c r="D377">
        <v>106</v>
      </c>
      <c r="E377">
        <v>1512</v>
      </c>
      <c r="F377" t="s">
        <v>68</v>
      </c>
      <c r="G377" t="s">
        <v>159</v>
      </c>
      <c r="H377" t="s">
        <v>160</v>
      </c>
      <c r="I377" t="s">
        <v>161</v>
      </c>
      <c r="J377">
        <v>1</v>
      </c>
      <c r="K377">
        <v>45272.578101851854</v>
      </c>
      <c r="L377">
        <v>3400</v>
      </c>
      <c r="M377" t="s">
        <v>315</v>
      </c>
      <c r="O377">
        <v>36</v>
      </c>
      <c r="P377">
        <v>42</v>
      </c>
      <c r="Q377">
        <v>0</v>
      </c>
    </row>
    <row r="378" spans="2:17" x14ac:dyDescent="0.25">
      <c r="B378" t="s">
        <v>158</v>
      </c>
      <c r="C378" t="s">
        <v>339</v>
      </c>
      <c r="D378">
        <v>1221</v>
      </c>
      <c r="E378">
        <v>1</v>
      </c>
      <c r="F378" t="s">
        <v>135</v>
      </c>
      <c r="G378" t="s">
        <v>220</v>
      </c>
      <c r="H378" t="s">
        <v>208</v>
      </c>
      <c r="I378" t="s">
        <v>209</v>
      </c>
      <c r="J378">
        <v>0</v>
      </c>
      <c r="K378">
        <v>45273.510208333333</v>
      </c>
      <c r="L378">
        <v>0</v>
      </c>
      <c r="O378">
        <v>1</v>
      </c>
      <c r="P378">
        <v>1</v>
      </c>
      <c r="Q378">
        <v>0</v>
      </c>
    </row>
    <row r="379" spans="2:17" x14ac:dyDescent="0.25">
      <c r="B379" t="s">
        <v>158</v>
      </c>
      <c r="C379" t="s">
        <v>339</v>
      </c>
      <c r="D379">
        <v>1221</v>
      </c>
      <c r="E379">
        <v>13</v>
      </c>
      <c r="F379" t="s">
        <v>135</v>
      </c>
      <c r="G379" t="s">
        <v>332</v>
      </c>
      <c r="H379" t="s">
        <v>208</v>
      </c>
      <c r="I379" t="s">
        <v>209</v>
      </c>
      <c r="J379">
        <v>0</v>
      </c>
      <c r="K379">
        <v>45273.510729166665</v>
      </c>
      <c r="L379">
        <v>11</v>
      </c>
      <c r="O379">
        <v>1</v>
      </c>
      <c r="P379">
        <v>13</v>
      </c>
      <c r="Q379">
        <v>0</v>
      </c>
    </row>
    <row r="380" spans="2:17" x14ac:dyDescent="0.25">
      <c r="B380" t="s">
        <v>158</v>
      </c>
      <c r="C380" t="s">
        <v>339</v>
      </c>
      <c r="D380">
        <v>1221</v>
      </c>
      <c r="E380">
        <v>25</v>
      </c>
      <c r="F380" t="s">
        <v>135</v>
      </c>
      <c r="G380" t="s">
        <v>62</v>
      </c>
      <c r="H380" t="s">
        <v>208</v>
      </c>
      <c r="I380" t="s">
        <v>209</v>
      </c>
      <c r="J380">
        <v>0</v>
      </c>
      <c r="K380">
        <v>45273.511030092595</v>
      </c>
      <c r="L380">
        <v>19</v>
      </c>
      <c r="O380">
        <v>1</v>
      </c>
      <c r="P380">
        <v>25</v>
      </c>
      <c r="Q380">
        <v>0</v>
      </c>
    </row>
    <row r="381" spans="2:17" x14ac:dyDescent="0.25">
      <c r="B381" t="s">
        <v>158</v>
      </c>
      <c r="C381" t="s">
        <v>339</v>
      </c>
      <c r="D381">
        <v>1221</v>
      </c>
      <c r="E381">
        <v>10</v>
      </c>
      <c r="F381" t="s">
        <v>135</v>
      </c>
      <c r="G381" t="s">
        <v>227</v>
      </c>
      <c r="H381" t="s">
        <v>208</v>
      </c>
      <c r="I381" t="s">
        <v>209</v>
      </c>
      <c r="J381">
        <v>0</v>
      </c>
      <c r="K381">
        <v>45273.511331018519</v>
      </c>
      <c r="L381">
        <v>0</v>
      </c>
      <c r="O381">
        <v>1</v>
      </c>
      <c r="P381">
        <v>10</v>
      </c>
      <c r="Q381">
        <v>0</v>
      </c>
    </row>
    <row r="382" spans="2:17" x14ac:dyDescent="0.25">
      <c r="B382" t="s">
        <v>158</v>
      </c>
      <c r="C382" t="s">
        <v>339</v>
      </c>
      <c r="D382">
        <v>1221</v>
      </c>
      <c r="E382">
        <v>45</v>
      </c>
      <c r="F382" t="s">
        <v>135</v>
      </c>
      <c r="G382" t="s">
        <v>216</v>
      </c>
      <c r="H382" t="s">
        <v>208</v>
      </c>
      <c r="I382" t="s">
        <v>209</v>
      </c>
      <c r="J382">
        <v>0</v>
      </c>
      <c r="K382">
        <v>45273.511759259258</v>
      </c>
      <c r="L382">
        <v>0</v>
      </c>
      <c r="O382">
        <v>1</v>
      </c>
      <c r="P382">
        <v>45</v>
      </c>
      <c r="Q382">
        <v>0</v>
      </c>
    </row>
    <row r="383" spans="2:17" x14ac:dyDescent="0.25">
      <c r="B383" t="s">
        <v>158</v>
      </c>
      <c r="C383" t="s">
        <v>339</v>
      </c>
      <c r="D383">
        <v>1221</v>
      </c>
      <c r="E383">
        <v>29</v>
      </c>
      <c r="F383" t="s">
        <v>135</v>
      </c>
      <c r="G383" t="s">
        <v>350</v>
      </c>
      <c r="H383" t="s">
        <v>208</v>
      </c>
      <c r="I383" t="s">
        <v>209</v>
      </c>
      <c r="J383">
        <v>0</v>
      </c>
      <c r="K383">
        <v>45273.52171296296</v>
      </c>
      <c r="L383">
        <v>0</v>
      </c>
      <c r="O383">
        <v>1</v>
      </c>
      <c r="P383">
        <v>29</v>
      </c>
      <c r="Q383">
        <v>0</v>
      </c>
    </row>
    <row r="384" spans="2:17" x14ac:dyDescent="0.25">
      <c r="B384" t="s">
        <v>158</v>
      </c>
      <c r="C384" t="s">
        <v>339</v>
      </c>
      <c r="D384">
        <v>1221</v>
      </c>
      <c r="E384">
        <v>23</v>
      </c>
      <c r="F384" t="s">
        <v>135</v>
      </c>
      <c r="G384" t="s">
        <v>64</v>
      </c>
      <c r="H384" t="s">
        <v>208</v>
      </c>
      <c r="I384" t="s">
        <v>209</v>
      </c>
      <c r="J384">
        <v>0</v>
      </c>
      <c r="K384">
        <v>45273.52275462963</v>
      </c>
      <c r="L384">
        <v>0</v>
      </c>
      <c r="O384">
        <v>1</v>
      </c>
      <c r="P384">
        <v>23</v>
      </c>
      <c r="Q384">
        <v>0</v>
      </c>
    </row>
    <row r="385" spans="2:17" x14ac:dyDescent="0.25">
      <c r="B385" t="s">
        <v>158</v>
      </c>
      <c r="C385" t="s">
        <v>339</v>
      </c>
      <c r="D385">
        <v>1221</v>
      </c>
      <c r="E385">
        <v>10</v>
      </c>
      <c r="F385" t="s">
        <v>135</v>
      </c>
      <c r="G385" t="s">
        <v>217</v>
      </c>
      <c r="H385" t="s">
        <v>208</v>
      </c>
      <c r="I385" t="s">
        <v>209</v>
      </c>
      <c r="J385">
        <v>0</v>
      </c>
      <c r="K385">
        <v>45273.522997685184</v>
      </c>
      <c r="L385">
        <v>0</v>
      </c>
      <c r="O385">
        <v>1</v>
      </c>
      <c r="P385">
        <v>10</v>
      </c>
      <c r="Q385">
        <v>0</v>
      </c>
    </row>
    <row r="386" spans="2:17" x14ac:dyDescent="0.25">
      <c r="B386" t="s">
        <v>158</v>
      </c>
      <c r="C386" t="s">
        <v>339</v>
      </c>
      <c r="D386">
        <v>1221</v>
      </c>
      <c r="E386">
        <v>44</v>
      </c>
      <c r="F386" t="s">
        <v>135</v>
      </c>
      <c r="G386" t="s">
        <v>331</v>
      </c>
      <c r="H386" t="s">
        <v>208</v>
      </c>
      <c r="I386" t="s">
        <v>209</v>
      </c>
      <c r="J386">
        <v>0</v>
      </c>
      <c r="K386">
        <v>45273.523206018515</v>
      </c>
      <c r="L386">
        <v>0</v>
      </c>
      <c r="O386">
        <v>1</v>
      </c>
      <c r="P386">
        <v>44</v>
      </c>
      <c r="Q386">
        <v>0</v>
      </c>
    </row>
    <row r="387" spans="2:17" x14ac:dyDescent="0.25">
      <c r="B387" t="s">
        <v>158</v>
      </c>
      <c r="C387" t="s">
        <v>339</v>
      </c>
      <c r="D387">
        <v>1221</v>
      </c>
      <c r="E387">
        <v>18</v>
      </c>
      <c r="F387" t="s">
        <v>135</v>
      </c>
      <c r="G387" t="s">
        <v>218</v>
      </c>
      <c r="H387" t="s">
        <v>208</v>
      </c>
      <c r="I387" t="s">
        <v>209</v>
      </c>
      <c r="J387">
        <v>0</v>
      </c>
      <c r="K387">
        <v>45273.523495370369</v>
      </c>
      <c r="L387">
        <v>0</v>
      </c>
      <c r="O387">
        <v>1</v>
      </c>
      <c r="P387">
        <v>18</v>
      </c>
      <c r="Q387">
        <v>0</v>
      </c>
    </row>
    <row r="388" spans="2:17" x14ac:dyDescent="0.25">
      <c r="B388" t="s">
        <v>158</v>
      </c>
      <c r="C388" t="s">
        <v>339</v>
      </c>
      <c r="D388">
        <v>1221</v>
      </c>
      <c r="E388">
        <v>38</v>
      </c>
      <c r="F388" t="s">
        <v>135</v>
      </c>
      <c r="G388" t="s">
        <v>65</v>
      </c>
      <c r="H388" t="s">
        <v>208</v>
      </c>
      <c r="I388" t="s">
        <v>209</v>
      </c>
      <c r="J388">
        <v>0</v>
      </c>
      <c r="K388">
        <v>45273.523877314816</v>
      </c>
      <c r="L388">
        <v>0</v>
      </c>
      <c r="O388">
        <v>1</v>
      </c>
      <c r="P388">
        <v>38</v>
      </c>
      <c r="Q388">
        <v>0</v>
      </c>
    </row>
    <row r="389" spans="2:17" x14ac:dyDescent="0.25">
      <c r="B389" t="s">
        <v>158</v>
      </c>
      <c r="C389" t="s">
        <v>287</v>
      </c>
      <c r="D389">
        <v>1227</v>
      </c>
      <c r="E389">
        <v>1200</v>
      </c>
      <c r="F389" t="s">
        <v>68</v>
      </c>
      <c r="G389" t="s">
        <v>103</v>
      </c>
      <c r="H389" t="s">
        <v>104</v>
      </c>
      <c r="I389" t="s">
        <v>105</v>
      </c>
      <c r="J389">
        <v>0</v>
      </c>
      <c r="K389">
        <v>45274.395173611112</v>
      </c>
      <c r="L389">
        <v>202400</v>
      </c>
      <c r="O389">
        <v>2400</v>
      </c>
      <c r="P389">
        <v>0</v>
      </c>
      <c r="Q389">
        <v>1200</v>
      </c>
    </row>
    <row r="390" spans="2:17" x14ac:dyDescent="0.25">
      <c r="B390" t="s">
        <v>158</v>
      </c>
      <c r="C390" t="s">
        <v>336</v>
      </c>
      <c r="D390">
        <v>1228</v>
      </c>
      <c r="E390">
        <v>2000</v>
      </c>
      <c r="F390" t="s">
        <v>68</v>
      </c>
      <c r="G390" t="s">
        <v>170</v>
      </c>
      <c r="H390" t="s">
        <v>171</v>
      </c>
      <c r="I390" t="s">
        <v>105</v>
      </c>
      <c r="J390">
        <v>0</v>
      </c>
      <c r="K390">
        <v>45274.395868055559</v>
      </c>
      <c r="L390">
        <v>0</v>
      </c>
      <c r="O390">
        <v>2400</v>
      </c>
      <c r="P390">
        <v>0</v>
      </c>
      <c r="Q390">
        <v>2000</v>
      </c>
    </row>
    <row r="391" spans="2:17" x14ac:dyDescent="0.25">
      <c r="B391" t="s">
        <v>158</v>
      </c>
      <c r="C391" t="s">
        <v>353</v>
      </c>
      <c r="D391">
        <v>1229</v>
      </c>
      <c r="E391">
        <v>1000</v>
      </c>
      <c r="F391" t="s">
        <v>68</v>
      </c>
      <c r="G391" t="s">
        <v>110</v>
      </c>
      <c r="H391" t="s">
        <v>111</v>
      </c>
      <c r="I391" t="s">
        <v>105</v>
      </c>
      <c r="J391">
        <v>0</v>
      </c>
      <c r="K391">
        <v>45274.396469907406</v>
      </c>
      <c r="L391">
        <v>4000</v>
      </c>
      <c r="O391">
        <v>2400</v>
      </c>
      <c r="P391">
        <v>0</v>
      </c>
      <c r="Q391">
        <v>1000</v>
      </c>
    </row>
    <row r="392" spans="2:17" x14ac:dyDescent="0.25">
      <c r="B392" t="s">
        <v>158</v>
      </c>
      <c r="C392" t="s">
        <v>338</v>
      </c>
      <c r="D392">
        <v>1230</v>
      </c>
      <c r="E392">
        <v>6000</v>
      </c>
      <c r="F392" t="s">
        <v>68</v>
      </c>
      <c r="G392" t="s">
        <v>123</v>
      </c>
      <c r="H392" t="s">
        <v>124</v>
      </c>
      <c r="I392" t="s">
        <v>105</v>
      </c>
      <c r="J392">
        <v>0</v>
      </c>
      <c r="K392">
        <v>45274.397557870368</v>
      </c>
      <c r="L392">
        <v>197000</v>
      </c>
      <c r="O392">
        <v>2400</v>
      </c>
      <c r="P392">
        <v>2</v>
      </c>
      <c r="Q392">
        <v>1200</v>
      </c>
    </row>
    <row r="393" spans="2:17" x14ac:dyDescent="0.25">
      <c r="B393" t="s">
        <v>158</v>
      </c>
      <c r="C393" t="s">
        <v>338</v>
      </c>
      <c r="D393">
        <v>1230</v>
      </c>
      <c r="E393">
        <v>900</v>
      </c>
      <c r="F393" t="s">
        <v>68</v>
      </c>
      <c r="G393" t="s">
        <v>163</v>
      </c>
      <c r="H393" t="s">
        <v>164</v>
      </c>
      <c r="I393" t="s">
        <v>165</v>
      </c>
      <c r="J393">
        <v>0</v>
      </c>
      <c r="K393">
        <v>45274.397858796299</v>
      </c>
      <c r="L393">
        <v>1446</v>
      </c>
      <c r="O393">
        <v>300</v>
      </c>
      <c r="P393">
        <v>3</v>
      </c>
      <c r="Q393">
        <v>0</v>
      </c>
    </row>
    <row r="394" spans="2:17" x14ac:dyDescent="0.25">
      <c r="B394" t="s">
        <v>158</v>
      </c>
      <c r="C394" t="s">
        <v>338</v>
      </c>
      <c r="D394">
        <v>1230</v>
      </c>
      <c r="E394">
        <v>200</v>
      </c>
      <c r="F394" t="s">
        <v>68</v>
      </c>
      <c r="G394" t="s">
        <v>201</v>
      </c>
      <c r="H394" t="s">
        <v>202</v>
      </c>
      <c r="I394" t="s">
        <v>144</v>
      </c>
      <c r="J394">
        <v>0</v>
      </c>
      <c r="K394">
        <v>45274.398159722223</v>
      </c>
      <c r="L394">
        <v>8500</v>
      </c>
      <c r="O394">
        <v>1</v>
      </c>
      <c r="P394">
        <v>200</v>
      </c>
      <c r="Q394">
        <v>0</v>
      </c>
    </row>
    <row r="395" spans="2:17" x14ac:dyDescent="0.25">
      <c r="B395" t="s">
        <v>158</v>
      </c>
      <c r="C395" t="s">
        <v>338</v>
      </c>
      <c r="D395">
        <v>1230</v>
      </c>
      <c r="E395">
        <v>60</v>
      </c>
      <c r="F395" t="s">
        <v>68</v>
      </c>
      <c r="G395" t="s">
        <v>360</v>
      </c>
      <c r="H395" t="s">
        <v>148</v>
      </c>
      <c r="I395" t="s">
        <v>144</v>
      </c>
      <c r="J395">
        <v>0</v>
      </c>
      <c r="K395">
        <v>45274.406736111108</v>
      </c>
      <c r="L395">
        <v>215</v>
      </c>
      <c r="O395">
        <v>24</v>
      </c>
      <c r="P395">
        <v>2</v>
      </c>
      <c r="Q395">
        <v>12</v>
      </c>
    </row>
    <row r="396" spans="2:17" x14ac:dyDescent="0.25">
      <c r="B396" t="s">
        <v>158</v>
      </c>
      <c r="C396" t="s">
        <v>244</v>
      </c>
      <c r="D396">
        <v>1231</v>
      </c>
      <c r="E396">
        <v>8</v>
      </c>
      <c r="F396" t="s">
        <v>127</v>
      </c>
      <c r="G396" t="s">
        <v>131</v>
      </c>
      <c r="H396" t="s">
        <v>132</v>
      </c>
      <c r="I396" t="s">
        <v>130</v>
      </c>
      <c r="J396">
        <v>0</v>
      </c>
      <c r="K396">
        <v>45274.40766203704</v>
      </c>
      <c r="L396">
        <v>6275</v>
      </c>
      <c r="O396">
        <v>10</v>
      </c>
      <c r="P396">
        <v>0</v>
      </c>
      <c r="Q396">
        <v>8</v>
      </c>
    </row>
    <row r="397" spans="2:17" x14ac:dyDescent="0.25">
      <c r="B397" t="s">
        <v>293</v>
      </c>
      <c r="C397" t="s">
        <v>310</v>
      </c>
      <c r="D397">
        <v>1226</v>
      </c>
      <c r="E397">
        <v>756</v>
      </c>
      <c r="F397" t="s">
        <v>68</v>
      </c>
      <c r="G397" t="s">
        <v>163</v>
      </c>
      <c r="H397" t="s">
        <v>164</v>
      </c>
      <c r="I397" t="s">
        <v>165</v>
      </c>
      <c r="J397">
        <v>0</v>
      </c>
      <c r="K397">
        <v>45274.415567129632</v>
      </c>
      <c r="L397">
        <v>690</v>
      </c>
      <c r="O397">
        <v>300</v>
      </c>
      <c r="P397">
        <v>2</v>
      </c>
      <c r="Q397">
        <v>156</v>
      </c>
    </row>
    <row r="398" spans="2:17" x14ac:dyDescent="0.25">
      <c r="B398" t="s">
        <v>293</v>
      </c>
      <c r="C398" t="s">
        <v>249</v>
      </c>
      <c r="D398">
        <v>1222</v>
      </c>
      <c r="E398">
        <v>900</v>
      </c>
      <c r="F398" t="s">
        <v>68</v>
      </c>
      <c r="G398" t="s">
        <v>115</v>
      </c>
      <c r="H398" t="s">
        <v>116</v>
      </c>
      <c r="I398" t="s">
        <v>105</v>
      </c>
      <c r="J398">
        <v>0</v>
      </c>
      <c r="K398">
        <v>45274.415925925925</v>
      </c>
      <c r="L398">
        <v>12100</v>
      </c>
      <c r="O398">
        <v>1200</v>
      </c>
      <c r="P398">
        <v>0</v>
      </c>
      <c r="Q398">
        <v>900</v>
      </c>
    </row>
    <row r="399" spans="2:17" x14ac:dyDescent="0.25">
      <c r="B399" t="s">
        <v>293</v>
      </c>
      <c r="C399" t="s">
        <v>249</v>
      </c>
      <c r="D399">
        <v>1222</v>
      </c>
      <c r="E399">
        <v>30</v>
      </c>
      <c r="F399" t="s">
        <v>68</v>
      </c>
      <c r="G399" t="s">
        <v>166</v>
      </c>
      <c r="H399" t="s">
        <v>167</v>
      </c>
      <c r="J399">
        <v>0</v>
      </c>
      <c r="K399">
        <v>45274.415983796294</v>
      </c>
      <c r="L399">
        <v>640</v>
      </c>
      <c r="O399">
        <v>4</v>
      </c>
      <c r="P399">
        <v>7</v>
      </c>
      <c r="Q399">
        <v>2</v>
      </c>
    </row>
    <row r="400" spans="2:17" x14ac:dyDescent="0.25">
      <c r="B400" t="s">
        <v>293</v>
      </c>
      <c r="C400" t="s">
        <v>249</v>
      </c>
      <c r="D400">
        <v>1222</v>
      </c>
      <c r="E400">
        <v>30</v>
      </c>
      <c r="F400" t="s">
        <v>68</v>
      </c>
      <c r="G400">
        <v>6800</v>
      </c>
      <c r="H400" t="s">
        <v>150</v>
      </c>
      <c r="I400" t="s">
        <v>144</v>
      </c>
      <c r="J400">
        <v>0</v>
      </c>
      <c r="K400">
        <v>45274.416041666664</v>
      </c>
      <c r="L400">
        <v>283</v>
      </c>
      <c r="O400">
        <v>4</v>
      </c>
      <c r="P400">
        <v>7</v>
      </c>
      <c r="Q400">
        <v>2</v>
      </c>
    </row>
    <row r="401" spans="2:17" x14ac:dyDescent="0.25">
      <c r="B401" t="s">
        <v>293</v>
      </c>
      <c r="C401" t="s">
        <v>311</v>
      </c>
      <c r="D401">
        <v>1223</v>
      </c>
      <c r="E401">
        <v>4400</v>
      </c>
      <c r="F401" t="s">
        <v>68</v>
      </c>
      <c r="G401" t="s">
        <v>179</v>
      </c>
      <c r="H401" t="s">
        <v>180</v>
      </c>
      <c r="I401" t="s">
        <v>144</v>
      </c>
      <c r="J401">
        <v>0</v>
      </c>
      <c r="K401">
        <v>45274.416076388887</v>
      </c>
      <c r="L401">
        <v>2800</v>
      </c>
      <c r="O401">
        <v>2000</v>
      </c>
      <c r="P401">
        <v>2</v>
      </c>
      <c r="Q401">
        <v>400.00000000000034</v>
      </c>
    </row>
    <row r="402" spans="2:17" x14ac:dyDescent="0.25">
      <c r="B402" t="s">
        <v>293</v>
      </c>
      <c r="C402" t="s">
        <v>311</v>
      </c>
      <c r="D402">
        <v>1223</v>
      </c>
      <c r="E402">
        <v>3900</v>
      </c>
      <c r="F402" t="s">
        <v>68</v>
      </c>
      <c r="G402" t="s">
        <v>146</v>
      </c>
      <c r="H402" t="s">
        <v>147</v>
      </c>
      <c r="I402" t="s">
        <v>144</v>
      </c>
      <c r="J402">
        <v>0</v>
      </c>
      <c r="K402">
        <v>45274.416122685187</v>
      </c>
      <c r="L402">
        <v>19120</v>
      </c>
      <c r="O402">
        <v>500</v>
      </c>
      <c r="P402">
        <v>7</v>
      </c>
      <c r="Q402">
        <v>399.99999999999989</v>
      </c>
    </row>
    <row r="403" spans="2:17" x14ac:dyDescent="0.25">
      <c r="B403" t="s">
        <v>293</v>
      </c>
      <c r="C403" t="s">
        <v>247</v>
      </c>
      <c r="D403">
        <v>1224</v>
      </c>
      <c r="E403">
        <v>400</v>
      </c>
      <c r="F403" t="s">
        <v>68</v>
      </c>
      <c r="G403" t="s">
        <v>153</v>
      </c>
      <c r="H403" t="s">
        <v>154</v>
      </c>
      <c r="I403" t="s">
        <v>105</v>
      </c>
      <c r="J403">
        <v>0</v>
      </c>
      <c r="K403">
        <v>45274.416168981479</v>
      </c>
      <c r="L403">
        <v>2350</v>
      </c>
      <c r="O403">
        <v>100</v>
      </c>
      <c r="P403">
        <v>4</v>
      </c>
      <c r="Q403">
        <v>0</v>
      </c>
    </row>
    <row r="404" spans="2:17" x14ac:dyDescent="0.25">
      <c r="B404" t="s">
        <v>293</v>
      </c>
      <c r="C404" t="s">
        <v>248</v>
      </c>
      <c r="D404">
        <v>1225</v>
      </c>
      <c r="E404">
        <v>250</v>
      </c>
      <c r="F404" t="s">
        <v>68</v>
      </c>
      <c r="G404" t="s">
        <v>151</v>
      </c>
      <c r="H404" t="s">
        <v>152</v>
      </c>
      <c r="I404" t="s">
        <v>105</v>
      </c>
      <c r="J404">
        <v>0</v>
      </c>
      <c r="K404">
        <v>45274.416226851848</v>
      </c>
      <c r="L404">
        <v>1756</v>
      </c>
      <c r="O404">
        <v>200</v>
      </c>
      <c r="P404">
        <v>1</v>
      </c>
      <c r="Q404">
        <v>50</v>
      </c>
    </row>
    <row r="405" spans="2:17" x14ac:dyDescent="0.25">
      <c r="B405" t="s">
        <v>361</v>
      </c>
      <c r="C405" t="s">
        <v>292</v>
      </c>
      <c r="D405" t="s">
        <v>66</v>
      </c>
      <c r="E405">
        <v>432</v>
      </c>
      <c r="F405" t="s">
        <v>135</v>
      </c>
      <c r="G405" t="s">
        <v>141</v>
      </c>
      <c r="H405" t="s">
        <v>137</v>
      </c>
      <c r="I405" t="s">
        <v>138</v>
      </c>
      <c r="J405">
        <v>1</v>
      </c>
      <c r="K405">
        <v>45275.592824074076</v>
      </c>
      <c r="L405">
        <v>432</v>
      </c>
      <c r="M405">
        <v>45272</v>
      </c>
      <c r="O405">
        <v>144</v>
      </c>
      <c r="P405">
        <v>3</v>
      </c>
      <c r="Q405">
        <v>0</v>
      </c>
    </row>
    <row r="406" spans="2:17" x14ac:dyDescent="0.25">
      <c r="B406" t="s">
        <v>362</v>
      </c>
      <c r="C406" t="s">
        <v>363</v>
      </c>
      <c r="D406" t="s">
        <v>66</v>
      </c>
      <c r="E406">
        <v>4032</v>
      </c>
      <c r="F406" t="s">
        <v>135</v>
      </c>
      <c r="G406" t="s">
        <v>140</v>
      </c>
      <c r="H406" t="s">
        <v>137</v>
      </c>
      <c r="I406" t="s">
        <v>138</v>
      </c>
      <c r="J406">
        <v>1</v>
      </c>
      <c r="K406">
        <v>45275.593807870369</v>
      </c>
      <c r="L406">
        <v>4032</v>
      </c>
      <c r="M406">
        <v>45272</v>
      </c>
      <c r="O406">
        <v>144</v>
      </c>
      <c r="P406">
        <v>28</v>
      </c>
      <c r="Q406">
        <v>0</v>
      </c>
    </row>
    <row r="407" spans="2:17" x14ac:dyDescent="0.25">
      <c r="B407" t="s">
        <v>362</v>
      </c>
      <c r="C407" t="s">
        <v>363</v>
      </c>
      <c r="D407" t="s">
        <v>66</v>
      </c>
      <c r="E407">
        <v>1440</v>
      </c>
      <c r="F407" t="s">
        <v>135</v>
      </c>
      <c r="G407" t="s">
        <v>141</v>
      </c>
      <c r="H407" t="s">
        <v>137</v>
      </c>
      <c r="I407" t="s">
        <v>138</v>
      </c>
      <c r="J407">
        <v>1</v>
      </c>
      <c r="K407">
        <v>45275.594340277778</v>
      </c>
      <c r="L407">
        <v>1872</v>
      </c>
      <c r="M407">
        <v>45272</v>
      </c>
      <c r="O407">
        <v>144</v>
      </c>
      <c r="P407">
        <v>10</v>
      </c>
      <c r="Q407">
        <v>0</v>
      </c>
    </row>
    <row r="408" spans="2:17" x14ac:dyDescent="0.25">
      <c r="B408" t="s">
        <v>293</v>
      </c>
      <c r="C408" t="s">
        <v>249</v>
      </c>
      <c r="D408">
        <v>474</v>
      </c>
      <c r="E408">
        <v>50</v>
      </c>
      <c r="F408" t="s">
        <v>68</v>
      </c>
      <c r="G408" t="s">
        <v>166</v>
      </c>
      <c r="H408" t="s">
        <v>167</v>
      </c>
      <c r="J408">
        <v>0</v>
      </c>
      <c r="K408">
        <v>45275.750590277778</v>
      </c>
      <c r="L408">
        <v>590</v>
      </c>
      <c r="O408">
        <v>4</v>
      </c>
      <c r="P408">
        <v>12</v>
      </c>
      <c r="Q408">
        <v>2</v>
      </c>
    </row>
    <row r="409" spans="2:17" x14ac:dyDescent="0.25">
      <c r="B409" t="s">
        <v>293</v>
      </c>
      <c r="C409" t="s">
        <v>249</v>
      </c>
      <c r="D409">
        <v>474</v>
      </c>
      <c r="E409">
        <v>25000</v>
      </c>
      <c r="F409" t="s">
        <v>68</v>
      </c>
      <c r="G409" t="s">
        <v>103</v>
      </c>
      <c r="H409" t="s">
        <v>104</v>
      </c>
      <c r="I409" t="s">
        <v>105</v>
      </c>
      <c r="J409">
        <v>0</v>
      </c>
      <c r="K409">
        <v>45275.751030092593</v>
      </c>
      <c r="L409">
        <v>177400</v>
      </c>
      <c r="O409">
        <v>2400</v>
      </c>
      <c r="P409">
        <v>10</v>
      </c>
      <c r="Q409">
        <v>999.99999999999864</v>
      </c>
    </row>
    <row r="410" spans="2:17" x14ac:dyDescent="0.25">
      <c r="B410" t="s">
        <v>293</v>
      </c>
      <c r="C410" t="s">
        <v>364</v>
      </c>
      <c r="D410">
        <v>475</v>
      </c>
      <c r="E410">
        <v>300</v>
      </c>
      <c r="F410" t="s">
        <v>68</v>
      </c>
      <c r="G410" t="s">
        <v>151</v>
      </c>
      <c r="H410" t="s">
        <v>152</v>
      </c>
      <c r="I410" t="s">
        <v>105</v>
      </c>
      <c r="J410">
        <v>0</v>
      </c>
      <c r="K410">
        <v>45275.751550925925</v>
      </c>
      <c r="L410">
        <v>1456</v>
      </c>
      <c r="O410">
        <v>200</v>
      </c>
      <c r="P410">
        <v>1</v>
      </c>
      <c r="Q410">
        <v>100</v>
      </c>
    </row>
    <row r="411" spans="2:17" x14ac:dyDescent="0.25">
      <c r="B411" t="s">
        <v>293</v>
      </c>
      <c r="C411" t="s">
        <v>247</v>
      </c>
      <c r="D411">
        <v>476</v>
      </c>
      <c r="E411">
        <v>400</v>
      </c>
      <c r="F411" t="s">
        <v>68</v>
      </c>
      <c r="G411" t="s">
        <v>153</v>
      </c>
      <c r="H411" t="s">
        <v>154</v>
      </c>
      <c r="I411" t="s">
        <v>105</v>
      </c>
      <c r="J411">
        <v>0</v>
      </c>
      <c r="K411">
        <v>45275.752060185187</v>
      </c>
      <c r="L411">
        <v>1950</v>
      </c>
      <c r="O411">
        <v>100</v>
      </c>
      <c r="P411">
        <v>4</v>
      </c>
      <c r="Q411">
        <v>0</v>
      </c>
    </row>
    <row r="412" spans="2:17" x14ac:dyDescent="0.25">
      <c r="B412" t="s">
        <v>293</v>
      </c>
      <c r="C412" t="s">
        <v>365</v>
      </c>
      <c r="D412" t="s">
        <v>365</v>
      </c>
      <c r="E412">
        <v>400</v>
      </c>
      <c r="F412" t="s">
        <v>127</v>
      </c>
      <c r="G412" t="s">
        <v>128</v>
      </c>
      <c r="H412" t="s">
        <v>129</v>
      </c>
      <c r="I412" t="s">
        <v>366</v>
      </c>
      <c r="J412">
        <v>0</v>
      </c>
      <c r="K412">
        <v>45279.525069444448</v>
      </c>
      <c r="L412">
        <v>1718</v>
      </c>
      <c r="O412">
        <v>10</v>
      </c>
      <c r="P412">
        <v>40</v>
      </c>
      <c r="Q412">
        <v>0</v>
      </c>
    </row>
    <row r="413" spans="2:17" x14ac:dyDescent="0.25">
      <c r="B413" t="s">
        <v>293</v>
      </c>
      <c r="C413" t="s">
        <v>470</v>
      </c>
      <c r="D413">
        <v>478</v>
      </c>
      <c r="E413">
        <v>1600</v>
      </c>
      <c r="F413" t="s">
        <v>68</v>
      </c>
      <c r="G413" t="s">
        <v>103</v>
      </c>
      <c r="H413" t="s">
        <v>104</v>
      </c>
      <c r="I413" t="s">
        <v>105</v>
      </c>
      <c r="J413">
        <v>0</v>
      </c>
      <c r="K413">
        <v>45279.52511574074</v>
      </c>
      <c r="L413">
        <v>175800</v>
      </c>
      <c r="O413">
        <v>2400</v>
      </c>
      <c r="P413">
        <v>0</v>
      </c>
      <c r="Q413">
        <v>1600</v>
      </c>
    </row>
    <row r="414" spans="2:17" x14ac:dyDescent="0.25">
      <c r="B414" t="s">
        <v>293</v>
      </c>
      <c r="C414" t="s">
        <v>310</v>
      </c>
      <c r="D414">
        <v>479</v>
      </c>
      <c r="E414">
        <v>640</v>
      </c>
      <c r="F414" t="s">
        <v>68</v>
      </c>
      <c r="G414" t="s">
        <v>163</v>
      </c>
      <c r="H414" t="s">
        <v>164</v>
      </c>
      <c r="I414" t="s">
        <v>165</v>
      </c>
      <c r="J414">
        <v>0</v>
      </c>
      <c r="K414">
        <v>45279.525138888886</v>
      </c>
      <c r="L414">
        <v>50</v>
      </c>
      <c r="O414">
        <v>300</v>
      </c>
      <c r="P414">
        <v>2</v>
      </c>
      <c r="Q414">
        <v>39.999999999999993</v>
      </c>
    </row>
    <row r="415" spans="2:17" x14ac:dyDescent="0.25">
      <c r="B415" t="s">
        <v>293</v>
      </c>
      <c r="C415" t="s">
        <v>390</v>
      </c>
      <c r="D415">
        <v>480</v>
      </c>
      <c r="E415">
        <v>30000</v>
      </c>
      <c r="F415" t="s">
        <v>68</v>
      </c>
      <c r="G415" t="s">
        <v>103</v>
      </c>
      <c r="H415" t="s">
        <v>104</v>
      </c>
      <c r="I415" t="s">
        <v>105</v>
      </c>
      <c r="J415">
        <v>0</v>
      </c>
      <c r="K415">
        <v>45279.525185185186</v>
      </c>
      <c r="L415">
        <v>145800</v>
      </c>
      <c r="O415">
        <v>2400</v>
      </c>
      <c r="P415">
        <v>12</v>
      </c>
      <c r="Q415">
        <v>1200</v>
      </c>
    </row>
    <row r="416" spans="2:17" x14ac:dyDescent="0.25">
      <c r="B416" t="s">
        <v>293</v>
      </c>
      <c r="C416" t="s">
        <v>311</v>
      </c>
      <c r="D416">
        <v>481</v>
      </c>
      <c r="E416">
        <v>2000</v>
      </c>
      <c r="F416" t="s">
        <v>68</v>
      </c>
      <c r="G416" t="s">
        <v>179</v>
      </c>
      <c r="H416" t="s">
        <v>180</v>
      </c>
      <c r="I416" t="s">
        <v>144</v>
      </c>
      <c r="J416">
        <v>0</v>
      </c>
      <c r="K416">
        <v>45279.525208333333</v>
      </c>
      <c r="L416">
        <v>800</v>
      </c>
      <c r="O416">
        <v>2000</v>
      </c>
      <c r="P416">
        <v>1</v>
      </c>
      <c r="Q416">
        <v>0</v>
      </c>
    </row>
    <row r="417" spans="2:17" x14ac:dyDescent="0.25">
      <c r="B417" t="s">
        <v>293</v>
      </c>
      <c r="C417" t="s">
        <v>471</v>
      </c>
      <c r="D417">
        <v>482</v>
      </c>
      <c r="E417">
        <v>100</v>
      </c>
      <c r="F417" t="s">
        <v>68</v>
      </c>
      <c r="G417" t="s">
        <v>128</v>
      </c>
      <c r="H417" t="s">
        <v>129</v>
      </c>
      <c r="I417" t="s">
        <v>130</v>
      </c>
      <c r="J417">
        <v>0</v>
      </c>
      <c r="K417">
        <v>45279.525231481479</v>
      </c>
      <c r="L417">
        <v>1618</v>
      </c>
      <c r="O417">
        <v>10</v>
      </c>
      <c r="P417">
        <v>10</v>
      </c>
      <c r="Q417">
        <v>0</v>
      </c>
    </row>
    <row r="418" spans="2:17" x14ac:dyDescent="0.25">
      <c r="B418" t="s">
        <v>293</v>
      </c>
      <c r="C418" t="s">
        <v>248</v>
      </c>
      <c r="D418">
        <v>483</v>
      </c>
      <c r="E418">
        <v>50</v>
      </c>
      <c r="F418" t="s">
        <v>68</v>
      </c>
      <c r="G418" t="s">
        <v>128</v>
      </c>
      <c r="H418" t="s">
        <v>129</v>
      </c>
      <c r="I418" t="s">
        <v>130</v>
      </c>
      <c r="J418">
        <v>0</v>
      </c>
      <c r="K418">
        <v>45279.525254629632</v>
      </c>
      <c r="L418">
        <v>1568</v>
      </c>
      <c r="O418">
        <v>10</v>
      </c>
      <c r="P418">
        <v>5</v>
      </c>
      <c r="Q418">
        <v>0</v>
      </c>
    </row>
    <row r="419" spans="2:17" x14ac:dyDescent="0.25">
      <c r="B419" t="s">
        <v>293</v>
      </c>
      <c r="C419" t="s">
        <v>327</v>
      </c>
      <c r="D419">
        <v>477</v>
      </c>
      <c r="E419">
        <v>20000</v>
      </c>
      <c r="F419" t="s">
        <v>68</v>
      </c>
      <c r="G419" t="s">
        <v>107</v>
      </c>
      <c r="H419" t="s">
        <v>108</v>
      </c>
      <c r="I419" t="s">
        <v>105</v>
      </c>
      <c r="J419">
        <v>0</v>
      </c>
      <c r="K419">
        <v>45279.525289351855</v>
      </c>
      <c r="L419">
        <v>20000</v>
      </c>
      <c r="O419">
        <v>1200</v>
      </c>
      <c r="P419">
        <v>16</v>
      </c>
      <c r="Q419">
        <v>800.00000000000136</v>
      </c>
    </row>
    <row r="420" spans="2:17" x14ac:dyDescent="0.25">
      <c r="B420" t="s">
        <v>367</v>
      </c>
      <c r="C420" t="s">
        <v>368</v>
      </c>
      <c r="D420">
        <v>137833</v>
      </c>
      <c r="E420">
        <v>30000</v>
      </c>
      <c r="F420" t="s">
        <v>68</v>
      </c>
      <c r="G420" t="s">
        <v>172</v>
      </c>
      <c r="H420" t="s">
        <v>173</v>
      </c>
      <c r="I420" t="s">
        <v>105</v>
      </c>
      <c r="J420">
        <v>1</v>
      </c>
      <c r="K420">
        <v>45279.606608796297</v>
      </c>
      <c r="L420">
        <v>30000</v>
      </c>
      <c r="M420" t="s">
        <v>369</v>
      </c>
      <c r="O420">
        <v>1</v>
      </c>
      <c r="P420">
        <v>30000</v>
      </c>
      <c r="Q420">
        <v>0</v>
      </c>
    </row>
    <row r="421" spans="2:17" x14ac:dyDescent="0.25">
      <c r="B421" t="s">
        <v>367</v>
      </c>
      <c r="C421" t="s">
        <v>368</v>
      </c>
      <c r="D421">
        <v>137833</v>
      </c>
      <c r="E421">
        <v>30000</v>
      </c>
      <c r="F421" t="s">
        <v>68</v>
      </c>
      <c r="G421" t="s">
        <v>278</v>
      </c>
      <c r="H421" t="s">
        <v>279</v>
      </c>
      <c r="I421" t="s">
        <v>105</v>
      </c>
      <c r="J421">
        <v>1</v>
      </c>
      <c r="K421">
        <v>45279.606712962966</v>
      </c>
      <c r="L421">
        <v>31200</v>
      </c>
      <c r="M421" t="s">
        <v>369</v>
      </c>
      <c r="O421">
        <v>1</v>
      </c>
      <c r="P421">
        <v>30000</v>
      </c>
      <c r="Q421">
        <v>0</v>
      </c>
    </row>
    <row r="422" spans="2:17" x14ac:dyDescent="0.25">
      <c r="B422" t="s">
        <v>367</v>
      </c>
      <c r="C422" t="s">
        <v>368</v>
      </c>
      <c r="D422">
        <v>137833</v>
      </c>
      <c r="E422">
        <v>30000</v>
      </c>
      <c r="F422" t="s">
        <v>68</v>
      </c>
      <c r="G422" t="s">
        <v>119</v>
      </c>
      <c r="H422" t="s">
        <v>120</v>
      </c>
      <c r="I422" t="s">
        <v>105</v>
      </c>
      <c r="J422">
        <v>1</v>
      </c>
      <c r="K422">
        <v>45279.606828703705</v>
      </c>
      <c r="L422">
        <v>30000</v>
      </c>
      <c r="M422" t="s">
        <v>369</v>
      </c>
      <c r="O422">
        <v>2400</v>
      </c>
      <c r="P422">
        <v>12</v>
      </c>
      <c r="Q422">
        <v>1200</v>
      </c>
    </row>
    <row r="423" spans="2:17" x14ac:dyDescent="0.25">
      <c r="B423" t="s">
        <v>367</v>
      </c>
      <c r="C423" t="s">
        <v>368</v>
      </c>
      <c r="D423">
        <v>137833</v>
      </c>
      <c r="E423">
        <v>30000</v>
      </c>
      <c r="F423" t="s">
        <v>68</v>
      </c>
      <c r="G423" t="s">
        <v>170</v>
      </c>
      <c r="H423" t="s">
        <v>171</v>
      </c>
      <c r="I423" t="s">
        <v>105</v>
      </c>
      <c r="J423">
        <v>1</v>
      </c>
      <c r="K423">
        <v>45279.606886574074</v>
      </c>
      <c r="L423">
        <v>30000</v>
      </c>
      <c r="M423" t="s">
        <v>369</v>
      </c>
      <c r="O423">
        <v>2400</v>
      </c>
      <c r="P423">
        <v>12</v>
      </c>
      <c r="Q423">
        <v>1200</v>
      </c>
    </row>
    <row r="424" spans="2:17" x14ac:dyDescent="0.25">
      <c r="B424" t="s">
        <v>158</v>
      </c>
      <c r="C424" t="s">
        <v>353</v>
      </c>
      <c r="D424">
        <v>485</v>
      </c>
      <c r="E424">
        <v>20</v>
      </c>
      <c r="F424" t="s">
        <v>68</v>
      </c>
      <c r="G424">
        <v>6800</v>
      </c>
      <c r="H424" t="s">
        <v>150</v>
      </c>
      <c r="I424" t="s">
        <v>144</v>
      </c>
      <c r="J424">
        <v>0</v>
      </c>
      <c r="K424">
        <v>45280.54178240741</v>
      </c>
      <c r="L424">
        <v>263</v>
      </c>
      <c r="O424">
        <v>4</v>
      </c>
      <c r="P424">
        <v>5</v>
      </c>
      <c r="Q424">
        <v>0</v>
      </c>
    </row>
    <row r="425" spans="2:17" x14ac:dyDescent="0.25">
      <c r="B425" t="s">
        <v>370</v>
      </c>
      <c r="C425" t="s">
        <v>371</v>
      </c>
      <c r="D425">
        <v>37205</v>
      </c>
      <c r="E425">
        <v>15</v>
      </c>
      <c r="F425" t="s">
        <v>135</v>
      </c>
      <c r="G425" t="s">
        <v>334</v>
      </c>
      <c r="H425" t="s">
        <v>208</v>
      </c>
      <c r="I425" t="s">
        <v>209</v>
      </c>
      <c r="J425">
        <v>1</v>
      </c>
      <c r="K425">
        <v>45280.706423611111</v>
      </c>
      <c r="L425">
        <v>22</v>
      </c>
      <c r="M425" t="s">
        <v>369</v>
      </c>
      <c r="O425">
        <v>1</v>
      </c>
      <c r="P425">
        <v>15</v>
      </c>
      <c r="Q425">
        <v>0</v>
      </c>
    </row>
    <row r="426" spans="2:17" x14ac:dyDescent="0.25">
      <c r="B426" t="s">
        <v>370</v>
      </c>
      <c r="C426" t="s">
        <v>371</v>
      </c>
      <c r="D426">
        <v>37205</v>
      </c>
      <c r="E426">
        <v>11</v>
      </c>
      <c r="F426" t="s">
        <v>135</v>
      </c>
      <c r="G426" t="s">
        <v>225</v>
      </c>
      <c r="H426" t="s">
        <v>208</v>
      </c>
      <c r="I426" t="s">
        <v>209</v>
      </c>
      <c r="J426">
        <v>1</v>
      </c>
      <c r="K426">
        <v>45280.70652777778</v>
      </c>
      <c r="L426">
        <v>11</v>
      </c>
      <c r="M426" t="s">
        <v>369</v>
      </c>
      <c r="O426">
        <v>1</v>
      </c>
      <c r="P426">
        <v>11</v>
      </c>
      <c r="Q426">
        <v>0</v>
      </c>
    </row>
    <row r="427" spans="2:17" x14ac:dyDescent="0.25">
      <c r="B427" t="s">
        <v>370</v>
      </c>
      <c r="C427" t="s">
        <v>371</v>
      </c>
      <c r="D427">
        <v>37205</v>
      </c>
      <c r="E427">
        <v>21</v>
      </c>
      <c r="F427" t="s">
        <v>135</v>
      </c>
      <c r="G427" t="s">
        <v>226</v>
      </c>
      <c r="H427" t="s">
        <v>208</v>
      </c>
      <c r="I427" t="s">
        <v>209</v>
      </c>
      <c r="J427">
        <v>1</v>
      </c>
      <c r="K427">
        <v>45280.706956018519</v>
      </c>
      <c r="L427">
        <v>21</v>
      </c>
      <c r="M427" t="s">
        <v>369</v>
      </c>
      <c r="O427">
        <v>1</v>
      </c>
      <c r="P427">
        <v>21</v>
      </c>
      <c r="Q427">
        <v>0</v>
      </c>
    </row>
    <row r="428" spans="2:17" x14ac:dyDescent="0.25">
      <c r="B428" t="s">
        <v>370</v>
      </c>
      <c r="C428" t="s">
        <v>371</v>
      </c>
      <c r="D428">
        <v>37205</v>
      </c>
      <c r="E428">
        <v>21</v>
      </c>
      <c r="F428" t="s">
        <v>135</v>
      </c>
      <c r="G428" t="s">
        <v>332</v>
      </c>
      <c r="H428" t="s">
        <v>208</v>
      </c>
      <c r="I428" t="s">
        <v>209</v>
      </c>
      <c r="J428">
        <v>1</v>
      </c>
      <c r="K428">
        <v>45280.70716435185</v>
      </c>
      <c r="L428">
        <v>32</v>
      </c>
      <c r="M428" t="s">
        <v>369</v>
      </c>
      <c r="O428">
        <v>1</v>
      </c>
      <c r="P428">
        <v>21</v>
      </c>
      <c r="Q428">
        <v>0</v>
      </c>
    </row>
    <row r="429" spans="2:17" x14ac:dyDescent="0.25">
      <c r="B429" t="s">
        <v>370</v>
      </c>
      <c r="C429" t="s">
        <v>371</v>
      </c>
      <c r="D429">
        <v>37205</v>
      </c>
      <c r="E429">
        <v>18</v>
      </c>
      <c r="F429" t="s">
        <v>135</v>
      </c>
      <c r="G429" t="s">
        <v>333</v>
      </c>
      <c r="H429" t="s">
        <v>208</v>
      </c>
      <c r="I429" t="s">
        <v>209</v>
      </c>
      <c r="J429">
        <v>1</v>
      </c>
      <c r="K429">
        <v>45280.707384259258</v>
      </c>
      <c r="L429">
        <v>18</v>
      </c>
      <c r="M429" t="s">
        <v>369</v>
      </c>
      <c r="O429">
        <v>1</v>
      </c>
      <c r="P429">
        <v>18</v>
      </c>
      <c r="Q429">
        <v>0</v>
      </c>
    </row>
    <row r="430" spans="2:17" x14ac:dyDescent="0.25">
      <c r="B430" t="s">
        <v>370</v>
      </c>
      <c r="C430" t="s">
        <v>371</v>
      </c>
      <c r="D430">
        <v>37205</v>
      </c>
      <c r="E430">
        <v>32</v>
      </c>
      <c r="F430" t="s">
        <v>135</v>
      </c>
      <c r="G430" t="s">
        <v>227</v>
      </c>
      <c r="H430" t="s">
        <v>208</v>
      </c>
      <c r="I430" t="s">
        <v>209</v>
      </c>
      <c r="J430">
        <v>1</v>
      </c>
      <c r="K430">
        <v>45280.70758101852</v>
      </c>
      <c r="L430">
        <v>32</v>
      </c>
      <c r="M430" t="s">
        <v>369</v>
      </c>
      <c r="O430">
        <v>1</v>
      </c>
      <c r="P430">
        <v>32</v>
      </c>
      <c r="Q430">
        <v>0</v>
      </c>
    </row>
    <row r="431" spans="2:17" x14ac:dyDescent="0.25">
      <c r="B431" t="s">
        <v>370</v>
      </c>
      <c r="C431" t="s">
        <v>371</v>
      </c>
      <c r="D431">
        <v>37205</v>
      </c>
      <c r="E431">
        <v>26</v>
      </c>
      <c r="F431" t="s">
        <v>135</v>
      </c>
      <c r="G431" t="s">
        <v>350</v>
      </c>
      <c r="H431" t="s">
        <v>208</v>
      </c>
      <c r="I431" t="s">
        <v>209</v>
      </c>
      <c r="J431">
        <v>1</v>
      </c>
      <c r="K431">
        <v>45280.707766203705</v>
      </c>
      <c r="L431">
        <v>26</v>
      </c>
      <c r="M431" t="s">
        <v>369</v>
      </c>
      <c r="O431">
        <v>1</v>
      </c>
      <c r="P431">
        <v>26</v>
      </c>
      <c r="Q431">
        <v>0</v>
      </c>
    </row>
    <row r="432" spans="2:17" x14ac:dyDescent="0.25">
      <c r="B432" t="s">
        <v>370</v>
      </c>
      <c r="C432" t="s">
        <v>371</v>
      </c>
      <c r="D432">
        <v>37205</v>
      </c>
      <c r="E432">
        <v>14</v>
      </c>
      <c r="F432" t="s">
        <v>135</v>
      </c>
      <c r="G432" t="s">
        <v>64</v>
      </c>
      <c r="H432" t="s">
        <v>208</v>
      </c>
      <c r="I432" t="s">
        <v>209</v>
      </c>
      <c r="J432">
        <v>1</v>
      </c>
      <c r="K432">
        <v>45280.707997685182</v>
      </c>
      <c r="L432">
        <v>14</v>
      </c>
      <c r="M432" t="s">
        <v>369</v>
      </c>
      <c r="O432">
        <v>1</v>
      </c>
      <c r="P432">
        <v>14</v>
      </c>
      <c r="Q432">
        <v>0</v>
      </c>
    </row>
    <row r="433" spans="2:17" x14ac:dyDescent="0.25">
      <c r="B433" t="s">
        <v>370</v>
      </c>
      <c r="C433" t="s">
        <v>371</v>
      </c>
      <c r="D433">
        <v>37205</v>
      </c>
      <c r="E433">
        <v>10</v>
      </c>
      <c r="F433" t="s">
        <v>135</v>
      </c>
      <c r="G433" t="s">
        <v>217</v>
      </c>
      <c r="H433" t="s">
        <v>208</v>
      </c>
      <c r="I433" t="s">
        <v>209</v>
      </c>
      <c r="J433">
        <v>1</v>
      </c>
      <c r="K433">
        <v>45280.70820601852</v>
      </c>
      <c r="L433">
        <v>10</v>
      </c>
      <c r="M433" t="s">
        <v>369</v>
      </c>
      <c r="O433">
        <v>1</v>
      </c>
      <c r="P433">
        <v>10</v>
      </c>
      <c r="Q433">
        <v>0</v>
      </c>
    </row>
    <row r="434" spans="2:17" x14ac:dyDescent="0.25">
      <c r="B434" t="s">
        <v>372</v>
      </c>
      <c r="C434" t="s">
        <v>373</v>
      </c>
      <c r="D434" t="s">
        <v>374</v>
      </c>
      <c r="E434">
        <v>20000</v>
      </c>
      <c r="F434" t="s">
        <v>68</v>
      </c>
      <c r="G434" t="s">
        <v>123</v>
      </c>
      <c r="H434" t="s">
        <v>124</v>
      </c>
      <c r="I434" t="s">
        <v>105</v>
      </c>
      <c r="J434">
        <v>1</v>
      </c>
      <c r="K434">
        <v>45654.526423611111</v>
      </c>
      <c r="L434">
        <v>217000</v>
      </c>
      <c r="M434" t="s">
        <v>375</v>
      </c>
      <c r="O434">
        <v>2400</v>
      </c>
      <c r="P434">
        <v>8</v>
      </c>
      <c r="Q434">
        <v>800.00000000000136</v>
      </c>
    </row>
    <row r="435" spans="2:17" x14ac:dyDescent="0.25">
      <c r="B435" t="s">
        <v>158</v>
      </c>
      <c r="C435" t="s">
        <v>336</v>
      </c>
      <c r="D435">
        <v>1244</v>
      </c>
      <c r="E435">
        <v>1600</v>
      </c>
      <c r="F435" t="s">
        <v>68</v>
      </c>
      <c r="G435" t="s">
        <v>170</v>
      </c>
      <c r="H435" t="s">
        <v>171</v>
      </c>
      <c r="I435" t="s">
        <v>105</v>
      </c>
      <c r="J435">
        <v>0</v>
      </c>
      <c r="K435">
        <v>45294.571736111109</v>
      </c>
      <c r="L435">
        <v>30200</v>
      </c>
      <c r="O435">
        <v>2400</v>
      </c>
      <c r="P435">
        <v>0</v>
      </c>
      <c r="Q435">
        <v>1600</v>
      </c>
    </row>
    <row r="436" spans="2:17" x14ac:dyDescent="0.25">
      <c r="B436" t="s">
        <v>158</v>
      </c>
      <c r="C436" t="s">
        <v>336</v>
      </c>
      <c r="D436">
        <v>1244</v>
      </c>
      <c r="E436">
        <v>1000</v>
      </c>
      <c r="F436" t="s">
        <v>68</v>
      </c>
      <c r="G436" t="s">
        <v>172</v>
      </c>
      <c r="H436" t="s">
        <v>173</v>
      </c>
      <c r="I436" t="s">
        <v>105</v>
      </c>
      <c r="J436">
        <v>0</v>
      </c>
      <c r="K436">
        <v>45294.57203703704</v>
      </c>
      <c r="L436">
        <v>29000</v>
      </c>
      <c r="O436">
        <v>2400</v>
      </c>
      <c r="P436">
        <v>0</v>
      </c>
      <c r="Q436">
        <v>1000</v>
      </c>
    </row>
    <row r="437" spans="2:17" x14ac:dyDescent="0.25">
      <c r="B437" t="s">
        <v>158</v>
      </c>
      <c r="C437" t="s">
        <v>354</v>
      </c>
      <c r="D437">
        <v>1245</v>
      </c>
      <c r="E437">
        <v>400</v>
      </c>
      <c r="F437" t="s">
        <v>68</v>
      </c>
      <c r="G437" t="s">
        <v>117</v>
      </c>
      <c r="H437" t="s">
        <v>118</v>
      </c>
      <c r="I437" t="s">
        <v>105</v>
      </c>
      <c r="J437">
        <v>0</v>
      </c>
      <c r="K437">
        <v>45294.572604166664</v>
      </c>
      <c r="L437">
        <v>5400</v>
      </c>
      <c r="O437">
        <v>3000</v>
      </c>
      <c r="P437">
        <v>0</v>
      </c>
      <c r="Q437">
        <v>400</v>
      </c>
    </row>
    <row r="438" spans="2:17" x14ac:dyDescent="0.25">
      <c r="B438" t="s">
        <v>158</v>
      </c>
      <c r="C438" t="s">
        <v>354</v>
      </c>
      <c r="D438">
        <v>1245</v>
      </c>
      <c r="E438">
        <v>400</v>
      </c>
      <c r="F438" t="s">
        <v>68</v>
      </c>
      <c r="G438" t="s">
        <v>119</v>
      </c>
      <c r="H438" t="s">
        <v>120</v>
      </c>
      <c r="I438" t="s">
        <v>105</v>
      </c>
      <c r="J438">
        <v>0</v>
      </c>
      <c r="K438">
        <v>45294.572870370372</v>
      </c>
      <c r="L438">
        <v>29600</v>
      </c>
      <c r="O438">
        <v>2400</v>
      </c>
      <c r="P438">
        <v>0</v>
      </c>
      <c r="Q438">
        <v>400</v>
      </c>
    </row>
    <row r="439" spans="2:17" x14ac:dyDescent="0.25">
      <c r="B439" t="s">
        <v>158</v>
      </c>
      <c r="C439" t="s">
        <v>338</v>
      </c>
      <c r="D439">
        <v>1246</v>
      </c>
      <c r="E439">
        <v>4700</v>
      </c>
      <c r="F439" t="s">
        <v>68</v>
      </c>
      <c r="G439" t="s">
        <v>146</v>
      </c>
      <c r="H439" t="s">
        <v>147</v>
      </c>
      <c r="I439" t="s">
        <v>144</v>
      </c>
      <c r="J439">
        <v>0</v>
      </c>
      <c r="K439">
        <v>45294.573483796295</v>
      </c>
      <c r="L439">
        <v>14420</v>
      </c>
      <c r="O439">
        <v>500</v>
      </c>
      <c r="P439">
        <v>9</v>
      </c>
      <c r="Q439">
        <v>200.00000000000017</v>
      </c>
    </row>
    <row r="440" spans="2:17" x14ac:dyDescent="0.25">
      <c r="B440" t="s">
        <v>158</v>
      </c>
      <c r="C440" t="s">
        <v>338</v>
      </c>
      <c r="D440">
        <v>1246</v>
      </c>
      <c r="E440">
        <v>60</v>
      </c>
      <c r="F440" t="s">
        <v>68</v>
      </c>
      <c r="G440" t="s">
        <v>163</v>
      </c>
      <c r="H440" t="s">
        <v>164</v>
      </c>
      <c r="I440" t="s">
        <v>165</v>
      </c>
      <c r="J440">
        <v>0</v>
      </c>
      <c r="K440">
        <v>45294.573819444442</v>
      </c>
      <c r="L440">
        <v>-10</v>
      </c>
      <c r="O440">
        <v>300</v>
      </c>
      <c r="P440">
        <v>0</v>
      </c>
      <c r="Q440">
        <v>60</v>
      </c>
    </row>
    <row r="441" spans="2:17" x14ac:dyDescent="0.25">
      <c r="B441" t="s">
        <v>158</v>
      </c>
      <c r="C441" t="s">
        <v>338</v>
      </c>
      <c r="D441">
        <v>1246</v>
      </c>
      <c r="E441">
        <v>40</v>
      </c>
      <c r="F441" t="s">
        <v>68</v>
      </c>
      <c r="G441" t="s">
        <v>109</v>
      </c>
      <c r="H441" t="s">
        <v>162</v>
      </c>
      <c r="J441">
        <v>0</v>
      </c>
      <c r="K441">
        <v>45294.574189814812</v>
      </c>
      <c r="L441">
        <v>192</v>
      </c>
      <c r="O441">
        <v>96</v>
      </c>
      <c r="P441">
        <v>0</v>
      </c>
      <c r="Q441">
        <v>40</v>
      </c>
    </row>
    <row r="442" spans="2:17" x14ac:dyDescent="0.25">
      <c r="B442" t="s">
        <v>158</v>
      </c>
      <c r="C442" t="s">
        <v>338</v>
      </c>
      <c r="D442">
        <v>1246</v>
      </c>
      <c r="E442">
        <v>1300</v>
      </c>
      <c r="F442" t="s">
        <v>68</v>
      </c>
      <c r="G442" t="s">
        <v>201</v>
      </c>
      <c r="H442" t="s">
        <v>202</v>
      </c>
      <c r="I442" t="s">
        <v>144</v>
      </c>
      <c r="J442">
        <v>0</v>
      </c>
      <c r="K442">
        <v>45294.574537037035</v>
      </c>
      <c r="L442">
        <v>7200</v>
      </c>
      <c r="O442">
        <v>1</v>
      </c>
      <c r="P442">
        <v>1300</v>
      </c>
      <c r="Q442">
        <v>0</v>
      </c>
    </row>
    <row r="443" spans="2:17" x14ac:dyDescent="0.25">
      <c r="B443" t="s">
        <v>158</v>
      </c>
      <c r="C443" t="s">
        <v>338</v>
      </c>
      <c r="D443">
        <v>1246</v>
      </c>
      <c r="E443">
        <v>760</v>
      </c>
      <c r="F443" t="s">
        <v>135</v>
      </c>
      <c r="G443" t="s">
        <v>139</v>
      </c>
      <c r="H443" t="s">
        <v>137</v>
      </c>
      <c r="I443" t="s">
        <v>138</v>
      </c>
      <c r="J443">
        <v>0</v>
      </c>
      <c r="K443">
        <v>45294.574872685182</v>
      </c>
      <c r="L443">
        <v>3688</v>
      </c>
      <c r="O443">
        <v>144</v>
      </c>
      <c r="P443">
        <v>5</v>
      </c>
      <c r="Q443">
        <v>39.999999999999986</v>
      </c>
    </row>
    <row r="444" spans="2:17" x14ac:dyDescent="0.25">
      <c r="B444" t="s">
        <v>158</v>
      </c>
      <c r="C444" t="s">
        <v>338</v>
      </c>
      <c r="D444">
        <v>1246</v>
      </c>
      <c r="E444">
        <v>670</v>
      </c>
      <c r="F444" t="s">
        <v>135</v>
      </c>
      <c r="G444" t="s">
        <v>140</v>
      </c>
      <c r="H444" t="s">
        <v>137</v>
      </c>
      <c r="I444" t="s">
        <v>138</v>
      </c>
      <c r="J444">
        <v>0</v>
      </c>
      <c r="K444">
        <v>45294.575104166666</v>
      </c>
      <c r="L444">
        <v>3362</v>
      </c>
      <c r="O444">
        <v>144</v>
      </c>
      <c r="P444">
        <v>4</v>
      </c>
      <c r="Q444">
        <v>93.999999999999986</v>
      </c>
    </row>
    <row r="445" spans="2:17" x14ac:dyDescent="0.25">
      <c r="B445" t="s">
        <v>158</v>
      </c>
      <c r="C445" t="s">
        <v>353</v>
      </c>
      <c r="D445">
        <v>1247</v>
      </c>
      <c r="E445">
        <v>2200</v>
      </c>
      <c r="F445" t="s">
        <v>68</v>
      </c>
      <c r="G445" t="s">
        <v>110</v>
      </c>
      <c r="H445" t="s">
        <v>111</v>
      </c>
      <c r="I445" t="s">
        <v>105</v>
      </c>
      <c r="J445">
        <v>0</v>
      </c>
      <c r="K445">
        <v>45294.575648148151</v>
      </c>
      <c r="L445">
        <v>1800</v>
      </c>
      <c r="O445">
        <v>2400</v>
      </c>
      <c r="P445">
        <v>0</v>
      </c>
      <c r="Q445">
        <v>2200</v>
      </c>
    </row>
    <row r="446" spans="2:17" x14ac:dyDescent="0.25">
      <c r="B446" t="s">
        <v>158</v>
      </c>
      <c r="C446" t="s">
        <v>353</v>
      </c>
      <c r="D446">
        <v>1247</v>
      </c>
      <c r="E446">
        <v>2600</v>
      </c>
      <c r="F446" t="s">
        <v>68</v>
      </c>
      <c r="G446" t="s">
        <v>125</v>
      </c>
      <c r="H446" t="s">
        <v>126</v>
      </c>
      <c r="I446" t="s">
        <v>105</v>
      </c>
      <c r="J446">
        <v>0</v>
      </c>
      <c r="K446">
        <v>45294.575972222221</v>
      </c>
      <c r="L446">
        <v>4600</v>
      </c>
      <c r="O446">
        <v>2400</v>
      </c>
      <c r="P446">
        <v>1</v>
      </c>
      <c r="Q446">
        <v>199.99999999999983</v>
      </c>
    </row>
    <row r="447" spans="2:17" x14ac:dyDescent="0.25">
      <c r="B447" t="s">
        <v>158</v>
      </c>
      <c r="C447" t="s">
        <v>353</v>
      </c>
      <c r="D447">
        <v>1247</v>
      </c>
      <c r="E447">
        <v>35</v>
      </c>
      <c r="F447" t="s">
        <v>68</v>
      </c>
      <c r="G447">
        <v>6885</v>
      </c>
      <c r="H447" t="s">
        <v>169</v>
      </c>
      <c r="I447" t="s">
        <v>144</v>
      </c>
      <c r="J447">
        <v>0</v>
      </c>
      <c r="K447">
        <v>45294.576192129629</v>
      </c>
      <c r="L447">
        <v>600</v>
      </c>
      <c r="O447">
        <v>100</v>
      </c>
      <c r="P447">
        <v>0</v>
      </c>
      <c r="Q447">
        <v>35</v>
      </c>
    </row>
    <row r="448" spans="2:17" x14ac:dyDescent="0.25">
      <c r="B448" t="s">
        <v>158</v>
      </c>
      <c r="C448" t="s">
        <v>244</v>
      </c>
      <c r="D448">
        <v>1248</v>
      </c>
      <c r="E448">
        <v>5600</v>
      </c>
      <c r="F448" t="s">
        <v>68</v>
      </c>
      <c r="G448" t="s">
        <v>121</v>
      </c>
      <c r="H448" t="s">
        <v>122</v>
      </c>
      <c r="I448" t="s">
        <v>105</v>
      </c>
      <c r="J448">
        <v>0</v>
      </c>
      <c r="K448">
        <v>45294.576666666668</v>
      </c>
      <c r="L448">
        <v>14300</v>
      </c>
      <c r="O448">
        <v>3000</v>
      </c>
      <c r="P448">
        <v>1</v>
      </c>
      <c r="Q448">
        <v>2600</v>
      </c>
    </row>
    <row r="449" spans="2:17" x14ac:dyDescent="0.25">
      <c r="B449" t="s">
        <v>158</v>
      </c>
      <c r="C449" t="s">
        <v>244</v>
      </c>
      <c r="D449">
        <v>1248</v>
      </c>
      <c r="E449">
        <v>26</v>
      </c>
      <c r="F449" t="s">
        <v>127</v>
      </c>
      <c r="G449" t="s">
        <v>133</v>
      </c>
      <c r="H449" t="s">
        <v>134</v>
      </c>
      <c r="I449" t="s">
        <v>130</v>
      </c>
      <c r="J449">
        <v>0</v>
      </c>
      <c r="K449">
        <v>45294.577060185184</v>
      </c>
      <c r="L449">
        <v>920</v>
      </c>
      <c r="O449">
        <v>10</v>
      </c>
      <c r="P449">
        <v>2</v>
      </c>
      <c r="Q449">
        <v>6.0000000000000009</v>
      </c>
    </row>
    <row r="450" spans="2:17" x14ac:dyDescent="0.25">
      <c r="B450" t="s">
        <v>158</v>
      </c>
      <c r="C450" t="s">
        <v>244</v>
      </c>
      <c r="D450">
        <v>1248</v>
      </c>
      <c r="E450">
        <v>34</v>
      </c>
      <c r="F450" t="s">
        <v>127</v>
      </c>
      <c r="G450" t="s">
        <v>131</v>
      </c>
      <c r="H450" t="s">
        <v>132</v>
      </c>
      <c r="I450" t="s">
        <v>130</v>
      </c>
      <c r="J450">
        <v>0</v>
      </c>
      <c r="K450">
        <v>45294.577361111114</v>
      </c>
      <c r="L450">
        <v>6741</v>
      </c>
      <c r="M450">
        <v>466</v>
      </c>
      <c r="O450">
        <v>10</v>
      </c>
      <c r="P450">
        <v>3</v>
      </c>
      <c r="Q450">
        <v>3.9999999999999991</v>
      </c>
    </row>
    <row r="451" spans="2:17" x14ac:dyDescent="0.25">
      <c r="B451" t="s">
        <v>158</v>
      </c>
      <c r="C451" t="s">
        <v>337</v>
      </c>
      <c r="D451">
        <v>1249</v>
      </c>
      <c r="E451">
        <v>512</v>
      </c>
      <c r="F451" t="s">
        <v>135</v>
      </c>
      <c r="G451" t="s">
        <v>141</v>
      </c>
      <c r="H451" t="s">
        <v>137</v>
      </c>
      <c r="I451" t="s">
        <v>138</v>
      </c>
      <c r="J451">
        <v>0</v>
      </c>
      <c r="K451">
        <v>45294.577939814815</v>
      </c>
      <c r="L451">
        <v>1360</v>
      </c>
      <c r="O451">
        <v>144</v>
      </c>
      <c r="P451">
        <v>3</v>
      </c>
      <c r="Q451">
        <v>79.999999999999972</v>
      </c>
    </row>
    <row r="452" spans="2:17" x14ac:dyDescent="0.25">
      <c r="B452" t="s">
        <v>158</v>
      </c>
      <c r="C452" t="s">
        <v>297</v>
      </c>
      <c r="D452">
        <v>1250</v>
      </c>
      <c r="E452">
        <v>150</v>
      </c>
      <c r="F452" t="s">
        <v>68</v>
      </c>
      <c r="G452">
        <v>501</v>
      </c>
      <c r="H452" t="s">
        <v>178</v>
      </c>
      <c r="I452" t="s">
        <v>144</v>
      </c>
      <c r="J452">
        <v>0</v>
      </c>
      <c r="K452">
        <v>45294.578425925924</v>
      </c>
      <c r="L452">
        <v>2110</v>
      </c>
      <c r="O452">
        <v>100</v>
      </c>
      <c r="P452">
        <v>1</v>
      </c>
      <c r="Q452">
        <v>50</v>
      </c>
    </row>
    <row r="453" spans="2:17" x14ac:dyDescent="0.25">
      <c r="B453" t="s">
        <v>158</v>
      </c>
      <c r="C453" t="s">
        <v>245</v>
      </c>
      <c r="D453">
        <v>1251</v>
      </c>
      <c r="E453">
        <v>180</v>
      </c>
      <c r="F453" t="s">
        <v>174</v>
      </c>
      <c r="G453" t="s">
        <v>175</v>
      </c>
      <c r="H453" t="s">
        <v>176</v>
      </c>
      <c r="J453">
        <v>0</v>
      </c>
      <c r="K453">
        <v>45294.579074074078</v>
      </c>
      <c r="L453">
        <v>500</v>
      </c>
      <c r="O453">
        <v>20</v>
      </c>
      <c r="P453">
        <v>9</v>
      </c>
      <c r="Q453">
        <v>0</v>
      </c>
    </row>
    <row r="454" spans="2:17" x14ac:dyDescent="0.25">
      <c r="B454" t="s">
        <v>293</v>
      </c>
      <c r="C454" t="s">
        <v>309</v>
      </c>
      <c r="D454">
        <v>1265</v>
      </c>
      <c r="E454">
        <v>8100</v>
      </c>
      <c r="F454" t="s">
        <v>68</v>
      </c>
      <c r="G454" t="s">
        <v>123</v>
      </c>
      <c r="H454" t="s">
        <v>124</v>
      </c>
      <c r="I454" t="s">
        <v>105</v>
      </c>
      <c r="J454">
        <v>0</v>
      </c>
      <c r="K454">
        <v>45296.550023148149</v>
      </c>
      <c r="L454">
        <v>208900</v>
      </c>
      <c r="O454">
        <v>2400</v>
      </c>
      <c r="P454">
        <v>3</v>
      </c>
      <c r="Q454">
        <v>900</v>
      </c>
    </row>
    <row r="455" spans="2:17" x14ac:dyDescent="0.25">
      <c r="B455" t="s">
        <v>293</v>
      </c>
      <c r="C455" t="s">
        <v>376</v>
      </c>
      <c r="D455">
        <v>1266</v>
      </c>
      <c r="E455">
        <v>30</v>
      </c>
      <c r="F455" t="s">
        <v>127</v>
      </c>
      <c r="G455" t="s">
        <v>128</v>
      </c>
      <c r="H455" t="s">
        <v>129</v>
      </c>
      <c r="I455" t="s">
        <v>130</v>
      </c>
      <c r="J455">
        <v>0</v>
      </c>
      <c r="K455">
        <v>45296.581724537034</v>
      </c>
      <c r="L455">
        <v>1538</v>
      </c>
      <c r="N455" t="s">
        <v>377</v>
      </c>
      <c r="O455">
        <v>10</v>
      </c>
      <c r="P455">
        <v>3</v>
      </c>
      <c r="Q455">
        <v>0</v>
      </c>
    </row>
    <row r="456" spans="2:17" x14ac:dyDescent="0.25">
      <c r="B456" t="s">
        <v>293</v>
      </c>
      <c r="C456" t="s">
        <v>376</v>
      </c>
      <c r="D456">
        <v>1266</v>
      </c>
      <c r="E456">
        <v>30</v>
      </c>
      <c r="F456" t="s">
        <v>127</v>
      </c>
      <c r="G456" t="s">
        <v>131</v>
      </c>
      <c r="H456" t="s">
        <v>132</v>
      </c>
      <c r="I456" t="s">
        <v>130</v>
      </c>
      <c r="J456">
        <v>0</v>
      </c>
      <c r="K456">
        <v>45296.581782407404</v>
      </c>
      <c r="L456">
        <v>6711</v>
      </c>
      <c r="N456" t="s">
        <v>377</v>
      </c>
      <c r="O456">
        <v>10</v>
      </c>
      <c r="P456">
        <v>3</v>
      </c>
      <c r="Q456">
        <v>0</v>
      </c>
    </row>
    <row r="457" spans="2:17" x14ac:dyDescent="0.25">
      <c r="B457" t="s">
        <v>293</v>
      </c>
      <c r="C457" t="s">
        <v>376</v>
      </c>
      <c r="D457">
        <v>1266</v>
      </c>
      <c r="E457">
        <v>60</v>
      </c>
      <c r="F457" t="s">
        <v>127</v>
      </c>
      <c r="G457" t="s">
        <v>133</v>
      </c>
      <c r="H457" t="s">
        <v>134</v>
      </c>
      <c r="I457" t="s">
        <v>130</v>
      </c>
      <c r="J457">
        <v>0</v>
      </c>
      <c r="K457">
        <v>45296.582013888888</v>
      </c>
      <c r="L457">
        <v>860</v>
      </c>
      <c r="N457" t="s">
        <v>377</v>
      </c>
      <c r="O457">
        <v>10</v>
      </c>
      <c r="P457">
        <v>6</v>
      </c>
      <c r="Q457">
        <v>0</v>
      </c>
    </row>
    <row r="458" spans="2:17" x14ac:dyDescent="0.25">
      <c r="B458" t="s">
        <v>293</v>
      </c>
      <c r="C458" t="s">
        <v>378</v>
      </c>
      <c r="D458">
        <v>1268</v>
      </c>
      <c r="E458">
        <v>115</v>
      </c>
      <c r="F458" t="s">
        <v>68</v>
      </c>
      <c r="G458">
        <v>6885</v>
      </c>
      <c r="H458" t="s">
        <v>169</v>
      </c>
      <c r="I458" t="s">
        <v>144</v>
      </c>
      <c r="J458">
        <v>0</v>
      </c>
      <c r="K458">
        <v>45299.399756944447</v>
      </c>
      <c r="L458">
        <v>485</v>
      </c>
      <c r="O458">
        <v>100</v>
      </c>
      <c r="P458">
        <v>1</v>
      </c>
      <c r="Q458">
        <v>14.999999999999991</v>
      </c>
    </row>
    <row r="459" spans="2:17" x14ac:dyDescent="0.25">
      <c r="B459" t="s">
        <v>293</v>
      </c>
      <c r="C459" t="s">
        <v>311</v>
      </c>
      <c r="D459">
        <v>1269</v>
      </c>
      <c r="E459">
        <v>2500</v>
      </c>
      <c r="F459" t="s">
        <v>68</v>
      </c>
      <c r="G459" t="s">
        <v>146</v>
      </c>
      <c r="H459" t="s">
        <v>147</v>
      </c>
      <c r="I459" t="s">
        <v>144</v>
      </c>
      <c r="J459">
        <v>0</v>
      </c>
      <c r="K459">
        <v>45299.400509259256</v>
      </c>
      <c r="L459">
        <v>11920</v>
      </c>
      <c r="O459">
        <v>500</v>
      </c>
      <c r="P459">
        <v>5</v>
      </c>
      <c r="Q459">
        <v>0</v>
      </c>
    </row>
    <row r="460" spans="2:17" x14ac:dyDescent="0.25">
      <c r="B460" t="s">
        <v>293</v>
      </c>
      <c r="C460" t="s">
        <v>379</v>
      </c>
      <c r="D460">
        <v>1270</v>
      </c>
      <c r="E460">
        <v>5</v>
      </c>
      <c r="F460" t="s">
        <v>68</v>
      </c>
      <c r="G460" t="s">
        <v>182</v>
      </c>
      <c r="H460" t="s">
        <v>183</v>
      </c>
      <c r="J460">
        <v>0</v>
      </c>
      <c r="K460">
        <v>45299.401192129626</v>
      </c>
      <c r="L460">
        <v>29</v>
      </c>
      <c r="O460">
        <v>36</v>
      </c>
      <c r="P460">
        <v>0</v>
      </c>
      <c r="Q460">
        <v>5</v>
      </c>
    </row>
    <row r="461" spans="2:17" x14ac:dyDescent="0.25">
      <c r="B461" t="s">
        <v>293</v>
      </c>
      <c r="C461" t="s">
        <v>379</v>
      </c>
      <c r="D461">
        <v>1270</v>
      </c>
      <c r="E461">
        <v>200</v>
      </c>
      <c r="F461" t="s">
        <v>68</v>
      </c>
      <c r="G461" t="s">
        <v>159</v>
      </c>
      <c r="H461" t="s">
        <v>160</v>
      </c>
      <c r="I461" t="s">
        <v>161</v>
      </c>
      <c r="J461">
        <v>0</v>
      </c>
      <c r="K461">
        <v>45299.401458333334</v>
      </c>
      <c r="L461">
        <v>3012</v>
      </c>
      <c r="O461">
        <v>36</v>
      </c>
      <c r="P461">
        <v>5</v>
      </c>
      <c r="Q461">
        <v>19.999999999999993</v>
      </c>
    </row>
    <row r="462" spans="2:17" x14ac:dyDescent="0.25">
      <c r="B462" t="s">
        <v>293</v>
      </c>
      <c r="C462" t="s">
        <v>379</v>
      </c>
      <c r="D462">
        <v>1270</v>
      </c>
      <c r="E462">
        <v>30</v>
      </c>
      <c r="F462" t="s">
        <v>68</v>
      </c>
      <c r="G462">
        <v>6885</v>
      </c>
      <c r="H462" t="s">
        <v>169</v>
      </c>
      <c r="I462" t="s">
        <v>144</v>
      </c>
      <c r="J462">
        <v>0</v>
      </c>
      <c r="K462">
        <v>45299.401990740742</v>
      </c>
      <c r="L462">
        <v>455</v>
      </c>
      <c r="O462">
        <v>100</v>
      </c>
      <c r="P462">
        <v>0</v>
      </c>
      <c r="Q462">
        <v>30</v>
      </c>
    </row>
    <row r="463" spans="2:17" x14ac:dyDescent="0.25">
      <c r="B463" t="s">
        <v>293</v>
      </c>
      <c r="C463" t="s">
        <v>379</v>
      </c>
      <c r="D463">
        <v>1270</v>
      </c>
      <c r="E463">
        <v>24</v>
      </c>
      <c r="F463" t="s">
        <v>68</v>
      </c>
      <c r="G463" t="s">
        <v>166</v>
      </c>
      <c r="H463" t="s">
        <v>167</v>
      </c>
      <c r="J463">
        <v>0</v>
      </c>
      <c r="K463">
        <v>45299.402303240742</v>
      </c>
      <c r="L463">
        <v>632</v>
      </c>
      <c r="O463">
        <v>4</v>
      </c>
      <c r="P463">
        <v>6</v>
      </c>
      <c r="Q463">
        <v>0</v>
      </c>
    </row>
    <row r="464" spans="2:17" x14ac:dyDescent="0.25">
      <c r="B464" t="s">
        <v>293</v>
      </c>
      <c r="C464" t="s">
        <v>379</v>
      </c>
      <c r="D464">
        <v>1270</v>
      </c>
      <c r="E464">
        <v>24</v>
      </c>
      <c r="F464" t="s">
        <v>68</v>
      </c>
      <c r="G464">
        <v>6800</v>
      </c>
      <c r="H464" t="s">
        <v>150</v>
      </c>
      <c r="I464" t="s">
        <v>144</v>
      </c>
      <c r="J464">
        <v>0</v>
      </c>
      <c r="K464">
        <v>45299.402569444443</v>
      </c>
      <c r="L464">
        <v>239</v>
      </c>
      <c r="O464">
        <v>4</v>
      </c>
      <c r="P464">
        <v>6</v>
      </c>
      <c r="Q464">
        <v>0</v>
      </c>
    </row>
    <row r="465" spans="2:17" x14ac:dyDescent="0.25">
      <c r="B465" t="s">
        <v>293</v>
      </c>
      <c r="C465" t="s">
        <v>380</v>
      </c>
      <c r="D465">
        <v>1271</v>
      </c>
      <c r="E465">
        <v>25</v>
      </c>
      <c r="F465" t="s">
        <v>68</v>
      </c>
      <c r="G465" t="s">
        <v>166</v>
      </c>
      <c r="H465" t="s">
        <v>167</v>
      </c>
      <c r="J465">
        <v>0</v>
      </c>
      <c r="K465">
        <v>45299.403101851851</v>
      </c>
      <c r="L465">
        <v>607</v>
      </c>
      <c r="O465">
        <v>4</v>
      </c>
      <c r="P465">
        <v>6</v>
      </c>
      <c r="Q465">
        <v>1</v>
      </c>
    </row>
    <row r="466" spans="2:17" x14ac:dyDescent="0.25">
      <c r="B466" t="s">
        <v>293</v>
      </c>
      <c r="C466" t="s">
        <v>376</v>
      </c>
      <c r="D466">
        <v>1272</v>
      </c>
      <c r="E466">
        <v>120</v>
      </c>
      <c r="F466" t="s">
        <v>127</v>
      </c>
      <c r="G466" t="s">
        <v>133</v>
      </c>
      <c r="H466" t="s">
        <v>134</v>
      </c>
      <c r="I466" t="s">
        <v>130</v>
      </c>
      <c r="J466">
        <v>0</v>
      </c>
      <c r="K466">
        <v>45299.403854166667</v>
      </c>
      <c r="L466">
        <v>740</v>
      </c>
      <c r="O466">
        <v>10</v>
      </c>
      <c r="P466">
        <v>12</v>
      </c>
      <c r="Q466">
        <v>0</v>
      </c>
    </row>
    <row r="467" spans="2:17" x14ac:dyDescent="0.25">
      <c r="B467" t="s">
        <v>293</v>
      </c>
      <c r="C467" t="s">
        <v>376</v>
      </c>
      <c r="D467">
        <v>1272</v>
      </c>
      <c r="E467">
        <v>60</v>
      </c>
      <c r="F467" t="s">
        <v>127</v>
      </c>
      <c r="G467" t="s">
        <v>128</v>
      </c>
      <c r="H467" t="s">
        <v>129</v>
      </c>
      <c r="I467" t="s">
        <v>130</v>
      </c>
      <c r="J467">
        <v>0</v>
      </c>
      <c r="K467">
        <v>45299.404166666667</v>
      </c>
      <c r="L467">
        <v>1478</v>
      </c>
      <c r="O467">
        <v>10</v>
      </c>
      <c r="P467">
        <v>6</v>
      </c>
      <c r="Q467">
        <v>0</v>
      </c>
    </row>
    <row r="468" spans="2:17" x14ac:dyDescent="0.25">
      <c r="B468" t="s">
        <v>293</v>
      </c>
      <c r="C468" t="s">
        <v>376</v>
      </c>
      <c r="D468">
        <v>1272</v>
      </c>
      <c r="E468">
        <v>60</v>
      </c>
      <c r="F468" t="s">
        <v>127</v>
      </c>
      <c r="G468" t="s">
        <v>131</v>
      </c>
      <c r="H468" t="s">
        <v>132</v>
      </c>
      <c r="I468" t="s">
        <v>130</v>
      </c>
      <c r="J468">
        <v>0</v>
      </c>
      <c r="K468">
        <v>45299.404479166667</v>
      </c>
      <c r="L468">
        <v>6651</v>
      </c>
      <c r="M468">
        <v>6422</v>
      </c>
      <c r="O468">
        <v>10</v>
      </c>
      <c r="P468">
        <v>6</v>
      </c>
      <c r="Q468">
        <v>0</v>
      </c>
    </row>
    <row r="469" spans="2:17" x14ac:dyDescent="0.25">
      <c r="B469" t="s">
        <v>381</v>
      </c>
      <c r="C469" t="s">
        <v>382</v>
      </c>
      <c r="D469" t="s">
        <v>106</v>
      </c>
      <c r="E469">
        <v>1000</v>
      </c>
      <c r="F469" t="s">
        <v>68</v>
      </c>
      <c r="G469">
        <v>501</v>
      </c>
      <c r="H469" t="s">
        <v>178</v>
      </c>
      <c r="I469" t="s">
        <v>144</v>
      </c>
      <c r="J469">
        <v>1</v>
      </c>
      <c r="K469">
        <v>45299.642060185186</v>
      </c>
      <c r="L469">
        <v>3110</v>
      </c>
      <c r="M469">
        <v>45383</v>
      </c>
      <c r="O469">
        <v>100</v>
      </c>
      <c r="P469">
        <v>10</v>
      </c>
      <c r="Q469">
        <v>0</v>
      </c>
    </row>
    <row r="470" spans="2:17" x14ac:dyDescent="0.25">
      <c r="B470" t="s">
        <v>381</v>
      </c>
      <c r="C470" t="s">
        <v>382</v>
      </c>
      <c r="D470" t="s">
        <v>106</v>
      </c>
      <c r="E470">
        <v>2000</v>
      </c>
      <c r="F470" t="s">
        <v>68</v>
      </c>
      <c r="G470" t="s">
        <v>201</v>
      </c>
      <c r="H470" t="s">
        <v>202</v>
      </c>
      <c r="I470" t="s">
        <v>144</v>
      </c>
      <c r="J470">
        <v>1</v>
      </c>
      <c r="K470">
        <v>45299.643900462965</v>
      </c>
      <c r="L470">
        <v>9200</v>
      </c>
      <c r="M470">
        <v>45383</v>
      </c>
      <c r="O470">
        <v>1</v>
      </c>
      <c r="P470">
        <v>2000</v>
      </c>
      <c r="Q470">
        <v>0</v>
      </c>
    </row>
    <row r="471" spans="2:17" x14ac:dyDescent="0.25">
      <c r="B471" t="s">
        <v>383</v>
      </c>
      <c r="C471" t="s">
        <v>384</v>
      </c>
      <c r="D471" t="s">
        <v>106</v>
      </c>
      <c r="E471">
        <v>6420</v>
      </c>
      <c r="F471" t="s">
        <v>68</v>
      </c>
      <c r="G471">
        <v>6001</v>
      </c>
      <c r="H471" t="s">
        <v>149</v>
      </c>
      <c r="I471" t="s">
        <v>144</v>
      </c>
      <c r="J471">
        <v>1</v>
      </c>
      <c r="K471">
        <v>45299.646527777775</v>
      </c>
      <c r="L471">
        <v>8100</v>
      </c>
      <c r="M471">
        <v>45383</v>
      </c>
      <c r="O471">
        <v>60</v>
      </c>
      <c r="P471">
        <v>107</v>
      </c>
      <c r="Q471">
        <v>0</v>
      </c>
    </row>
    <row r="472" spans="2:17" x14ac:dyDescent="0.25">
      <c r="B472" t="s">
        <v>385</v>
      </c>
      <c r="C472" t="s">
        <v>386</v>
      </c>
      <c r="D472" t="s">
        <v>106</v>
      </c>
      <c r="E472">
        <v>20000</v>
      </c>
      <c r="F472" t="s">
        <v>68</v>
      </c>
      <c r="G472" t="s">
        <v>146</v>
      </c>
      <c r="H472" t="s">
        <v>147</v>
      </c>
      <c r="I472" t="s">
        <v>144</v>
      </c>
      <c r="J472">
        <v>1</v>
      </c>
      <c r="K472">
        <v>45299.649270833332</v>
      </c>
      <c r="L472">
        <v>31920</v>
      </c>
      <c r="M472">
        <v>45383</v>
      </c>
      <c r="O472">
        <v>440</v>
      </c>
      <c r="P472">
        <v>45</v>
      </c>
      <c r="Q472">
        <v>199.99999999999943</v>
      </c>
    </row>
    <row r="473" spans="2:17" x14ac:dyDescent="0.25">
      <c r="B473" t="s">
        <v>293</v>
      </c>
      <c r="C473" t="s">
        <v>356</v>
      </c>
      <c r="D473">
        <v>1275</v>
      </c>
      <c r="E473">
        <v>1150</v>
      </c>
      <c r="F473" t="s">
        <v>68</v>
      </c>
      <c r="G473" t="s">
        <v>155</v>
      </c>
      <c r="H473" t="s">
        <v>156</v>
      </c>
      <c r="J473">
        <v>0</v>
      </c>
      <c r="K473">
        <v>45300.569618055553</v>
      </c>
      <c r="L473">
        <v>548</v>
      </c>
      <c r="O473">
        <v>1</v>
      </c>
      <c r="P473">
        <v>1150</v>
      </c>
      <c r="Q473">
        <v>0</v>
      </c>
    </row>
    <row r="474" spans="2:17" x14ac:dyDescent="0.25">
      <c r="B474" t="s">
        <v>158</v>
      </c>
      <c r="C474" t="s">
        <v>338</v>
      </c>
      <c r="D474">
        <v>1274</v>
      </c>
      <c r="E474">
        <v>4700</v>
      </c>
      <c r="F474" t="s">
        <v>68</v>
      </c>
      <c r="G474" t="s">
        <v>146</v>
      </c>
      <c r="H474" t="s">
        <v>147</v>
      </c>
      <c r="I474" t="s">
        <v>144</v>
      </c>
      <c r="J474">
        <v>0</v>
      </c>
      <c r="K474">
        <v>45300.570497685185</v>
      </c>
      <c r="L474">
        <v>27220</v>
      </c>
      <c r="O474">
        <v>440</v>
      </c>
      <c r="P474">
        <v>10</v>
      </c>
      <c r="Q474">
        <v>299.99999999999994</v>
      </c>
    </row>
    <row r="475" spans="2:17" x14ac:dyDescent="0.25">
      <c r="B475" t="s">
        <v>158</v>
      </c>
      <c r="C475" t="s">
        <v>244</v>
      </c>
      <c r="D475">
        <v>1273</v>
      </c>
      <c r="E475">
        <v>5100</v>
      </c>
      <c r="F475" t="s">
        <v>68</v>
      </c>
      <c r="G475" t="s">
        <v>121</v>
      </c>
      <c r="H475" t="s">
        <v>122</v>
      </c>
      <c r="I475" t="s">
        <v>105</v>
      </c>
      <c r="J475">
        <v>0</v>
      </c>
      <c r="K475">
        <v>45300.571342592593</v>
      </c>
      <c r="L475">
        <v>9200</v>
      </c>
      <c r="O475">
        <v>3000</v>
      </c>
      <c r="P475">
        <v>1</v>
      </c>
      <c r="Q475">
        <v>2100</v>
      </c>
    </row>
    <row r="476" spans="2:17" x14ac:dyDescent="0.25">
      <c r="B476" t="s">
        <v>158</v>
      </c>
      <c r="C476" t="s">
        <v>244</v>
      </c>
      <c r="D476">
        <v>1273</v>
      </c>
      <c r="E476">
        <v>34</v>
      </c>
      <c r="F476" t="s">
        <v>127</v>
      </c>
      <c r="G476" t="s">
        <v>131</v>
      </c>
      <c r="H476" t="s">
        <v>132</v>
      </c>
      <c r="I476" t="s">
        <v>130</v>
      </c>
      <c r="J476">
        <v>0</v>
      </c>
      <c r="K476">
        <v>45300.571840277778</v>
      </c>
      <c r="L476">
        <v>6617</v>
      </c>
      <c r="O476">
        <v>10</v>
      </c>
      <c r="P476">
        <v>3</v>
      </c>
      <c r="Q476">
        <v>3.9999999999999991</v>
      </c>
    </row>
    <row r="477" spans="2:17" x14ac:dyDescent="0.25">
      <c r="B477" t="s">
        <v>387</v>
      </c>
      <c r="C477" t="s">
        <v>388</v>
      </c>
      <c r="D477">
        <v>37205</v>
      </c>
      <c r="E477">
        <v>2</v>
      </c>
      <c r="F477" t="s">
        <v>68</v>
      </c>
      <c r="G477" t="s">
        <v>334</v>
      </c>
      <c r="H477" t="s">
        <v>208</v>
      </c>
      <c r="I477" t="s">
        <v>209</v>
      </c>
      <c r="J477">
        <v>1</v>
      </c>
      <c r="K477">
        <v>45302.429699074077</v>
      </c>
      <c r="L477">
        <v>24</v>
      </c>
      <c r="M477">
        <v>45352</v>
      </c>
      <c r="O477">
        <v>1</v>
      </c>
      <c r="P477">
        <v>2</v>
      </c>
      <c r="Q477">
        <v>0</v>
      </c>
    </row>
    <row r="478" spans="2:17" x14ac:dyDescent="0.25">
      <c r="B478" t="s">
        <v>387</v>
      </c>
      <c r="C478" t="s">
        <v>388</v>
      </c>
      <c r="D478">
        <v>37205</v>
      </c>
      <c r="E478">
        <v>3</v>
      </c>
      <c r="F478" t="s">
        <v>135</v>
      </c>
      <c r="G478" t="s">
        <v>226</v>
      </c>
      <c r="H478" t="s">
        <v>208</v>
      </c>
      <c r="I478" t="s">
        <v>209</v>
      </c>
      <c r="J478">
        <v>1</v>
      </c>
      <c r="K478">
        <v>45302.429872685185</v>
      </c>
      <c r="L478">
        <v>24</v>
      </c>
      <c r="M478">
        <v>45352</v>
      </c>
      <c r="O478">
        <v>1</v>
      </c>
      <c r="P478">
        <v>3</v>
      </c>
      <c r="Q478">
        <v>0</v>
      </c>
    </row>
    <row r="479" spans="2:17" x14ac:dyDescent="0.25">
      <c r="B479" t="s">
        <v>387</v>
      </c>
      <c r="C479" t="s">
        <v>388</v>
      </c>
      <c r="D479">
        <v>37205</v>
      </c>
      <c r="E479">
        <v>19</v>
      </c>
      <c r="F479" t="s">
        <v>135</v>
      </c>
      <c r="G479" t="s">
        <v>333</v>
      </c>
      <c r="H479" t="s">
        <v>208</v>
      </c>
      <c r="I479" t="s">
        <v>209</v>
      </c>
      <c r="J479">
        <v>1</v>
      </c>
      <c r="K479">
        <v>45302.4299537037</v>
      </c>
      <c r="L479">
        <v>37</v>
      </c>
      <c r="M479">
        <v>45352</v>
      </c>
      <c r="O479">
        <v>1</v>
      </c>
      <c r="P479">
        <v>19</v>
      </c>
      <c r="Q479">
        <v>0</v>
      </c>
    </row>
    <row r="480" spans="2:17" x14ac:dyDescent="0.25">
      <c r="B480" t="s">
        <v>387</v>
      </c>
      <c r="C480" t="s">
        <v>388</v>
      </c>
      <c r="D480">
        <v>37205</v>
      </c>
      <c r="E480">
        <v>8</v>
      </c>
      <c r="F480" t="s">
        <v>135</v>
      </c>
      <c r="G480" t="s">
        <v>227</v>
      </c>
      <c r="H480" t="s">
        <v>208</v>
      </c>
      <c r="I480" t="s">
        <v>209</v>
      </c>
      <c r="J480">
        <v>1</v>
      </c>
      <c r="K480">
        <v>45302.430034722223</v>
      </c>
      <c r="L480">
        <v>40</v>
      </c>
      <c r="M480">
        <v>45352</v>
      </c>
      <c r="O480">
        <v>1</v>
      </c>
      <c r="P480">
        <v>8</v>
      </c>
      <c r="Q480">
        <v>0</v>
      </c>
    </row>
    <row r="481" spans="2:17" x14ac:dyDescent="0.25">
      <c r="B481" t="s">
        <v>387</v>
      </c>
      <c r="C481" t="s">
        <v>388</v>
      </c>
      <c r="D481">
        <v>37205</v>
      </c>
      <c r="E481">
        <v>25</v>
      </c>
      <c r="F481" t="s">
        <v>135</v>
      </c>
      <c r="G481" t="s">
        <v>350</v>
      </c>
      <c r="H481" t="s">
        <v>208</v>
      </c>
      <c r="I481" t="s">
        <v>209</v>
      </c>
      <c r="J481">
        <v>1</v>
      </c>
      <c r="K481">
        <v>45302.430162037039</v>
      </c>
      <c r="L481">
        <v>51</v>
      </c>
      <c r="M481">
        <v>45352</v>
      </c>
      <c r="O481">
        <v>1</v>
      </c>
      <c r="P481">
        <v>25</v>
      </c>
      <c r="Q481">
        <v>0</v>
      </c>
    </row>
    <row r="482" spans="2:17" x14ac:dyDescent="0.25">
      <c r="B482" t="s">
        <v>387</v>
      </c>
      <c r="C482" t="s">
        <v>388</v>
      </c>
      <c r="D482">
        <v>37205</v>
      </c>
      <c r="E482">
        <v>50</v>
      </c>
      <c r="F482" t="s">
        <v>135</v>
      </c>
      <c r="G482" t="s">
        <v>217</v>
      </c>
      <c r="H482" t="s">
        <v>208</v>
      </c>
      <c r="I482" t="s">
        <v>209</v>
      </c>
      <c r="J482">
        <v>1</v>
      </c>
      <c r="K482">
        <v>45302.430347222224</v>
      </c>
      <c r="L482">
        <v>60</v>
      </c>
      <c r="M482">
        <v>45352</v>
      </c>
      <c r="O482">
        <v>1</v>
      </c>
      <c r="P482">
        <v>50</v>
      </c>
      <c r="Q482">
        <v>0</v>
      </c>
    </row>
    <row r="483" spans="2:17" x14ac:dyDescent="0.25">
      <c r="B483" t="s">
        <v>387</v>
      </c>
      <c r="C483" t="s">
        <v>388</v>
      </c>
      <c r="D483">
        <v>37205</v>
      </c>
      <c r="E483">
        <v>42</v>
      </c>
      <c r="F483" t="s">
        <v>135</v>
      </c>
      <c r="G483" t="s">
        <v>218</v>
      </c>
      <c r="H483" t="s">
        <v>208</v>
      </c>
      <c r="I483" t="s">
        <v>209</v>
      </c>
      <c r="J483">
        <v>1</v>
      </c>
      <c r="K483">
        <v>45302.430520833332</v>
      </c>
      <c r="L483">
        <v>42</v>
      </c>
      <c r="M483">
        <v>45352</v>
      </c>
      <c r="O483">
        <v>1</v>
      </c>
      <c r="P483">
        <v>42</v>
      </c>
      <c r="Q483">
        <v>0</v>
      </c>
    </row>
    <row r="484" spans="2:17" x14ac:dyDescent="0.25">
      <c r="B484" t="s">
        <v>387</v>
      </c>
      <c r="C484" t="s">
        <v>388</v>
      </c>
      <c r="D484">
        <v>37205</v>
      </c>
      <c r="E484">
        <v>8</v>
      </c>
      <c r="F484" t="s">
        <v>135</v>
      </c>
      <c r="G484" t="s">
        <v>65</v>
      </c>
      <c r="H484" t="s">
        <v>208</v>
      </c>
      <c r="I484" t="s">
        <v>209</v>
      </c>
      <c r="J484">
        <v>1</v>
      </c>
      <c r="K484">
        <v>45302.430601851855</v>
      </c>
      <c r="L484">
        <v>8</v>
      </c>
      <c r="M484">
        <v>45352</v>
      </c>
      <c r="O484">
        <v>1</v>
      </c>
      <c r="P484">
        <v>8</v>
      </c>
      <c r="Q484">
        <v>0</v>
      </c>
    </row>
    <row r="485" spans="2:17" x14ac:dyDescent="0.25">
      <c r="B485" t="s">
        <v>387</v>
      </c>
      <c r="C485" t="s">
        <v>388</v>
      </c>
      <c r="D485">
        <v>37205</v>
      </c>
      <c r="E485">
        <v>27</v>
      </c>
      <c r="F485" t="s">
        <v>135</v>
      </c>
      <c r="G485" t="s">
        <v>219</v>
      </c>
      <c r="H485" t="s">
        <v>208</v>
      </c>
      <c r="I485" t="s">
        <v>209</v>
      </c>
      <c r="J485">
        <v>1</v>
      </c>
      <c r="K485">
        <v>45302.430787037039</v>
      </c>
      <c r="L485">
        <v>27</v>
      </c>
      <c r="M485">
        <v>45352</v>
      </c>
      <c r="O485">
        <v>1</v>
      </c>
      <c r="P485">
        <v>27</v>
      </c>
      <c r="Q485">
        <v>0</v>
      </c>
    </row>
    <row r="486" spans="2:17" x14ac:dyDescent="0.25">
      <c r="B486" t="s">
        <v>293</v>
      </c>
      <c r="C486" t="s">
        <v>311</v>
      </c>
      <c r="D486">
        <v>1279</v>
      </c>
      <c r="E486">
        <v>800</v>
      </c>
      <c r="F486" t="s">
        <v>68</v>
      </c>
      <c r="G486" t="s">
        <v>179</v>
      </c>
      <c r="H486" t="s">
        <v>180</v>
      </c>
      <c r="I486" t="s">
        <v>144</v>
      </c>
      <c r="J486">
        <v>0</v>
      </c>
      <c r="K486">
        <v>45301.473229166666</v>
      </c>
      <c r="L486">
        <v>0</v>
      </c>
      <c r="O486">
        <v>2000</v>
      </c>
      <c r="P486">
        <v>0</v>
      </c>
      <c r="Q486">
        <v>800</v>
      </c>
    </row>
    <row r="487" spans="2:17" x14ac:dyDescent="0.25">
      <c r="B487" t="s">
        <v>293</v>
      </c>
      <c r="C487" t="s">
        <v>311</v>
      </c>
      <c r="D487">
        <v>1279</v>
      </c>
      <c r="E487">
        <v>2500</v>
      </c>
      <c r="F487" t="s">
        <v>68</v>
      </c>
      <c r="G487" t="s">
        <v>146</v>
      </c>
      <c r="H487" t="s">
        <v>147</v>
      </c>
      <c r="I487" t="s">
        <v>144</v>
      </c>
      <c r="J487">
        <v>0</v>
      </c>
      <c r="K487">
        <v>45301.473645833335</v>
      </c>
      <c r="L487">
        <v>24720</v>
      </c>
      <c r="O487">
        <v>440</v>
      </c>
      <c r="P487">
        <v>5</v>
      </c>
      <c r="Q487">
        <v>299.99999999999994</v>
      </c>
    </row>
    <row r="488" spans="2:17" x14ac:dyDescent="0.25">
      <c r="B488" t="s">
        <v>293</v>
      </c>
      <c r="C488" t="s">
        <v>311</v>
      </c>
      <c r="D488">
        <v>1279</v>
      </c>
      <c r="E488">
        <v>500</v>
      </c>
      <c r="F488" t="s">
        <v>68</v>
      </c>
      <c r="G488" t="s">
        <v>155</v>
      </c>
      <c r="H488" t="s">
        <v>156</v>
      </c>
      <c r="J488">
        <v>0</v>
      </c>
      <c r="K488">
        <v>45301.473981481482</v>
      </c>
      <c r="L488">
        <v>48</v>
      </c>
      <c r="O488">
        <v>1</v>
      </c>
      <c r="P488">
        <v>500</v>
      </c>
      <c r="Q488">
        <v>0</v>
      </c>
    </row>
    <row r="489" spans="2:17" x14ac:dyDescent="0.25">
      <c r="B489" t="s">
        <v>293</v>
      </c>
      <c r="C489" t="s">
        <v>376</v>
      </c>
      <c r="D489">
        <v>1281</v>
      </c>
      <c r="E489">
        <v>120</v>
      </c>
      <c r="F489" t="s">
        <v>127</v>
      </c>
      <c r="G489" t="s">
        <v>133</v>
      </c>
      <c r="H489" t="s">
        <v>129</v>
      </c>
      <c r="I489" t="s">
        <v>130</v>
      </c>
      <c r="J489">
        <v>0</v>
      </c>
      <c r="K489">
        <v>45301.47583333333</v>
      </c>
      <c r="L489">
        <v>620</v>
      </c>
      <c r="O489">
        <v>10</v>
      </c>
      <c r="P489">
        <v>12</v>
      </c>
      <c r="Q489">
        <v>0</v>
      </c>
    </row>
    <row r="490" spans="2:17" x14ac:dyDescent="0.25">
      <c r="B490" t="s">
        <v>293</v>
      </c>
      <c r="C490" t="s">
        <v>376</v>
      </c>
      <c r="D490">
        <v>1281</v>
      </c>
      <c r="E490">
        <v>60</v>
      </c>
      <c r="F490" t="s">
        <v>127</v>
      </c>
      <c r="G490" t="s">
        <v>128</v>
      </c>
      <c r="H490" t="s">
        <v>129</v>
      </c>
      <c r="I490" t="s">
        <v>130</v>
      </c>
      <c r="J490">
        <v>0</v>
      </c>
      <c r="K490">
        <v>45301.476111111115</v>
      </c>
      <c r="L490">
        <v>1418</v>
      </c>
      <c r="O490">
        <v>10</v>
      </c>
      <c r="P490">
        <v>6</v>
      </c>
      <c r="Q490">
        <v>0</v>
      </c>
    </row>
    <row r="491" spans="2:17" x14ac:dyDescent="0.25">
      <c r="B491" t="s">
        <v>293</v>
      </c>
      <c r="C491" t="s">
        <v>376</v>
      </c>
      <c r="D491">
        <v>1281</v>
      </c>
      <c r="E491">
        <v>60</v>
      </c>
      <c r="F491" t="s">
        <v>127</v>
      </c>
      <c r="G491" t="s">
        <v>131</v>
      </c>
      <c r="H491" t="s">
        <v>132</v>
      </c>
      <c r="I491" t="s">
        <v>130</v>
      </c>
      <c r="J491">
        <v>0</v>
      </c>
      <c r="K491">
        <v>45301.476331018515</v>
      </c>
      <c r="L491">
        <v>6557</v>
      </c>
      <c r="O491">
        <v>10</v>
      </c>
      <c r="P491">
        <v>6</v>
      </c>
      <c r="Q491">
        <v>0</v>
      </c>
    </row>
    <row r="492" spans="2:17" x14ac:dyDescent="0.25">
      <c r="B492" t="s">
        <v>293</v>
      </c>
      <c r="C492" t="s">
        <v>326</v>
      </c>
      <c r="D492">
        <v>1282</v>
      </c>
      <c r="E492">
        <v>144</v>
      </c>
      <c r="F492" t="s">
        <v>135</v>
      </c>
      <c r="G492" t="s">
        <v>140</v>
      </c>
      <c r="H492" t="s">
        <v>137</v>
      </c>
      <c r="I492" t="s">
        <v>138</v>
      </c>
      <c r="J492">
        <v>0</v>
      </c>
      <c r="K492">
        <v>45301.477175925924</v>
      </c>
      <c r="L492">
        <v>3218</v>
      </c>
      <c r="O492">
        <v>144</v>
      </c>
      <c r="P492">
        <v>1</v>
      </c>
      <c r="Q492">
        <v>0</v>
      </c>
    </row>
    <row r="493" spans="2:17" x14ac:dyDescent="0.25">
      <c r="B493" t="s">
        <v>293</v>
      </c>
      <c r="C493" t="s">
        <v>389</v>
      </c>
      <c r="D493">
        <v>1276</v>
      </c>
      <c r="E493">
        <v>36</v>
      </c>
      <c r="F493" t="s">
        <v>68</v>
      </c>
      <c r="G493" t="s">
        <v>166</v>
      </c>
      <c r="H493" t="s">
        <v>167</v>
      </c>
      <c r="J493">
        <v>0</v>
      </c>
      <c r="K493">
        <v>45301.477685185186</v>
      </c>
      <c r="L493">
        <v>571</v>
      </c>
      <c r="O493">
        <v>4</v>
      </c>
      <c r="P493">
        <v>9</v>
      </c>
      <c r="Q493">
        <v>0</v>
      </c>
    </row>
    <row r="494" spans="2:17" x14ac:dyDescent="0.25">
      <c r="B494" t="s">
        <v>293</v>
      </c>
      <c r="C494" t="s">
        <v>247</v>
      </c>
      <c r="D494">
        <v>1280</v>
      </c>
      <c r="E494">
        <v>6</v>
      </c>
      <c r="F494" t="s">
        <v>68</v>
      </c>
      <c r="G494">
        <v>6200</v>
      </c>
      <c r="H494" t="s">
        <v>148</v>
      </c>
      <c r="I494" t="s">
        <v>144</v>
      </c>
      <c r="J494">
        <v>0</v>
      </c>
      <c r="K494">
        <v>45301.478587962964</v>
      </c>
      <c r="L494">
        <v>209</v>
      </c>
      <c r="O494">
        <v>24</v>
      </c>
      <c r="P494">
        <v>0</v>
      </c>
      <c r="Q494">
        <v>6</v>
      </c>
    </row>
    <row r="495" spans="2:17" x14ac:dyDescent="0.25">
      <c r="B495" t="s">
        <v>293</v>
      </c>
      <c r="C495" t="s">
        <v>247</v>
      </c>
      <c r="D495">
        <v>1280</v>
      </c>
      <c r="E495">
        <v>150</v>
      </c>
      <c r="F495" t="s">
        <v>68</v>
      </c>
      <c r="G495" t="s">
        <v>153</v>
      </c>
      <c r="H495" t="s">
        <v>154</v>
      </c>
      <c r="I495" t="s">
        <v>105</v>
      </c>
      <c r="J495">
        <v>0</v>
      </c>
      <c r="K495">
        <v>45301.478842592594</v>
      </c>
      <c r="L495">
        <v>1800</v>
      </c>
      <c r="O495">
        <v>100</v>
      </c>
      <c r="P495">
        <v>1</v>
      </c>
      <c r="Q495">
        <v>50</v>
      </c>
    </row>
    <row r="496" spans="2:17" x14ac:dyDescent="0.25">
      <c r="B496" t="s">
        <v>293</v>
      </c>
      <c r="C496" t="s">
        <v>327</v>
      </c>
      <c r="D496">
        <v>1283</v>
      </c>
      <c r="E496">
        <v>6000</v>
      </c>
      <c r="F496" t="s">
        <v>68</v>
      </c>
      <c r="G496" t="s">
        <v>107</v>
      </c>
      <c r="H496" t="s">
        <v>108</v>
      </c>
      <c r="I496" t="s">
        <v>105</v>
      </c>
      <c r="J496">
        <v>0</v>
      </c>
      <c r="K496">
        <v>45301.479675925926</v>
      </c>
      <c r="L496">
        <v>14000</v>
      </c>
      <c r="O496">
        <v>1200</v>
      </c>
      <c r="P496">
        <v>5</v>
      </c>
      <c r="Q496">
        <v>0</v>
      </c>
    </row>
    <row r="497" spans="2:17" x14ac:dyDescent="0.25">
      <c r="B497" t="s">
        <v>293</v>
      </c>
      <c r="C497" t="s">
        <v>248</v>
      </c>
      <c r="D497">
        <v>1278</v>
      </c>
      <c r="E497">
        <v>300</v>
      </c>
      <c r="F497" t="s">
        <v>68</v>
      </c>
      <c r="G497" t="s">
        <v>159</v>
      </c>
      <c r="H497" t="s">
        <v>160</v>
      </c>
      <c r="I497" t="s">
        <v>161</v>
      </c>
      <c r="J497">
        <v>0</v>
      </c>
      <c r="K497">
        <v>45301.480138888888</v>
      </c>
      <c r="L497">
        <v>2712</v>
      </c>
      <c r="O497">
        <v>36</v>
      </c>
      <c r="P497">
        <v>8</v>
      </c>
      <c r="Q497">
        <v>12.000000000000021</v>
      </c>
    </row>
    <row r="498" spans="2:17" x14ac:dyDescent="0.25">
      <c r="B498" t="s">
        <v>293</v>
      </c>
      <c r="C498" t="s">
        <v>248</v>
      </c>
      <c r="D498">
        <v>1278</v>
      </c>
      <c r="E498">
        <v>10</v>
      </c>
      <c r="F498" t="s">
        <v>68</v>
      </c>
      <c r="G498">
        <v>6800</v>
      </c>
      <c r="H498" t="s">
        <v>150</v>
      </c>
      <c r="I498" t="s">
        <v>144</v>
      </c>
      <c r="J498">
        <v>0</v>
      </c>
      <c r="K498">
        <v>45301.480381944442</v>
      </c>
      <c r="L498">
        <v>229</v>
      </c>
      <c r="O498">
        <v>4</v>
      </c>
      <c r="P498">
        <v>2</v>
      </c>
      <c r="Q498">
        <v>2</v>
      </c>
    </row>
    <row r="499" spans="2:17" x14ac:dyDescent="0.25">
      <c r="B499" t="s">
        <v>293</v>
      </c>
      <c r="C499" t="s">
        <v>390</v>
      </c>
      <c r="D499">
        <v>1284</v>
      </c>
      <c r="E499">
        <v>12000</v>
      </c>
      <c r="F499" t="s">
        <v>68</v>
      </c>
      <c r="G499" t="s">
        <v>103</v>
      </c>
      <c r="H499" t="s">
        <v>104</v>
      </c>
      <c r="I499" t="s">
        <v>105</v>
      </c>
      <c r="J499">
        <v>0</v>
      </c>
      <c r="K499">
        <v>45301.480902777781</v>
      </c>
      <c r="L499">
        <v>133800</v>
      </c>
      <c r="O499">
        <v>2400</v>
      </c>
      <c r="P499">
        <v>5</v>
      </c>
      <c r="Q499">
        <v>0</v>
      </c>
    </row>
    <row r="500" spans="2:17" x14ac:dyDescent="0.25">
      <c r="B500" t="s">
        <v>293</v>
      </c>
      <c r="C500" t="s">
        <v>356</v>
      </c>
      <c r="D500">
        <v>1277</v>
      </c>
      <c r="E500">
        <v>12000</v>
      </c>
      <c r="F500" t="s">
        <v>68</v>
      </c>
      <c r="G500" t="s">
        <v>123</v>
      </c>
      <c r="H500" t="s">
        <v>124</v>
      </c>
      <c r="I500" t="s">
        <v>105</v>
      </c>
      <c r="J500">
        <v>0</v>
      </c>
      <c r="K500">
        <v>45301.481377314813</v>
      </c>
      <c r="L500">
        <v>196900</v>
      </c>
      <c r="O500">
        <v>2400</v>
      </c>
      <c r="P500">
        <v>5</v>
      </c>
      <c r="Q500">
        <v>0</v>
      </c>
    </row>
    <row r="501" spans="2:17" x14ac:dyDescent="0.25">
      <c r="B501" t="s">
        <v>293</v>
      </c>
      <c r="C501" t="s">
        <v>356</v>
      </c>
      <c r="D501">
        <v>1277</v>
      </c>
      <c r="E501">
        <v>2</v>
      </c>
      <c r="F501" t="s">
        <v>68</v>
      </c>
      <c r="G501">
        <v>81066</v>
      </c>
      <c r="H501" t="s">
        <v>181</v>
      </c>
      <c r="J501">
        <v>0</v>
      </c>
      <c r="K501">
        <v>45301.482268518521</v>
      </c>
      <c r="L501">
        <v>46</v>
      </c>
      <c r="O501">
        <v>40</v>
      </c>
      <c r="P501">
        <v>0</v>
      </c>
      <c r="Q501">
        <v>2</v>
      </c>
    </row>
    <row r="502" spans="2:17" x14ac:dyDescent="0.25">
      <c r="B502" t="s">
        <v>293</v>
      </c>
      <c r="C502" t="s">
        <v>249</v>
      </c>
      <c r="D502">
        <v>1285</v>
      </c>
      <c r="E502">
        <v>2</v>
      </c>
      <c r="F502" t="s">
        <v>68</v>
      </c>
      <c r="G502" t="s">
        <v>182</v>
      </c>
      <c r="H502" t="s">
        <v>183</v>
      </c>
      <c r="J502">
        <v>0</v>
      </c>
      <c r="K502">
        <v>45301.482731481483</v>
      </c>
      <c r="L502">
        <v>27</v>
      </c>
      <c r="O502">
        <v>36</v>
      </c>
      <c r="P502">
        <v>0</v>
      </c>
      <c r="Q502">
        <v>2</v>
      </c>
    </row>
    <row r="503" spans="2:17" x14ac:dyDescent="0.25">
      <c r="B503" t="s">
        <v>293</v>
      </c>
      <c r="C503" t="s">
        <v>249</v>
      </c>
      <c r="D503">
        <v>1285</v>
      </c>
      <c r="E503">
        <v>120</v>
      </c>
      <c r="F503" t="s">
        <v>68</v>
      </c>
      <c r="G503" t="s">
        <v>201</v>
      </c>
      <c r="H503" t="s">
        <v>202</v>
      </c>
      <c r="I503" t="s">
        <v>144</v>
      </c>
      <c r="J503">
        <v>0</v>
      </c>
      <c r="K503">
        <v>45301.483032407406</v>
      </c>
      <c r="L503">
        <v>9080</v>
      </c>
      <c r="O503">
        <v>1</v>
      </c>
      <c r="P503">
        <v>120</v>
      </c>
      <c r="Q503">
        <v>0</v>
      </c>
    </row>
    <row r="504" spans="2:17" x14ac:dyDescent="0.25">
      <c r="B504" t="s">
        <v>293</v>
      </c>
      <c r="C504" t="s">
        <v>249</v>
      </c>
      <c r="D504">
        <v>1285</v>
      </c>
      <c r="E504">
        <v>120</v>
      </c>
      <c r="F504" t="s">
        <v>68</v>
      </c>
      <c r="G504">
        <v>6001</v>
      </c>
      <c r="H504" t="s">
        <v>149</v>
      </c>
      <c r="I504" t="s">
        <v>144</v>
      </c>
      <c r="J504">
        <v>0</v>
      </c>
      <c r="K504">
        <v>45301.483217592591</v>
      </c>
      <c r="L504">
        <v>7980</v>
      </c>
      <c r="O504">
        <v>60</v>
      </c>
      <c r="P504">
        <v>2</v>
      </c>
      <c r="Q504">
        <v>0</v>
      </c>
    </row>
    <row r="505" spans="2:17" x14ac:dyDescent="0.25">
      <c r="B505" t="s">
        <v>158</v>
      </c>
      <c r="C505" t="s">
        <v>353</v>
      </c>
      <c r="D505">
        <v>1287</v>
      </c>
      <c r="E505">
        <v>35</v>
      </c>
      <c r="F505" t="s">
        <v>68</v>
      </c>
      <c r="G505">
        <v>6885</v>
      </c>
      <c r="H505" t="s">
        <v>169</v>
      </c>
      <c r="I505" t="s">
        <v>144</v>
      </c>
      <c r="J505">
        <v>0</v>
      </c>
      <c r="K505">
        <v>45303.641331018516</v>
      </c>
      <c r="L505">
        <v>420</v>
      </c>
      <c r="O505">
        <v>100</v>
      </c>
      <c r="P505">
        <v>0</v>
      </c>
      <c r="Q505">
        <v>35</v>
      </c>
    </row>
    <row r="506" spans="2:17" x14ac:dyDescent="0.25">
      <c r="B506" t="s">
        <v>158</v>
      </c>
      <c r="C506" t="s">
        <v>353</v>
      </c>
      <c r="D506">
        <v>1287</v>
      </c>
      <c r="E506">
        <v>10</v>
      </c>
      <c r="F506" t="s">
        <v>68</v>
      </c>
      <c r="G506">
        <v>6800</v>
      </c>
      <c r="H506" t="s">
        <v>150</v>
      </c>
      <c r="I506" t="s">
        <v>144</v>
      </c>
      <c r="J506">
        <v>0</v>
      </c>
      <c r="K506">
        <v>45303.641550925924</v>
      </c>
      <c r="L506">
        <v>219</v>
      </c>
      <c r="O506">
        <v>4</v>
      </c>
      <c r="P506">
        <v>2</v>
      </c>
      <c r="Q506">
        <v>2</v>
      </c>
    </row>
    <row r="507" spans="2:17" x14ac:dyDescent="0.25">
      <c r="B507" t="s">
        <v>158</v>
      </c>
      <c r="C507" t="s">
        <v>338</v>
      </c>
      <c r="D507">
        <v>1288</v>
      </c>
      <c r="E507">
        <v>5600</v>
      </c>
      <c r="F507" t="s">
        <v>68</v>
      </c>
      <c r="G507" t="s">
        <v>123</v>
      </c>
      <c r="H507" t="s">
        <v>124</v>
      </c>
      <c r="I507" t="s">
        <v>105</v>
      </c>
      <c r="J507">
        <v>0</v>
      </c>
      <c r="K507">
        <v>45303.642175925925</v>
      </c>
      <c r="L507">
        <v>191300</v>
      </c>
      <c r="O507">
        <v>2400</v>
      </c>
      <c r="P507">
        <v>2</v>
      </c>
      <c r="Q507">
        <v>800.00000000000034</v>
      </c>
    </row>
    <row r="508" spans="2:17" x14ac:dyDescent="0.25">
      <c r="B508" t="s">
        <v>158</v>
      </c>
      <c r="C508" t="s">
        <v>338</v>
      </c>
      <c r="D508">
        <v>1288</v>
      </c>
      <c r="E508">
        <v>760</v>
      </c>
      <c r="F508" t="s">
        <v>135</v>
      </c>
      <c r="G508" t="s">
        <v>139</v>
      </c>
      <c r="H508" t="s">
        <v>137</v>
      </c>
      <c r="I508" t="s">
        <v>138</v>
      </c>
      <c r="J508">
        <v>0</v>
      </c>
      <c r="K508">
        <v>45303.642777777779</v>
      </c>
      <c r="L508">
        <v>2928</v>
      </c>
      <c r="O508">
        <v>144</v>
      </c>
      <c r="P508">
        <v>5</v>
      </c>
      <c r="Q508">
        <v>39.999999999999986</v>
      </c>
    </row>
    <row r="509" spans="2:17" x14ac:dyDescent="0.25">
      <c r="B509" t="s">
        <v>158</v>
      </c>
      <c r="C509" t="s">
        <v>336</v>
      </c>
      <c r="D509">
        <v>1289</v>
      </c>
      <c r="E509">
        <v>1600</v>
      </c>
      <c r="F509" t="s">
        <v>68</v>
      </c>
      <c r="G509" t="s">
        <v>170</v>
      </c>
      <c r="H509" t="s">
        <v>171</v>
      </c>
      <c r="I509" t="s">
        <v>105</v>
      </c>
      <c r="J509">
        <v>0</v>
      </c>
      <c r="K509">
        <v>45303.64371527778</v>
      </c>
      <c r="L509">
        <v>28600</v>
      </c>
      <c r="O509">
        <v>2400</v>
      </c>
      <c r="P509">
        <v>0</v>
      </c>
      <c r="Q509">
        <v>1600</v>
      </c>
    </row>
    <row r="510" spans="2:17" x14ac:dyDescent="0.25">
      <c r="B510" t="s">
        <v>158</v>
      </c>
      <c r="C510" t="s">
        <v>391</v>
      </c>
      <c r="D510">
        <v>1291</v>
      </c>
      <c r="E510">
        <v>1340</v>
      </c>
      <c r="F510" t="s">
        <v>68</v>
      </c>
      <c r="G510">
        <v>6001</v>
      </c>
      <c r="H510" t="s">
        <v>149</v>
      </c>
      <c r="I510" t="s">
        <v>144</v>
      </c>
      <c r="J510">
        <v>0</v>
      </c>
      <c r="K510">
        <v>45303.64875</v>
      </c>
      <c r="L510">
        <v>6640</v>
      </c>
      <c r="O510">
        <v>60</v>
      </c>
      <c r="P510">
        <v>22</v>
      </c>
      <c r="Q510">
        <v>19.999999999999929</v>
      </c>
    </row>
    <row r="511" spans="2:17" x14ac:dyDescent="0.25">
      <c r="B511" t="s">
        <v>392</v>
      </c>
      <c r="C511" t="s">
        <v>393</v>
      </c>
      <c r="D511" t="s">
        <v>394</v>
      </c>
      <c r="E511">
        <v>4000</v>
      </c>
      <c r="F511" t="s">
        <v>68</v>
      </c>
      <c r="G511" t="s">
        <v>163</v>
      </c>
      <c r="H511" t="s">
        <v>164</v>
      </c>
      <c r="I511" t="s">
        <v>165</v>
      </c>
      <c r="J511">
        <v>1</v>
      </c>
      <c r="K511">
        <v>45306.683449074073</v>
      </c>
      <c r="L511">
        <v>3990</v>
      </c>
      <c r="M511">
        <v>45413</v>
      </c>
      <c r="O511">
        <v>300</v>
      </c>
      <c r="P511">
        <v>13</v>
      </c>
      <c r="Q511">
        <v>100.00000000000017</v>
      </c>
    </row>
    <row r="512" spans="2:17" x14ac:dyDescent="0.25">
      <c r="B512" t="s">
        <v>158</v>
      </c>
      <c r="C512" t="s">
        <v>353</v>
      </c>
      <c r="D512">
        <v>1292</v>
      </c>
      <c r="E512">
        <v>40</v>
      </c>
      <c r="F512" t="s">
        <v>68</v>
      </c>
      <c r="G512">
        <v>6885</v>
      </c>
      <c r="H512" t="s">
        <v>169</v>
      </c>
      <c r="I512" t="s">
        <v>144</v>
      </c>
      <c r="J512">
        <v>0</v>
      </c>
      <c r="K512">
        <v>45308.641273148147</v>
      </c>
      <c r="L512">
        <v>380</v>
      </c>
      <c r="O512">
        <v>100</v>
      </c>
      <c r="P512">
        <v>0</v>
      </c>
      <c r="Q512">
        <v>40</v>
      </c>
    </row>
    <row r="513" spans="2:17" x14ac:dyDescent="0.25">
      <c r="B513" t="s">
        <v>158</v>
      </c>
      <c r="C513" t="s">
        <v>336</v>
      </c>
      <c r="D513">
        <v>1293</v>
      </c>
      <c r="E513">
        <v>1600</v>
      </c>
      <c r="F513" t="s">
        <v>68</v>
      </c>
      <c r="G513" t="s">
        <v>170</v>
      </c>
      <c r="H513" t="s">
        <v>171</v>
      </c>
      <c r="I513" t="s">
        <v>105</v>
      </c>
      <c r="J513">
        <v>0</v>
      </c>
      <c r="K513">
        <v>45308.643078703702</v>
      </c>
      <c r="L513">
        <v>27000</v>
      </c>
      <c r="O513">
        <v>2400</v>
      </c>
      <c r="P513">
        <v>0</v>
      </c>
      <c r="Q513">
        <v>1600</v>
      </c>
    </row>
    <row r="514" spans="2:17" x14ac:dyDescent="0.25">
      <c r="B514" t="s">
        <v>158</v>
      </c>
      <c r="C514" t="s">
        <v>243</v>
      </c>
      <c r="D514">
        <v>1294</v>
      </c>
      <c r="E514">
        <v>1000</v>
      </c>
      <c r="F514" t="s">
        <v>68</v>
      </c>
      <c r="G514" t="s">
        <v>163</v>
      </c>
      <c r="H514" t="s">
        <v>164</v>
      </c>
      <c r="I514" t="s">
        <v>165</v>
      </c>
      <c r="J514">
        <v>0</v>
      </c>
      <c r="K514">
        <v>45308.643969907411</v>
      </c>
      <c r="L514">
        <v>3000</v>
      </c>
      <c r="O514">
        <v>300</v>
      </c>
      <c r="P514">
        <v>3</v>
      </c>
      <c r="Q514">
        <v>100.00000000000004</v>
      </c>
    </row>
    <row r="515" spans="2:17" x14ac:dyDescent="0.25">
      <c r="B515" t="s">
        <v>158</v>
      </c>
      <c r="C515" t="s">
        <v>243</v>
      </c>
      <c r="D515">
        <v>1294</v>
      </c>
      <c r="E515">
        <v>288</v>
      </c>
      <c r="F515" t="s">
        <v>135</v>
      </c>
      <c r="G515" t="s">
        <v>136</v>
      </c>
      <c r="H515" t="s">
        <v>137</v>
      </c>
      <c r="I515" t="s">
        <v>138</v>
      </c>
      <c r="J515">
        <v>0</v>
      </c>
      <c r="K515">
        <v>45308.644976851851</v>
      </c>
      <c r="L515">
        <v>0</v>
      </c>
      <c r="O515">
        <v>144</v>
      </c>
      <c r="P515">
        <v>2</v>
      </c>
      <c r="Q515">
        <v>0</v>
      </c>
    </row>
    <row r="516" spans="2:17" x14ac:dyDescent="0.25">
      <c r="B516" t="s">
        <v>158</v>
      </c>
      <c r="C516" t="s">
        <v>244</v>
      </c>
      <c r="D516">
        <v>1295</v>
      </c>
      <c r="E516">
        <v>700</v>
      </c>
      <c r="F516" t="s">
        <v>68</v>
      </c>
      <c r="G516">
        <v>6001</v>
      </c>
      <c r="H516" t="s">
        <v>149</v>
      </c>
      <c r="I516" t="s">
        <v>144</v>
      </c>
      <c r="J516">
        <v>0</v>
      </c>
      <c r="K516">
        <v>45308.64744212963</v>
      </c>
      <c r="L516">
        <v>5940</v>
      </c>
      <c r="O516">
        <v>60</v>
      </c>
      <c r="P516">
        <v>11</v>
      </c>
      <c r="Q516">
        <v>39.999999999999964</v>
      </c>
    </row>
    <row r="517" spans="2:17" x14ac:dyDescent="0.25">
      <c r="B517" t="s">
        <v>293</v>
      </c>
      <c r="C517" t="s">
        <v>395</v>
      </c>
      <c r="D517">
        <v>1696</v>
      </c>
      <c r="E517">
        <v>5000</v>
      </c>
      <c r="F517" t="s">
        <v>68</v>
      </c>
      <c r="G517" t="s">
        <v>142</v>
      </c>
      <c r="H517" t="s">
        <v>143</v>
      </c>
      <c r="I517" t="s">
        <v>144</v>
      </c>
      <c r="J517">
        <v>0</v>
      </c>
      <c r="K517">
        <v>45308.656400462962</v>
      </c>
      <c r="L517">
        <v>696</v>
      </c>
      <c r="O517">
        <v>24</v>
      </c>
      <c r="P517">
        <v>208</v>
      </c>
      <c r="Q517">
        <v>8.0000000000002274</v>
      </c>
    </row>
    <row r="518" spans="2:17" x14ac:dyDescent="0.25">
      <c r="B518" t="s">
        <v>293</v>
      </c>
      <c r="C518" t="s">
        <v>389</v>
      </c>
      <c r="D518">
        <v>1297</v>
      </c>
      <c r="E518">
        <v>36</v>
      </c>
      <c r="F518" t="s">
        <v>68</v>
      </c>
      <c r="G518" t="s">
        <v>166</v>
      </c>
      <c r="H518" t="s">
        <v>167</v>
      </c>
      <c r="J518">
        <v>0</v>
      </c>
      <c r="K518">
        <v>45308.657314814816</v>
      </c>
      <c r="L518">
        <v>535</v>
      </c>
      <c r="O518">
        <v>4</v>
      </c>
      <c r="P518">
        <v>9</v>
      </c>
      <c r="Q518">
        <v>0</v>
      </c>
    </row>
    <row r="519" spans="2:17" x14ac:dyDescent="0.25">
      <c r="B519" t="s">
        <v>293</v>
      </c>
      <c r="C519" t="s">
        <v>356</v>
      </c>
      <c r="D519">
        <v>1298</v>
      </c>
      <c r="E519">
        <v>12000</v>
      </c>
      <c r="F519" t="s">
        <v>68</v>
      </c>
      <c r="G519" t="s">
        <v>123</v>
      </c>
      <c r="H519" t="s">
        <v>124</v>
      </c>
      <c r="I519" t="s">
        <v>105</v>
      </c>
      <c r="J519">
        <v>0</v>
      </c>
      <c r="K519">
        <v>45308.660104166665</v>
      </c>
      <c r="L519">
        <v>179300</v>
      </c>
      <c r="O519">
        <v>2400</v>
      </c>
      <c r="P519">
        <v>5</v>
      </c>
      <c r="Q519">
        <v>0</v>
      </c>
    </row>
    <row r="520" spans="2:17" x14ac:dyDescent="0.25">
      <c r="B520" t="s">
        <v>293</v>
      </c>
      <c r="C520" t="s">
        <v>356</v>
      </c>
      <c r="D520">
        <v>1298</v>
      </c>
      <c r="E520">
        <v>2</v>
      </c>
      <c r="F520" t="s">
        <v>68</v>
      </c>
      <c r="G520">
        <v>81066</v>
      </c>
      <c r="H520" t="s">
        <v>181</v>
      </c>
      <c r="J520">
        <v>0</v>
      </c>
      <c r="K520">
        <v>45308.660636574074</v>
      </c>
      <c r="L520">
        <v>44</v>
      </c>
      <c r="O520">
        <v>40</v>
      </c>
      <c r="P520">
        <v>0</v>
      </c>
      <c r="Q520">
        <v>2</v>
      </c>
    </row>
    <row r="521" spans="2:17" x14ac:dyDescent="0.25">
      <c r="B521" t="s">
        <v>293</v>
      </c>
      <c r="C521" t="s">
        <v>249</v>
      </c>
      <c r="D521">
        <v>1299</v>
      </c>
      <c r="E521">
        <v>2</v>
      </c>
      <c r="F521" t="s">
        <v>68</v>
      </c>
      <c r="G521" t="s">
        <v>182</v>
      </c>
      <c r="H521" t="s">
        <v>183</v>
      </c>
      <c r="J521">
        <v>0</v>
      </c>
      <c r="K521">
        <v>45308.661874999998</v>
      </c>
      <c r="L521">
        <v>25</v>
      </c>
      <c r="O521">
        <v>36</v>
      </c>
      <c r="P521">
        <v>0</v>
      </c>
      <c r="Q521">
        <v>2</v>
      </c>
    </row>
    <row r="522" spans="2:17" x14ac:dyDescent="0.25">
      <c r="B522" t="s">
        <v>293</v>
      </c>
      <c r="C522" t="s">
        <v>249</v>
      </c>
      <c r="D522">
        <v>1299</v>
      </c>
      <c r="E522">
        <v>120</v>
      </c>
      <c r="F522" t="s">
        <v>68</v>
      </c>
      <c r="G522" t="s">
        <v>201</v>
      </c>
      <c r="H522" t="s">
        <v>202</v>
      </c>
      <c r="I522" t="s">
        <v>144</v>
      </c>
      <c r="J522">
        <v>0</v>
      </c>
      <c r="K522">
        <v>45308.662372685183</v>
      </c>
      <c r="L522">
        <v>8960</v>
      </c>
      <c r="O522">
        <v>100</v>
      </c>
      <c r="P522">
        <v>1</v>
      </c>
      <c r="Q522">
        <v>19.999999999999996</v>
      </c>
    </row>
    <row r="523" spans="2:17" x14ac:dyDescent="0.25">
      <c r="B523" t="s">
        <v>293</v>
      </c>
      <c r="C523" t="s">
        <v>249</v>
      </c>
      <c r="D523">
        <v>1299</v>
      </c>
      <c r="E523">
        <v>120</v>
      </c>
      <c r="F523" t="s">
        <v>68</v>
      </c>
      <c r="G523">
        <v>6001</v>
      </c>
      <c r="H523" t="s">
        <v>149</v>
      </c>
      <c r="I523" t="s">
        <v>144</v>
      </c>
      <c r="J523">
        <v>0</v>
      </c>
      <c r="K523">
        <v>45308.662812499999</v>
      </c>
      <c r="L523">
        <v>5820</v>
      </c>
      <c r="O523">
        <v>60</v>
      </c>
      <c r="P523">
        <v>2</v>
      </c>
      <c r="Q523">
        <v>0</v>
      </c>
    </row>
    <row r="524" spans="2:17" x14ac:dyDescent="0.25">
      <c r="B524" t="s">
        <v>293</v>
      </c>
      <c r="C524" t="s">
        <v>248</v>
      </c>
      <c r="D524">
        <v>1300</v>
      </c>
      <c r="E524">
        <v>300</v>
      </c>
      <c r="F524" t="s">
        <v>68</v>
      </c>
      <c r="G524" t="s">
        <v>159</v>
      </c>
      <c r="H524" t="s">
        <v>160</v>
      </c>
      <c r="I524" t="s">
        <v>161</v>
      </c>
      <c r="J524">
        <v>0</v>
      </c>
      <c r="K524">
        <v>45308.665601851855</v>
      </c>
      <c r="L524">
        <v>2412</v>
      </c>
      <c r="O524">
        <v>36</v>
      </c>
      <c r="P524">
        <v>8</v>
      </c>
      <c r="Q524">
        <v>12.000000000000021</v>
      </c>
    </row>
    <row r="525" spans="2:17" x14ac:dyDescent="0.25">
      <c r="B525" t="s">
        <v>293</v>
      </c>
      <c r="C525" t="s">
        <v>248</v>
      </c>
      <c r="D525">
        <v>1300</v>
      </c>
      <c r="E525">
        <v>10</v>
      </c>
      <c r="F525" t="s">
        <v>68</v>
      </c>
      <c r="G525">
        <v>6800</v>
      </c>
      <c r="H525" t="s">
        <v>150</v>
      </c>
      <c r="I525" t="s">
        <v>144</v>
      </c>
      <c r="J525">
        <v>0</v>
      </c>
      <c r="K525">
        <v>45308.66615740741</v>
      </c>
      <c r="L525">
        <v>209</v>
      </c>
      <c r="O525">
        <v>4</v>
      </c>
      <c r="P525">
        <v>2</v>
      </c>
      <c r="Q525">
        <v>2</v>
      </c>
    </row>
    <row r="526" spans="2:17" x14ac:dyDescent="0.25">
      <c r="B526" t="s">
        <v>293</v>
      </c>
      <c r="C526" t="s">
        <v>311</v>
      </c>
      <c r="D526">
        <v>1301</v>
      </c>
      <c r="E526">
        <v>2500</v>
      </c>
      <c r="F526" t="s">
        <v>68</v>
      </c>
      <c r="G526" t="s">
        <v>146</v>
      </c>
      <c r="H526" t="s">
        <v>147</v>
      </c>
      <c r="I526" t="s">
        <v>144</v>
      </c>
      <c r="J526">
        <v>0</v>
      </c>
      <c r="K526">
        <v>45308.667592592596</v>
      </c>
      <c r="L526">
        <v>22220</v>
      </c>
      <c r="O526">
        <v>440</v>
      </c>
      <c r="P526">
        <v>5</v>
      </c>
      <c r="Q526">
        <v>299.99999999999994</v>
      </c>
    </row>
    <row r="527" spans="2:17" x14ac:dyDescent="0.25">
      <c r="B527" t="s">
        <v>293</v>
      </c>
      <c r="C527" t="s">
        <v>247</v>
      </c>
      <c r="D527">
        <v>1302</v>
      </c>
      <c r="E527">
        <v>6</v>
      </c>
      <c r="F527" t="s">
        <v>68</v>
      </c>
      <c r="G527">
        <v>6200</v>
      </c>
      <c r="H527" t="s">
        <v>148</v>
      </c>
      <c r="I527" t="s">
        <v>144</v>
      </c>
      <c r="J527">
        <v>0</v>
      </c>
      <c r="K527">
        <v>45308.671041666668</v>
      </c>
      <c r="L527">
        <v>203</v>
      </c>
      <c r="O527">
        <v>24</v>
      </c>
      <c r="P527">
        <v>0</v>
      </c>
      <c r="Q527">
        <v>6</v>
      </c>
    </row>
    <row r="528" spans="2:17" x14ac:dyDescent="0.25">
      <c r="B528" t="s">
        <v>293</v>
      </c>
      <c r="C528" t="s">
        <v>247</v>
      </c>
      <c r="D528">
        <v>1302</v>
      </c>
      <c r="E528">
        <v>150</v>
      </c>
      <c r="F528" t="s">
        <v>68</v>
      </c>
      <c r="G528" t="s">
        <v>153</v>
      </c>
      <c r="H528" t="s">
        <v>154</v>
      </c>
      <c r="I528" t="s">
        <v>105</v>
      </c>
      <c r="J528">
        <v>0</v>
      </c>
      <c r="K528">
        <v>45308.671840277777</v>
      </c>
      <c r="L528">
        <v>1650</v>
      </c>
      <c r="O528">
        <v>100</v>
      </c>
      <c r="P528">
        <v>1</v>
      </c>
      <c r="Q528">
        <v>50</v>
      </c>
    </row>
    <row r="529" spans="2:17" x14ac:dyDescent="0.25">
      <c r="B529" t="s">
        <v>293</v>
      </c>
      <c r="C529" t="s">
        <v>376</v>
      </c>
      <c r="D529">
        <v>1303</v>
      </c>
      <c r="E529">
        <v>120</v>
      </c>
      <c r="F529" t="s">
        <v>127</v>
      </c>
      <c r="G529" t="s">
        <v>133</v>
      </c>
      <c r="H529" t="s">
        <v>134</v>
      </c>
      <c r="I529" t="s">
        <v>130</v>
      </c>
      <c r="J529">
        <v>0</v>
      </c>
      <c r="K529">
        <v>45308.674560185187</v>
      </c>
      <c r="L529">
        <v>500</v>
      </c>
      <c r="O529">
        <v>10</v>
      </c>
      <c r="P529">
        <v>12</v>
      </c>
      <c r="Q529">
        <v>0</v>
      </c>
    </row>
    <row r="530" spans="2:17" x14ac:dyDescent="0.25">
      <c r="B530" t="s">
        <v>293</v>
      </c>
      <c r="C530" t="s">
        <v>376</v>
      </c>
      <c r="D530">
        <v>1303</v>
      </c>
      <c r="E530">
        <v>60</v>
      </c>
      <c r="F530" t="s">
        <v>127</v>
      </c>
      <c r="G530" t="s">
        <v>128</v>
      </c>
      <c r="H530" t="s">
        <v>129</v>
      </c>
      <c r="I530" t="s">
        <v>130</v>
      </c>
      <c r="J530">
        <v>0</v>
      </c>
      <c r="K530">
        <v>45308.674895833334</v>
      </c>
      <c r="L530">
        <v>1358</v>
      </c>
      <c r="O530">
        <v>10</v>
      </c>
      <c r="P530">
        <v>6</v>
      </c>
      <c r="Q530">
        <v>0</v>
      </c>
    </row>
    <row r="531" spans="2:17" x14ac:dyDescent="0.25">
      <c r="B531" t="s">
        <v>293</v>
      </c>
      <c r="C531" t="s">
        <v>376</v>
      </c>
      <c r="D531">
        <v>1303</v>
      </c>
      <c r="E531">
        <v>60</v>
      </c>
      <c r="F531" t="s">
        <v>127</v>
      </c>
      <c r="G531" t="s">
        <v>131</v>
      </c>
      <c r="H531" t="s">
        <v>132</v>
      </c>
      <c r="I531" t="s">
        <v>130</v>
      </c>
      <c r="J531">
        <v>0</v>
      </c>
      <c r="K531">
        <v>45308.675185185188</v>
      </c>
      <c r="L531">
        <v>6497</v>
      </c>
      <c r="O531">
        <v>10</v>
      </c>
      <c r="P531">
        <v>6</v>
      </c>
      <c r="Q531">
        <v>0</v>
      </c>
    </row>
    <row r="532" spans="2:17" x14ac:dyDescent="0.25">
      <c r="B532" t="s">
        <v>293</v>
      </c>
      <c r="C532" t="s">
        <v>326</v>
      </c>
      <c r="D532">
        <v>1304</v>
      </c>
      <c r="E532">
        <v>120</v>
      </c>
      <c r="F532" t="s">
        <v>135</v>
      </c>
      <c r="G532" t="s">
        <v>140</v>
      </c>
      <c r="H532" t="s">
        <v>137</v>
      </c>
      <c r="I532" t="s">
        <v>138</v>
      </c>
      <c r="J532">
        <v>0</v>
      </c>
      <c r="K532">
        <v>45308.678113425929</v>
      </c>
      <c r="L532">
        <v>3098</v>
      </c>
      <c r="O532">
        <v>144</v>
      </c>
      <c r="P532">
        <v>0</v>
      </c>
      <c r="Q532">
        <v>120</v>
      </c>
    </row>
    <row r="533" spans="2:17" x14ac:dyDescent="0.25">
      <c r="B533" t="s">
        <v>293</v>
      </c>
      <c r="C533" t="s">
        <v>327</v>
      </c>
      <c r="D533">
        <v>1305</v>
      </c>
      <c r="E533">
        <v>6000</v>
      </c>
      <c r="F533" t="s">
        <v>68</v>
      </c>
      <c r="G533" t="s">
        <v>107</v>
      </c>
      <c r="H533" t="s">
        <v>108</v>
      </c>
      <c r="I533" t="s">
        <v>105</v>
      </c>
      <c r="J533">
        <v>0</v>
      </c>
      <c r="K533">
        <v>45308.678182870368</v>
      </c>
      <c r="L533">
        <v>8000</v>
      </c>
      <c r="O533">
        <v>1200</v>
      </c>
      <c r="P533">
        <v>5</v>
      </c>
      <c r="Q533">
        <v>0</v>
      </c>
    </row>
    <row r="534" spans="2:17" x14ac:dyDescent="0.25">
      <c r="B534" t="s">
        <v>293</v>
      </c>
      <c r="C534" t="s">
        <v>390</v>
      </c>
      <c r="D534">
        <v>1306</v>
      </c>
      <c r="E534">
        <v>12000</v>
      </c>
      <c r="F534" t="s">
        <v>68</v>
      </c>
      <c r="G534" t="s">
        <v>103</v>
      </c>
      <c r="H534" t="s">
        <v>104</v>
      </c>
      <c r="I534" t="s">
        <v>105</v>
      </c>
      <c r="J534">
        <v>0</v>
      </c>
      <c r="K534">
        <v>45308.67900462963</v>
      </c>
      <c r="L534">
        <v>121800</v>
      </c>
      <c r="O534">
        <v>2400</v>
      </c>
      <c r="P534">
        <v>5</v>
      </c>
      <c r="Q534">
        <v>0</v>
      </c>
    </row>
    <row r="535" spans="2:17" x14ac:dyDescent="0.25">
      <c r="B535" t="s">
        <v>158</v>
      </c>
      <c r="C535" t="s">
        <v>397</v>
      </c>
      <c r="D535">
        <v>486</v>
      </c>
      <c r="E535">
        <v>400</v>
      </c>
      <c r="F535" t="s">
        <v>68</v>
      </c>
      <c r="G535" t="s">
        <v>119</v>
      </c>
      <c r="H535" t="s">
        <v>120</v>
      </c>
      <c r="I535" t="s">
        <v>105</v>
      </c>
      <c r="J535">
        <v>0</v>
      </c>
      <c r="K535">
        <v>45310.436712962961</v>
      </c>
      <c r="L535">
        <v>29200</v>
      </c>
      <c r="O535">
        <v>2400</v>
      </c>
      <c r="P535">
        <v>0</v>
      </c>
      <c r="Q535">
        <v>400</v>
      </c>
    </row>
    <row r="536" spans="2:17" x14ac:dyDescent="0.25">
      <c r="B536" t="s">
        <v>158</v>
      </c>
      <c r="C536" t="s">
        <v>397</v>
      </c>
      <c r="D536">
        <v>486</v>
      </c>
      <c r="E536">
        <v>200</v>
      </c>
      <c r="F536" t="s">
        <v>68</v>
      </c>
      <c r="G536" t="s">
        <v>113</v>
      </c>
      <c r="H536" t="s">
        <v>114</v>
      </c>
      <c r="I536" t="s">
        <v>105</v>
      </c>
      <c r="J536">
        <v>0</v>
      </c>
      <c r="K536">
        <v>45310.436828703707</v>
      </c>
      <c r="L536">
        <v>4200</v>
      </c>
      <c r="O536">
        <v>3000</v>
      </c>
      <c r="P536">
        <v>0</v>
      </c>
      <c r="Q536">
        <v>200</v>
      </c>
    </row>
    <row r="537" spans="2:17" x14ac:dyDescent="0.25">
      <c r="B537" t="s">
        <v>158</v>
      </c>
      <c r="C537" t="s">
        <v>397</v>
      </c>
      <c r="D537">
        <v>486</v>
      </c>
      <c r="E537">
        <v>400</v>
      </c>
      <c r="F537" t="s">
        <v>68</v>
      </c>
      <c r="G537" t="s">
        <v>117</v>
      </c>
      <c r="H537" t="s">
        <v>118</v>
      </c>
      <c r="I537" t="s">
        <v>105</v>
      </c>
      <c r="J537">
        <v>0</v>
      </c>
      <c r="K537">
        <v>45310.436898148146</v>
      </c>
      <c r="L537">
        <v>5000</v>
      </c>
      <c r="O537">
        <v>3000</v>
      </c>
      <c r="P537">
        <v>0</v>
      </c>
      <c r="Q537">
        <v>400</v>
      </c>
    </row>
    <row r="538" spans="2:17" x14ac:dyDescent="0.25">
      <c r="B538" t="s">
        <v>158</v>
      </c>
      <c r="C538" t="s">
        <v>397</v>
      </c>
      <c r="D538">
        <v>486</v>
      </c>
      <c r="E538">
        <v>5500</v>
      </c>
      <c r="F538" t="s">
        <v>68</v>
      </c>
      <c r="G538" t="s">
        <v>121</v>
      </c>
      <c r="H538" t="s">
        <v>122</v>
      </c>
      <c r="I538" t="s">
        <v>105</v>
      </c>
      <c r="J538">
        <v>0</v>
      </c>
      <c r="K538">
        <v>45310.437013888892</v>
      </c>
      <c r="L538">
        <v>3700</v>
      </c>
      <c r="O538">
        <v>3000</v>
      </c>
      <c r="P538">
        <v>1</v>
      </c>
      <c r="Q538">
        <v>2500</v>
      </c>
    </row>
    <row r="539" spans="2:17" x14ac:dyDescent="0.25">
      <c r="B539" t="s">
        <v>398</v>
      </c>
      <c r="C539" t="s">
        <v>399</v>
      </c>
      <c r="D539" t="s">
        <v>400</v>
      </c>
      <c r="E539">
        <v>600</v>
      </c>
      <c r="F539" t="s">
        <v>127</v>
      </c>
      <c r="G539" t="s">
        <v>133</v>
      </c>
      <c r="H539" t="s">
        <v>134</v>
      </c>
      <c r="I539" t="s">
        <v>130</v>
      </c>
      <c r="J539">
        <v>1</v>
      </c>
      <c r="K539">
        <v>45310.577164351853</v>
      </c>
      <c r="L539">
        <v>1100</v>
      </c>
      <c r="M539" t="s">
        <v>401</v>
      </c>
      <c r="O539">
        <v>10</v>
      </c>
      <c r="P539">
        <v>60</v>
      </c>
      <c r="Q539">
        <v>0</v>
      </c>
    </row>
    <row r="540" spans="2:17" x14ac:dyDescent="0.25">
      <c r="B540" t="s">
        <v>398</v>
      </c>
      <c r="C540" t="s">
        <v>399</v>
      </c>
      <c r="D540" t="s">
        <v>400</v>
      </c>
      <c r="E540">
        <v>1440</v>
      </c>
      <c r="F540" t="s">
        <v>135</v>
      </c>
      <c r="G540" t="s">
        <v>139</v>
      </c>
      <c r="H540" t="s">
        <v>137</v>
      </c>
      <c r="I540" t="s">
        <v>138</v>
      </c>
      <c r="J540">
        <v>1</v>
      </c>
      <c r="K540">
        <v>45310.577997685185</v>
      </c>
      <c r="L540">
        <v>4368</v>
      </c>
      <c r="M540" t="s">
        <v>401</v>
      </c>
      <c r="O540">
        <v>144</v>
      </c>
      <c r="P540">
        <v>10</v>
      </c>
      <c r="Q540">
        <v>0</v>
      </c>
    </row>
    <row r="541" spans="2:17" x14ac:dyDescent="0.25">
      <c r="B541" t="s">
        <v>398</v>
      </c>
      <c r="C541" t="s">
        <v>399</v>
      </c>
      <c r="D541" t="s">
        <v>400</v>
      </c>
      <c r="E541">
        <v>720</v>
      </c>
      <c r="F541" t="s">
        <v>135</v>
      </c>
      <c r="G541" t="s">
        <v>136</v>
      </c>
      <c r="H541" t="s">
        <v>137</v>
      </c>
      <c r="I541" t="s">
        <v>138</v>
      </c>
      <c r="J541">
        <v>1</v>
      </c>
      <c r="K541">
        <v>45310.578287037039</v>
      </c>
      <c r="L541">
        <v>720</v>
      </c>
      <c r="M541" t="s">
        <v>401</v>
      </c>
      <c r="O541">
        <v>144</v>
      </c>
      <c r="P541">
        <v>5</v>
      </c>
      <c r="Q541">
        <v>0</v>
      </c>
    </row>
    <row r="542" spans="2:17" x14ac:dyDescent="0.25">
      <c r="B542" t="s">
        <v>158</v>
      </c>
      <c r="C542" t="s">
        <v>402</v>
      </c>
      <c r="D542">
        <v>1307</v>
      </c>
      <c r="E542">
        <v>10</v>
      </c>
      <c r="F542" t="s">
        <v>68</v>
      </c>
      <c r="G542">
        <v>6800</v>
      </c>
      <c r="H542" t="s">
        <v>150</v>
      </c>
      <c r="I542" t="s">
        <v>144</v>
      </c>
      <c r="J542">
        <v>0</v>
      </c>
      <c r="K542">
        <v>45310.579756944448</v>
      </c>
      <c r="L542">
        <v>199</v>
      </c>
      <c r="O542">
        <v>4</v>
      </c>
      <c r="P542">
        <v>2</v>
      </c>
      <c r="Q542">
        <v>2</v>
      </c>
    </row>
    <row r="543" spans="2:17" x14ac:dyDescent="0.25">
      <c r="B543" t="s">
        <v>158</v>
      </c>
      <c r="C543" t="s">
        <v>402</v>
      </c>
      <c r="D543">
        <v>1308</v>
      </c>
      <c r="E543">
        <v>500</v>
      </c>
      <c r="F543" t="s">
        <v>135</v>
      </c>
      <c r="G543" t="s">
        <v>141</v>
      </c>
      <c r="H543" t="s">
        <v>137</v>
      </c>
      <c r="I543" t="s">
        <v>138</v>
      </c>
      <c r="J543">
        <v>0</v>
      </c>
      <c r="K543">
        <v>45310.581377314818</v>
      </c>
      <c r="L543">
        <v>860</v>
      </c>
      <c r="O543">
        <v>144</v>
      </c>
      <c r="P543">
        <v>3</v>
      </c>
      <c r="Q543">
        <v>68.000000000000014</v>
      </c>
    </row>
    <row r="544" spans="2:17" x14ac:dyDescent="0.25">
      <c r="B544" t="s">
        <v>158</v>
      </c>
      <c r="C544" t="s">
        <v>402</v>
      </c>
      <c r="D544">
        <v>1308</v>
      </c>
      <c r="E544">
        <v>150</v>
      </c>
      <c r="F544" t="s">
        <v>68</v>
      </c>
      <c r="G544" t="s">
        <v>151</v>
      </c>
      <c r="H544" t="s">
        <v>152</v>
      </c>
      <c r="I544" t="s">
        <v>105</v>
      </c>
      <c r="J544">
        <v>0</v>
      </c>
      <c r="K544">
        <v>45310.58148148148</v>
      </c>
      <c r="L544">
        <v>1306</v>
      </c>
      <c r="O544">
        <v>200</v>
      </c>
      <c r="P544">
        <v>0</v>
      </c>
      <c r="Q544">
        <v>150</v>
      </c>
    </row>
    <row r="545" spans="2:17" x14ac:dyDescent="0.25">
      <c r="B545" t="s">
        <v>158</v>
      </c>
      <c r="C545" t="s">
        <v>336</v>
      </c>
      <c r="D545">
        <v>1309</v>
      </c>
      <c r="E545">
        <v>1600</v>
      </c>
      <c r="F545" t="s">
        <v>68</v>
      </c>
      <c r="G545" t="s">
        <v>170</v>
      </c>
      <c r="H545" t="s">
        <v>171</v>
      </c>
      <c r="I545" t="s">
        <v>105</v>
      </c>
      <c r="J545">
        <v>0</v>
      </c>
      <c r="K545">
        <v>45310.582175925927</v>
      </c>
      <c r="L545">
        <v>25400</v>
      </c>
      <c r="O545">
        <v>2400</v>
      </c>
      <c r="P545">
        <v>0</v>
      </c>
      <c r="Q545">
        <v>1600</v>
      </c>
    </row>
    <row r="546" spans="2:17" x14ac:dyDescent="0.25">
      <c r="B546" t="s">
        <v>158</v>
      </c>
      <c r="C546" t="s">
        <v>338</v>
      </c>
      <c r="D546">
        <v>1310</v>
      </c>
      <c r="E546">
        <v>5600</v>
      </c>
      <c r="F546" t="s">
        <v>68</v>
      </c>
      <c r="G546" t="s">
        <v>123</v>
      </c>
      <c r="H546" t="s">
        <v>124</v>
      </c>
      <c r="I546" t="s">
        <v>105</v>
      </c>
      <c r="J546">
        <v>0</v>
      </c>
      <c r="K546">
        <v>45310.583067129628</v>
      </c>
      <c r="L546">
        <v>173700</v>
      </c>
      <c r="O546">
        <v>2400</v>
      </c>
      <c r="P546">
        <v>2</v>
      </c>
      <c r="Q546">
        <v>800.00000000000034</v>
      </c>
    </row>
    <row r="547" spans="2:17" x14ac:dyDescent="0.25">
      <c r="B547" t="s">
        <v>158</v>
      </c>
      <c r="C547" t="s">
        <v>353</v>
      </c>
      <c r="D547">
        <v>1311</v>
      </c>
      <c r="E547">
        <v>10</v>
      </c>
      <c r="F547" t="s">
        <v>68</v>
      </c>
      <c r="G547">
        <v>6800</v>
      </c>
      <c r="H547" t="s">
        <v>150</v>
      </c>
      <c r="I547" t="s">
        <v>144</v>
      </c>
      <c r="J547">
        <v>0</v>
      </c>
      <c r="K547">
        <v>45310.584201388891</v>
      </c>
      <c r="L547">
        <v>189</v>
      </c>
      <c r="O547">
        <v>4</v>
      </c>
      <c r="P547">
        <v>2</v>
      </c>
      <c r="Q547">
        <v>2</v>
      </c>
    </row>
    <row r="548" spans="2:17" x14ac:dyDescent="0.25">
      <c r="B548" t="s">
        <v>158</v>
      </c>
      <c r="C548" t="s">
        <v>244</v>
      </c>
      <c r="D548">
        <v>1312</v>
      </c>
      <c r="E548">
        <v>700</v>
      </c>
      <c r="F548" t="s">
        <v>68</v>
      </c>
      <c r="G548">
        <v>6001</v>
      </c>
      <c r="H548" t="s">
        <v>149</v>
      </c>
      <c r="I548" t="s">
        <v>144</v>
      </c>
      <c r="J548">
        <v>0</v>
      </c>
      <c r="K548">
        <v>45310.58494212963</v>
      </c>
      <c r="L548">
        <v>5120</v>
      </c>
      <c r="O548">
        <v>60</v>
      </c>
      <c r="P548">
        <v>11</v>
      </c>
      <c r="Q548">
        <v>39.999999999999964</v>
      </c>
    </row>
    <row r="549" spans="2:17" x14ac:dyDescent="0.25">
      <c r="B549" t="s">
        <v>293</v>
      </c>
      <c r="C549" t="s">
        <v>403</v>
      </c>
      <c r="D549">
        <v>487</v>
      </c>
      <c r="E549">
        <v>10</v>
      </c>
      <c r="F549" t="s">
        <v>135</v>
      </c>
      <c r="G549" t="s">
        <v>62</v>
      </c>
      <c r="H549" t="s">
        <v>208</v>
      </c>
      <c r="I549" t="s">
        <v>209</v>
      </c>
      <c r="J549">
        <v>0</v>
      </c>
      <c r="K549">
        <v>45313.497696759259</v>
      </c>
      <c r="L549">
        <v>9</v>
      </c>
      <c r="O549">
        <v>1</v>
      </c>
      <c r="P549">
        <v>10</v>
      </c>
      <c r="Q549">
        <v>0</v>
      </c>
    </row>
    <row r="550" spans="2:17" x14ac:dyDescent="0.25">
      <c r="B550" t="s">
        <v>293</v>
      </c>
      <c r="C550" t="s">
        <v>403</v>
      </c>
      <c r="D550">
        <v>487</v>
      </c>
      <c r="E550">
        <v>10</v>
      </c>
      <c r="F550" t="s">
        <v>135</v>
      </c>
      <c r="G550" t="s">
        <v>227</v>
      </c>
      <c r="H550" t="s">
        <v>208</v>
      </c>
      <c r="I550" t="s">
        <v>209</v>
      </c>
      <c r="J550">
        <v>0</v>
      </c>
      <c r="K550">
        <v>45313.497766203705</v>
      </c>
      <c r="L550">
        <v>30</v>
      </c>
      <c r="O550">
        <v>1</v>
      </c>
      <c r="P550">
        <v>10</v>
      </c>
      <c r="Q550">
        <v>0</v>
      </c>
    </row>
    <row r="551" spans="2:17" x14ac:dyDescent="0.25">
      <c r="B551" t="s">
        <v>293</v>
      </c>
      <c r="C551" t="s">
        <v>403</v>
      </c>
      <c r="D551">
        <v>487</v>
      </c>
      <c r="E551">
        <v>15</v>
      </c>
      <c r="F551" t="s">
        <v>135</v>
      </c>
      <c r="G551" t="s">
        <v>350</v>
      </c>
      <c r="H551" t="s">
        <v>208</v>
      </c>
      <c r="I551" t="s">
        <v>209</v>
      </c>
      <c r="J551">
        <v>0</v>
      </c>
      <c r="K551">
        <v>45313.497858796298</v>
      </c>
      <c r="L551">
        <v>36</v>
      </c>
      <c r="O551">
        <v>1</v>
      </c>
      <c r="P551">
        <v>15</v>
      </c>
      <c r="Q551">
        <v>0</v>
      </c>
    </row>
    <row r="552" spans="2:17" x14ac:dyDescent="0.25">
      <c r="B552" t="s">
        <v>293</v>
      </c>
      <c r="C552" t="s">
        <v>403</v>
      </c>
      <c r="D552">
        <v>487</v>
      </c>
      <c r="E552">
        <v>14</v>
      </c>
      <c r="F552" t="s">
        <v>135</v>
      </c>
      <c r="G552" t="s">
        <v>64</v>
      </c>
      <c r="H552" t="s">
        <v>208</v>
      </c>
      <c r="I552" t="s">
        <v>209</v>
      </c>
      <c r="J552">
        <v>0</v>
      </c>
      <c r="K552">
        <v>45313.497916666667</v>
      </c>
      <c r="L552">
        <v>0</v>
      </c>
      <c r="O552">
        <v>1</v>
      </c>
      <c r="P552">
        <v>14</v>
      </c>
      <c r="Q552">
        <v>0</v>
      </c>
    </row>
    <row r="553" spans="2:17" x14ac:dyDescent="0.25">
      <c r="B553" t="s">
        <v>293</v>
      </c>
      <c r="C553" t="s">
        <v>403</v>
      </c>
      <c r="D553">
        <v>487</v>
      </c>
      <c r="E553">
        <v>15</v>
      </c>
      <c r="F553" t="s">
        <v>135</v>
      </c>
      <c r="G553" t="s">
        <v>217</v>
      </c>
      <c r="H553" t="s">
        <v>208</v>
      </c>
      <c r="I553" t="s">
        <v>209</v>
      </c>
      <c r="J553">
        <v>0</v>
      </c>
      <c r="K553">
        <v>45313.497986111113</v>
      </c>
      <c r="L553">
        <v>45</v>
      </c>
      <c r="O553">
        <v>1</v>
      </c>
      <c r="P553">
        <v>15</v>
      </c>
      <c r="Q553">
        <v>0</v>
      </c>
    </row>
    <row r="554" spans="2:17" x14ac:dyDescent="0.25">
      <c r="B554" t="s">
        <v>293</v>
      </c>
      <c r="C554" t="s">
        <v>403</v>
      </c>
      <c r="D554">
        <v>487</v>
      </c>
      <c r="E554">
        <v>5</v>
      </c>
      <c r="F554" t="s">
        <v>135</v>
      </c>
      <c r="G554" t="s">
        <v>218</v>
      </c>
      <c r="H554" t="s">
        <v>208</v>
      </c>
      <c r="I554" t="s">
        <v>209</v>
      </c>
      <c r="J554">
        <v>0</v>
      </c>
      <c r="K554">
        <v>45313.498020833336</v>
      </c>
      <c r="L554">
        <v>37</v>
      </c>
      <c r="O554">
        <v>1</v>
      </c>
      <c r="P554">
        <v>5</v>
      </c>
      <c r="Q554">
        <v>0</v>
      </c>
    </row>
    <row r="555" spans="2:17" x14ac:dyDescent="0.25">
      <c r="B555" t="s">
        <v>293</v>
      </c>
      <c r="C555" t="s">
        <v>403</v>
      </c>
      <c r="D555">
        <v>487</v>
      </c>
      <c r="E555">
        <v>5</v>
      </c>
      <c r="F555" t="s">
        <v>135</v>
      </c>
      <c r="G555" t="s">
        <v>65</v>
      </c>
      <c r="H555" t="s">
        <v>208</v>
      </c>
      <c r="I555" t="s">
        <v>209</v>
      </c>
      <c r="J555">
        <v>0</v>
      </c>
      <c r="K555">
        <v>45313.498055555552</v>
      </c>
      <c r="L555">
        <v>3</v>
      </c>
      <c r="O555">
        <v>1</v>
      </c>
      <c r="P555">
        <v>5</v>
      </c>
      <c r="Q555">
        <v>0</v>
      </c>
    </row>
    <row r="556" spans="2:17" x14ac:dyDescent="0.25">
      <c r="B556" t="s">
        <v>293</v>
      </c>
      <c r="C556" t="s">
        <v>403</v>
      </c>
      <c r="D556">
        <v>487</v>
      </c>
      <c r="E556">
        <v>5</v>
      </c>
      <c r="F556" t="s">
        <v>135</v>
      </c>
      <c r="G556" t="s">
        <v>219</v>
      </c>
      <c r="H556" t="s">
        <v>208</v>
      </c>
      <c r="I556" t="s">
        <v>209</v>
      </c>
      <c r="J556">
        <v>0</v>
      </c>
      <c r="K556">
        <v>45313.498090277775</v>
      </c>
      <c r="L556">
        <v>22</v>
      </c>
      <c r="O556">
        <v>1</v>
      </c>
      <c r="P556">
        <v>5</v>
      </c>
      <c r="Q556">
        <v>0</v>
      </c>
    </row>
    <row r="557" spans="2:17" x14ac:dyDescent="0.25">
      <c r="B557" t="s">
        <v>293</v>
      </c>
      <c r="C557" t="s">
        <v>403</v>
      </c>
      <c r="D557">
        <v>487</v>
      </c>
      <c r="E557">
        <v>2</v>
      </c>
      <c r="F557" t="s">
        <v>135</v>
      </c>
      <c r="G557" t="s">
        <v>63</v>
      </c>
      <c r="H557" t="s">
        <v>208</v>
      </c>
      <c r="I557" t="s">
        <v>209</v>
      </c>
      <c r="J557">
        <v>0</v>
      </c>
      <c r="K557">
        <v>45313.498124999998</v>
      </c>
      <c r="L557">
        <v>0</v>
      </c>
      <c r="O557">
        <v>1</v>
      </c>
      <c r="P557">
        <v>2</v>
      </c>
      <c r="Q557">
        <v>0</v>
      </c>
    </row>
    <row r="558" spans="2:17" x14ac:dyDescent="0.25">
      <c r="B558" t="s">
        <v>158</v>
      </c>
      <c r="C558" t="s">
        <v>338</v>
      </c>
      <c r="D558">
        <v>491</v>
      </c>
      <c r="E558">
        <v>1200</v>
      </c>
      <c r="F558" t="s">
        <v>68</v>
      </c>
      <c r="G558" t="s">
        <v>201</v>
      </c>
      <c r="H558" t="s">
        <v>202</v>
      </c>
      <c r="I558" t="s">
        <v>144</v>
      </c>
      <c r="J558">
        <v>0</v>
      </c>
      <c r="K558">
        <v>45313.501574074071</v>
      </c>
      <c r="L558">
        <v>7760</v>
      </c>
      <c r="O558">
        <v>100</v>
      </c>
      <c r="P558">
        <v>12</v>
      </c>
      <c r="Q558">
        <v>0</v>
      </c>
    </row>
    <row r="559" spans="2:17" x14ac:dyDescent="0.25">
      <c r="B559" t="s">
        <v>158</v>
      </c>
      <c r="C559" t="s">
        <v>353</v>
      </c>
      <c r="D559">
        <v>490</v>
      </c>
      <c r="E559">
        <v>10</v>
      </c>
      <c r="F559" t="s">
        <v>68</v>
      </c>
      <c r="G559">
        <v>6800</v>
      </c>
      <c r="H559" t="s">
        <v>150</v>
      </c>
      <c r="I559" t="s">
        <v>144</v>
      </c>
      <c r="J559">
        <v>0</v>
      </c>
      <c r="K559">
        <v>45313.501886574071</v>
      </c>
      <c r="L559">
        <v>179</v>
      </c>
      <c r="O559">
        <v>4</v>
      </c>
      <c r="P559">
        <v>2</v>
      </c>
      <c r="Q559">
        <v>2</v>
      </c>
    </row>
    <row r="560" spans="2:17" x14ac:dyDescent="0.25">
      <c r="B560" t="s">
        <v>158</v>
      </c>
      <c r="C560" t="s">
        <v>243</v>
      </c>
      <c r="D560">
        <v>489</v>
      </c>
      <c r="E560">
        <v>1000</v>
      </c>
      <c r="F560" t="s">
        <v>68</v>
      </c>
      <c r="G560" t="s">
        <v>163</v>
      </c>
      <c r="H560" t="s">
        <v>164</v>
      </c>
      <c r="I560" t="s">
        <v>165</v>
      </c>
      <c r="J560">
        <v>0</v>
      </c>
      <c r="K560">
        <v>45313.501956018517</v>
      </c>
      <c r="L560">
        <v>2000</v>
      </c>
      <c r="O560">
        <v>300</v>
      </c>
      <c r="P560">
        <v>3</v>
      </c>
      <c r="Q560">
        <v>100.00000000000004</v>
      </c>
    </row>
    <row r="561" spans="2:22" x14ac:dyDescent="0.25">
      <c r="B561" t="s">
        <v>158</v>
      </c>
      <c r="C561" t="s">
        <v>336</v>
      </c>
      <c r="D561">
        <v>492</v>
      </c>
      <c r="E561">
        <v>1600</v>
      </c>
      <c r="F561" t="s">
        <v>68</v>
      </c>
      <c r="G561" t="s">
        <v>170</v>
      </c>
      <c r="H561" t="s">
        <v>171</v>
      </c>
      <c r="I561" t="s">
        <v>105</v>
      </c>
      <c r="J561">
        <v>0</v>
      </c>
      <c r="K561">
        <v>45313.50199074074</v>
      </c>
      <c r="L561">
        <v>23800</v>
      </c>
      <c r="O561">
        <v>2400</v>
      </c>
      <c r="P561">
        <v>0</v>
      </c>
      <c r="Q561">
        <v>1600</v>
      </c>
    </row>
    <row r="562" spans="2:22" x14ac:dyDescent="0.25">
      <c r="B562" t="s">
        <v>158</v>
      </c>
      <c r="C562" t="s">
        <v>244</v>
      </c>
      <c r="D562">
        <v>488</v>
      </c>
      <c r="E562">
        <v>200</v>
      </c>
      <c r="F562" t="s">
        <v>68</v>
      </c>
      <c r="G562" t="s">
        <v>166</v>
      </c>
      <c r="H562" t="s">
        <v>167</v>
      </c>
      <c r="J562">
        <v>0</v>
      </c>
      <c r="K562">
        <v>45313.502060185187</v>
      </c>
      <c r="L562">
        <v>335</v>
      </c>
      <c r="O562">
        <v>4</v>
      </c>
      <c r="P562">
        <v>50</v>
      </c>
      <c r="Q562">
        <v>0</v>
      </c>
    </row>
    <row r="563" spans="2:22" x14ac:dyDescent="0.25">
      <c r="B563" t="s">
        <v>158</v>
      </c>
      <c r="C563" t="s">
        <v>244</v>
      </c>
      <c r="D563">
        <v>488</v>
      </c>
      <c r="E563">
        <v>34</v>
      </c>
      <c r="F563" t="s">
        <v>127</v>
      </c>
      <c r="G563" t="s">
        <v>131</v>
      </c>
      <c r="H563" t="s">
        <v>132</v>
      </c>
      <c r="I563" t="s">
        <v>130</v>
      </c>
      <c r="J563">
        <v>0</v>
      </c>
      <c r="K563">
        <v>45313.502106481479</v>
      </c>
      <c r="L563">
        <v>6463</v>
      </c>
      <c r="O563">
        <v>10</v>
      </c>
      <c r="P563">
        <v>3</v>
      </c>
      <c r="Q563">
        <v>3.9999999999999991</v>
      </c>
      <c r="V563" t="s">
        <v>554</v>
      </c>
    </row>
    <row r="564" spans="2:22" x14ac:dyDescent="0.25">
      <c r="B564" t="s">
        <v>404</v>
      </c>
      <c r="C564" t="s">
        <v>106</v>
      </c>
      <c r="D564" t="s">
        <v>106</v>
      </c>
      <c r="E564">
        <v>25000</v>
      </c>
      <c r="F564" t="s">
        <v>68</v>
      </c>
      <c r="G564" t="s">
        <v>146</v>
      </c>
      <c r="H564" t="s">
        <v>147</v>
      </c>
      <c r="I564" t="s">
        <v>144</v>
      </c>
      <c r="J564">
        <v>1</v>
      </c>
      <c r="K564">
        <v>45313.737708333334</v>
      </c>
      <c r="L564">
        <v>47220</v>
      </c>
      <c r="M564" t="s">
        <v>405</v>
      </c>
      <c r="O564">
        <v>440</v>
      </c>
      <c r="P564">
        <v>56</v>
      </c>
      <c r="Q564">
        <v>360.00000000000085</v>
      </c>
    </row>
    <row r="565" spans="2:22" x14ac:dyDescent="0.25">
      <c r="B565" t="s">
        <v>293</v>
      </c>
      <c r="C565" t="s">
        <v>326</v>
      </c>
      <c r="D565">
        <v>493</v>
      </c>
      <c r="E565">
        <v>600</v>
      </c>
      <c r="F565" t="s">
        <v>135</v>
      </c>
      <c r="G565" t="s">
        <v>140</v>
      </c>
      <c r="H565" t="s">
        <v>137</v>
      </c>
      <c r="I565" t="s">
        <v>138</v>
      </c>
      <c r="J565">
        <v>0</v>
      </c>
      <c r="K565">
        <v>45314.640856481485</v>
      </c>
      <c r="L565">
        <v>2498</v>
      </c>
      <c r="O565">
        <v>144</v>
      </c>
      <c r="P565">
        <v>4</v>
      </c>
      <c r="Q565">
        <v>24.000000000000043</v>
      </c>
    </row>
    <row r="566" spans="2:22" x14ac:dyDescent="0.25">
      <c r="B566" t="s">
        <v>293</v>
      </c>
      <c r="C566" t="s">
        <v>406</v>
      </c>
      <c r="D566">
        <v>494</v>
      </c>
      <c r="E566">
        <v>4200</v>
      </c>
      <c r="F566" t="s">
        <v>68</v>
      </c>
      <c r="G566" t="s">
        <v>121</v>
      </c>
      <c r="H566" t="s">
        <v>122</v>
      </c>
      <c r="I566" t="s">
        <v>105</v>
      </c>
      <c r="J566">
        <v>0</v>
      </c>
      <c r="K566">
        <v>45314.642685185187</v>
      </c>
      <c r="L566">
        <v>-500</v>
      </c>
      <c r="O566">
        <v>3000</v>
      </c>
      <c r="P566">
        <v>1</v>
      </c>
      <c r="Q566">
        <v>1199.9999999999998</v>
      </c>
    </row>
    <row r="567" spans="2:22" x14ac:dyDescent="0.25">
      <c r="B567" t="s">
        <v>158</v>
      </c>
      <c r="C567" t="s">
        <v>336</v>
      </c>
      <c r="D567">
        <v>495</v>
      </c>
      <c r="E567">
        <v>1600</v>
      </c>
      <c r="F567" t="s">
        <v>68</v>
      </c>
      <c r="G567" t="s">
        <v>170</v>
      </c>
      <c r="H567" t="s">
        <v>171</v>
      </c>
      <c r="I567" t="s">
        <v>105</v>
      </c>
      <c r="J567">
        <v>0</v>
      </c>
      <c r="K567">
        <v>45314.64329861111</v>
      </c>
      <c r="L567">
        <v>22200</v>
      </c>
      <c r="O567">
        <v>2400</v>
      </c>
      <c r="P567">
        <v>0</v>
      </c>
      <c r="Q567">
        <v>1600</v>
      </c>
    </row>
    <row r="568" spans="2:22" x14ac:dyDescent="0.25">
      <c r="B568" t="s">
        <v>158</v>
      </c>
      <c r="C568" t="s">
        <v>353</v>
      </c>
      <c r="D568">
        <v>496</v>
      </c>
      <c r="E568">
        <v>10</v>
      </c>
      <c r="F568" t="s">
        <v>68</v>
      </c>
      <c r="G568">
        <v>6800</v>
      </c>
      <c r="H568" t="s">
        <v>150</v>
      </c>
      <c r="I568" t="s">
        <v>144</v>
      </c>
      <c r="J568">
        <v>0</v>
      </c>
      <c r="K568">
        <v>45314.64371527778</v>
      </c>
      <c r="L568">
        <v>169</v>
      </c>
      <c r="O568">
        <v>4</v>
      </c>
      <c r="P568">
        <v>2</v>
      </c>
      <c r="Q568">
        <v>2</v>
      </c>
    </row>
    <row r="569" spans="2:22" x14ac:dyDescent="0.25">
      <c r="B569" t="s">
        <v>407</v>
      </c>
      <c r="C569" t="s">
        <v>106</v>
      </c>
      <c r="D569" t="s">
        <v>106</v>
      </c>
      <c r="E569">
        <v>15000</v>
      </c>
      <c r="F569" t="s">
        <v>68</v>
      </c>
      <c r="G569" t="s">
        <v>121</v>
      </c>
      <c r="H569" t="s">
        <v>122</v>
      </c>
      <c r="I569" t="s">
        <v>105</v>
      </c>
      <c r="J569">
        <v>1</v>
      </c>
      <c r="K569">
        <v>45314.651909722219</v>
      </c>
      <c r="L569">
        <v>14500</v>
      </c>
      <c r="M569" t="s">
        <v>408</v>
      </c>
      <c r="O569">
        <v>3000</v>
      </c>
      <c r="P569">
        <v>5</v>
      </c>
      <c r="Q569">
        <v>0</v>
      </c>
    </row>
    <row r="570" spans="2:22" x14ac:dyDescent="0.25">
      <c r="B570" t="s">
        <v>407</v>
      </c>
      <c r="C570" t="s">
        <v>106</v>
      </c>
      <c r="D570" t="s">
        <v>106</v>
      </c>
      <c r="E570">
        <v>3000</v>
      </c>
      <c r="F570" t="s">
        <v>68</v>
      </c>
      <c r="G570" t="s">
        <v>110</v>
      </c>
      <c r="H570" t="s">
        <v>111</v>
      </c>
      <c r="I570" t="s">
        <v>105</v>
      </c>
      <c r="J570">
        <v>1</v>
      </c>
      <c r="K570">
        <v>45314.652384259258</v>
      </c>
      <c r="L570">
        <v>4800</v>
      </c>
      <c r="M570" t="s">
        <v>408</v>
      </c>
      <c r="O570">
        <v>2400</v>
      </c>
      <c r="P570">
        <v>1</v>
      </c>
      <c r="Q570">
        <v>600</v>
      </c>
    </row>
    <row r="571" spans="2:22" x14ac:dyDescent="0.25">
      <c r="B571" t="s">
        <v>409</v>
      </c>
      <c r="C571" t="s">
        <v>106</v>
      </c>
      <c r="D571" t="s">
        <v>106</v>
      </c>
      <c r="E571">
        <v>40000</v>
      </c>
      <c r="F571" t="s">
        <v>68</v>
      </c>
      <c r="G571" t="s">
        <v>107</v>
      </c>
      <c r="H571" t="s">
        <v>108</v>
      </c>
      <c r="I571" t="s">
        <v>105</v>
      </c>
      <c r="J571">
        <v>1</v>
      </c>
      <c r="K571">
        <v>45314.65320601852</v>
      </c>
      <c r="L571">
        <v>48000</v>
      </c>
      <c r="M571" t="s">
        <v>408</v>
      </c>
      <c r="O571">
        <v>1200</v>
      </c>
      <c r="P571">
        <v>33</v>
      </c>
      <c r="Q571">
        <v>400.00000000000284</v>
      </c>
    </row>
    <row r="572" spans="2:22" x14ac:dyDescent="0.25">
      <c r="B572" t="s">
        <v>409</v>
      </c>
      <c r="C572" t="s">
        <v>106</v>
      </c>
      <c r="D572" t="s">
        <v>106</v>
      </c>
      <c r="E572">
        <v>10000</v>
      </c>
      <c r="F572" t="s">
        <v>68</v>
      </c>
      <c r="G572" t="s">
        <v>125</v>
      </c>
      <c r="H572" t="s">
        <v>126</v>
      </c>
      <c r="I572" t="s">
        <v>105</v>
      </c>
      <c r="J572">
        <v>1</v>
      </c>
      <c r="K572">
        <v>45314.653599537036</v>
      </c>
      <c r="L572">
        <v>14600</v>
      </c>
      <c r="M572" t="s">
        <v>408</v>
      </c>
      <c r="O572">
        <v>2400</v>
      </c>
      <c r="P572">
        <v>4</v>
      </c>
      <c r="Q572">
        <v>400.00000000000068</v>
      </c>
    </row>
    <row r="573" spans="2:22" x14ac:dyDescent="0.25">
      <c r="B573" t="s">
        <v>158</v>
      </c>
      <c r="C573" t="s">
        <v>353</v>
      </c>
      <c r="D573">
        <v>496</v>
      </c>
      <c r="E573">
        <v>10</v>
      </c>
      <c r="F573" t="s">
        <v>68</v>
      </c>
      <c r="G573">
        <v>6800</v>
      </c>
      <c r="H573" t="s">
        <v>150</v>
      </c>
      <c r="I573" t="s">
        <v>144</v>
      </c>
      <c r="J573">
        <v>0</v>
      </c>
      <c r="K573">
        <v>45314.714062500003</v>
      </c>
      <c r="L573">
        <v>159</v>
      </c>
      <c r="O573">
        <v>4</v>
      </c>
      <c r="P573">
        <v>2</v>
      </c>
      <c r="Q573">
        <v>2</v>
      </c>
    </row>
    <row r="574" spans="2:22" x14ac:dyDescent="0.25">
      <c r="B574" t="s">
        <v>158</v>
      </c>
      <c r="C574" t="s">
        <v>336</v>
      </c>
      <c r="D574">
        <v>495</v>
      </c>
      <c r="E574">
        <v>1600</v>
      </c>
      <c r="F574" t="s">
        <v>68</v>
      </c>
      <c r="G574" t="s">
        <v>170</v>
      </c>
      <c r="H574" t="s">
        <v>171</v>
      </c>
      <c r="I574" t="s">
        <v>105</v>
      </c>
      <c r="J574">
        <v>0</v>
      </c>
      <c r="K574">
        <v>45314.71466435185</v>
      </c>
      <c r="L574">
        <v>20600</v>
      </c>
      <c r="O574">
        <v>2400</v>
      </c>
      <c r="P574">
        <v>0</v>
      </c>
      <c r="Q574">
        <v>1600</v>
      </c>
    </row>
    <row r="575" spans="2:22" x14ac:dyDescent="0.25">
      <c r="B575" t="s">
        <v>293</v>
      </c>
      <c r="C575" t="s">
        <v>410</v>
      </c>
      <c r="D575">
        <v>506</v>
      </c>
      <c r="E575">
        <v>2600</v>
      </c>
      <c r="F575" t="s">
        <v>68</v>
      </c>
      <c r="G575" t="s">
        <v>107</v>
      </c>
      <c r="H575" t="s">
        <v>108</v>
      </c>
      <c r="I575" t="s">
        <v>105</v>
      </c>
      <c r="J575">
        <v>0</v>
      </c>
      <c r="K575">
        <v>45315.643148148149</v>
      </c>
      <c r="L575">
        <v>45400</v>
      </c>
      <c r="O575">
        <v>1200</v>
      </c>
      <c r="P575">
        <v>2</v>
      </c>
      <c r="Q575">
        <v>199.99999999999983</v>
      </c>
    </row>
    <row r="576" spans="2:22" x14ac:dyDescent="0.25">
      <c r="B576" t="s">
        <v>293</v>
      </c>
      <c r="C576" t="s">
        <v>327</v>
      </c>
      <c r="D576">
        <v>505</v>
      </c>
      <c r="E576">
        <v>17400</v>
      </c>
      <c r="F576" t="s">
        <v>68</v>
      </c>
      <c r="G576" t="s">
        <v>107</v>
      </c>
      <c r="H576" t="s">
        <v>108</v>
      </c>
      <c r="I576" t="s">
        <v>105</v>
      </c>
      <c r="J576">
        <v>0</v>
      </c>
      <c r="K576">
        <v>45315.643784722219</v>
      </c>
      <c r="L576">
        <v>28000</v>
      </c>
      <c r="O576">
        <v>1200</v>
      </c>
      <c r="P576">
        <v>14</v>
      </c>
      <c r="Q576">
        <v>600</v>
      </c>
    </row>
    <row r="577" spans="2:17" x14ac:dyDescent="0.25">
      <c r="B577" t="s">
        <v>293</v>
      </c>
      <c r="C577" t="s">
        <v>247</v>
      </c>
      <c r="D577">
        <v>502</v>
      </c>
      <c r="E577">
        <v>6</v>
      </c>
      <c r="F577" t="s">
        <v>68</v>
      </c>
      <c r="G577">
        <v>6200</v>
      </c>
      <c r="H577" t="s">
        <v>148</v>
      </c>
      <c r="I577" t="s">
        <v>144</v>
      </c>
      <c r="J577">
        <v>0</v>
      </c>
      <c r="K577">
        <v>45315.644305555557</v>
      </c>
      <c r="L577">
        <v>197</v>
      </c>
      <c r="O577">
        <v>24</v>
      </c>
      <c r="P577">
        <v>0</v>
      </c>
      <c r="Q577">
        <v>6</v>
      </c>
    </row>
    <row r="578" spans="2:17" x14ac:dyDescent="0.25">
      <c r="B578" t="s">
        <v>293</v>
      </c>
      <c r="C578" t="s">
        <v>247</v>
      </c>
      <c r="D578">
        <v>502</v>
      </c>
      <c r="E578">
        <v>150</v>
      </c>
      <c r="F578" t="s">
        <v>68</v>
      </c>
      <c r="G578" t="s">
        <v>153</v>
      </c>
      <c r="H578" t="s">
        <v>154</v>
      </c>
      <c r="I578" t="s">
        <v>105</v>
      </c>
      <c r="J578">
        <v>0</v>
      </c>
      <c r="K578">
        <v>45315.644560185188</v>
      </c>
      <c r="L578">
        <v>1500</v>
      </c>
      <c r="O578">
        <v>100</v>
      </c>
      <c r="P578">
        <v>1</v>
      </c>
      <c r="Q578">
        <v>50</v>
      </c>
    </row>
    <row r="579" spans="2:17" x14ac:dyDescent="0.25">
      <c r="B579" t="s">
        <v>293</v>
      </c>
      <c r="C579" t="s">
        <v>326</v>
      </c>
      <c r="D579">
        <v>504</v>
      </c>
      <c r="E579">
        <v>144</v>
      </c>
      <c r="F579" t="s">
        <v>135</v>
      </c>
      <c r="G579" t="s">
        <v>140</v>
      </c>
      <c r="H579" t="s">
        <v>137</v>
      </c>
      <c r="I579" t="s">
        <v>138</v>
      </c>
      <c r="J579">
        <v>0</v>
      </c>
      <c r="K579">
        <v>45315.645069444443</v>
      </c>
      <c r="L579">
        <v>2354</v>
      </c>
      <c r="O579">
        <v>144</v>
      </c>
      <c r="P579">
        <v>1</v>
      </c>
      <c r="Q579">
        <v>0</v>
      </c>
    </row>
    <row r="580" spans="2:17" x14ac:dyDescent="0.25">
      <c r="B580" t="s">
        <v>293</v>
      </c>
      <c r="C580" t="s">
        <v>249</v>
      </c>
      <c r="D580">
        <v>499</v>
      </c>
      <c r="E580">
        <v>15</v>
      </c>
      <c r="F580" t="s">
        <v>68</v>
      </c>
      <c r="G580" t="s">
        <v>182</v>
      </c>
      <c r="H580" t="s">
        <v>183</v>
      </c>
      <c r="J580">
        <v>0</v>
      </c>
      <c r="K580">
        <v>45315.645555555559</v>
      </c>
      <c r="L580">
        <v>10</v>
      </c>
      <c r="O580">
        <v>36</v>
      </c>
      <c r="P580">
        <v>0</v>
      </c>
      <c r="Q580">
        <v>15</v>
      </c>
    </row>
    <row r="581" spans="2:17" x14ac:dyDescent="0.25">
      <c r="B581" t="s">
        <v>293</v>
      </c>
      <c r="C581" t="s">
        <v>311</v>
      </c>
      <c r="D581">
        <v>502</v>
      </c>
      <c r="E581">
        <v>2500</v>
      </c>
      <c r="F581" t="s">
        <v>68</v>
      </c>
      <c r="G581" t="s">
        <v>146</v>
      </c>
      <c r="H581" t="s">
        <v>147</v>
      </c>
      <c r="I581" t="s">
        <v>144</v>
      </c>
      <c r="J581">
        <v>0</v>
      </c>
      <c r="K581">
        <v>45315.64603009259</v>
      </c>
      <c r="L581">
        <v>44720</v>
      </c>
      <c r="O581">
        <v>440</v>
      </c>
      <c r="P581">
        <v>5</v>
      </c>
      <c r="Q581">
        <v>299.99999999999994</v>
      </c>
    </row>
    <row r="582" spans="2:17" x14ac:dyDescent="0.25">
      <c r="B582" t="s">
        <v>293</v>
      </c>
      <c r="C582" t="s">
        <v>376</v>
      </c>
      <c r="D582">
        <v>503</v>
      </c>
      <c r="E582">
        <v>195</v>
      </c>
      <c r="F582" t="s">
        <v>127</v>
      </c>
      <c r="G582" t="s">
        <v>133</v>
      </c>
      <c r="H582" t="s">
        <v>134</v>
      </c>
      <c r="I582" t="s">
        <v>130</v>
      </c>
      <c r="J582">
        <v>0</v>
      </c>
      <c r="K582">
        <v>45315.646527777775</v>
      </c>
      <c r="L582">
        <v>905</v>
      </c>
      <c r="O582">
        <v>10</v>
      </c>
      <c r="P582">
        <v>19</v>
      </c>
      <c r="Q582">
        <v>5</v>
      </c>
    </row>
    <row r="583" spans="2:17" x14ac:dyDescent="0.25">
      <c r="B583" t="s">
        <v>293</v>
      </c>
      <c r="C583" t="s">
        <v>376</v>
      </c>
      <c r="D583">
        <v>503</v>
      </c>
      <c r="E583">
        <v>98</v>
      </c>
      <c r="F583" t="s">
        <v>127</v>
      </c>
      <c r="G583" t="s">
        <v>128</v>
      </c>
      <c r="H583" t="s">
        <v>129</v>
      </c>
      <c r="I583" t="s">
        <v>130</v>
      </c>
      <c r="J583">
        <v>0</v>
      </c>
      <c r="K583">
        <v>45315.64671296296</v>
      </c>
      <c r="L583">
        <v>1260</v>
      </c>
      <c r="O583">
        <v>10</v>
      </c>
      <c r="P583">
        <v>9</v>
      </c>
      <c r="Q583">
        <v>8.0000000000000071</v>
      </c>
    </row>
    <row r="584" spans="2:17" x14ac:dyDescent="0.25">
      <c r="B584" t="s">
        <v>293</v>
      </c>
      <c r="C584" t="s">
        <v>376</v>
      </c>
      <c r="D584">
        <v>503</v>
      </c>
      <c r="E584">
        <v>98</v>
      </c>
      <c r="F584" t="s">
        <v>127</v>
      </c>
      <c r="G584" t="s">
        <v>131</v>
      </c>
      <c r="H584" t="s">
        <v>132</v>
      </c>
      <c r="I584" t="s">
        <v>130</v>
      </c>
      <c r="J584">
        <v>0</v>
      </c>
      <c r="K584">
        <v>45315.646909722222</v>
      </c>
      <c r="L584">
        <v>6365</v>
      </c>
      <c r="O584">
        <v>10</v>
      </c>
      <c r="P584">
        <v>9</v>
      </c>
      <c r="Q584">
        <v>8.0000000000000071</v>
      </c>
    </row>
    <row r="585" spans="2:17" x14ac:dyDescent="0.25">
      <c r="B585" t="s">
        <v>293</v>
      </c>
      <c r="C585" t="s">
        <v>389</v>
      </c>
      <c r="D585">
        <v>497</v>
      </c>
      <c r="E585">
        <v>36</v>
      </c>
      <c r="F585" t="s">
        <v>68</v>
      </c>
      <c r="G585" t="s">
        <v>166</v>
      </c>
      <c r="H585" t="s">
        <v>167</v>
      </c>
      <c r="J585">
        <v>0</v>
      </c>
      <c r="K585">
        <v>45315.647453703707</v>
      </c>
      <c r="L585">
        <v>299</v>
      </c>
      <c r="O585">
        <v>4</v>
      </c>
      <c r="P585">
        <v>9</v>
      </c>
      <c r="Q585">
        <v>0</v>
      </c>
    </row>
    <row r="586" spans="2:17" x14ac:dyDescent="0.25">
      <c r="B586" t="s">
        <v>293</v>
      </c>
      <c r="C586" t="s">
        <v>248</v>
      </c>
      <c r="D586">
        <v>500</v>
      </c>
      <c r="E586">
        <v>300</v>
      </c>
      <c r="F586" t="s">
        <v>68</v>
      </c>
      <c r="G586" t="s">
        <v>159</v>
      </c>
      <c r="H586" t="s">
        <v>160</v>
      </c>
      <c r="I586" t="s">
        <v>161</v>
      </c>
      <c r="J586">
        <v>0</v>
      </c>
      <c r="K586">
        <v>45315.647893518515</v>
      </c>
      <c r="L586">
        <v>2112</v>
      </c>
      <c r="O586">
        <v>36</v>
      </c>
      <c r="P586">
        <v>8</v>
      </c>
      <c r="Q586">
        <v>12.000000000000021</v>
      </c>
    </row>
    <row r="587" spans="2:17" x14ac:dyDescent="0.25">
      <c r="B587" t="s">
        <v>293</v>
      </c>
      <c r="C587" t="s">
        <v>248</v>
      </c>
      <c r="D587">
        <v>500</v>
      </c>
      <c r="E587">
        <v>10</v>
      </c>
      <c r="F587" t="s">
        <v>68</v>
      </c>
      <c r="G587">
        <v>6800</v>
      </c>
      <c r="H587" t="s">
        <v>150</v>
      </c>
      <c r="I587" t="s">
        <v>144</v>
      </c>
      <c r="J587">
        <v>0</v>
      </c>
      <c r="K587">
        <v>45315.6481712963</v>
      </c>
      <c r="L587">
        <v>149</v>
      </c>
      <c r="O587">
        <v>4</v>
      </c>
      <c r="P587">
        <v>2</v>
      </c>
      <c r="Q587">
        <v>2</v>
      </c>
    </row>
    <row r="588" spans="2:17" x14ac:dyDescent="0.25">
      <c r="B588" t="s">
        <v>293</v>
      </c>
      <c r="C588" t="s">
        <v>390</v>
      </c>
      <c r="D588">
        <v>507</v>
      </c>
      <c r="E588">
        <v>12000</v>
      </c>
      <c r="F588" t="s">
        <v>68</v>
      </c>
      <c r="G588" t="s">
        <v>103</v>
      </c>
      <c r="H588" t="s">
        <v>104</v>
      </c>
      <c r="I588" t="s">
        <v>105</v>
      </c>
      <c r="J588">
        <v>0</v>
      </c>
      <c r="K588">
        <v>45315.648645833331</v>
      </c>
      <c r="L588">
        <v>109800</v>
      </c>
      <c r="O588">
        <v>2400</v>
      </c>
      <c r="P588">
        <v>5</v>
      </c>
      <c r="Q588">
        <v>0</v>
      </c>
    </row>
    <row r="589" spans="2:17" x14ac:dyDescent="0.25">
      <c r="B589" t="s">
        <v>293</v>
      </c>
      <c r="C589" t="s">
        <v>356</v>
      </c>
      <c r="D589">
        <v>498</v>
      </c>
      <c r="E589">
        <v>2</v>
      </c>
      <c r="F589" t="s">
        <v>68</v>
      </c>
      <c r="G589">
        <v>81066</v>
      </c>
      <c r="H589" t="s">
        <v>181</v>
      </c>
      <c r="J589">
        <v>0</v>
      </c>
      <c r="K589">
        <v>45315.649085648147</v>
      </c>
      <c r="L589">
        <v>42</v>
      </c>
      <c r="O589">
        <v>40</v>
      </c>
      <c r="P589">
        <v>0</v>
      </c>
      <c r="Q589">
        <v>2</v>
      </c>
    </row>
    <row r="590" spans="2:17" x14ac:dyDescent="0.25">
      <c r="B590" t="s">
        <v>293</v>
      </c>
      <c r="C590" t="s">
        <v>356</v>
      </c>
      <c r="D590">
        <v>498</v>
      </c>
      <c r="E590">
        <v>120</v>
      </c>
      <c r="F590" t="s">
        <v>68</v>
      </c>
      <c r="G590" t="s">
        <v>201</v>
      </c>
      <c r="H590" t="s">
        <v>202</v>
      </c>
      <c r="I590" t="s">
        <v>144</v>
      </c>
      <c r="J590">
        <v>0</v>
      </c>
      <c r="K590">
        <v>45315.649363425924</v>
      </c>
      <c r="L590">
        <v>7640</v>
      </c>
      <c r="O590">
        <v>100</v>
      </c>
      <c r="P590">
        <v>1</v>
      </c>
      <c r="Q590">
        <v>19.999999999999996</v>
      </c>
    </row>
    <row r="591" spans="2:17" x14ac:dyDescent="0.25">
      <c r="B591" t="s">
        <v>293</v>
      </c>
      <c r="C591" t="s">
        <v>356</v>
      </c>
      <c r="D591">
        <v>498</v>
      </c>
      <c r="E591">
        <v>12000</v>
      </c>
      <c r="F591" t="s">
        <v>68</v>
      </c>
      <c r="G591" t="s">
        <v>123</v>
      </c>
      <c r="H591" t="s">
        <v>124</v>
      </c>
      <c r="I591" t="s">
        <v>105</v>
      </c>
      <c r="J591">
        <v>0</v>
      </c>
      <c r="K591">
        <v>45315.649583333332</v>
      </c>
      <c r="L591">
        <v>161700</v>
      </c>
      <c r="O591">
        <v>2400</v>
      </c>
      <c r="P591">
        <v>5</v>
      </c>
      <c r="Q591">
        <v>0</v>
      </c>
    </row>
    <row r="592" spans="2:17" x14ac:dyDescent="0.25">
      <c r="B592" t="s">
        <v>112</v>
      </c>
      <c r="C592" t="s">
        <v>112</v>
      </c>
      <c r="D592" t="s">
        <v>112</v>
      </c>
      <c r="E592">
        <v>1</v>
      </c>
      <c r="F592" t="s">
        <v>68</v>
      </c>
      <c r="G592" t="s">
        <v>112</v>
      </c>
      <c r="H592" t="s">
        <v>323</v>
      </c>
      <c r="I592" t="s">
        <v>66</v>
      </c>
      <c r="K592">
        <v>45316.37940972222</v>
      </c>
      <c r="O592">
        <v>100</v>
      </c>
      <c r="P592">
        <v>0</v>
      </c>
      <c r="Q592">
        <v>1</v>
      </c>
    </row>
    <row r="593" spans="2:17" x14ac:dyDescent="0.25">
      <c r="B593" t="s">
        <v>158</v>
      </c>
      <c r="C593" t="s">
        <v>286</v>
      </c>
      <c r="D593">
        <v>511</v>
      </c>
      <c r="E593">
        <v>5600</v>
      </c>
      <c r="F593" t="s">
        <v>68</v>
      </c>
      <c r="G593" t="s">
        <v>123</v>
      </c>
      <c r="H593" t="s">
        <v>124</v>
      </c>
      <c r="I593" t="s">
        <v>105</v>
      </c>
      <c r="J593">
        <v>0</v>
      </c>
      <c r="K593">
        <v>45320.577719907407</v>
      </c>
      <c r="L593">
        <v>156100</v>
      </c>
      <c r="O593">
        <v>2400</v>
      </c>
      <c r="P593">
        <v>2</v>
      </c>
      <c r="Q593">
        <v>800.00000000000034</v>
      </c>
    </row>
    <row r="594" spans="2:17" x14ac:dyDescent="0.25">
      <c r="B594" t="s">
        <v>158</v>
      </c>
      <c r="C594" t="s">
        <v>286</v>
      </c>
      <c r="D594">
        <v>511</v>
      </c>
      <c r="E594">
        <v>50</v>
      </c>
      <c r="F594" t="s">
        <v>68</v>
      </c>
      <c r="G594">
        <v>6200</v>
      </c>
      <c r="H594" t="s">
        <v>148</v>
      </c>
      <c r="I594" t="s">
        <v>144</v>
      </c>
      <c r="J594">
        <v>0</v>
      </c>
      <c r="K594">
        <v>45320.577928240738</v>
      </c>
      <c r="L594">
        <v>147</v>
      </c>
      <c r="O594">
        <v>24</v>
      </c>
      <c r="P594">
        <v>2</v>
      </c>
      <c r="Q594">
        <v>2.0000000000000036</v>
      </c>
    </row>
    <row r="595" spans="2:17" x14ac:dyDescent="0.25">
      <c r="B595" t="s">
        <v>158</v>
      </c>
      <c r="C595" t="s">
        <v>353</v>
      </c>
      <c r="D595">
        <v>512</v>
      </c>
      <c r="E595">
        <v>10</v>
      </c>
      <c r="F595" t="s">
        <v>68</v>
      </c>
      <c r="G595">
        <v>6800</v>
      </c>
      <c r="H595" t="s">
        <v>150</v>
      </c>
      <c r="I595" t="s">
        <v>144</v>
      </c>
      <c r="J595">
        <v>0</v>
      </c>
      <c r="K595">
        <v>45320.578472222223</v>
      </c>
      <c r="L595">
        <v>139</v>
      </c>
      <c r="O595">
        <v>4</v>
      </c>
      <c r="P595">
        <v>2</v>
      </c>
      <c r="Q595">
        <v>2</v>
      </c>
    </row>
    <row r="596" spans="2:17" x14ac:dyDescent="0.25">
      <c r="B596" t="s">
        <v>158</v>
      </c>
      <c r="C596" t="s">
        <v>411</v>
      </c>
      <c r="D596">
        <v>509</v>
      </c>
      <c r="E596">
        <v>900</v>
      </c>
      <c r="F596" t="s">
        <v>68</v>
      </c>
      <c r="G596">
        <v>501</v>
      </c>
      <c r="H596" t="s">
        <v>178</v>
      </c>
      <c r="I596" t="s">
        <v>144</v>
      </c>
      <c r="J596">
        <v>0</v>
      </c>
      <c r="K596">
        <v>45320.579062500001</v>
      </c>
      <c r="L596">
        <v>2210</v>
      </c>
      <c r="O596">
        <v>100</v>
      </c>
      <c r="P596">
        <v>9</v>
      </c>
      <c r="Q596">
        <v>0</v>
      </c>
    </row>
    <row r="597" spans="2:17" x14ac:dyDescent="0.25">
      <c r="B597" t="s">
        <v>158</v>
      </c>
      <c r="C597" t="s">
        <v>411</v>
      </c>
      <c r="D597">
        <v>509</v>
      </c>
      <c r="E597">
        <v>200</v>
      </c>
      <c r="F597" t="s">
        <v>68</v>
      </c>
      <c r="G597" t="s">
        <v>142</v>
      </c>
      <c r="H597" t="s">
        <v>143</v>
      </c>
      <c r="I597" t="s">
        <v>144</v>
      </c>
      <c r="J597">
        <v>0</v>
      </c>
      <c r="K597">
        <v>45320.579467592594</v>
      </c>
      <c r="L597">
        <v>496</v>
      </c>
      <c r="O597">
        <v>24</v>
      </c>
      <c r="P597">
        <v>8</v>
      </c>
      <c r="Q597">
        <v>8.0000000000000142</v>
      </c>
    </row>
    <row r="598" spans="2:17" x14ac:dyDescent="0.25">
      <c r="B598" t="s">
        <v>158</v>
      </c>
      <c r="C598" t="s">
        <v>411</v>
      </c>
      <c r="D598">
        <v>509</v>
      </c>
      <c r="E598">
        <v>120</v>
      </c>
      <c r="F598" t="s">
        <v>68</v>
      </c>
      <c r="G598" t="s">
        <v>151</v>
      </c>
      <c r="H598" t="s">
        <v>152</v>
      </c>
      <c r="I598" t="s">
        <v>105</v>
      </c>
      <c r="J598">
        <v>0</v>
      </c>
      <c r="K598">
        <v>45320.579687500001</v>
      </c>
      <c r="L598">
        <v>1186</v>
      </c>
      <c r="O598">
        <v>200</v>
      </c>
      <c r="P598">
        <v>0</v>
      </c>
      <c r="Q598">
        <v>120</v>
      </c>
    </row>
    <row r="599" spans="2:17" x14ac:dyDescent="0.25">
      <c r="B599" t="s">
        <v>158</v>
      </c>
      <c r="C599" t="s">
        <v>397</v>
      </c>
      <c r="D599">
        <v>510</v>
      </c>
      <c r="E599">
        <v>400</v>
      </c>
      <c r="F599" t="s">
        <v>68</v>
      </c>
      <c r="G599" t="s">
        <v>119</v>
      </c>
      <c r="H599" t="s">
        <v>120</v>
      </c>
      <c r="I599" t="s">
        <v>105</v>
      </c>
      <c r="J599">
        <v>0</v>
      </c>
      <c r="K599">
        <v>45320.580335648148</v>
      </c>
      <c r="L599">
        <v>28800</v>
      </c>
      <c r="O599">
        <v>2400</v>
      </c>
      <c r="P599">
        <v>0</v>
      </c>
      <c r="Q599">
        <v>400</v>
      </c>
    </row>
    <row r="600" spans="2:17" x14ac:dyDescent="0.25">
      <c r="B600" t="s">
        <v>158</v>
      </c>
      <c r="C600" t="s">
        <v>397</v>
      </c>
      <c r="D600">
        <v>510</v>
      </c>
      <c r="E600">
        <v>200</v>
      </c>
      <c r="F600" t="s">
        <v>68</v>
      </c>
      <c r="G600" t="s">
        <v>113</v>
      </c>
      <c r="H600" t="s">
        <v>114</v>
      </c>
      <c r="I600" t="s">
        <v>105</v>
      </c>
      <c r="J600">
        <v>0</v>
      </c>
      <c r="K600">
        <v>45320.580659722225</v>
      </c>
      <c r="L600">
        <v>4000</v>
      </c>
      <c r="O600">
        <v>3000</v>
      </c>
      <c r="P600">
        <v>0</v>
      </c>
      <c r="Q600">
        <v>200</v>
      </c>
    </row>
    <row r="601" spans="2:17" x14ac:dyDescent="0.25">
      <c r="B601" t="s">
        <v>293</v>
      </c>
      <c r="C601" t="s">
        <v>356</v>
      </c>
      <c r="D601">
        <v>1314</v>
      </c>
      <c r="E601">
        <v>12000</v>
      </c>
      <c r="F601" t="s">
        <v>68</v>
      </c>
      <c r="G601" t="s">
        <v>123</v>
      </c>
      <c r="H601" t="s">
        <v>124</v>
      </c>
      <c r="I601" t="s">
        <v>105</v>
      </c>
      <c r="J601">
        <v>0</v>
      </c>
      <c r="K601">
        <v>45324.383287037039</v>
      </c>
      <c r="L601">
        <v>144100</v>
      </c>
      <c r="O601">
        <v>2400</v>
      </c>
      <c r="P601">
        <v>5</v>
      </c>
      <c r="Q601">
        <v>0</v>
      </c>
    </row>
    <row r="602" spans="2:17" x14ac:dyDescent="0.25">
      <c r="B602" t="s">
        <v>293</v>
      </c>
      <c r="C602" t="s">
        <v>356</v>
      </c>
      <c r="D602">
        <v>1314</v>
      </c>
      <c r="E602">
        <v>120</v>
      </c>
      <c r="F602" t="s">
        <v>68</v>
      </c>
      <c r="G602" t="s">
        <v>201</v>
      </c>
      <c r="H602" t="s">
        <v>202</v>
      </c>
      <c r="I602" t="s">
        <v>144</v>
      </c>
      <c r="J602">
        <v>0</v>
      </c>
      <c r="K602">
        <v>45324.383414351854</v>
      </c>
      <c r="L602">
        <v>7520</v>
      </c>
      <c r="O602">
        <v>100</v>
      </c>
      <c r="P602">
        <v>1</v>
      </c>
      <c r="Q602">
        <v>19.999999999999996</v>
      </c>
    </row>
    <row r="603" spans="2:17" x14ac:dyDescent="0.25">
      <c r="B603" t="s">
        <v>293</v>
      </c>
      <c r="C603" t="s">
        <v>356</v>
      </c>
      <c r="D603">
        <v>1314</v>
      </c>
      <c r="E603">
        <v>2</v>
      </c>
      <c r="F603" t="s">
        <v>68</v>
      </c>
      <c r="G603">
        <v>81066</v>
      </c>
      <c r="H603" t="s">
        <v>181</v>
      </c>
      <c r="J603">
        <v>0</v>
      </c>
      <c r="K603">
        <v>45324.383483796293</v>
      </c>
      <c r="L603">
        <v>40</v>
      </c>
      <c r="O603">
        <v>40</v>
      </c>
      <c r="P603">
        <v>0</v>
      </c>
      <c r="Q603">
        <v>2</v>
      </c>
    </row>
    <row r="604" spans="2:17" x14ac:dyDescent="0.25">
      <c r="B604" t="s">
        <v>293</v>
      </c>
      <c r="C604" t="s">
        <v>311</v>
      </c>
      <c r="D604">
        <v>1315</v>
      </c>
      <c r="E604">
        <v>2500</v>
      </c>
      <c r="F604" t="s">
        <v>68</v>
      </c>
      <c r="G604" t="s">
        <v>146</v>
      </c>
      <c r="H604" t="s">
        <v>147</v>
      </c>
      <c r="I604" t="s">
        <v>144</v>
      </c>
      <c r="J604">
        <v>0</v>
      </c>
      <c r="K604">
        <v>45324.383784722224</v>
      </c>
      <c r="L604">
        <v>42220</v>
      </c>
      <c r="O604">
        <v>440</v>
      </c>
      <c r="P604">
        <v>5</v>
      </c>
      <c r="Q604">
        <v>299.99999999999994</v>
      </c>
    </row>
    <row r="605" spans="2:17" x14ac:dyDescent="0.25">
      <c r="B605" t="s">
        <v>293</v>
      </c>
      <c r="C605" t="s">
        <v>311</v>
      </c>
      <c r="D605">
        <v>1315</v>
      </c>
      <c r="E605">
        <v>80</v>
      </c>
      <c r="F605" t="s">
        <v>68</v>
      </c>
      <c r="G605" t="s">
        <v>109</v>
      </c>
      <c r="H605" t="s">
        <v>162</v>
      </c>
      <c r="J605">
        <v>0</v>
      </c>
      <c r="K605">
        <v>45324.383923611109</v>
      </c>
      <c r="L605">
        <v>112</v>
      </c>
      <c r="O605">
        <v>96</v>
      </c>
      <c r="P605">
        <v>0</v>
      </c>
      <c r="Q605">
        <v>80</v>
      </c>
    </row>
    <row r="606" spans="2:17" x14ac:dyDescent="0.25">
      <c r="B606" t="s">
        <v>293</v>
      </c>
      <c r="C606" t="s">
        <v>249</v>
      </c>
      <c r="D606">
        <v>1316</v>
      </c>
      <c r="E606">
        <v>2</v>
      </c>
      <c r="F606" t="s">
        <v>68</v>
      </c>
      <c r="G606" t="s">
        <v>182</v>
      </c>
      <c r="H606" t="s">
        <v>183</v>
      </c>
      <c r="J606">
        <v>0</v>
      </c>
      <c r="K606">
        <v>45324.384108796294</v>
      </c>
      <c r="L606">
        <v>8</v>
      </c>
      <c r="O606">
        <v>36</v>
      </c>
      <c r="P606">
        <v>0</v>
      </c>
      <c r="Q606">
        <v>2</v>
      </c>
    </row>
    <row r="607" spans="2:17" x14ac:dyDescent="0.25">
      <c r="B607" t="s">
        <v>293</v>
      </c>
      <c r="C607" t="s">
        <v>249</v>
      </c>
      <c r="D607">
        <v>1316</v>
      </c>
      <c r="E607">
        <v>120</v>
      </c>
      <c r="F607" t="s">
        <v>68</v>
      </c>
      <c r="G607">
        <v>6001</v>
      </c>
      <c r="H607" t="s">
        <v>149</v>
      </c>
      <c r="I607" t="s">
        <v>144</v>
      </c>
      <c r="J607">
        <v>0</v>
      </c>
      <c r="K607">
        <v>45324.384189814817</v>
      </c>
      <c r="L607">
        <v>5000</v>
      </c>
      <c r="O607">
        <v>60</v>
      </c>
      <c r="P607">
        <v>2</v>
      </c>
      <c r="Q607">
        <v>0</v>
      </c>
    </row>
    <row r="608" spans="2:17" x14ac:dyDescent="0.25">
      <c r="B608" t="s">
        <v>293</v>
      </c>
      <c r="C608" t="s">
        <v>248</v>
      </c>
      <c r="D608">
        <v>1317</v>
      </c>
      <c r="E608">
        <v>10</v>
      </c>
      <c r="F608" t="s">
        <v>68</v>
      </c>
      <c r="G608">
        <v>6800</v>
      </c>
      <c r="H608" t="s">
        <v>150</v>
      </c>
      <c r="I608" t="s">
        <v>144</v>
      </c>
      <c r="J608">
        <v>0</v>
      </c>
      <c r="K608">
        <v>45324.384236111109</v>
      </c>
      <c r="L608">
        <v>129</v>
      </c>
      <c r="O608">
        <v>4</v>
      </c>
      <c r="P608">
        <v>2</v>
      </c>
      <c r="Q608">
        <v>2</v>
      </c>
    </row>
    <row r="609" spans="2:17" x14ac:dyDescent="0.25">
      <c r="B609" t="s">
        <v>293</v>
      </c>
      <c r="C609" t="s">
        <v>247</v>
      </c>
      <c r="D609">
        <v>1318</v>
      </c>
      <c r="E609">
        <v>6</v>
      </c>
      <c r="F609" t="s">
        <v>68</v>
      </c>
      <c r="G609">
        <v>6200</v>
      </c>
      <c r="H609" t="s">
        <v>148</v>
      </c>
      <c r="I609" t="s">
        <v>144</v>
      </c>
      <c r="J609">
        <v>0</v>
      </c>
      <c r="K609">
        <v>45324.384259259263</v>
      </c>
      <c r="L609">
        <v>141</v>
      </c>
      <c r="O609">
        <v>24</v>
      </c>
      <c r="P609">
        <v>0</v>
      </c>
      <c r="Q609">
        <v>6</v>
      </c>
    </row>
    <row r="610" spans="2:17" x14ac:dyDescent="0.25">
      <c r="B610" t="s">
        <v>293</v>
      </c>
      <c r="C610" t="s">
        <v>376</v>
      </c>
      <c r="D610">
        <v>1319</v>
      </c>
      <c r="E610">
        <v>120</v>
      </c>
      <c r="F610" t="s">
        <v>127</v>
      </c>
      <c r="G610" t="s">
        <v>133</v>
      </c>
      <c r="H610" t="s">
        <v>134</v>
      </c>
      <c r="I610" t="s">
        <v>130</v>
      </c>
      <c r="J610">
        <v>0</v>
      </c>
      <c r="K610">
        <v>45324.384282407409</v>
      </c>
      <c r="L610">
        <v>785</v>
      </c>
      <c r="O610">
        <v>10</v>
      </c>
      <c r="P610">
        <v>12</v>
      </c>
      <c r="Q610">
        <v>0</v>
      </c>
    </row>
    <row r="611" spans="2:17" x14ac:dyDescent="0.25">
      <c r="B611" t="s">
        <v>293</v>
      </c>
      <c r="C611" t="s">
        <v>376</v>
      </c>
      <c r="D611">
        <v>1319</v>
      </c>
      <c r="E611">
        <v>60</v>
      </c>
      <c r="F611" t="s">
        <v>127</v>
      </c>
      <c r="G611" t="s">
        <v>128</v>
      </c>
      <c r="H611" t="s">
        <v>129</v>
      </c>
      <c r="I611" t="s">
        <v>130</v>
      </c>
      <c r="J611">
        <v>0</v>
      </c>
      <c r="K611">
        <v>45324.384340277778</v>
      </c>
      <c r="L611">
        <v>1200</v>
      </c>
      <c r="O611">
        <v>10</v>
      </c>
      <c r="P611">
        <v>6</v>
      </c>
      <c r="Q611">
        <v>0</v>
      </c>
    </row>
    <row r="612" spans="2:17" x14ac:dyDescent="0.25">
      <c r="B612" t="s">
        <v>293</v>
      </c>
      <c r="C612" t="s">
        <v>376</v>
      </c>
      <c r="D612">
        <v>1319</v>
      </c>
      <c r="E612">
        <v>60</v>
      </c>
      <c r="F612" t="s">
        <v>127</v>
      </c>
      <c r="G612" t="s">
        <v>131</v>
      </c>
      <c r="H612" t="s">
        <v>132</v>
      </c>
      <c r="I612" t="s">
        <v>130</v>
      </c>
      <c r="J612">
        <v>0</v>
      </c>
      <c r="K612">
        <v>45324.384375000001</v>
      </c>
      <c r="L612">
        <v>6305</v>
      </c>
      <c r="O612">
        <v>10</v>
      </c>
      <c r="P612">
        <v>6</v>
      </c>
      <c r="Q612">
        <v>0</v>
      </c>
    </row>
    <row r="613" spans="2:17" x14ac:dyDescent="0.25">
      <c r="B613" t="s">
        <v>293</v>
      </c>
      <c r="C613" t="s">
        <v>326</v>
      </c>
      <c r="D613">
        <v>1320</v>
      </c>
      <c r="E613">
        <v>144</v>
      </c>
      <c r="F613" t="s">
        <v>135</v>
      </c>
      <c r="G613" t="s">
        <v>140</v>
      </c>
      <c r="H613" t="s">
        <v>137</v>
      </c>
      <c r="I613" t="s">
        <v>138</v>
      </c>
      <c r="J613">
        <v>0</v>
      </c>
      <c r="K613">
        <v>45324.384409722225</v>
      </c>
      <c r="L613">
        <v>2210</v>
      </c>
      <c r="O613">
        <v>144</v>
      </c>
      <c r="P613">
        <v>1</v>
      </c>
      <c r="Q613">
        <v>0</v>
      </c>
    </row>
    <row r="614" spans="2:17" x14ac:dyDescent="0.25">
      <c r="B614" t="s">
        <v>293</v>
      </c>
      <c r="C614" t="s">
        <v>412</v>
      </c>
      <c r="D614">
        <v>1321</v>
      </c>
      <c r="E614">
        <v>6</v>
      </c>
      <c r="F614" t="s">
        <v>68</v>
      </c>
      <c r="G614" t="s">
        <v>157</v>
      </c>
      <c r="H614" t="s">
        <v>156</v>
      </c>
      <c r="J614">
        <v>0</v>
      </c>
      <c r="K614">
        <v>45324.384432870371</v>
      </c>
      <c r="L614">
        <v>1208</v>
      </c>
      <c r="O614">
        <v>12</v>
      </c>
      <c r="P614">
        <v>0</v>
      </c>
      <c r="Q614">
        <v>6</v>
      </c>
    </row>
    <row r="615" spans="2:17" x14ac:dyDescent="0.25">
      <c r="B615" t="s">
        <v>293</v>
      </c>
      <c r="C615" t="s">
        <v>412</v>
      </c>
      <c r="D615">
        <v>1321</v>
      </c>
      <c r="E615">
        <v>200</v>
      </c>
      <c r="F615" t="s">
        <v>68</v>
      </c>
      <c r="G615" t="s">
        <v>153</v>
      </c>
      <c r="H615" t="s">
        <v>154</v>
      </c>
      <c r="I615" t="s">
        <v>105</v>
      </c>
      <c r="J615">
        <v>0</v>
      </c>
      <c r="K615">
        <v>45324.384479166663</v>
      </c>
      <c r="L615">
        <v>1300</v>
      </c>
      <c r="O615">
        <v>100</v>
      </c>
      <c r="P615">
        <v>2</v>
      </c>
      <c r="Q615">
        <v>0</v>
      </c>
    </row>
    <row r="616" spans="2:17" x14ac:dyDescent="0.25">
      <c r="B616" t="s">
        <v>293</v>
      </c>
      <c r="C616" t="s">
        <v>413</v>
      </c>
      <c r="D616">
        <v>1322</v>
      </c>
      <c r="E616">
        <v>240</v>
      </c>
      <c r="F616" t="s">
        <v>68</v>
      </c>
      <c r="G616" t="s">
        <v>163</v>
      </c>
      <c r="H616" t="s">
        <v>164</v>
      </c>
      <c r="I616" t="s">
        <v>165</v>
      </c>
      <c r="J616">
        <v>0</v>
      </c>
      <c r="K616">
        <v>45324.384525462963</v>
      </c>
      <c r="L616">
        <v>1760</v>
      </c>
      <c r="O616">
        <v>300</v>
      </c>
      <c r="P616">
        <v>0</v>
      </c>
      <c r="Q616">
        <v>240</v>
      </c>
    </row>
    <row r="617" spans="2:17" x14ac:dyDescent="0.25">
      <c r="B617" t="s">
        <v>293</v>
      </c>
      <c r="C617" t="s">
        <v>410</v>
      </c>
      <c r="D617">
        <v>1323</v>
      </c>
      <c r="E617">
        <v>6000</v>
      </c>
      <c r="F617" t="s">
        <v>68</v>
      </c>
      <c r="G617" t="s">
        <v>107</v>
      </c>
      <c r="H617" t="s">
        <v>108</v>
      </c>
      <c r="I617" t="s">
        <v>105</v>
      </c>
      <c r="J617">
        <v>0</v>
      </c>
      <c r="K617">
        <v>45324.384560185186</v>
      </c>
      <c r="L617">
        <v>22000</v>
      </c>
      <c r="O617">
        <v>1200</v>
      </c>
      <c r="P617">
        <v>5</v>
      </c>
      <c r="Q617">
        <v>0</v>
      </c>
    </row>
    <row r="618" spans="2:17" x14ac:dyDescent="0.25">
      <c r="B618" t="s">
        <v>293</v>
      </c>
      <c r="C618" t="s">
        <v>390</v>
      </c>
      <c r="D618">
        <v>1324</v>
      </c>
      <c r="E618">
        <v>12000</v>
      </c>
      <c r="F618" t="s">
        <v>68</v>
      </c>
      <c r="G618" t="s">
        <v>103</v>
      </c>
      <c r="H618" t="s">
        <v>104</v>
      </c>
      <c r="I618" t="s">
        <v>105</v>
      </c>
      <c r="J618">
        <v>0</v>
      </c>
      <c r="K618">
        <v>45324.384594907409</v>
      </c>
      <c r="L618">
        <v>97800</v>
      </c>
      <c r="O618">
        <v>2400</v>
      </c>
      <c r="P618">
        <v>5</v>
      </c>
      <c r="Q618">
        <v>0</v>
      </c>
    </row>
    <row r="619" spans="2:17" x14ac:dyDescent="0.25">
      <c r="B619" t="s">
        <v>293</v>
      </c>
      <c r="C619" t="s">
        <v>389</v>
      </c>
      <c r="D619">
        <v>1313</v>
      </c>
      <c r="E619">
        <v>36</v>
      </c>
      <c r="F619" t="s">
        <v>68</v>
      </c>
      <c r="G619" t="s">
        <v>166</v>
      </c>
      <c r="H619" t="s">
        <v>167</v>
      </c>
      <c r="J619">
        <v>0</v>
      </c>
      <c r="K619">
        <v>45324.384722222225</v>
      </c>
      <c r="L619">
        <v>263</v>
      </c>
      <c r="O619">
        <v>4</v>
      </c>
      <c r="P619">
        <v>9</v>
      </c>
      <c r="Q619">
        <v>0</v>
      </c>
    </row>
    <row r="620" spans="2:17" x14ac:dyDescent="0.25">
      <c r="B620" t="s">
        <v>158</v>
      </c>
      <c r="C620" t="s">
        <v>411</v>
      </c>
      <c r="D620">
        <v>1358</v>
      </c>
      <c r="E620">
        <v>200</v>
      </c>
      <c r="F620" t="s">
        <v>68</v>
      </c>
      <c r="G620" t="s">
        <v>142</v>
      </c>
      <c r="H620" t="s">
        <v>143</v>
      </c>
      <c r="I620" t="s">
        <v>144</v>
      </c>
      <c r="J620">
        <v>0</v>
      </c>
      <c r="K620">
        <v>45327.457372685189</v>
      </c>
      <c r="L620">
        <v>296</v>
      </c>
      <c r="O620">
        <v>24</v>
      </c>
      <c r="P620">
        <v>8</v>
      </c>
      <c r="Q620">
        <v>8.0000000000000142</v>
      </c>
    </row>
    <row r="621" spans="2:17" x14ac:dyDescent="0.25">
      <c r="B621" t="s">
        <v>158</v>
      </c>
      <c r="C621" t="s">
        <v>244</v>
      </c>
      <c r="D621">
        <v>1360</v>
      </c>
      <c r="E621">
        <v>53</v>
      </c>
      <c r="F621" t="s">
        <v>127</v>
      </c>
      <c r="G621" t="s">
        <v>131</v>
      </c>
      <c r="H621" t="s">
        <v>132</v>
      </c>
      <c r="I621" t="s">
        <v>130</v>
      </c>
      <c r="J621">
        <v>0</v>
      </c>
      <c r="K621">
        <v>45327.457442129627</v>
      </c>
      <c r="L621">
        <v>6252</v>
      </c>
      <c r="O621">
        <v>10</v>
      </c>
      <c r="P621">
        <v>5</v>
      </c>
      <c r="Q621">
        <v>2.9999999999999982</v>
      </c>
    </row>
    <row r="622" spans="2:17" x14ac:dyDescent="0.25">
      <c r="B622" t="s">
        <v>158</v>
      </c>
      <c r="C622" t="s">
        <v>397</v>
      </c>
      <c r="D622">
        <v>1359</v>
      </c>
      <c r="E622">
        <v>200</v>
      </c>
      <c r="F622" t="s">
        <v>68</v>
      </c>
      <c r="G622" t="s">
        <v>113</v>
      </c>
      <c r="H622" t="s">
        <v>114</v>
      </c>
      <c r="I622" t="s">
        <v>105</v>
      </c>
      <c r="J622">
        <v>0</v>
      </c>
      <c r="K622">
        <v>45327.457488425927</v>
      </c>
      <c r="L622">
        <v>3800</v>
      </c>
      <c r="O622">
        <v>3000</v>
      </c>
      <c r="P622">
        <v>0</v>
      </c>
      <c r="Q622">
        <v>200</v>
      </c>
    </row>
    <row r="623" spans="2:17" x14ac:dyDescent="0.25">
      <c r="B623" t="s">
        <v>158</v>
      </c>
      <c r="C623" t="s">
        <v>397</v>
      </c>
      <c r="D623">
        <v>1361</v>
      </c>
      <c r="E623">
        <v>600</v>
      </c>
      <c r="F623" t="s">
        <v>68</v>
      </c>
      <c r="G623" t="s">
        <v>117</v>
      </c>
      <c r="H623" t="s">
        <v>118</v>
      </c>
      <c r="I623" t="s">
        <v>105</v>
      </c>
      <c r="J623">
        <v>0</v>
      </c>
      <c r="K623">
        <v>45329.670555555553</v>
      </c>
      <c r="L623">
        <v>4400</v>
      </c>
      <c r="O623">
        <v>3000</v>
      </c>
      <c r="P623">
        <v>0</v>
      </c>
      <c r="Q623">
        <v>600</v>
      </c>
    </row>
    <row r="624" spans="2:17" x14ac:dyDescent="0.25">
      <c r="B624" t="s">
        <v>158</v>
      </c>
      <c r="C624" t="s">
        <v>246</v>
      </c>
      <c r="D624">
        <v>1362</v>
      </c>
      <c r="E624">
        <v>400</v>
      </c>
      <c r="F624" t="s">
        <v>68</v>
      </c>
      <c r="G624" t="s">
        <v>274</v>
      </c>
      <c r="H624" t="s">
        <v>275</v>
      </c>
      <c r="I624" t="s">
        <v>105</v>
      </c>
      <c r="J624">
        <v>0</v>
      </c>
      <c r="K624">
        <v>45329.670624999999</v>
      </c>
      <c r="L624">
        <v>0</v>
      </c>
      <c r="O624">
        <v>1</v>
      </c>
      <c r="P624">
        <v>400</v>
      </c>
      <c r="Q624">
        <v>0</v>
      </c>
    </row>
    <row r="625" spans="2:17" x14ac:dyDescent="0.25">
      <c r="B625" t="s">
        <v>158</v>
      </c>
      <c r="C625" t="s">
        <v>243</v>
      </c>
      <c r="D625">
        <v>1363</v>
      </c>
      <c r="E625">
        <v>500</v>
      </c>
      <c r="F625" t="s">
        <v>135</v>
      </c>
      <c r="G625" t="s">
        <v>136</v>
      </c>
      <c r="H625" t="s">
        <v>137</v>
      </c>
      <c r="I625" t="s">
        <v>138</v>
      </c>
      <c r="J625">
        <v>0</v>
      </c>
      <c r="K625">
        <v>45329.670648148145</v>
      </c>
      <c r="L625">
        <v>220</v>
      </c>
      <c r="O625">
        <v>144</v>
      </c>
      <c r="P625">
        <v>3</v>
      </c>
      <c r="Q625">
        <v>68.000000000000014</v>
      </c>
    </row>
    <row r="626" spans="2:17" x14ac:dyDescent="0.25">
      <c r="B626" t="s">
        <v>158</v>
      </c>
      <c r="C626" t="s">
        <v>243</v>
      </c>
      <c r="D626">
        <v>1363</v>
      </c>
      <c r="E626">
        <v>700</v>
      </c>
      <c r="F626" t="s">
        <v>135</v>
      </c>
      <c r="G626" t="s">
        <v>140</v>
      </c>
      <c r="H626" t="s">
        <v>137</v>
      </c>
      <c r="I626" t="s">
        <v>138</v>
      </c>
      <c r="J626">
        <v>0</v>
      </c>
      <c r="K626">
        <v>45329.670682870368</v>
      </c>
      <c r="L626">
        <v>1510</v>
      </c>
      <c r="O626">
        <v>144</v>
      </c>
      <c r="P626">
        <v>4</v>
      </c>
      <c r="Q626">
        <v>123.99999999999994</v>
      </c>
    </row>
    <row r="627" spans="2:17" x14ac:dyDescent="0.25">
      <c r="B627" t="s">
        <v>158</v>
      </c>
      <c r="C627" t="s">
        <v>353</v>
      </c>
      <c r="D627">
        <v>1364</v>
      </c>
      <c r="E627">
        <v>2500</v>
      </c>
      <c r="F627" t="s">
        <v>68</v>
      </c>
      <c r="G627" t="s">
        <v>125</v>
      </c>
      <c r="H627" t="s">
        <v>126</v>
      </c>
      <c r="I627" t="s">
        <v>105</v>
      </c>
      <c r="J627">
        <v>0</v>
      </c>
      <c r="K627">
        <v>45329.670717592591</v>
      </c>
      <c r="L627">
        <v>12100</v>
      </c>
      <c r="O627">
        <v>2400</v>
      </c>
      <c r="P627">
        <v>1</v>
      </c>
      <c r="Q627">
        <v>100.00000000000017</v>
      </c>
    </row>
    <row r="628" spans="2:17" x14ac:dyDescent="0.25">
      <c r="B628" t="s">
        <v>158</v>
      </c>
      <c r="C628" t="s">
        <v>353</v>
      </c>
      <c r="D628">
        <v>1364</v>
      </c>
      <c r="E628">
        <v>40</v>
      </c>
      <c r="F628" t="s">
        <v>68</v>
      </c>
      <c r="G628">
        <v>6885</v>
      </c>
      <c r="H628" t="s">
        <v>169</v>
      </c>
      <c r="I628" t="s">
        <v>144</v>
      </c>
      <c r="J628">
        <v>0</v>
      </c>
      <c r="K628">
        <v>45329.670775462961</v>
      </c>
      <c r="L628">
        <v>340</v>
      </c>
      <c r="O628">
        <v>100</v>
      </c>
      <c r="P628">
        <v>0</v>
      </c>
      <c r="Q628">
        <v>40</v>
      </c>
    </row>
    <row r="629" spans="2:17" x14ac:dyDescent="0.25">
      <c r="B629" t="s">
        <v>158</v>
      </c>
      <c r="C629" t="s">
        <v>336</v>
      </c>
      <c r="D629">
        <v>1365</v>
      </c>
      <c r="E629">
        <v>1600</v>
      </c>
      <c r="F629" t="s">
        <v>68</v>
      </c>
      <c r="G629" t="s">
        <v>170</v>
      </c>
      <c r="H629" t="s">
        <v>171</v>
      </c>
      <c r="I629" t="s">
        <v>105</v>
      </c>
      <c r="J629">
        <v>0</v>
      </c>
      <c r="K629">
        <v>45329.67082175926</v>
      </c>
      <c r="L629">
        <v>19000</v>
      </c>
      <c r="O629">
        <v>2400</v>
      </c>
      <c r="P629">
        <v>0</v>
      </c>
      <c r="Q629">
        <v>1600</v>
      </c>
    </row>
    <row r="630" spans="2:17" x14ac:dyDescent="0.25">
      <c r="B630" t="s">
        <v>158</v>
      </c>
      <c r="C630" t="s">
        <v>338</v>
      </c>
      <c r="D630">
        <v>1366</v>
      </c>
      <c r="E630">
        <v>1600</v>
      </c>
      <c r="F630" t="s">
        <v>68</v>
      </c>
      <c r="G630" t="s">
        <v>146</v>
      </c>
      <c r="H630" t="s">
        <v>147</v>
      </c>
      <c r="I630" t="s">
        <v>144</v>
      </c>
      <c r="J630">
        <v>0</v>
      </c>
      <c r="K630">
        <v>45329.670868055553</v>
      </c>
      <c r="L630">
        <v>40620</v>
      </c>
      <c r="O630">
        <v>440</v>
      </c>
      <c r="P630">
        <v>3</v>
      </c>
      <c r="Q630">
        <v>279.99999999999994</v>
      </c>
    </row>
    <row r="631" spans="2:17" x14ac:dyDescent="0.25">
      <c r="B631" t="s">
        <v>293</v>
      </c>
      <c r="C631" t="s">
        <v>376</v>
      </c>
      <c r="D631">
        <v>1367</v>
      </c>
      <c r="E631">
        <v>250</v>
      </c>
      <c r="F631" t="s">
        <v>127</v>
      </c>
      <c r="G631" t="s">
        <v>128</v>
      </c>
      <c r="H631" t="s">
        <v>129</v>
      </c>
      <c r="I631" t="s">
        <v>130</v>
      </c>
      <c r="J631">
        <v>0</v>
      </c>
      <c r="K631">
        <v>45329.672592592593</v>
      </c>
      <c r="L631">
        <v>950</v>
      </c>
      <c r="O631">
        <v>10</v>
      </c>
      <c r="P631">
        <v>25</v>
      </c>
      <c r="Q631">
        <v>0</v>
      </c>
    </row>
    <row r="632" spans="2:17" x14ac:dyDescent="0.25">
      <c r="B632" t="s">
        <v>293</v>
      </c>
      <c r="C632" t="s">
        <v>376</v>
      </c>
      <c r="D632">
        <v>1367</v>
      </c>
      <c r="E632">
        <v>120</v>
      </c>
      <c r="F632" t="s">
        <v>127</v>
      </c>
      <c r="G632" t="s">
        <v>131</v>
      </c>
      <c r="H632" t="s">
        <v>132</v>
      </c>
      <c r="I632" t="s">
        <v>130</v>
      </c>
      <c r="J632">
        <v>0</v>
      </c>
      <c r="K632">
        <v>45329.672638888886</v>
      </c>
      <c r="L632">
        <v>6132</v>
      </c>
      <c r="O632">
        <v>10</v>
      </c>
      <c r="P632">
        <v>12</v>
      </c>
      <c r="Q632">
        <v>0</v>
      </c>
    </row>
    <row r="633" spans="2:17" x14ac:dyDescent="0.25">
      <c r="B633" t="s">
        <v>293</v>
      </c>
      <c r="C633" t="s">
        <v>376</v>
      </c>
      <c r="D633">
        <v>1367</v>
      </c>
      <c r="E633">
        <v>130</v>
      </c>
      <c r="F633" t="s">
        <v>127</v>
      </c>
      <c r="G633" t="s">
        <v>133</v>
      </c>
      <c r="H633" t="s">
        <v>134</v>
      </c>
      <c r="I633" t="s">
        <v>130</v>
      </c>
      <c r="J633">
        <v>0</v>
      </c>
      <c r="K633">
        <v>45329.672673611109</v>
      </c>
      <c r="L633">
        <v>655</v>
      </c>
      <c r="O633">
        <v>10</v>
      </c>
      <c r="P633">
        <v>13</v>
      </c>
      <c r="Q633">
        <v>0</v>
      </c>
    </row>
    <row r="634" spans="2:17" x14ac:dyDescent="0.25">
      <c r="B634" t="s">
        <v>293</v>
      </c>
      <c r="C634" t="s">
        <v>364</v>
      </c>
      <c r="D634">
        <v>1379</v>
      </c>
      <c r="E634">
        <v>100</v>
      </c>
      <c r="F634" t="s">
        <v>68</v>
      </c>
      <c r="G634" t="s">
        <v>151</v>
      </c>
      <c r="H634" t="s">
        <v>152</v>
      </c>
      <c r="I634" t="s">
        <v>105</v>
      </c>
      <c r="J634">
        <v>0</v>
      </c>
      <c r="K634">
        <v>45330.346666666665</v>
      </c>
      <c r="L634">
        <v>1086</v>
      </c>
      <c r="O634">
        <v>200</v>
      </c>
      <c r="P634">
        <v>0</v>
      </c>
      <c r="Q634">
        <v>100</v>
      </c>
    </row>
    <row r="635" spans="2:17" x14ac:dyDescent="0.25">
      <c r="B635" t="s">
        <v>293</v>
      </c>
      <c r="C635" t="s">
        <v>390</v>
      </c>
      <c r="D635">
        <v>1378</v>
      </c>
      <c r="E635">
        <v>12000</v>
      </c>
      <c r="F635" t="s">
        <v>68</v>
      </c>
      <c r="G635" t="s">
        <v>103</v>
      </c>
      <c r="H635" t="s">
        <v>104</v>
      </c>
      <c r="I635" t="s">
        <v>105</v>
      </c>
      <c r="J635">
        <v>0</v>
      </c>
      <c r="K635">
        <v>45330.346701388888</v>
      </c>
      <c r="L635">
        <v>85800</v>
      </c>
      <c r="O635">
        <v>2400</v>
      </c>
      <c r="P635">
        <v>5</v>
      </c>
      <c r="Q635">
        <v>0</v>
      </c>
    </row>
    <row r="636" spans="2:17" x14ac:dyDescent="0.25">
      <c r="B636" t="s">
        <v>293</v>
      </c>
      <c r="C636" t="s">
        <v>410</v>
      </c>
      <c r="D636">
        <v>1377</v>
      </c>
      <c r="E636">
        <v>8000</v>
      </c>
      <c r="F636" t="s">
        <v>68</v>
      </c>
      <c r="G636" t="s">
        <v>107</v>
      </c>
      <c r="H636" t="s">
        <v>108</v>
      </c>
      <c r="I636" t="s">
        <v>105</v>
      </c>
      <c r="J636">
        <v>0</v>
      </c>
      <c r="K636">
        <v>45330.346805555557</v>
      </c>
      <c r="L636">
        <v>14000</v>
      </c>
      <c r="O636">
        <v>1200</v>
      </c>
      <c r="P636">
        <v>6</v>
      </c>
      <c r="Q636">
        <v>800.00000000000034</v>
      </c>
    </row>
    <row r="637" spans="2:17" x14ac:dyDescent="0.25">
      <c r="B637" t="s">
        <v>293</v>
      </c>
      <c r="C637" t="s">
        <v>412</v>
      </c>
      <c r="D637">
        <v>1376</v>
      </c>
      <c r="E637">
        <v>30</v>
      </c>
      <c r="F637" t="s">
        <v>68</v>
      </c>
      <c r="G637" t="s">
        <v>157</v>
      </c>
      <c r="H637" t="s">
        <v>156</v>
      </c>
      <c r="J637">
        <v>0</v>
      </c>
      <c r="K637">
        <v>45330.346828703703</v>
      </c>
      <c r="L637">
        <v>1178</v>
      </c>
      <c r="O637">
        <v>12</v>
      </c>
      <c r="P637">
        <v>2</v>
      </c>
      <c r="Q637">
        <v>6</v>
      </c>
    </row>
    <row r="638" spans="2:17" x14ac:dyDescent="0.25">
      <c r="B638" t="s">
        <v>293</v>
      </c>
      <c r="C638" t="s">
        <v>412</v>
      </c>
      <c r="D638">
        <v>1376</v>
      </c>
      <c r="E638">
        <v>150</v>
      </c>
      <c r="F638" t="s">
        <v>68</v>
      </c>
      <c r="G638" t="s">
        <v>153</v>
      </c>
      <c r="H638" t="s">
        <v>154</v>
      </c>
      <c r="I638" t="s">
        <v>105</v>
      </c>
      <c r="J638">
        <v>0</v>
      </c>
      <c r="K638">
        <v>45330.346863425926</v>
      </c>
      <c r="L638">
        <v>1150</v>
      </c>
      <c r="O638">
        <v>100</v>
      </c>
      <c r="P638">
        <v>1</v>
      </c>
      <c r="Q638">
        <v>50</v>
      </c>
    </row>
    <row r="639" spans="2:17" x14ac:dyDescent="0.25">
      <c r="B639" t="s">
        <v>293</v>
      </c>
      <c r="C639" t="s">
        <v>326</v>
      </c>
      <c r="D639">
        <v>1375</v>
      </c>
      <c r="E639">
        <v>144</v>
      </c>
      <c r="F639" t="s">
        <v>135</v>
      </c>
      <c r="G639" t="s">
        <v>140</v>
      </c>
      <c r="H639" t="s">
        <v>137</v>
      </c>
      <c r="I639" t="s">
        <v>138</v>
      </c>
      <c r="J639">
        <v>0</v>
      </c>
      <c r="K639">
        <v>45330.346886574072</v>
      </c>
      <c r="L639">
        <v>1366</v>
      </c>
      <c r="O639">
        <v>144</v>
      </c>
      <c r="P639">
        <v>1</v>
      </c>
      <c r="Q639">
        <v>0</v>
      </c>
    </row>
    <row r="640" spans="2:17" x14ac:dyDescent="0.25">
      <c r="B640" t="s">
        <v>293</v>
      </c>
      <c r="C640" t="s">
        <v>247</v>
      </c>
      <c r="D640">
        <v>1374</v>
      </c>
      <c r="E640">
        <v>6</v>
      </c>
      <c r="F640" t="s">
        <v>68</v>
      </c>
      <c r="G640">
        <v>6200</v>
      </c>
      <c r="H640" t="s">
        <v>148</v>
      </c>
      <c r="I640" t="s">
        <v>144</v>
      </c>
      <c r="J640">
        <v>0</v>
      </c>
      <c r="K640">
        <v>45330.346921296295</v>
      </c>
      <c r="L640">
        <v>135</v>
      </c>
      <c r="O640">
        <v>24</v>
      </c>
      <c r="P640">
        <v>0</v>
      </c>
      <c r="Q640">
        <v>6</v>
      </c>
    </row>
    <row r="641" spans="2:17" x14ac:dyDescent="0.25">
      <c r="B641" t="s">
        <v>293</v>
      </c>
      <c r="C641" t="s">
        <v>248</v>
      </c>
      <c r="D641">
        <v>1373</v>
      </c>
      <c r="E641">
        <v>27</v>
      </c>
      <c r="F641" t="s">
        <v>68</v>
      </c>
      <c r="G641">
        <v>6800</v>
      </c>
      <c r="H641" t="s">
        <v>150</v>
      </c>
      <c r="I641" t="s">
        <v>144</v>
      </c>
      <c r="J641">
        <v>0</v>
      </c>
      <c r="K641">
        <v>45330.347013888888</v>
      </c>
      <c r="L641">
        <v>102</v>
      </c>
      <c r="O641">
        <v>4</v>
      </c>
      <c r="P641">
        <v>6</v>
      </c>
      <c r="Q641">
        <v>3</v>
      </c>
    </row>
    <row r="642" spans="2:17" x14ac:dyDescent="0.25">
      <c r="B642" t="s">
        <v>293</v>
      </c>
      <c r="C642" t="s">
        <v>413</v>
      </c>
      <c r="D642">
        <v>1372</v>
      </c>
      <c r="E642">
        <v>240</v>
      </c>
      <c r="F642" t="s">
        <v>68</v>
      </c>
      <c r="G642" t="s">
        <v>163</v>
      </c>
      <c r="H642" t="s">
        <v>164</v>
      </c>
      <c r="I642" t="s">
        <v>165</v>
      </c>
      <c r="J642">
        <v>0</v>
      </c>
      <c r="K642">
        <v>45330.347048611111</v>
      </c>
      <c r="L642">
        <v>1520</v>
      </c>
      <c r="O642">
        <v>300</v>
      </c>
      <c r="P642">
        <v>0</v>
      </c>
      <c r="Q642">
        <v>240</v>
      </c>
    </row>
    <row r="643" spans="2:17" x14ac:dyDescent="0.25">
      <c r="B643" t="s">
        <v>293</v>
      </c>
      <c r="C643" t="s">
        <v>413</v>
      </c>
      <c r="D643">
        <v>1372</v>
      </c>
      <c r="E643">
        <v>50</v>
      </c>
      <c r="F643" t="s">
        <v>68</v>
      </c>
      <c r="G643">
        <v>6885</v>
      </c>
      <c r="H643" t="s">
        <v>169</v>
      </c>
      <c r="I643" t="s">
        <v>144</v>
      </c>
      <c r="J643">
        <v>0</v>
      </c>
      <c r="K643">
        <v>45330.347071759257</v>
      </c>
      <c r="L643">
        <v>290</v>
      </c>
      <c r="O643">
        <v>100</v>
      </c>
      <c r="P643">
        <v>0</v>
      </c>
      <c r="Q643">
        <v>50</v>
      </c>
    </row>
    <row r="644" spans="2:17" x14ac:dyDescent="0.25">
      <c r="B644" t="s">
        <v>293</v>
      </c>
      <c r="C644" t="s">
        <v>311</v>
      </c>
      <c r="D644">
        <v>1371</v>
      </c>
      <c r="E644">
        <v>2500</v>
      </c>
      <c r="F644" t="s">
        <v>68</v>
      </c>
      <c r="G644" t="s">
        <v>146</v>
      </c>
      <c r="H644" t="s">
        <v>147</v>
      </c>
      <c r="I644" t="s">
        <v>144</v>
      </c>
      <c r="J644">
        <v>0</v>
      </c>
      <c r="K644">
        <v>45330.347094907411</v>
      </c>
      <c r="L644">
        <v>38120</v>
      </c>
      <c r="O644">
        <v>440</v>
      </c>
      <c r="P644">
        <v>5</v>
      </c>
      <c r="Q644">
        <v>299.99999999999994</v>
      </c>
    </row>
    <row r="645" spans="2:17" x14ac:dyDescent="0.25">
      <c r="B645" t="s">
        <v>293</v>
      </c>
      <c r="C645" t="s">
        <v>249</v>
      </c>
      <c r="D645">
        <v>1370</v>
      </c>
      <c r="E645">
        <v>2</v>
      </c>
      <c r="F645" t="s">
        <v>68</v>
      </c>
      <c r="G645" t="s">
        <v>182</v>
      </c>
      <c r="H645" t="s">
        <v>183</v>
      </c>
      <c r="J645">
        <v>0</v>
      </c>
      <c r="K645">
        <v>45330.347245370373</v>
      </c>
      <c r="L645">
        <v>6</v>
      </c>
      <c r="O645">
        <v>36</v>
      </c>
      <c r="P645">
        <v>0</v>
      </c>
      <c r="Q645">
        <v>2</v>
      </c>
    </row>
    <row r="646" spans="2:17" x14ac:dyDescent="0.25">
      <c r="B646" t="s">
        <v>293</v>
      </c>
      <c r="C646" t="s">
        <v>249</v>
      </c>
      <c r="D646">
        <v>1370</v>
      </c>
      <c r="E646">
        <v>120</v>
      </c>
      <c r="F646" t="s">
        <v>68</v>
      </c>
      <c r="G646">
        <v>6001</v>
      </c>
      <c r="H646" t="s">
        <v>149</v>
      </c>
      <c r="I646" t="s">
        <v>144</v>
      </c>
      <c r="J646">
        <v>0</v>
      </c>
      <c r="K646">
        <v>45330.347291666665</v>
      </c>
      <c r="L646">
        <v>4880</v>
      </c>
      <c r="O646">
        <v>60</v>
      </c>
      <c r="P646">
        <v>2</v>
      </c>
      <c r="Q646">
        <v>0</v>
      </c>
    </row>
    <row r="647" spans="2:17" x14ac:dyDescent="0.25">
      <c r="B647" t="s">
        <v>293</v>
      </c>
      <c r="C647" t="s">
        <v>356</v>
      </c>
      <c r="D647">
        <v>1369</v>
      </c>
      <c r="E647">
        <v>12000</v>
      </c>
      <c r="F647" t="s">
        <v>68</v>
      </c>
      <c r="G647" t="s">
        <v>123</v>
      </c>
      <c r="H647" t="s">
        <v>124</v>
      </c>
      <c r="I647" t="s">
        <v>105</v>
      </c>
      <c r="J647">
        <v>0</v>
      </c>
      <c r="K647">
        <v>45330.347349537034</v>
      </c>
      <c r="L647">
        <v>132100</v>
      </c>
      <c r="O647">
        <v>2400</v>
      </c>
      <c r="P647">
        <v>5</v>
      </c>
      <c r="Q647">
        <v>0</v>
      </c>
    </row>
    <row r="648" spans="2:17" x14ac:dyDescent="0.25">
      <c r="B648" t="s">
        <v>293</v>
      </c>
      <c r="C648" t="s">
        <v>356</v>
      </c>
      <c r="D648">
        <v>1369</v>
      </c>
      <c r="E648">
        <v>120</v>
      </c>
      <c r="F648" t="s">
        <v>68</v>
      </c>
      <c r="G648" t="s">
        <v>201</v>
      </c>
      <c r="H648" t="s">
        <v>202</v>
      </c>
      <c r="I648" t="s">
        <v>144</v>
      </c>
      <c r="J648">
        <v>0</v>
      </c>
      <c r="K648">
        <v>45330.347384259258</v>
      </c>
      <c r="L648">
        <v>7400</v>
      </c>
      <c r="O648">
        <v>100</v>
      </c>
      <c r="P648">
        <v>1</v>
      </c>
      <c r="Q648">
        <v>19.999999999999996</v>
      </c>
    </row>
    <row r="649" spans="2:17" x14ac:dyDescent="0.25">
      <c r="B649" t="s">
        <v>293</v>
      </c>
      <c r="C649" t="s">
        <v>356</v>
      </c>
      <c r="D649">
        <v>1369</v>
      </c>
      <c r="E649">
        <v>2</v>
      </c>
      <c r="F649" t="s">
        <v>68</v>
      </c>
      <c r="G649">
        <v>81066</v>
      </c>
      <c r="H649" t="s">
        <v>181</v>
      </c>
      <c r="J649">
        <v>0</v>
      </c>
      <c r="K649">
        <v>45330.34747685185</v>
      </c>
      <c r="L649">
        <v>38</v>
      </c>
      <c r="O649">
        <v>40</v>
      </c>
      <c r="P649">
        <v>0</v>
      </c>
      <c r="Q649">
        <v>2</v>
      </c>
    </row>
    <row r="650" spans="2:17" x14ac:dyDescent="0.25">
      <c r="B650" t="s">
        <v>293</v>
      </c>
      <c r="C650" t="s">
        <v>389</v>
      </c>
      <c r="D650">
        <v>1368</v>
      </c>
      <c r="E650">
        <v>36</v>
      </c>
      <c r="F650" t="s">
        <v>68</v>
      </c>
      <c r="G650" t="s">
        <v>166</v>
      </c>
      <c r="H650" t="s">
        <v>167</v>
      </c>
      <c r="J650">
        <v>0</v>
      </c>
      <c r="K650">
        <v>45330.347546296296</v>
      </c>
      <c r="L650">
        <v>227</v>
      </c>
      <c r="O650">
        <v>4</v>
      </c>
      <c r="P650">
        <v>9</v>
      </c>
      <c r="Q650">
        <v>0</v>
      </c>
    </row>
    <row r="651" spans="2:17" x14ac:dyDescent="0.25">
      <c r="B651" t="s">
        <v>158</v>
      </c>
      <c r="C651" t="s">
        <v>411</v>
      </c>
      <c r="D651">
        <v>1386</v>
      </c>
      <c r="E651">
        <v>200</v>
      </c>
      <c r="F651" t="s">
        <v>68</v>
      </c>
      <c r="G651" t="s">
        <v>142</v>
      </c>
      <c r="H651" t="s">
        <v>143</v>
      </c>
      <c r="I651" t="s">
        <v>144</v>
      </c>
      <c r="J651">
        <v>0</v>
      </c>
      <c r="K651">
        <v>45331.510393518518</v>
      </c>
      <c r="L651">
        <v>96</v>
      </c>
      <c r="O651">
        <v>24</v>
      </c>
      <c r="P651">
        <v>8</v>
      </c>
      <c r="Q651">
        <v>8.0000000000000142</v>
      </c>
    </row>
    <row r="652" spans="2:17" x14ac:dyDescent="0.25">
      <c r="B652" t="s">
        <v>158</v>
      </c>
      <c r="C652" t="s">
        <v>336</v>
      </c>
      <c r="D652">
        <v>1385</v>
      </c>
      <c r="E652">
        <v>1000</v>
      </c>
      <c r="F652" t="s">
        <v>68</v>
      </c>
      <c r="G652" t="s">
        <v>107</v>
      </c>
      <c r="H652" t="s">
        <v>108</v>
      </c>
      <c r="I652" t="s">
        <v>105</v>
      </c>
      <c r="J652">
        <v>0</v>
      </c>
      <c r="K652">
        <v>45331.51054398148</v>
      </c>
      <c r="L652">
        <v>13000</v>
      </c>
      <c r="O652">
        <v>1200</v>
      </c>
      <c r="P652">
        <v>0</v>
      </c>
      <c r="Q652">
        <v>1000</v>
      </c>
    </row>
    <row r="653" spans="2:17" x14ac:dyDescent="0.25">
      <c r="B653" t="s">
        <v>293</v>
      </c>
      <c r="C653" t="s">
        <v>415</v>
      </c>
      <c r="D653">
        <v>519</v>
      </c>
      <c r="E653">
        <v>1000</v>
      </c>
      <c r="F653" t="s">
        <v>68</v>
      </c>
      <c r="G653" t="s">
        <v>159</v>
      </c>
      <c r="H653" t="s">
        <v>160</v>
      </c>
      <c r="I653" t="s">
        <v>161</v>
      </c>
      <c r="J653">
        <v>0</v>
      </c>
      <c r="K653">
        <v>45331.630798611113</v>
      </c>
      <c r="L653">
        <v>1112</v>
      </c>
      <c r="O653">
        <v>36</v>
      </c>
      <c r="P653">
        <v>27</v>
      </c>
      <c r="Q653">
        <v>28.000000000000028</v>
      </c>
    </row>
    <row r="654" spans="2:17" x14ac:dyDescent="0.25">
      <c r="B654" t="s">
        <v>293</v>
      </c>
      <c r="C654" t="s">
        <v>416</v>
      </c>
      <c r="D654" t="s">
        <v>66</v>
      </c>
      <c r="E654">
        <v>5000</v>
      </c>
      <c r="F654" t="s">
        <v>68</v>
      </c>
      <c r="G654" t="s">
        <v>146</v>
      </c>
      <c r="H654" t="s">
        <v>147</v>
      </c>
      <c r="I654" t="s">
        <v>144</v>
      </c>
      <c r="J654">
        <v>0</v>
      </c>
      <c r="K654">
        <v>45332.566516203704</v>
      </c>
      <c r="L654">
        <v>33120</v>
      </c>
      <c r="O654">
        <v>440</v>
      </c>
      <c r="P654">
        <v>11</v>
      </c>
      <c r="Q654">
        <v>159.99999999999986</v>
      </c>
    </row>
    <row r="655" spans="2:17" x14ac:dyDescent="0.25">
      <c r="B655" t="s">
        <v>158</v>
      </c>
      <c r="C655" t="s">
        <v>244</v>
      </c>
      <c r="D655">
        <v>1387</v>
      </c>
      <c r="E655">
        <v>340</v>
      </c>
      <c r="F655" t="s">
        <v>68</v>
      </c>
      <c r="G655">
        <v>6001</v>
      </c>
      <c r="H655" t="s">
        <v>149</v>
      </c>
      <c r="I655" t="s">
        <v>144</v>
      </c>
      <c r="J655">
        <v>0</v>
      </c>
      <c r="K655">
        <v>45335.535011574073</v>
      </c>
      <c r="L655">
        <v>4540</v>
      </c>
      <c r="O655">
        <v>60</v>
      </c>
      <c r="P655">
        <v>5</v>
      </c>
      <c r="Q655">
        <v>40.000000000000014</v>
      </c>
    </row>
    <row r="656" spans="2:17" x14ac:dyDescent="0.25">
      <c r="B656" t="s">
        <v>158</v>
      </c>
      <c r="C656" t="s">
        <v>411</v>
      </c>
      <c r="D656">
        <v>1388</v>
      </c>
      <c r="E656">
        <v>200</v>
      </c>
      <c r="F656" t="s">
        <v>68</v>
      </c>
      <c r="G656" t="s">
        <v>142</v>
      </c>
      <c r="H656" t="s">
        <v>143</v>
      </c>
      <c r="I656" t="s">
        <v>144</v>
      </c>
      <c r="J656">
        <v>0</v>
      </c>
      <c r="K656">
        <v>45335.535081018519</v>
      </c>
      <c r="L656">
        <v>7888</v>
      </c>
      <c r="O656">
        <v>24</v>
      </c>
      <c r="P656">
        <v>8</v>
      </c>
      <c r="Q656">
        <v>8.0000000000000142</v>
      </c>
    </row>
    <row r="657" spans="2:17" x14ac:dyDescent="0.25">
      <c r="B657" t="s">
        <v>158</v>
      </c>
      <c r="C657" t="s">
        <v>243</v>
      </c>
      <c r="D657">
        <v>1389</v>
      </c>
      <c r="E657">
        <v>1000</v>
      </c>
      <c r="F657" t="s">
        <v>68</v>
      </c>
      <c r="G657" t="s">
        <v>163</v>
      </c>
      <c r="H657" t="s">
        <v>164</v>
      </c>
      <c r="I657" t="s">
        <v>165</v>
      </c>
      <c r="J657">
        <v>0</v>
      </c>
      <c r="K657">
        <v>45335.535104166665</v>
      </c>
      <c r="L657">
        <v>520</v>
      </c>
      <c r="O657">
        <v>300</v>
      </c>
      <c r="P657">
        <v>3</v>
      </c>
      <c r="Q657">
        <v>100.00000000000004</v>
      </c>
    </row>
    <row r="658" spans="2:17" x14ac:dyDescent="0.25">
      <c r="B658" t="s">
        <v>158</v>
      </c>
      <c r="C658" t="s">
        <v>243</v>
      </c>
      <c r="D658">
        <v>1389</v>
      </c>
      <c r="E658">
        <v>800</v>
      </c>
      <c r="F658" t="s">
        <v>135</v>
      </c>
      <c r="G658" t="s">
        <v>139</v>
      </c>
      <c r="H658" t="s">
        <v>137</v>
      </c>
      <c r="I658" t="s">
        <v>138</v>
      </c>
      <c r="J658">
        <v>0</v>
      </c>
      <c r="K658">
        <v>45335.535115740742</v>
      </c>
      <c r="L658">
        <v>3568</v>
      </c>
      <c r="O658">
        <v>144</v>
      </c>
      <c r="P658">
        <v>5</v>
      </c>
      <c r="Q658">
        <v>79.999999999999972</v>
      </c>
    </row>
    <row r="659" spans="2:17" x14ac:dyDescent="0.25">
      <c r="B659" t="s">
        <v>158</v>
      </c>
      <c r="C659" t="s">
        <v>417</v>
      </c>
      <c r="D659">
        <v>1390</v>
      </c>
      <c r="E659">
        <v>1200</v>
      </c>
      <c r="F659" t="s">
        <v>68</v>
      </c>
      <c r="G659" t="s">
        <v>103</v>
      </c>
      <c r="H659" t="s">
        <v>104</v>
      </c>
      <c r="I659" t="s">
        <v>105</v>
      </c>
      <c r="J659">
        <v>0</v>
      </c>
      <c r="K659">
        <v>45335.535127314812</v>
      </c>
      <c r="L659">
        <v>84600</v>
      </c>
      <c r="O659">
        <v>2400</v>
      </c>
      <c r="P659">
        <v>0</v>
      </c>
      <c r="Q659">
        <v>1200</v>
      </c>
    </row>
    <row r="660" spans="2:17" x14ac:dyDescent="0.25">
      <c r="B660" t="s">
        <v>158</v>
      </c>
      <c r="C660" t="s">
        <v>417</v>
      </c>
      <c r="D660">
        <v>1390</v>
      </c>
      <c r="E660">
        <v>200</v>
      </c>
      <c r="F660" t="s">
        <v>127</v>
      </c>
      <c r="G660" t="s">
        <v>128</v>
      </c>
      <c r="H660" t="s">
        <v>129</v>
      </c>
      <c r="I660" t="s">
        <v>130</v>
      </c>
      <c r="J660">
        <v>0</v>
      </c>
      <c r="K660">
        <v>45335.535127314812</v>
      </c>
      <c r="L660">
        <v>750</v>
      </c>
      <c r="O660">
        <v>10</v>
      </c>
      <c r="P660">
        <v>20</v>
      </c>
      <c r="Q660">
        <v>0</v>
      </c>
    </row>
    <row r="661" spans="2:17" x14ac:dyDescent="0.25">
      <c r="B661" t="s">
        <v>158</v>
      </c>
      <c r="C661" t="s">
        <v>417</v>
      </c>
      <c r="D661">
        <v>1390</v>
      </c>
      <c r="E661">
        <v>20</v>
      </c>
      <c r="F661" t="s">
        <v>127</v>
      </c>
      <c r="G661" t="s">
        <v>133</v>
      </c>
      <c r="H661" t="s">
        <v>134</v>
      </c>
      <c r="I661" t="s">
        <v>130</v>
      </c>
      <c r="J661">
        <v>0</v>
      </c>
      <c r="K661">
        <v>45335.535138888888</v>
      </c>
      <c r="L661">
        <v>635</v>
      </c>
      <c r="O661">
        <v>10</v>
      </c>
      <c r="P661">
        <v>2</v>
      </c>
      <c r="Q661">
        <v>0</v>
      </c>
    </row>
    <row r="662" spans="2:17" x14ac:dyDescent="0.25">
      <c r="B662" t="s">
        <v>158</v>
      </c>
      <c r="C662" t="s">
        <v>417</v>
      </c>
      <c r="D662">
        <v>1390</v>
      </c>
      <c r="E662">
        <v>34</v>
      </c>
      <c r="F662" t="s">
        <v>127</v>
      </c>
      <c r="G662" t="s">
        <v>131</v>
      </c>
      <c r="H662" t="s">
        <v>132</v>
      </c>
      <c r="I662" t="s">
        <v>130</v>
      </c>
      <c r="J662">
        <v>0</v>
      </c>
      <c r="K662">
        <v>45335.535150462965</v>
      </c>
      <c r="L662">
        <v>6098</v>
      </c>
      <c r="O662">
        <v>10</v>
      </c>
      <c r="P662">
        <v>3</v>
      </c>
      <c r="Q662">
        <v>3.9999999999999991</v>
      </c>
    </row>
    <row r="663" spans="2:17" x14ac:dyDescent="0.25">
      <c r="B663" t="s">
        <v>158</v>
      </c>
      <c r="C663" t="s">
        <v>336</v>
      </c>
      <c r="D663">
        <v>1391</v>
      </c>
      <c r="E663">
        <v>1600</v>
      </c>
      <c r="F663" t="s">
        <v>68</v>
      </c>
      <c r="G663" t="s">
        <v>170</v>
      </c>
      <c r="H663" t="s">
        <v>171</v>
      </c>
      <c r="I663" t="s">
        <v>105</v>
      </c>
      <c r="J663">
        <v>0</v>
      </c>
      <c r="K663">
        <v>45335.535162037035</v>
      </c>
      <c r="L663">
        <v>17400</v>
      </c>
      <c r="O663">
        <v>2400</v>
      </c>
      <c r="P663">
        <v>0</v>
      </c>
      <c r="Q663">
        <v>1600</v>
      </c>
    </row>
    <row r="664" spans="2:17" x14ac:dyDescent="0.25">
      <c r="B664" t="s">
        <v>158</v>
      </c>
      <c r="C664" t="s">
        <v>336</v>
      </c>
      <c r="D664">
        <v>1391</v>
      </c>
      <c r="E664">
        <v>1000</v>
      </c>
      <c r="F664" t="s">
        <v>68</v>
      </c>
      <c r="G664" t="s">
        <v>107</v>
      </c>
      <c r="H664" t="s">
        <v>108</v>
      </c>
      <c r="I664" t="s">
        <v>105</v>
      </c>
      <c r="J664">
        <v>0</v>
      </c>
      <c r="K664">
        <v>45335.535173611112</v>
      </c>
      <c r="L664">
        <v>12000</v>
      </c>
      <c r="O664">
        <v>1200</v>
      </c>
      <c r="P664">
        <v>0</v>
      </c>
      <c r="Q664">
        <v>1000</v>
      </c>
    </row>
    <row r="665" spans="2:17" x14ac:dyDescent="0.25">
      <c r="B665" t="s">
        <v>158</v>
      </c>
      <c r="C665" t="s">
        <v>353</v>
      </c>
      <c r="D665">
        <v>1392</v>
      </c>
      <c r="E665">
        <v>40</v>
      </c>
      <c r="F665" t="s">
        <v>68</v>
      </c>
      <c r="G665">
        <v>6885</v>
      </c>
      <c r="H665" t="s">
        <v>169</v>
      </c>
      <c r="I665" t="s">
        <v>144</v>
      </c>
      <c r="J665">
        <v>0</v>
      </c>
      <c r="K665">
        <v>45335.535208333335</v>
      </c>
      <c r="L665">
        <v>250</v>
      </c>
      <c r="O665">
        <v>100</v>
      </c>
      <c r="P665">
        <v>0</v>
      </c>
      <c r="Q665">
        <v>40</v>
      </c>
    </row>
    <row r="666" spans="2:17" x14ac:dyDescent="0.25">
      <c r="B666" t="s">
        <v>158</v>
      </c>
      <c r="C666" t="s">
        <v>353</v>
      </c>
      <c r="D666">
        <v>1392</v>
      </c>
      <c r="E666">
        <v>10</v>
      </c>
      <c r="F666" t="s">
        <v>68</v>
      </c>
      <c r="G666">
        <v>6800</v>
      </c>
      <c r="H666" t="s">
        <v>150</v>
      </c>
      <c r="I666" t="s">
        <v>144</v>
      </c>
      <c r="J666">
        <v>0</v>
      </c>
      <c r="K666">
        <v>45335.535219907404</v>
      </c>
      <c r="L666">
        <v>92</v>
      </c>
      <c r="O666">
        <v>4</v>
      </c>
      <c r="P666">
        <v>2</v>
      </c>
      <c r="Q666">
        <v>2</v>
      </c>
    </row>
    <row r="667" spans="2:17" x14ac:dyDescent="0.25">
      <c r="B667" t="s">
        <v>158</v>
      </c>
      <c r="C667" t="s">
        <v>418</v>
      </c>
      <c r="D667">
        <v>1393</v>
      </c>
      <c r="E667">
        <v>5000</v>
      </c>
      <c r="F667" t="s">
        <v>68</v>
      </c>
      <c r="G667" t="s">
        <v>146</v>
      </c>
      <c r="H667" t="s">
        <v>147</v>
      </c>
      <c r="I667" t="s">
        <v>144</v>
      </c>
      <c r="J667">
        <v>0</v>
      </c>
      <c r="K667">
        <v>45335.535266203704</v>
      </c>
      <c r="L667">
        <v>28120</v>
      </c>
      <c r="O667">
        <v>440</v>
      </c>
      <c r="P667">
        <v>11</v>
      </c>
      <c r="Q667">
        <v>159.99999999999986</v>
      </c>
    </row>
    <row r="668" spans="2:17" x14ac:dyDescent="0.25">
      <c r="B668" t="s">
        <v>158</v>
      </c>
      <c r="C668" t="s">
        <v>338</v>
      </c>
      <c r="D668">
        <v>1394</v>
      </c>
      <c r="E668">
        <v>1200</v>
      </c>
      <c r="F668" t="s">
        <v>68</v>
      </c>
      <c r="G668" t="s">
        <v>201</v>
      </c>
      <c r="H668" t="s">
        <v>202</v>
      </c>
      <c r="I668" t="s">
        <v>144</v>
      </c>
      <c r="J668">
        <v>0</v>
      </c>
      <c r="K668">
        <v>45335.53533564815</v>
      </c>
      <c r="L668">
        <v>6200</v>
      </c>
      <c r="O668">
        <v>100</v>
      </c>
      <c r="P668">
        <v>12</v>
      </c>
      <c r="Q668">
        <v>0</v>
      </c>
    </row>
    <row r="669" spans="2:17" x14ac:dyDescent="0.25">
      <c r="B669" t="s">
        <v>158</v>
      </c>
      <c r="C669" t="s">
        <v>354</v>
      </c>
      <c r="D669">
        <v>1395</v>
      </c>
      <c r="E669">
        <v>400</v>
      </c>
      <c r="F669" t="s">
        <v>68</v>
      </c>
      <c r="G669" t="s">
        <v>119</v>
      </c>
      <c r="H669" t="s">
        <v>120</v>
      </c>
      <c r="I669" t="s">
        <v>105</v>
      </c>
      <c r="J669">
        <v>0</v>
      </c>
      <c r="K669">
        <v>45335.53534722222</v>
      </c>
      <c r="L669">
        <v>28400</v>
      </c>
      <c r="O669">
        <v>2400</v>
      </c>
      <c r="P669">
        <v>0</v>
      </c>
      <c r="Q669">
        <v>400</v>
      </c>
    </row>
    <row r="670" spans="2:17" x14ac:dyDescent="0.25">
      <c r="B670" t="s">
        <v>158</v>
      </c>
      <c r="C670" t="s">
        <v>397</v>
      </c>
      <c r="D670">
        <v>1396</v>
      </c>
      <c r="E670">
        <v>600</v>
      </c>
      <c r="F670" t="s">
        <v>68</v>
      </c>
      <c r="G670" t="s">
        <v>117</v>
      </c>
      <c r="H670" t="s">
        <v>118</v>
      </c>
      <c r="I670" t="s">
        <v>105</v>
      </c>
      <c r="J670">
        <v>0</v>
      </c>
      <c r="K670">
        <v>45335.535358796296</v>
      </c>
      <c r="L670">
        <v>3800</v>
      </c>
      <c r="O670">
        <v>3000</v>
      </c>
      <c r="P670">
        <v>0</v>
      </c>
      <c r="Q670">
        <v>600</v>
      </c>
    </row>
    <row r="671" spans="2:17" x14ac:dyDescent="0.25">
      <c r="B671" t="s">
        <v>158</v>
      </c>
      <c r="C671" t="s">
        <v>339</v>
      </c>
      <c r="D671">
        <v>1397</v>
      </c>
      <c r="E671">
        <v>5</v>
      </c>
      <c r="F671" t="s">
        <v>135</v>
      </c>
      <c r="G671" t="s">
        <v>217</v>
      </c>
      <c r="H671" t="s">
        <v>208</v>
      </c>
      <c r="I671" t="s">
        <v>209</v>
      </c>
      <c r="J671">
        <v>0</v>
      </c>
      <c r="K671">
        <v>45335.535370370373</v>
      </c>
      <c r="L671">
        <v>40</v>
      </c>
      <c r="O671">
        <v>1</v>
      </c>
      <c r="P671">
        <v>5</v>
      </c>
      <c r="Q671">
        <v>0</v>
      </c>
    </row>
    <row r="672" spans="2:17" x14ac:dyDescent="0.25">
      <c r="B672" t="s">
        <v>158</v>
      </c>
      <c r="C672" t="s">
        <v>339</v>
      </c>
      <c r="D672">
        <v>1397</v>
      </c>
      <c r="E672">
        <v>5</v>
      </c>
      <c r="F672" t="s">
        <v>135</v>
      </c>
      <c r="G672" t="s">
        <v>218</v>
      </c>
      <c r="H672" t="s">
        <v>208</v>
      </c>
      <c r="I672" t="s">
        <v>209</v>
      </c>
      <c r="J672">
        <v>0</v>
      </c>
      <c r="K672">
        <v>45335.535393518519</v>
      </c>
      <c r="L672">
        <v>32</v>
      </c>
      <c r="O672">
        <v>1</v>
      </c>
      <c r="P672">
        <v>5</v>
      </c>
      <c r="Q672">
        <v>0</v>
      </c>
    </row>
    <row r="673" spans="2:17" x14ac:dyDescent="0.25">
      <c r="B673" t="s">
        <v>494</v>
      </c>
      <c r="C673" t="s">
        <v>66</v>
      </c>
      <c r="D673" t="s">
        <v>66</v>
      </c>
      <c r="E673">
        <v>7992</v>
      </c>
      <c r="F673" t="s">
        <v>68</v>
      </c>
      <c r="G673" t="s">
        <v>142</v>
      </c>
      <c r="H673" t="s">
        <v>143</v>
      </c>
      <c r="I673" t="s">
        <v>144</v>
      </c>
      <c r="J673">
        <v>1</v>
      </c>
      <c r="K673">
        <v>45335.534930555557</v>
      </c>
      <c r="L673">
        <v>8088</v>
      </c>
      <c r="M673">
        <v>45506</v>
      </c>
      <c r="O673">
        <v>24</v>
      </c>
      <c r="P673">
        <v>333</v>
      </c>
      <c r="Q673">
        <v>0</v>
      </c>
    </row>
    <row r="674" spans="2:17" x14ac:dyDescent="0.25">
      <c r="B674" t="s">
        <v>494</v>
      </c>
      <c r="C674" t="s">
        <v>66</v>
      </c>
      <c r="D674" t="s">
        <v>66</v>
      </c>
      <c r="E674">
        <v>152</v>
      </c>
      <c r="F674" t="s">
        <v>68</v>
      </c>
      <c r="G674">
        <v>6800</v>
      </c>
      <c r="H674" t="s">
        <v>150</v>
      </c>
      <c r="I674" t="s">
        <v>144</v>
      </c>
      <c r="J674">
        <v>1</v>
      </c>
      <c r="K674">
        <v>45335.53597222222</v>
      </c>
      <c r="L674">
        <v>244</v>
      </c>
      <c r="M674">
        <v>45506</v>
      </c>
      <c r="O674">
        <v>4</v>
      </c>
      <c r="P674">
        <v>38</v>
      </c>
      <c r="Q674">
        <v>0</v>
      </c>
    </row>
    <row r="675" spans="2:17" x14ac:dyDescent="0.25">
      <c r="B675" t="s">
        <v>495</v>
      </c>
      <c r="C675" t="s">
        <v>66</v>
      </c>
      <c r="D675" t="s">
        <v>66</v>
      </c>
      <c r="E675">
        <v>50</v>
      </c>
      <c r="F675" t="s">
        <v>68</v>
      </c>
      <c r="G675">
        <v>81066</v>
      </c>
      <c r="H675" t="s">
        <v>181</v>
      </c>
      <c r="J675">
        <v>1</v>
      </c>
      <c r="K675">
        <v>45335.536909722221</v>
      </c>
      <c r="L675">
        <v>88</v>
      </c>
      <c r="M675">
        <v>45506</v>
      </c>
      <c r="O675">
        <v>40</v>
      </c>
      <c r="P675">
        <v>1</v>
      </c>
      <c r="Q675">
        <v>10</v>
      </c>
    </row>
    <row r="676" spans="2:17" x14ac:dyDescent="0.25">
      <c r="B676" t="s">
        <v>496</v>
      </c>
      <c r="C676" t="s">
        <v>66</v>
      </c>
      <c r="D676" t="s">
        <v>66</v>
      </c>
      <c r="E676">
        <v>2304</v>
      </c>
      <c r="F676" t="s">
        <v>68</v>
      </c>
      <c r="G676" t="s">
        <v>155</v>
      </c>
      <c r="H676" t="s">
        <v>156</v>
      </c>
      <c r="J676">
        <v>1</v>
      </c>
      <c r="K676">
        <v>45335.537511574075</v>
      </c>
      <c r="L676">
        <v>2352</v>
      </c>
      <c r="M676">
        <v>45506</v>
      </c>
      <c r="O676">
        <v>24</v>
      </c>
      <c r="P676">
        <v>96</v>
      </c>
      <c r="Q676">
        <v>0</v>
      </c>
    </row>
    <row r="677" spans="2:17" x14ac:dyDescent="0.25">
      <c r="B677" t="s">
        <v>496</v>
      </c>
      <c r="C677" t="s">
        <v>66</v>
      </c>
      <c r="D677" t="s">
        <v>66</v>
      </c>
      <c r="E677">
        <v>768</v>
      </c>
      <c r="F677" t="s">
        <v>68</v>
      </c>
      <c r="G677" t="s">
        <v>109</v>
      </c>
      <c r="H677" t="s">
        <v>162</v>
      </c>
      <c r="J677">
        <v>1</v>
      </c>
      <c r="K677">
        <v>45335.537835648145</v>
      </c>
      <c r="L677">
        <v>880</v>
      </c>
      <c r="M677">
        <v>45506</v>
      </c>
      <c r="O677">
        <v>96</v>
      </c>
      <c r="P677">
        <v>8</v>
      </c>
      <c r="Q677">
        <v>0</v>
      </c>
    </row>
    <row r="678" spans="2:17" x14ac:dyDescent="0.25">
      <c r="B678" t="s">
        <v>419</v>
      </c>
      <c r="C678" t="s">
        <v>66</v>
      </c>
      <c r="D678" t="s">
        <v>66</v>
      </c>
      <c r="E678">
        <v>1440</v>
      </c>
      <c r="F678" t="s">
        <v>135</v>
      </c>
      <c r="G678" t="s">
        <v>139</v>
      </c>
      <c r="H678" t="s">
        <v>137</v>
      </c>
      <c r="I678" t="s">
        <v>138</v>
      </c>
      <c r="J678">
        <v>1</v>
      </c>
      <c r="K678">
        <v>45335.553124999999</v>
      </c>
      <c r="L678">
        <v>5008</v>
      </c>
      <c r="M678">
        <v>45506</v>
      </c>
      <c r="O678">
        <v>144</v>
      </c>
      <c r="P678">
        <v>10</v>
      </c>
      <c r="Q678">
        <v>0</v>
      </c>
    </row>
    <row r="679" spans="2:17" x14ac:dyDescent="0.25">
      <c r="B679" t="s">
        <v>419</v>
      </c>
      <c r="C679" t="s">
        <v>66</v>
      </c>
      <c r="D679" t="s">
        <v>66</v>
      </c>
      <c r="E679">
        <v>1008</v>
      </c>
      <c r="F679" t="s">
        <v>135</v>
      </c>
      <c r="G679" t="s">
        <v>136</v>
      </c>
      <c r="H679" t="s">
        <v>137</v>
      </c>
      <c r="I679" t="s">
        <v>138</v>
      </c>
      <c r="J679">
        <v>1</v>
      </c>
      <c r="K679">
        <v>45335.553796296299</v>
      </c>
      <c r="L679">
        <v>1228</v>
      </c>
      <c r="M679">
        <v>45506</v>
      </c>
      <c r="O679">
        <v>144</v>
      </c>
      <c r="P679">
        <v>7</v>
      </c>
      <c r="Q679">
        <v>0</v>
      </c>
    </row>
    <row r="680" spans="2:17" x14ac:dyDescent="0.25">
      <c r="B680" t="s">
        <v>419</v>
      </c>
      <c r="C680" t="s">
        <v>66</v>
      </c>
      <c r="D680" t="s">
        <v>66</v>
      </c>
      <c r="E680">
        <v>2880</v>
      </c>
      <c r="F680" t="s">
        <v>135</v>
      </c>
      <c r="G680" t="s">
        <v>140</v>
      </c>
      <c r="H680" t="s">
        <v>137</v>
      </c>
      <c r="I680" t="s">
        <v>138</v>
      </c>
      <c r="J680">
        <v>1</v>
      </c>
      <c r="K680">
        <v>45335.554837962962</v>
      </c>
      <c r="L680">
        <v>4246</v>
      </c>
      <c r="M680">
        <v>45506</v>
      </c>
      <c r="O680">
        <v>144</v>
      </c>
      <c r="P680">
        <v>20</v>
      </c>
      <c r="Q680">
        <v>0</v>
      </c>
    </row>
    <row r="681" spans="2:17" x14ac:dyDescent="0.25">
      <c r="B681" t="s">
        <v>419</v>
      </c>
      <c r="C681" t="s">
        <v>66</v>
      </c>
      <c r="D681" t="s">
        <v>453</v>
      </c>
      <c r="E681">
        <v>1008</v>
      </c>
      <c r="F681" t="s">
        <v>135</v>
      </c>
      <c r="G681" t="s">
        <v>141</v>
      </c>
      <c r="H681" t="s">
        <v>137</v>
      </c>
      <c r="I681" t="s">
        <v>138</v>
      </c>
      <c r="J681">
        <v>1</v>
      </c>
      <c r="K681">
        <v>45335.555208333331</v>
      </c>
      <c r="L681">
        <v>1868</v>
      </c>
      <c r="M681">
        <v>45506</v>
      </c>
      <c r="O681">
        <v>144</v>
      </c>
      <c r="P681">
        <v>7</v>
      </c>
      <c r="Q681">
        <v>0</v>
      </c>
    </row>
    <row r="682" spans="2:17" x14ac:dyDescent="0.25">
      <c r="B682" t="s">
        <v>420</v>
      </c>
      <c r="C682" t="s">
        <v>66</v>
      </c>
      <c r="D682" t="s">
        <v>66</v>
      </c>
      <c r="E682">
        <v>1000</v>
      </c>
      <c r="F682" t="s">
        <v>68</v>
      </c>
      <c r="G682" t="s">
        <v>153</v>
      </c>
      <c r="H682" t="s">
        <v>154</v>
      </c>
      <c r="I682" t="s">
        <v>105</v>
      </c>
      <c r="J682">
        <v>1</v>
      </c>
      <c r="K682">
        <v>45335.672453703701</v>
      </c>
      <c r="L682">
        <v>2150</v>
      </c>
      <c r="M682">
        <v>45330</v>
      </c>
      <c r="O682">
        <v>100</v>
      </c>
      <c r="P682">
        <v>10</v>
      </c>
      <c r="Q682">
        <v>0</v>
      </c>
    </row>
    <row r="683" spans="2:17" x14ac:dyDescent="0.25">
      <c r="B683" t="s">
        <v>293</v>
      </c>
      <c r="C683" t="s">
        <v>364</v>
      </c>
      <c r="D683">
        <v>1410</v>
      </c>
      <c r="E683">
        <v>100</v>
      </c>
      <c r="F683" t="s">
        <v>68</v>
      </c>
      <c r="G683" t="s">
        <v>151</v>
      </c>
      <c r="H683" t="s">
        <v>152</v>
      </c>
      <c r="I683" t="s">
        <v>105</v>
      </c>
      <c r="J683">
        <v>0</v>
      </c>
      <c r="K683">
        <v>45336.484247685185</v>
      </c>
      <c r="L683">
        <v>986</v>
      </c>
      <c r="O683">
        <v>200</v>
      </c>
      <c r="P683">
        <v>0</v>
      </c>
      <c r="Q683">
        <v>100</v>
      </c>
    </row>
    <row r="684" spans="2:17" x14ac:dyDescent="0.25">
      <c r="B684" t="s">
        <v>293</v>
      </c>
      <c r="C684" t="s">
        <v>390</v>
      </c>
      <c r="D684">
        <v>1409</v>
      </c>
      <c r="E684">
        <v>12000</v>
      </c>
      <c r="F684" t="s">
        <v>68</v>
      </c>
      <c r="G684" t="s">
        <v>103</v>
      </c>
      <c r="H684" t="s">
        <v>104</v>
      </c>
      <c r="I684" t="s">
        <v>105</v>
      </c>
      <c r="J684">
        <v>0</v>
      </c>
      <c r="K684">
        <v>45336.484293981484</v>
      </c>
      <c r="L684">
        <v>72600</v>
      </c>
      <c r="O684">
        <v>2400</v>
      </c>
      <c r="P684">
        <v>5</v>
      </c>
      <c r="Q684">
        <v>0</v>
      </c>
    </row>
    <row r="685" spans="2:17" x14ac:dyDescent="0.25">
      <c r="B685" t="s">
        <v>293</v>
      </c>
      <c r="C685" t="s">
        <v>410</v>
      </c>
      <c r="D685">
        <v>1408</v>
      </c>
      <c r="E685">
        <v>6000</v>
      </c>
      <c r="F685" t="s">
        <v>68</v>
      </c>
      <c r="G685" t="s">
        <v>107</v>
      </c>
      <c r="H685" t="s">
        <v>108</v>
      </c>
      <c r="I685" t="s">
        <v>105</v>
      </c>
      <c r="J685">
        <v>0</v>
      </c>
      <c r="K685">
        <v>45336.484317129631</v>
      </c>
      <c r="L685">
        <v>6000</v>
      </c>
      <c r="O685">
        <v>1200</v>
      </c>
      <c r="P685">
        <v>5</v>
      </c>
      <c r="Q685">
        <v>0</v>
      </c>
    </row>
    <row r="686" spans="2:17" x14ac:dyDescent="0.25">
      <c r="B686" t="s">
        <v>293</v>
      </c>
      <c r="C686" t="s">
        <v>412</v>
      </c>
      <c r="D686">
        <v>1407</v>
      </c>
      <c r="E686">
        <v>10</v>
      </c>
      <c r="F686" t="s">
        <v>68</v>
      </c>
      <c r="G686" t="s">
        <v>157</v>
      </c>
      <c r="H686" t="s">
        <v>156</v>
      </c>
      <c r="J686">
        <v>0</v>
      </c>
      <c r="K686">
        <v>45336.484340277777</v>
      </c>
      <c r="L686">
        <v>1168</v>
      </c>
      <c r="O686">
        <v>12</v>
      </c>
      <c r="P686">
        <v>0</v>
      </c>
      <c r="Q686">
        <v>10</v>
      </c>
    </row>
    <row r="687" spans="2:17" x14ac:dyDescent="0.25">
      <c r="B687" t="s">
        <v>293</v>
      </c>
      <c r="C687" t="s">
        <v>412</v>
      </c>
      <c r="D687">
        <v>1407</v>
      </c>
      <c r="E687">
        <v>150</v>
      </c>
      <c r="F687" t="s">
        <v>68</v>
      </c>
      <c r="G687" t="s">
        <v>153</v>
      </c>
      <c r="H687" t="s">
        <v>154</v>
      </c>
      <c r="I687" t="s">
        <v>105</v>
      </c>
      <c r="J687">
        <v>0</v>
      </c>
      <c r="K687">
        <v>45336.484363425923</v>
      </c>
      <c r="L687">
        <v>2000</v>
      </c>
      <c r="O687">
        <v>100</v>
      </c>
      <c r="P687">
        <v>1</v>
      </c>
      <c r="Q687">
        <v>50</v>
      </c>
    </row>
    <row r="688" spans="2:17" x14ac:dyDescent="0.25">
      <c r="B688" t="s">
        <v>293</v>
      </c>
      <c r="C688" t="s">
        <v>326</v>
      </c>
      <c r="D688">
        <v>1406</v>
      </c>
      <c r="E688">
        <v>144</v>
      </c>
      <c r="F688" t="s">
        <v>135</v>
      </c>
      <c r="G688" t="s">
        <v>140</v>
      </c>
      <c r="H688" t="s">
        <v>137</v>
      </c>
      <c r="I688" t="s">
        <v>138</v>
      </c>
      <c r="J688">
        <v>0</v>
      </c>
      <c r="K688">
        <v>45336.484386574077</v>
      </c>
      <c r="L688">
        <v>4102</v>
      </c>
      <c r="O688">
        <v>144</v>
      </c>
      <c r="P688">
        <v>1</v>
      </c>
      <c r="Q688">
        <v>0</v>
      </c>
    </row>
    <row r="689" spans="2:17" x14ac:dyDescent="0.25">
      <c r="B689" t="s">
        <v>293</v>
      </c>
      <c r="C689" t="s">
        <v>376</v>
      </c>
      <c r="D689">
        <v>1405</v>
      </c>
      <c r="E689">
        <v>150</v>
      </c>
      <c r="F689" t="s">
        <v>127</v>
      </c>
      <c r="G689" t="s">
        <v>133</v>
      </c>
      <c r="H689" t="s">
        <v>134</v>
      </c>
      <c r="I689" t="s">
        <v>130</v>
      </c>
      <c r="J689">
        <v>0</v>
      </c>
      <c r="K689">
        <v>45336.484409722223</v>
      </c>
      <c r="L689">
        <v>485</v>
      </c>
      <c r="O689">
        <v>10</v>
      </c>
      <c r="P689">
        <v>15</v>
      </c>
      <c r="Q689">
        <v>0</v>
      </c>
    </row>
    <row r="690" spans="2:17" x14ac:dyDescent="0.25">
      <c r="B690" t="s">
        <v>293</v>
      </c>
      <c r="C690" t="s">
        <v>376</v>
      </c>
      <c r="D690">
        <v>1405</v>
      </c>
      <c r="E690">
        <v>70</v>
      </c>
      <c r="F690" t="s">
        <v>127</v>
      </c>
      <c r="G690" t="s">
        <v>128</v>
      </c>
      <c r="H690" t="s">
        <v>129</v>
      </c>
      <c r="I690" t="s">
        <v>130</v>
      </c>
      <c r="J690">
        <v>0</v>
      </c>
      <c r="K690">
        <v>45336.484432870369</v>
      </c>
      <c r="L690">
        <v>680</v>
      </c>
      <c r="O690">
        <v>10</v>
      </c>
      <c r="P690">
        <v>7</v>
      </c>
      <c r="Q690">
        <v>0</v>
      </c>
    </row>
    <row r="691" spans="2:17" x14ac:dyDescent="0.25">
      <c r="B691" t="s">
        <v>293</v>
      </c>
      <c r="C691" t="s">
        <v>376</v>
      </c>
      <c r="D691">
        <v>1405</v>
      </c>
      <c r="E691">
        <v>80</v>
      </c>
      <c r="F691" t="s">
        <v>127</v>
      </c>
      <c r="G691" t="s">
        <v>131</v>
      </c>
      <c r="H691" t="s">
        <v>132</v>
      </c>
      <c r="I691" t="s">
        <v>130</v>
      </c>
      <c r="J691">
        <v>0</v>
      </c>
      <c r="K691">
        <v>45336.484456018516</v>
      </c>
      <c r="L691">
        <v>6018</v>
      </c>
      <c r="O691">
        <v>10</v>
      </c>
      <c r="P691">
        <v>8</v>
      </c>
      <c r="Q691">
        <v>0</v>
      </c>
    </row>
    <row r="692" spans="2:17" x14ac:dyDescent="0.25">
      <c r="B692" t="s">
        <v>293</v>
      </c>
      <c r="C692" t="s">
        <v>247</v>
      </c>
      <c r="D692">
        <v>1404</v>
      </c>
      <c r="E692">
        <v>6</v>
      </c>
      <c r="F692" t="s">
        <v>68</v>
      </c>
      <c r="G692">
        <v>6200</v>
      </c>
      <c r="H692" t="s">
        <v>148</v>
      </c>
      <c r="I692" t="s">
        <v>144</v>
      </c>
      <c r="J692">
        <v>0</v>
      </c>
      <c r="K692">
        <v>45336.484479166669</v>
      </c>
      <c r="L692">
        <v>129</v>
      </c>
      <c r="O692">
        <v>24</v>
      </c>
      <c r="P692">
        <v>0</v>
      </c>
      <c r="Q692">
        <v>6</v>
      </c>
    </row>
    <row r="693" spans="2:17" x14ac:dyDescent="0.25">
      <c r="B693" t="s">
        <v>293</v>
      </c>
      <c r="C693" t="s">
        <v>413</v>
      </c>
      <c r="D693">
        <v>1403</v>
      </c>
      <c r="E693">
        <v>240</v>
      </c>
      <c r="F693" t="s">
        <v>68</v>
      </c>
      <c r="G693" t="s">
        <v>163</v>
      </c>
      <c r="H693" t="s">
        <v>164</v>
      </c>
      <c r="I693" t="s">
        <v>165</v>
      </c>
      <c r="J693">
        <v>0</v>
      </c>
      <c r="K693">
        <v>45336.484513888892</v>
      </c>
      <c r="L693">
        <v>280</v>
      </c>
      <c r="O693">
        <v>300</v>
      </c>
      <c r="P693">
        <v>0</v>
      </c>
      <c r="Q693">
        <v>240</v>
      </c>
    </row>
    <row r="694" spans="2:17" x14ac:dyDescent="0.25">
      <c r="B694" t="s">
        <v>293</v>
      </c>
      <c r="C694" t="s">
        <v>413</v>
      </c>
      <c r="D694">
        <v>1403</v>
      </c>
      <c r="E694">
        <v>50</v>
      </c>
      <c r="F694" t="s">
        <v>68</v>
      </c>
      <c r="G694">
        <v>6885</v>
      </c>
      <c r="H694" t="s">
        <v>169</v>
      </c>
      <c r="I694" t="s">
        <v>144</v>
      </c>
      <c r="J694">
        <v>0</v>
      </c>
      <c r="K694">
        <v>45336.484537037039</v>
      </c>
      <c r="L694">
        <v>200</v>
      </c>
      <c r="O694">
        <v>100</v>
      </c>
      <c r="P694">
        <v>0</v>
      </c>
      <c r="Q694">
        <v>50</v>
      </c>
    </row>
    <row r="695" spans="2:17" x14ac:dyDescent="0.25">
      <c r="B695" t="s">
        <v>293</v>
      </c>
      <c r="C695" t="s">
        <v>413</v>
      </c>
      <c r="D695">
        <v>1403</v>
      </c>
      <c r="E695">
        <v>10</v>
      </c>
      <c r="F695" t="s">
        <v>68</v>
      </c>
      <c r="G695">
        <v>6800</v>
      </c>
      <c r="H695" t="s">
        <v>150</v>
      </c>
      <c r="I695" t="s">
        <v>144</v>
      </c>
      <c r="J695">
        <v>0</v>
      </c>
      <c r="K695">
        <v>45336.484560185185</v>
      </c>
      <c r="L695">
        <v>234</v>
      </c>
      <c r="O695">
        <v>4</v>
      </c>
      <c r="P695">
        <v>2</v>
      </c>
      <c r="Q695">
        <v>2</v>
      </c>
    </row>
    <row r="696" spans="2:17" x14ac:dyDescent="0.25">
      <c r="B696" t="s">
        <v>293</v>
      </c>
      <c r="C696" t="s">
        <v>311</v>
      </c>
      <c r="D696">
        <v>1402</v>
      </c>
      <c r="E696">
        <v>2500</v>
      </c>
      <c r="F696" t="s">
        <v>68</v>
      </c>
      <c r="G696" t="s">
        <v>146</v>
      </c>
      <c r="H696" t="s">
        <v>147</v>
      </c>
      <c r="I696" t="s">
        <v>144</v>
      </c>
      <c r="J696">
        <v>0</v>
      </c>
      <c r="K696">
        <v>45336.484618055554</v>
      </c>
      <c r="L696">
        <v>25620</v>
      </c>
      <c r="O696">
        <v>440</v>
      </c>
      <c r="P696">
        <v>5</v>
      </c>
      <c r="Q696">
        <v>299.99999999999994</v>
      </c>
    </row>
    <row r="697" spans="2:17" x14ac:dyDescent="0.25">
      <c r="B697" t="s">
        <v>293</v>
      </c>
      <c r="C697" t="s">
        <v>249</v>
      </c>
      <c r="D697">
        <v>1401</v>
      </c>
      <c r="E697">
        <v>2</v>
      </c>
      <c r="F697" t="s">
        <v>68</v>
      </c>
      <c r="G697" t="s">
        <v>182</v>
      </c>
      <c r="H697" t="s">
        <v>183</v>
      </c>
      <c r="J697">
        <v>0</v>
      </c>
      <c r="K697">
        <v>45336.4846875</v>
      </c>
      <c r="L697">
        <v>4</v>
      </c>
      <c r="O697">
        <v>36</v>
      </c>
      <c r="P697">
        <v>0</v>
      </c>
      <c r="Q697">
        <v>2</v>
      </c>
    </row>
    <row r="698" spans="2:17" x14ac:dyDescent="0.25">
      <c r="B698" t="s">
        <v>293</v>
      </c>
      <c r="C698" t="s">
        <v>249</v>
      </c>
      <c r="D698">
        <v>1401</v>
      </c>
      <c r="E698">
        <v>120</v>
      </c>
      <c r="F698" t="s">
        <v>68</v>
      </c>
      <c r="G698">
        <v>6001</v>
      </c>
      <c r="H698" t="s">
        <v>149</v>
      </c>
      <c r="I698" t="s">
        <v>144</v>
      </c>
      <c r="J698">
        <v>0</v>
      </c>
      <c r="K698">
        <v>45336.484722222223</v>
      </c>
      <c r="L698">
        <v>4420</v>
      </c>
      <c r="O698">
        <v>60</v>
      </c>
      <c r="P698">
        <v>2</v>
      </c>
      <c r="Q698">
        <v>0</v>
      </c>
    </row>
    <row r="699" spans="2:17" x14ac:dyDescent="0.25">
      <c r="B699" t="s">
        <v>293</v>
      </c>
      <c r="C699" t="s">
        <v>356</v>
      </c>
      <c r="D699">
        <v>1400</v>
      </c>
      <c r="E699">
        <v>12000</v>
      </c>
      <c r="F699" t="s">
        <v>68</v>
      </c>
      <c r="G699" t="s">
        <v>123</v>
      </c>
      <c r="H699" t="s">
        <v>124</v>
      </c>
      <c r="I699" t="s">
        <v>105</v>
      </c>
      <c r="J699">
        <v>0</v>
      </c>
      <c r="K699">
        <v>45336.484756944446</v>
      </c>
      <c r="L699">
        <v>120100</v>
      </c>
      <c r="O699">
        <v>2400</v>
      </c>
      <c r="P699">
        <v>5</v>
      </c>
      <c r="Q699">
        <v>0</v>
      </c>
    </row>
    <row r="700" spans="2:17" x14ac:dyDescent="0.25">
      <c r="B700" t="s">
        <v>293</v>
      </c>
      <c r="C700" t="s">
        <v>356</v>
      </c>
      <c r="D700">
        <v>1400</v>
      </c>
      <c r="E700">
        <v>120</v>
      </c>
      <c r="F700" t="s">
        <v>68</v>
      </c>
      <c r="G700" t="s">
        <v>201</v>
      </c>
      <c r="H700" t="s">
        <v>202</v>
      </c>
      <c r="I700" t="s">
        <v>144</v>
      </c>
      <c r="J700">
        <v>0</v>
      </c>
      <c r="K700">
        <v>45336.484780092593</v>
      </c>
      <c r="L700">
        <v>6080</v>
      </c>
      <c r="O700">
        <v>100</v>
      </c>
      <c r="P700">
        <v>1</v>
      </c>
      <c r="Q700">
        <v>19.999999999999996</v>
      </c>
    </row>
    <row r="701" spans="2:17" x14ac:dyDescent="0.25">
      <c r="B701" t="s">
        <v>293</v>
      </c>
      <c r="C701" t="s">
        <v>356</v>
      </c>
      <c r="D701">
        <v>1400</v>
      </c>
      <c r="E701">
        <v>2</v>
      </c>
      <c r="F701" t="s">
        <v>68</v>
      </c>
      <c r="G701">
        <v>81066</v>
      </c>
      <c r="H701" t="s">
        <v>181</v>
      </c>
      <c r="J701">
        <v>0</v>
      </c>
      <c r="K701">
        <v>45336.484814814816</v>
      </c>
      <c r="L701">
        <v>86</v>
      </c>
      <c r="O701">
        <v>40</v>
      </c>
      <c r="P701">
        <v>0</v>
      </c>
      <c r="Q701">
        <v>2</v>
      </c>
    </row>
    <row r="702" spans="2:17" x14ac:dyDescent="0.25">
      <c r="B702" t="s">
        <v>293</v>
      </c>
      <c r="C702" t="s">
        <v>389</v>
      </c>
      <c r="D702">
        <v>1399</v>
      </c>
      <c r="E702">
        <v>36</v>
      </c>
      <c r="F702" t="s">
        <v>68</v>
      </c>
      <c r="G702" t="s">
        <v>166</v>
      </c>
      <c r="H702" t="s">
        <v>167</v>
      </c>
      <c r="J702">
        <v>0</v>
      </c>
      <c r="K702">
        <v>45336.484849537039</v>
      </c>
      <c r="L702">
        <v>191</v>
      </c>
      <c r="O702">
        <v>4</v>
      </c>
      <c r="P702">
        <v>9</v>
      </c>
      <c r="Q702">
        <v>0</v>
      </c>
    </row>
    <row r="703" spans="2:17" x14ac:dyDescent="0.25">
      <c r="B703" t="s">
        <v>293</v>
      </c>
      <c r="C703" t="s">
        <v>421</v>
      </c>
      <c r="D703">
        <v>521</v>
      </c>
      <c r="E703">
        <v>300</v>
      </c>
      <c r="F703" t="s">
        <v>68</v>
      </c>
      <c r="G703" t="s">
        <v>159</v>
      </c>
      <c r="H703" t="s">
        <v>160</v>
      </c>
      <c r="I703" t="s">
        <v>161</v>
      </c>
      <c r="J703">
        <v>0</v>
      </c>
      <c r="K703">
        <v>45336.484907407408</v>
      </c>
      <c r="L703">
        <v>812</v>
      </c>
      <c r="O703">
        <v>36</v>
      </c>
      <c r="P703">
        <v>8</v>
      </c>
      <c r="Q703">
        <v>12.000000000000021</v>
      </c>
    </row>
    <row r="704" spans="2:17" x14ac:dyDescent="0.25">
      <c r="B704" t="s">
        <v>422</v>
      </c>
      <c r="C704" t="s">
        <v>66</v>
      </c>
      <c r="D704" t="s">
        <v>66</v>
      </c>
      <c r="E704">
        <v>400</v>
      </c>
      <c r="F704" t="s">
        <v>68</v>
      </c>
      <c r="G704" t="s">
        <v>274</v>
      </c>
      <c r="H704" t="s">
        <v>275</v>
      </c>
      <c r="I704" t="s">
        <v>105</v>
      </c>
      <c r="J704">
        <v>1</v>
      </c>
      <c r="K704">
        <v>45336.542685185188</v>
      </c>
      <c r="L704">
        <v>400</v>
      </c>
      <c r="M704">
        <v>45537</v>
      </c>
      <c r="O704">
        <v>1</v>
      </c>
      <c r="P704">
        <v>400</v>
      </c>
      <c r="Q704">
        <v>0</v>
      </c>
    </row>
    <row r="705" spans="1:17" x14ac:dyDescent="0.25">
      <c r="B705" t="s">
        <v>422</v>
      </c>
      <c r="C705" t="s">
        <v>66</v>
      </c>
      <c r="D705" t="s">
        <v>66</v>
      </c>
      <c r="E705">
        <v>40000</v>
      </c>
      <c r="F705" t="s">
        <v>68</v>
      </c>
      <c r="G705" t="s">
        <v>107</v>
      </c>
      <c r="H705" t="s">
        <v>108</v>
      </c>
      <c r="I705" t="s">
        <v>105</v>
      </c>
      <c r="J705">
        <v>1</v>
      </c>
      <c r="K705">
        <v>45336.542800925927</v>
      </c>
      <c r="L705">
        <v>46000</v>
      </c>
      <c r="M705">
        <v>45537</v>
      </c>
      <c r="O705">
        <v>1200</v>
      </c>
      <c r="P705">
        <v>33</v>
      </c>
      <c r="Q705">
        <v>400.00000000000284</v>
      </c>
    </row>
    <row r="706" spans="1:17" x14ac:dyDescent="0.25">
      <c r="B706" t="s">
        <v>293</v>
      </c>
      <c r="C706" t="s">
        <v>356</v>
      </c>
      <c r="D706">
        <v>1418</v>
      </c>
      <c r="E706">
        <v>250</v>
      </c>
      <c r="F706" t="s">
        <v>68</v>
      </c>
      <c r="G706" t="s">
        <v>155</v>
      </c>
      <c r="H706" t="s">
        <v>156</v>
      </c>
      <c r="J706">
        <v>0</v>
      </c>
      <c r="K706">
        <v>45337.672777777778</v>
      </c>
      <c r="L706">
        <v>2102</v>
      </c>
      <c r="O706">
        <v>24</v>
      </c>
      <c r="P706">
        <v>10</v>
      </c>
      <c r="Q706">
        <v>9.9999999999999858</v>
      </c>
    </row>
    <row r="707" spans="1:17" x14ac:dyDescent="0.25">
      <c r="B707" t="s">
        <v>293</v>
      </c>
      <c r="C707" t="s">
        <v>423</v>
      </c>
      <c r="D707">
        <v>1419</v>
      </c>
      <c r="E707">
        <v>500</v>
      </c>
      <c r="F707" t="s">
        <v>68</v>
      </c>
      <c r="G707" t="s">
        <v>115</v>
      </c>
      <c r="H707" t="s">
        <v>116</v>
      </c>
      <c r="I707" t="s">
        <v>105</v>
      </c>
      <c r="J707">
        <v>0</v>
      </c>
      <c r="K707">
        <v>45337.673333333332</v>
      </c>
      <c r="L707">
        <v>13800</v>
      </c>
      <c r="O707">
        <v>1200</v>
      </c>
      <c r="P707">
        <v>0</v>
      </c>
      <c r="Q707">
        <v>500</v>
      </c>
    </row>
    <row r="708" spans="1:17" x14ac:dyDescent="0.25">
      <c r="B708" t="s">
        <v>158</v>
      </c>
      <c r="C708" t="s">
        <v>244</v>
      </c>
      <c r="D708">
        <v>1411</v>
      </c>
      <c r="E708">
        <v>100</v>
      </c>
      <c r="F708" t="s">
        <v>68</v>
      </c>
      <c r="G708" t="s">
        <v>166</v>
      </c>
      <c r="H708" t="s">
        <v>167</v>
      </c>
      <c r="J708">
        <v>0</v>
      </c>
      <c r="K708">
        <v>45337.677893518521</v>
      </c>
      <c r="L708">
        <v>91</v>
      </c>
      <c r="O708">
        <v>4</v>
      </c>
      <c r="P708">
        <v>25</v>
      </c>
      <c r="Q708">
        <v>0</v>
      </c>
    </row>
    <row r="709" spans="1:17" x14ac:dyDescent="0.25">
      <c r="B709" t="s">
        <v>158</v>
      </c>
      <c r="C709" t="s">
        <v>424</v>
      </c>
      <c r="D709">
        <v>1417</v>
      </c>
      <c r="E709">
        <v>5600</v>
      </c>
      <c r="F709" t="s">
        <v>68</v>
      </c>
      <c r="G709" t="s">
        <v>123</v>
      </c>
      <c r="H709" t="s">
        <v>124</v>
      </c>
      <c r="I709" t="s">
        <v>105</v>
      </c>
      <c r="J709">
        <v>0</v>
      </c>
      <c r="K709">
        <v>45337.677928240744</v>
      </c>
      <c r="L709">
        <v>114500</v>
      </c>
      <c r="O709">
        <v>2400</v>
      </c>
      <c r="P709">
        <v>2</v>
      </c>
      <c r="Q709">
        <v>800.00000000000034</v>
      </c>
    </row>
    <row r="710" spans="1:17" x14ac:dyDescent="0.25">
      <c r="B710" t="s">
        <v>158</v>
      </c>
      <c r="C710" t="s">
        <v>336</v>
      </c>
      <c r="D710">
        <v>1415</v>
      </c>
      <c r="E710">
        <v>1000</v>
      </c>
      <c r="F710" t="s">
        <v>68</v>
      </c>
      <c r="G710" t="s">
        <v>107</v>
      </c>
      <c r="H710" t="s">
        <v>108</v>
      </c>
      <c r="I710" t="s">
        <v>105</v>
      </c>
      <c r="J710">
        <v>0</v>
      </c>
      <c r="K710">
        <v>45337.67796296296</v>
      </c>
      <c r="L710">
        <v>45000</v>
      </c>
      <c r="O710">
        <v>1200</v>
      </c>
      <c r="P710">
        <v>0</v>
      </c>
      <c r="Q710">
        <v>1000</v>
      </c>
    </row>
    <row r="711" spans="1:17" x14ac:dyDescent="0.25">
      <c r="B711" t="s">
        <v>158</v>
      </c>
      <c r="C711" t="s">
        <v>336</v>
      </c>
      <c r="D711">
        <v>1415</v>
      </c>
      <c r="E711">
        <v>1600</v>
      </c>
      <c r="F711" t="s">
        <v>68</v>
      </c>
      <c r="G711" t="s">
        <v>170</v>
      </c>
      <c r="H711" t="s">
        <v>171</v>
      </c>
      <c r="I711" t="s">
        <v>105</v>
      </c>
      <c r="J711">
        <v>0</v>
      </c>
      <c r="K711">
        <v>45337.677986111114</v>
      </c>
      <c r="L711">
        <v>15800</v>
      </c>
      <c r="O711">
        <v>2400</v>
      </c>
      <c r="P711">
        <v>0</v>
      </c>
      <c r="Q711">
        <v>1600</v>
      </c>
    </row>
    <row r="712" spans="1:17" x14ac:dyDescent="0.25">
      <c r="B712" t="s">
        <v>158</v>
      </c>
      <c r="C712" t="s">
        <v>411</v>
      </c>
      <c r="D712">
        <v>1412</v>
      </c>
      <c r="E712">
        <v>200</v>
      </c>
      <c r="F712" t="s">
        <v>68</v>
      </c>
      <c r="G712" t="s">
        <v>142</v>
      </c>
      <c r="H712" t="s">
        <v>143</v>
      </c>
      <c r="I712" t="s">
        <v>144</v>
      </c>
      <c r="J712">
        <v>0</v>
      </c>
      <c r="K712">
        <v>45337.67800925926</v>
      </c>
      <c r="L712">
        <v>7688</v>
      </c>
      <c r="O712">
        <v>24</v>
      </c>
      <c r="P712">
        <v>8</v>
      </c>
      <c r="Q712">
        <v>8.0000000000000142</v>
      </c>
    </row>
    <row r="713" spans="1:17" x14ac:dyDescent="0.25">
      <c r="B713" t="s">
        <v>158</v>
      </c>
      <c r="C713" t="s">
        <v>417</v>
      </c>
      <c r="D713">
        <v>1414</v>
      </c>
      <c r="E713">
        <v>1200</v>
      </c>
      <c r="F713" t="s">
        <v>68</v>
      </c>
      <c r="G713" t="s">
        <v>103</v>
      </c>
      <c r="H713" t="s">
        <v>104</v>
      </c>
      <c r="I713" t="s">
        <v>105</v>
      </c>
      <c r="J713">
        <v>0</v>
      </c>
      <c r="K713">
        <v>45337.678032407406</v>
      </c>
      <c r="L713">
        <v>71400</v>
      </c>
      <c r="O713">
        <v>2400</v>
      </c>
      <c r="P713">
        <v>0</v>
      </c>
      <c r="Q713">
        <v>1200</v>
      </c>
    </row>
    <row r="714" spans="1:17" x14ac:dyDescent="0.25">
      <c r="B714" t="s">
        <v>158</v>
      </c>
      <c r="C714" t="s">
        <v>417</v>
      </c>
      <c r="D714">
        <v>1414</v>
      </c>
      <c r="E714">
        <v>200</v>
      </c>
      <c r="F714" t="s">
        <v>127</v>
      </c>
      <c r="G714" t="s">
        <v>128</v>
      </c>
      <c r="H714" t="s">
        <v>129</v>
      </c>
      <c r="I714" t="s">
        <v>130</v>
      </c>
      <c r="J714">
        <v>0</v>
      </c>
      <c r="K714">
        <v>45337.678055555552</v>
      </c>
      <c r="L714">
        <v>480</v>
      </c>
      <c r="O714">
        <v>10</v>
      </c>
      <c r="P714">
        <v>20</v>
      </c>
      <c r="Q714">
        <v>0</v>
      </c>
    </row>
    <row r="715" spans="1:17" x14ac:dyDescent="0.25">
      <c r="B715" t="s">
        <v>158</v>
      </c>
      <c r="C715" t="s">
        <v>417</v>
      </c>
      <c r="D715">
        <v>1414</v>
      </c>
      <c r="E715">
        <v>20</v>
      </c>
      <c r="F715" t="s">
        <v>127</v>
      </c>
      <c r="G715" t="s">
        <v>128</v>
      </c>
      <c r="H715" t="s">
        <v>129</v>
      </c>
      <c r="I715" t="s">
        <v>130</v>
      </c>
      <c r="J715">
        <v>0</v>
      </c>
      <c r="K715">
        <v>45337.678078703706</v>
      </c>
      <c r="L715">
        <v>460</v>
      </c>
      <c r="O715">
        <v>10</v>
      </c>
      <c r="P715">
        <v>2</v>
      </c>
      <c r="Q715">
        <v>0</v>
      </c>
    </row>
    <row r="716" spans="1:17" x14ac:dyDescent="0.25">
      <c r="B716" t="s">
        <v>158</v>
      </c>
      <c r="C716" t="s">
        <v>417</v>
      </c>
      <c r="D716">
        <v>1414</v>
      </c>
      <c r="E716">
        <v>34</v>
      </c>
      <c r="F716" t="s">
        <v>127</v>
      </c>
      <c r="G716" t="s">
        <v>131</v>
      </c>
      <c r="H716" t="s">
        <v>132</v>
      </c>
      <c r="I716" t="s">
        <v>130</v>
      </c>
      <c r="J716">
        <v>0</v>
      </c>
      <c r="K716">
        <v>45337.678113425929</v>
      </c>
      <c r="L716">
        <v>5984</v>
      </c>
      <c r="O716">
        <v>10</v>
      </c>
      <c r="P716">
        <v>3</v>
      </c>
      <c r="Q716">
        <v>3.9999999999999991</v>
      </c>
    </row>
    <row r="717" spans="1:17" x14ac:dyDescent="0.25">
      <c r="B717" t="s">
        <v>158</v>
      </c>
      <c r="C717" t="s">
        <v>353</v>
      </c>
      <c r="D717">
        <v>1416</v>
      </c>
      <c r="E717">
        <v>10</v>
      </c>
      <c r="F717" t="s">
        <v>68</v>
      </c>
      <c r="G717">
        <v>6800</v>
      </c>
      <c r="H717" t="s">
        <v>150</v>
      </c>
      <c r="I717" t="s">
        <v>144</v>
      </c>
      <c r="J717">
        <v>0</v>
      </c>
      <c r="K717">
        <v>45337.678136574075</v>
      </c>
      <c r="L717">
        <v>224</v>
      </c>
      <c r="O717">
        <v>4</v>
      </c>
      <c r="P717">
        <v>2</v>
      </c>
      <c r="Q717">
        <v>2</v>
      </c>
    </row>
    <row r="718" spans="1:17" x14ac:dyDescent="0.25">
      <c r="B718" t="s">
        <v>158</v>
      </c>
      <c r="C718" t="s">
        <v>243</v>
      </c>
      <c r="D718">
        <v>1413</v>
      </c>
      <c r="E718">
        <v>120</v>
      </c>
      <c r="F718" t="s">
        <v>68</v>
      </c>
      <c r="G718" t="s">
        <v>163</v>
      </c>
      <c r="H718" t="s">
        <v>164</v>
      </c>
      <c r="I718" t="s">
        <v>165</v>
      </c>
      <c r="J718">
        <v>0</v>
      </c>
      <c r="K718">
        <v>45337.678171296298</v>
      </c>
      <c r="L718">
        <v>160</v>
      </c>
      <c r="O718">
        <v>300</v>
      </c>
      <c r="P718">
        <v>0</v>
      </c>
      <c r="Q718">
        <v>120</v>
      </c>
    </row>
    <row r="719" spans="1:17" x14ac:dyDescent="0.25">
      <c r="B719" t="s">
        <v>425</v>
      </c>
      <c r="C719" t="s">
        <v>67</v>
      </c>
      <c r="D719" t="s">
        <v>67</v>
      </c>
      <c r="E719">
        <v>600</v>
      </c>
      <c r="F719" t="s">
        <v>68</v>
      </c>
      <c r="G719" t="s">
        <v>166</v>
      </c>
      <c r="H719" t="s">
        <v>167</v>
      </c>
      <c r="J719">
        <v>1</v>
      </c>
      <c r="K719">
        <v>45338.583553240744</v>
      </c>
      <c r="L719">
        <v>691</v>
      </c>
      <c r="M719">
        <v>45324</v>
      </c>
      <c r="O719">
        <v>4</v>
      </c>
      <c r="P719">
        <v>150</v>
      </c>
      <c r="Q719">
        <v>0</v>
      </c>
    </row>
    <row r="720" spans="1:17" x14ac:dyDescent="0.25">
      <c r="A720" t="s">
        <v>426</v>
      </c>
      <c r="B720" t="s">
        <v>293</v>
      </c>
      <c r="C720" t="s">
        <v>472</v>
      </c>
      <c r="D720">
        <v>526</v>
      </c>
      <c r="E720">
        <v>812</v>
      </c>
      <c r="F720" t="s">
        <v>68</v>
      </c>
      <c r="G720" t="s">
        <v>159</v>
      </c>
      <c r="H720" t="s">
        <v>160</v>
      </c>
      <c r="I720" t="s">
        <v>161</v>
      </c>
      <c r="J720">
        <v>0</v>
      </c>
      <c r="K720">
        <v>45342.652199074073</v>
      </c>
      <c r="L720">
        <v>0</v>
      </c>
      <c r="O720">
        <v>36</v>
      </c>
      <c r="P720">
        <v>22</v>
      </c>
      <c r="Q720">
        <v>20.000000000000057</v>
      </c>
    </row>
    <row r="721" spans="1:17" x14ac:dyDescent="0.25">
      <c r="B721" t="s">
        <v>293</v>
      </c>
      <c r="C721" t="s">
        <v>413</v>
      </c>
      <c r="D721">
        <v>527</v>
      </c>
      <c r="E721">
        <v>170</v>
      </c>
      <c r="F721" t="s">
        <v>68</v>
      </c>
      <c r="G721" t="s">
        <v>163</v>
      </c>
      <c r="H721" t="s">
        <v>164</v>
      </c>
      <c r="I721" t="s">
        <v>165</v>
      </c>
      <c r="J721">
        <v>0</v>
      </c>
      <c r="K721">
        <v>45342.654687499999</v>
      </c>
      <c r="L721">
        <v>-10</v>
      </c>
      <c r="O721">
        <v>300</v>
      </c>
      <c r="P721">
        <v>0</v>
      </c>
      <c r="Q721">
        <v>170</v>
      </c>
    </row>
    <row r="722" spans="1:17" x14ac:dyDescent="0.25">
      <c r="B722" t="s">
        <v>293</v>
      </c>
      <c r="C722" t="s">
        <v>413</v>
      </c>
      <c r="D722">
        <v>527</v>
      </c>
      <c r="E722">
        <v>20</v>
      </c>
      <c r="F722" t="s">
        <v>68</v>
      </c>
      <c r="G722">
        <v>6800</v>
      </c>
      <c r="H722" t="s">
        <v>150</v>
      </c>
      <c r="I722" t="s">
        <v>144</v>
      </c>
      <c r="J722">
        <v>0</v>
      </c>
      <c r="K722">
        <v>45342.656076388892</v>
      </c>
      <c r="L722">
        <v>204</v>
      </c>
      <c r="O722">
        <v>4</v>
      </c>
      <c r="P722">
        <v>5</v>
      </c>
      <c r="Q722">
        <v>0</v>
      </c>
    </row>
    <row r="723" spans="1:17" x14ac:dyDescent="0.25">
      <c r="B723" t="s">
        <v>293</v>
      </c>
      <c r="C723" t="s">
        <v>376</v>
      </c>
      <c r="D723">
        <v>528</v>
      </c>
      <c r="E723">
        <v>500</v>
      </c>
      <c r="F723" t="s">
        <v>127</v>
      </c>
      <c r="G723" t="s">
        <v>128</v>
      </c>
      <c r="H723" t="s">
        <v>129</v>
      </c>
      <c r="I723" t="s">
        <v>130</v>
      </c>
      <c r="J723">
        <v>0</v>
      </c>
      <c r="K723">
        <v>45342.647743055553</v>
      </c>
      <c r="L723">
        <v>-40</v>
      </c>
      <c r="O723">
        <v>10</v>
      </c>
      <c r="P723">
        <v>50</v>
      </c>
      <c r="Q723">
        <v>0</v>
      </c>
    </row>
    <row r="724" spans="1:17" x14ac:dyDescent="0.25">
      <c r="B724" t="s">
        <v>293</v>
      </c>
      <c r="C724" t="s">
        <v>326</v>
      </c>
      <c r="D724">
        <v>529</v>
      </c>
      <c r="E724">
        <v>600</v>
      </c>
      <c r="F724" t="s">
        <v>135</v>
      </c>
      <c r="G724" t="s">
        <v>140</v>
      </c>
      <c r="H724" t="s">
        <v>137</v>
      </c>
      <c r="I724" t="s">
        <v>138</v>
      </c>
      <c r="J724">
        <v>0</v>
      </c>
      <c r="K724">
        <v>45342.656122685185</v>
      </c>
      <c r="L724">
        <v>3502</v>
      </c>
      <c r="O724">
        <v>144</v>
      </c>
      <c r="P724">
        <v>4</v>
      </c>
      <c r="Q724">
        <v>24.000000000000043</v>
      </c>
    </row>
    <row r="725" spans="1:17" x14ac:dyDescent="0.25">
      <c r="B725" t="s">
        <v>293</v>
      </c>
      <c r="C725" t="s">
        <v>410</v>
      </c>
      <c r="D725">
        <v>530</v>
      </c>
      <c r="E725">
        <v>21400</v>
      </c>
      <c r="F725" t="s">
        <v>68</v>
      </c>
      <c r="G725" t="s">
        <v>107</v>
      </c>
      <c r="H725" t="s">
        <v>108</v>
      </c>
      <c r="I725" t="s">
        <v>105</v>
      </c>
      <c r="J725">
        <v>0</v>
      </c>
      <c r="K725">
        <v>45342.656157407408</v>
      </c>
      <c r="L725">
        <v>23600</v>
      </c>
      <c r="O725">
        <v>1200</v>
      </c>
      <c r="P725">
        <v>17</v>
      </c>
      <c r="Q725">
        <v>999.99999999999864</v>
      </c>
    </row>
    <row r="726" spans="1:17" x14ac:dyDescent="0.25">
      <c r="B726" t="s">
        <v>293</v>
      </c>
      <c r="C726" t="s">
        <v>390</v>
      </c>
      <c r="D726">
        <v>531</v>
      </c>
      <c r="E726">
        <v>5600</v>
      </c>
      <c r="F726" t="s">
        <v>68</v>
      </c>
      <c r="G726" t="s">
        <v>103</v>
      </c>
      <c r="H726" t="s">
        <v>104</v>
      </c>
      <c r="I726" t="s">
        <v>105</v>
      </c>
      <c r="J726">
        <v>0</v>
      </c>
      <c r="K726">
        <v>45342.656192129631</v>
      </c>
      <c r="L726">
        <v>65800</v>
      </c>
      <c r="O726">
        <v>2400</v>
      </c>
      <c r="P726">
        <v>2</v>
      </c>
      <c r="Q726">
        <v>800.00000000000034</v>
      </c>
    </row>
    <row r="727" spans="1:17" x14ac:dyDescent="0.25">
      <c r="A727" t="s">
        <v>426</v>
      </c>
      <c r="B727" t="s">
        <v>293</v>
      </c>
      <c r="C727" t="s">
        <v>423</v>
      </c>
      <c r="D727">
        <v>532</v>
      </c>
      <c r="E727">
        <v>20000</v>
      </c>
      <c r="F727" t="s">
        <v>68</v>
      </c>
      <c r="G727" t="s">
        <v>103</v>
      </c>
      <c r="H727" t="s">
        <v>104</v>
      </c>
      <c r="I727" t="s">
        <v>105</v>
      </c>
      <c r="J727">
        <v>0</v>
      </c>
      <c r="K727">
        <v>45342.656226851854</v>
      </c>
      <c r="L727">
        <v>45800</v>
      </c>
      <c r="O727">
        <v>2400</v>
      </c>
      <c r="P727">
        <v>8</v>
      </c>
      <c r="Q727">
        <v>800.00000000000136</v>
      </c>
    </row>
    <row r="728" spans="1:17" x14ac:dyDescent="0.25">
      <c r="B728" t="s">
        <v>293</v>
      </c>
      <c r="C728" t="s">
        <v>423</v>
      </c>
      <c r="D728">
        <v>532</v>
      </c>
      <c r="E728">
        <v>1250</v>
      </c>
      <c r="F728" t="s">
        <v>68</v>
      </c>
      <c r="G728" t="s">
        <v>115</v>
      </c>
      <c r="H728" t="s">
        <v>116</v>
      </c>
      <c r="I728" t="s">
        <v>105</v>
      </c>
      <c r="J728">
        <v>0</v>
      </c>
      <c r="K728">
        <v>45342.656261574077</v>
      </c>
      <c r="L728">
        <v>12550</v>
      </c>
      <c r="O728">
        <v>1200</v>
      </c>
      <c r="P728">
        <v>1</v>
      </c>
      <c r="Q728">
        <v>50.000000000000085</v>
      </c>
    </row>
    <row r="729" spans="1:17" x14ac:dyDescent="0.25">
      <c r="A729" t="s">
        <v>426</v>
      </c>
      <c r="B729" t="s">
        <v>293</v>
      </c>
      <c r="C729" t="s">
        <v>406</v>
      </c>
      <c r="D729">
        <v>533</v>
      </c>
      <c r="E729">
        <v>1400</v>
      </c>
      <c r="F729" t="s">
        <v>68</v>
      </c>
      <c r="G729" t="s">
        <v>125</v>
      </c>
      <c r="H729" t="s">
        <v>126</v>
      </c>
      <c r="I729" t="s">
        <v>105</v>
      </c>
      <c r="J729">
        <v>0</v>
      </c>
      <c r="K729">
        <v>45342.6562962963</v>
      </c>
      <c r="L729">
        <v>10700</v>
      </c>
      <c r="O729">
        <v>2400</v>
      </c>
      <c r="P729">
        <v>0</v>
      </c>
      <c r="Q729">
        <v>1400</v>
      </c>
    </row>
    <row r="730" spans="1:17" x14ac:dyDescent="0.25">
      <c r="B730" t="s">
        <v>293</v>
      </c>
      <c r="C730" t="s">
        <v>356</v>
      </c>
      <c r="D730">
        <v>534</v>
      </c>
      <c r="E730">
        <v>12000</v>
      </c>
      <c r="F730" t="s">
        <v>68</v>
      </c>
      <c r="G730" t="s">
        <v>123</v>
      </c>
      <c r="H730" t="s">
        <v>124</v>
      </c>
      <c r="I730" t="s">
        <v>105</v>
      </c>
      <c r="J730">
        <v>0</v>
      </c>
      <c r="K730">
        <v>45342.656342592592</v>
      </c>
      <c r="L730">
        <v>102500</v>
      </c>
      <c r="O730">
        <v>2400</v>
      </c>
      <c r="P730">
        <v>5</v>
      </c>
      <c r="Q730">
        <v>0</v>
      </c>
    </row>
    <row r="731" spans="1:17" x14ac:dyDescent="0.25">
      <c r="B731" t="s">
        <v>158</v>
      </c>
      <c r="C731" t="s">
        <v>417</v>
      </c>
      <c r="D731">
        <v>522</v>
      </c>
      <c r="E731">
        <v>20</v>
      </c>
      <c r="F731" t="s">
        <v>127</v>
      </c>
      <c r="G731" t="s">
        <v>133</v>
      </c>
      <c r="H731" t="s">
        <v>134</v>
      </c>
      <c r="I731" t="s">
        <v>130</v>
      </c>
      <c r="J731">
        <v>0</v>
      </c>
      <c r="K731">
        <v>45343.410358796296</v>
      </c>
      <c r="L731">
        <v>465</v>
      </c>
      <c r="O731">
        <v>10</v>
      </c>
      <c r="P731">
        <v>2</v>
      </c>
      <c r="Q731">
        <v>0</v>
      </c>
    </row>
    <row r="732" spans="1:17" x14ac:dyDescent="0.25">
      <c r="B732" t="s">
        <v>158</v>
      </c>
      <c r="C732" t="s">
        <v>417</v>
      </c>
      <c r="D732">
        <v>522</v>
      </c>
      <c r="E732">
        <v>34</v>
      </c>
      <c r="F732" t="s">
        <v>127</v>
      </c>
      <c r="G732" t="s">
        <v>131</v>
      </c>
      <c r="H732" t="s">
        <v>132</v>
      </c>
      <c r="I732" t="s">
        <v>130</v>
      </c>
      <c r="J732">
        <v>0</v>
      </c>
      <c r="K732">
        <v>45343.410393518519</v>
      </c>
      <c r="L732">
        <v>5900</v>
      </c>
      <c r="O732">
        <v>10</v>
      </c>
      <c r="P732">
        <v>3</v>
      </c>
      <c r="Q732">
        <v>3.9999999999999991</v>
      </c>
    </row>
    <row r="733" spans="1:17" x14ac:dyDescent="0.25">
      <c r="B733" t="s">
        <v>158</v>
      </c>
      <c r="C733" t="s">
        <v>336</v>
      </c>
      <c r="D733">
        <v>523</v>
      </c>
      <c r="E733">
        <v>1600</v>
      </c>
      <c r="F733" t="s">
        <v>68</v>
      </c>
      <c r="G733" t="s">
        <v>170</v>
      </c>
      <c r="H733" t="s">
        <v>171</v>
      </c>
      <c r="I733" t="s">
        <v>105</v>
      </c>
      <c r="J733">
        <v>0</v>
      </c>
      <c r="K733">
        <v>45343.410416666666</v>
      </c>
      <c r="L733">
        <v>14200</v>
      </c>
      <c r="O733">
        <v>2400</v>
      </c>
      <c r="P733">
        <v>0</v>
      </c>
      <c r="Q733">
        <v>1600</v>
      </c>
    </row>
    <row r="734" spans="1:17" x14ac:dyDescent="0.25">
      <c r="B734" t="s">
        <v>158</v>
      </c>
      <c r="C734" t="s">
        <v>336</v>
      </c>
      <c r="D734">
        <v>523</v>
      </c>
      <c r="E734">
        <v>1000</v>
      </c>
      <c r="F734" t="s">
        <v>68</v>
      </c>
      <c r="G734" t="s">
        <v>107</v>
      </c>
      <c r="H734" t="s">
        <v>108</v>
      </c>
      <c r="I734" t="s">
        <v>105</v>
      </c>
      <c r="J734">
        <v>0</v>
      </c>
      <c r="K734">
        <v>45343.410439814812</v>
      </c>
      <c r="L734">
        <v>22600</v>
      </c>
      <c r="O734">
        <v>1200</v>
      </c>
      <c r="P734">
        <v>0</v>
      </c>
      <c r="Q734">
        <v>1000</v>
      </c>
    </row>
    <row r="735" spans="1:17" x14ac:dyDescent="0.25">
      <c r="B735" t="s">
        <v>158</v>
      </c>
      <c r="C735" t="s">
        <v>353</v>
      </c>
      <c r="D735">
        <v>524</v>
      </c>
      <c r="E735">
        <v>20</v>
      </c>
      <c r="F735" t="s">
        <v>68</v>
      </c>
      <c r="G735">
        <v>6800</v>
      </c>
      <c r="H735" t="s">
        <v>150</v>
      </c>
      <c r="I735" t="s">
        <v>144</v>
      </c>
      <c r="J735">
        <v>0</v>
      </c>
      <c r="K735">
        <v>45343.410532407404</v>
      </c>
      <c r="L735">
        <v>184</v>
      </c>
      <c r="O735">
        <v>4</v>
      </c>
      <c r="P735">
        <v>5</v>
      </c>
      <c r="Q735">
        <v>0</v>
      </c>
    </row>
    <row r="736" spans="1:17" x14ac:dyDescent="0.25">
      <c r="B736" t="s">
        <v>158</v>
      </c>
      <c r="C736" t="s">
        <v>411</v>
      </c>
      <c r="D736">
        <v>525</v>
      </c>
      <c r="E736">
        <v>200</v>
      </c>
      <c r="F736" t="s">
        <v>68</v>
      </c>
      <c r="G736" t="s">
        <v>142</v>
      </c>
      <c r="H736" t="s">
        <v>143</v>
      </c>
      <c r="I736" t="s">
        <v>144</v>
      </c>
      <c r="J736">
        <v>0</v>
      </c>
      <c r="K736">
        <v>45343.410590277781</v>
      </c>
      <c r="L736">
        <v>7488</v>
      </c>
      <c r="O736">
        <v>24</v>
      </c>
      <c r="P736">
        <v>8</v>
      </c>
      <c r="Q736">
        <v>8.0000000000000142</v>
      </c>
    </row>
    <row r="737" spans="1:17" x14ac:dyDescent="0.25">
      <c r="B737" t="s">
        <v>158</v>
      </c>
      <c r="C737" t="s">
        <v>411</v>
      </c>
      <c r="D737">
        <v>525</v>
      </c>
      <c r="E737">
        <v>900</v>
      </c>
      <c r="F737" t="s">
        <v>68</v>
      </c>
      <c r="G737" t="s">
        <v>201</v>
      </c>
      <c r="H737" t="s">
        <v>202</v>
      </c>
      <c r="I737" t="s">
        <v>144</v>
      </c>
      <c r="J737">
        <v>0</v>
      </c>
      <c r="K737">
        <v>45343.41064814815</v>
      </c>
      <c r="L737">
        <v>5180</v>
      </c>
      <c r="O737">
        <v>100</v>
      </c>
      <c r="P737">
        <v>9</v>
      </c>
      <c r="Q737">
        <v>0</v>
      </c>
    </row>
    <row r="738" spans="1:17" x14ac:dyDescent="0.25">
      <c r="B738" t="s">
        <v>158</v>
      </c>
      <c r="C738" t="s">
        <v>411</v>
      </c>
      <c r="D738">
        <v>535</v>
      </c>
      <c r="E738">
        <v>900</v>
      </c>
      <c r="F738" t="s">
        <v>68</v>
      </c>
      <c r="G738">
        <v>501</v>
      </c>
      <c r="H738" t="s">
        <v>178</v>
      </c>
      <c r="I738" t="s">
        <v>144</v>
      </c>
      <c r="J738">
        <v>0</v>
      </c>
      <c r="K738">
        <v>45343.675694444442</v>
      </c>
      <c r="L738">
        <v>1310</v>
      </c>
      <c r="O738">
        <v>100</v>
      </c>
      <c r="P738">
        <v>9</v>
      </c>
      <c r="Q738">
        <v>0</v>
      </c>
    </row>
    <row r="739" spans="1:17" x14ac:dyDescent="0.25">
      <c r="B739" t="s">
        <v>158</v>
      </c>
      <c r="C739" t="s">
        <v>411</v>
      </c>
      <c r="D739">
        <v>535</v>
      </c>
      <c r="E739">
        <v>400</v>
      </c>
      <c r="F739" t="s">
        <v>68</v>
      </c>
      <c r="G739" t="s">
        <v>142</v>
      </c>
      <c r="H739" t="s">
        <v>143</v>
      </c>
      <c r="I739" t="s">
        <v>144</v>
      </c>
      <c r="J739">
        <v>0</v>
      </c>
      <c r="K739">
        <v>45343.675706018519</v>
      </c>
      <c r="L739">
        <v>7088</v>
      </c>
      <c r="O739">
        <v>24</v>
      </c>
      <c r="P739">
        <v>16</v>
      </c>
      <c r="Q739">
        <v>16.000000000000028</v>
      </c>
    </row>
    <row r="740" spans="1:17" x14ac:dyDescent="0.25">
      <c r="B740" t="s">
        <v>158</v>
      </c>
      <c r="C740" t="s">
        <v>417</v>
      </c>
      <c r="D740">
        <v>536</v>
      </c>
      <c r="E740">
        <v>200</v>
      </c>
      <c r="F740" t="s">
        <v>127</v>
      </c>
      <c r="G740" t="s">
        <v>128</v>
      </c>
      <c r="H740" t="s">
        <v>129</v>
      </c>
      <c r="I740" t="s">
        <v>130</v>
      </c>
      <c r="J740">
        <v>0</v>
      </c>
      <c r="K740">
        <v>45343.675729166665</v>
      </c>
      <c r="L740">
        <v>-193</v>
      </c>
      <c r="N740" t="s">
        <v>427</v>
      </c>
      <c r="O740">
        <v>10</v>
      </c>
      <c r="P740">
        <v>20</v>
      </c>
      <c r="Q740">
        <v>0</v>
      </c>
    </row>
    <row r="741" spans="1:17" x14ac:dyDescent="0.25">
      <c r="B741" t="s">
        <v>158</v>
      </c>
      <c r="C741" t="s">
        <v>417</v>
      </c>
      <c r="D741">
        <v>536</v>
      </c>
      <c r="E741">
        <v>200</v>
      </c>
      <c r="F741" t="s">
        <v>127</v>
      </c>
      <c r="G741" t="s">
        <v>133</v>
      </c>
      <c r="H741" t="s">
        <v>134</v>
      </c>
      <c r="I741" t="s">
        <v>130</v>
      </c>
      <c r="J741">
        <v>0</v>
      </c>
      <c r="K741">
        <v>45343.675775462965</v>
      </c>
      <c r="L741">
        <v>265</v>
      </c>
      <c r="O741">
        <v>10</v>
      </c>
      <c r="P741">
        <v>20</v>
      </c>
      <c r="Q741">
        <v>0</v>
      </c>
    </row>
    <row r="742" spans="1:17" x14ac:dyDescent="0.25">
      <c r="B742" t="s">
        <v>158</v>
      </c>
      <c r="C742" t="s">
        <v>417</v>
      </c>
      <c r="D742">
        <v>536</v>
      </c>
      <c r="E742">
        <v>300</v>
      </c>
      <c r="F742" t="s">
        <v>68</v>
      </c>
      <c r="G742" t="s">
        <v>103</v>
      </c>
      <c r="H742" t="s">
        <v>104</v>
      </c>
      <c r="I742" t="s">
        <v>105</v>
      </c>
      <c r="J742">
        <v>0</v>
      </c>
      <c r="K742">
        <v>45343.675810185188</v>
      </c>
      <c r="L742">
        <v>45500</v>
      </c>
      <c r="O742">
        <v>2400</v>
      </c>
      <c r="P742">
        <v>0</v>
      </c>
      <c r="Q742">
        <v>300</v>
      </c>
    </row>
    <row r="743" spans="1:17" x14ac:dyDescent="0.25">
      <c r="B743" t="s">
        <v>158</v>
      </c>
      <c r="C743" t="s">
        <v>417</v>
      </c>
      <c r="D743">
        <v>536</v>
      </c>
      <c r="E743">
        <v>1200</v>
      </c>
      <c r="F743" t="s">
        <v>127</v>
      </c>
      <c r="G743" t="s">
        <v>131</v>
      </c>
      <c r="H743" t="s">
        <v>132</v>
      </c>
      <c r="I743" t="s">
        <v>130</v>
      </c>
      <c r="J743">
        <v>0</v>
      </c>
      <c r="K743">
        <v>45343.675821759258</v>
      </c>
      <c r="L743">
        <v>4700</v>
      </c>
      <c r="O743">
        <v>10</v>
      </c>
      <c r="P743">
        <v>120</v>
      </c>
      <c r="Q743">
        <v>0</v>
      </c>
    </row>
    <row r="744" spans="1:17" x14ac:dyDescent="0.25">
      <c r="B744" t="s">
        <v>158</v>
      </c>
      <c r="C744" t="s">
        <v>244</v>
      </c>
      <c r="D744">
        <v>537</v>
      </c>
      <c r="E744">
        <v>200</v>
      </c>
      <c r="F744" t="s">
        <v>68</v>
      </c>
      <c r="G744" t="s">
        <v>166</v>
      </c>
      <c r="H744" t="s">
        <v>167</v>
      </c>
      <c r="J744">
        <v>0</v>
      </c>
      <c r="K744">
        <v>45343.675844907404</v>
      </c>
      <c r="L744">
        <v>491</v>
      </c>
      <c r="O744">
        <v>4</v>
      </c>
      <c r="P744">
        <v>50</v>
      </c>
      <c r="Q744">
        <v>0</v>
      </c>
    </row>
    <row r="745" spans="1:17" x14ac:dyDescent="0.25">
      <c r="B745" t="s">
        <v>158</v>
      </c>
      <c r="C745" t="s">
        <v>336</v>
      </c>
      <c r="D745">
        <v>538</v>
      </c>
      <c r="E745">
        <v>1000</v>
      </c>
      <c r="F745" t="s">
        <v>68</v>
      </c>
      <c r="G745" t="s">
        <v>107</v>
      </c>
      <c r="H745" t="s">
        <v>108</v>
      </c>
      <c r="I745" t="s">
        <v>105</v>
      </c>
      <c r="J745">
        <v>0</v>
      </c>
      <c r="K745">
        <v>45343.675856481481</v>
      </c>
      <c r="L745">
        <v>21600</v>
      </c>
      <c r="O745">
        <v>1200</v>
      </c>
      <c r="P745">
        <v>0</v>
      </c>
      <c r="Q745">
        <v>1000</v>
      </c>
    </row>
    <row r="746" spans="1:17" x14ac:dyDescent="0.25">
      <c r="B746" t="s">
        <v>158</v>
      </c>
      <c r="C746" t="s">
        <v>336</v>
      </c>
      <c r="D746">
        <v>538</v>
      </c>
      <c r="E746">
        <v>1600</v>
      </c>
      <c r="F746" t="s">
        <v>68</v>
      </c>
      <c r="G746" t="s">
        <v>170</v>
      </c>
      <c r="H746" t="s">
        <v>171</v>
      </c>
      <c r="I746" t="s">
        <v>105</v>
      </c>
      <c r="J746">
        <v>0</v>
      </c>
      <c r="K746">
        <v>45343.675868055558</v>
      </c>
      <c r="L746">
        <v>12600</v>
      </c>
      <c r="O746">
        <v>2400</v>
      </c>
      <c r="P746">
        <v>0</v>
      </c>
      <c r="Q746">
        <v>1600</v>
      </c>
    </row>
    <row r="747" spans="1:17" x14ac:dyDescent="0.25">
      <c r="B747" t="s">
        <v>158</v>
      </c>
      <c r="C747" t="s">
        <v>353</v>
      </c>
      <c r="D747">
        <v>539</v>
      </c>
      <c r="E747">
        <v>20</v>
      </c>
      <c r="F747" t="s">
        <v>68</v>
      </c>
      <c r="G747">
        <v>6800</v>
      </c>
      <c r="H747" t="s">
        <v>150</v>
      </c>
      <c r="I747" t="s">
        <v>144</v>
      </c>
      <c r="J747">
        <v>0</v>
      </c>
      <c r="K747">
        <v>45343.675891203704</v>
      </c>
      <c r="L747">
        <v>164</v>
      </c>
      <c r="O747">
        <v>4</v>
      </c>
      <c r="P747">
        <v>5</v>
      </c>
      <c r="Q747">
        <v>0</v>
      </c>
    </row>
    <row r="748" spans="1:17" x14ac:dyDescent="0.25">
      <c r="B748" t="s">
        <v>158</v>
      </c>
      <c r="C748" t="s">
        <v>353</v>
      </c>
      <c r="D748">
        <v>539</v>
      </c>
      <c r="E748">
        <v>40</v>
      </c>
      <c r="F748" t="s">
        <v>68</v>
      </c>
      <c r="G748">
        <v>6885</v>
      </c>
      <c r="H748" t="s">
        <v>169</v>
      </c>
      <c r="I748" t="s">
        <v>144</v>
      </c>
      <c r="J748">
        <v>0</v>
      </c>
      <c r="K748">
        <v>45343.675902777781</v>
      </c>
      <c r="L748">
        <v>160</v>
      </c>
      <c r="O748">
        <v>100</v>
      </c>
      <c r="P748">
        <v>0</v>
      </c>
      <c r="Q748">
        <v>40</v>
      </c>
    </row>
    <row r="749" spans="1:17" x14ac:dyDescent="0.25">
      <c r="A749" t="s">
        <v>428</v>
      </c>
      <c r="B749" t="s">
        <v>158</v>
      </c>
      <c r="C749" t="s">
        <v>418</v>
      </c>
      <c r="D749">
        <v>540</v>
      </c>
      <c r="E749">
        <v>2000</v>
      </c>
      <c r="F749" t="s">
        <v>68</v>
      </c>
      <c r="G749" t="s">
        <v>146</v>
      </c>
      <c r="H749" t="s">
        <v>147</v>
      </c>
      <c r="I749" t="s">
        <v>144</v>
      </c>
      <c r="J749">
        <v>0</v>
      </c>
      <c r="K749">
        <v>45343.67596064815</v>
      </c>
      <c r="L749">
        <v>23620</v>
      </c>
      <c r="O749">
        <v>440</v>
      </c>
      <c r="P749">
        <v>4</v>
      </c>
      <c r="Q749">
        <v>240.00000000000017</v>
      </c>
    </row>
    <row r="750" spans="1:17" x14ac:dyDescent="0.25">
      <c r="B750" t="s">
        <v>429</v>
      </c>
      <c r="C750" t="s">
        <v>67</v>
      </c>
      <c r="D750" t="s">
        <v>67</v>
      </c>
      <c r="E750">
        <v>400</v>
      </c>
      <c r="F750" t="s">
        <v>68</v>
      </c>
      <c r="G750">
        <v>6885</v>
      </c>
      <c r="H750" t="s">
        <v>169</v>
      </c>
      <c r="I750" t="s">
        <v>144</v>
      </c>
      <c r="J750">
        <v>1</v>
      </c>
      <c r="K750">
        <v>45343.676608796297</v>
      </c>
      <c r="L750">
        <v>560</v>
      </c>
      <c r="M750" t="s">
        <v>430</v>
      </c>
      <c r="O750">
        <v>100</v>
      </c>
      <c r="P750">
        <v>4</v>
      </c>
      <c r="Q750">
        <v>0</v>
      </c>
    </row>
    <row r="751" spans="1:17" x14ac:dyDescent="0.25">
      <c r="B751" t="s">
        <v>431</v>
      </c>
      <c r="C751" t="s">
        <v>67</v>
      </c>
      <c r="D751" t="s">
        <v>67</v>
      </c>
      <c r="E751">
        <v>54</v>
      </c>
      <c r="F751" t="s">
        <v>135</v>
      </c>
      <c r="G751" t="s">
        <v>216</v>
      </c>
      <c r="H751" t="s">
        <v>208</v>
      </c>
      <c r="I751" t="s">
        <v>209</v>
      </c>
      <c r="J751">
        <v>1</v>
      </c>
      <c r="K751">
        <v>45343.684895833336</v>
      </c>
      <c r="L751">
        <v>54</v>
      </c>
      <c r="M751" t="s">
        <v>432</v>
      </c>
      <c r="O751">
        <v>1</v>
      </c>
      <c r="P751">
        <v>54</v>
      </c>
      <c r="Q751">
        <v>0</v>
      </c>
    </row>
    <row r="752" spans="1:17" x14ac:dyDescent="0.25">
      <c r="B752" t="s">
        <v>431</v>
      </c>
      <c r="C752" t="s">
        <v>67</v>
      </c>
      <c r="D752" t="s">
        <v>67</v>
      </c>
      <c r="E752">
        <v>4</v>
      </c>
      <c r="F752" t="s">
        <v>135</v>
      </c>
      <c r="G752" t="s">
        <v>220</v>
      </c>
      <c r="H752" t="s">
        <v>208</v>
      </c>
      <c r="I752" t="s">
        <v>209</v>
      </c>
      <c r="J752">
        <v>1</v>
      </c>
      <c r="K752">
        <v>45343.684988425928</v>
      </c>
      <c r="L752">
        <v>4</v>
      </c>
      <c r="M752" t="s">
        <v>432</v>
      </c>
      <c r="O752">
        <v>1</v>
      </c>
      <c r="P752">
        <v>4</v>
      </c>
      <c r="Q752">
        <v>0</v>
      </c>
    </row>
    <row r="753" spans="2:17" x14ac:dyDescent="0.25">
      <c r="B753" t="s">
        <v>431</v>
      </c>
      <c r="C753" t="s">
        <v>67</v>
      </c>
      <c r="D753" t="s">
        <v>67</v>
      </c>
      <c r="E753">
        <v>58</v>
      </c>
      <c r="F753" t="s">
        <v>135</v>
      </c>
      <c r="G753" t="s">
        <v>64</v>
      </c>
      <c r="H753" t="s">
        <v>208</v>
      </c>
      <c r="I753" t="s">
        <v>209</v>
      </c>
      <c r="J753">
        <v>1</v>
      </c>
      <c r="K753">
        <v>45343.685023148151</v>
      </c>
      <c r="L753">
        <v>58</v>
      </c>
      <c r="M753" t="s">
        <v>432</v>
      </c>
      <c r="O753">
        <v>1</v>
      </c>
      <c r="P753">
        <v>58</v>
      </c>
      <c r="Q753">
        <v>0</v>
      </c>
    </row>
    <row r="754" spans="2:17" x14ac:dyDescent="0.25">
      <c r="B754" t="s">
        <v>431</v>
      </c>
      <c r="C754" t="s">
        <v>67</v>
      </c>
      <c r="D754" t="s">
        <v>67</v>
      </c>
      <c r="E754">
        <v>30</v>
      </c>
      <c r="F754" t="s">
        <v>135</v>
      </c>
      <c r="G754" t="s">
        <v>65</v>
      </c>
      <c r="H754" t="s">
        <v>208</v>
      </c>
      <c r="I754" t="s">
        <v>209</v>
      </c>
      <c r="J754">
        <v>1</v>
      </c>
      <c r="K754">
        <v>45343.685046296298</v>
      </c>
      <c r="L754">
        <v>33</v>
      </c>
      <c r="M754" t="s">
        <v>432</v>
      </c>
      <c r="O754">
        <v>1</v>
      </c>
      <c r="P754">
        <v>30</v>
      </c>
      <c r="Q754">
        <v>0</v>
      </c>
    </row>
    <row r="755" spans="2:17" x14ac:dyDescent="0.25">
      <c r="B755" t="s">
        <v>431</v>
      </c>
      <c r="C755" t="s">
        <v>67</v>
      </c>
      <c r="D755" t="s">
        <v>67</v>
      </c>
      <c r="E755">
        <v>60</v>
      </c>
      <c r="F755" t="s">
        <v>135</v>
      </c>
      <c r="G755" t="s">
        <v>62</v>
      </c>
      <c r="H755" t="s">
        <v>208</v>
      </c>
      <c r="I755" t="s">
        <v>209</v>
      </c>
      <c r="J755">
        <v>1</v>
      </c>
      <c r="K755">
        <v>45343.685081018521</v>
      </c>
      <c r="L755">
        <v>69</v>
      </c>
      <c r="M755" t="s">
        <v>432</v>
      </c>
      <c r="O755">
        <v>1</v>
      </c>
      <c r="P755">
        <v>60</v>
      </c>
      <c r="Q755">
        <v>0</v>
      </c>
    </row>
    <row r="756" spans="2:17" x14ac:dyDescent="0.25">
      <c r="B756" t="s">
        <v>431</v>
      </c>
      <c r="C756" t="s">
        <v>67</v>
      </c>
      <c r="D756" t="s">
        <v>67</v>
      </c>
      <c r="E756">
        <v>4</v>
      </c>
      <c r="F756" t="s">
        <v>135</v>
      </c>
      <c r="G756" t="s">
        <v>228</v>
      </c>
      <c r="H756" t="s">
        <v>208</v>
      </c>
      <c r="I756" t="s">
        <v>209</v>
      </c>
      <c r="J756">
        <v>1</v>
      </c>
      <c r="K756">
        <v>45343.685104166667</v>
      </c>
      <c r="L756">
        <v>4</v>
      </c>
      <c r="M756" t="s">
        <v>432</v>
      </c>
      <c r="O756">
        <v>1</v>
      </c>
      <c r="P756">
        <v>4</v>
      </c>
      <c r="Q756">
        <v>0</v>
      </c>
    </row>
    <row r="757" spans="2:17" x14ac:dyDescent="0.25">
      <c r="B757" t="s">
        <v>431</v>
      </c>
      <c r="C757" t="s">
        <v>67</v>
      </c>
      <c r="D757" t="s">
        <v>67</v>
      </c>
      <c r="E757">
        <v>4</v>
      </c>
      <c r="F757" t="s">
        <v>135</v>
      </c>
      <c r="G757" t="s">
        <v>229</v>
      </c>
      <c r="H757" t="s">
        <v>208</v>
      </c>
      <c r="I757" t="s">
        <v>209</v>
      </c>
      <c r="J757">
        <v>1</v>
      </c>
      <c r="K757">
        <v>45343.685127314813</v>
      </c>
      <c r="L757">
        <v>4</v>
      </c>
      <c r="M757" t="s">
        <v>432</v>
      </c>
      <c r="O757">
        <v>1</v>
      </c>
      <c r="P757">
        <v>4</v>
      </c>
      <c r="Q757">
        <v>0</v>
      </c>
    </row>
    <row r="758" spans="2:17" x14ac:dyDescent="0.25">
      <c r="B758" t="s">
        <v>431</v>
      </c>
      <c r="C758" t="s">
        <v>67</v>
      </c>
      <c r="D758" t="s">
        <v>67</v>
      </c>
      <c r="E758">
        <v>22</v>
      </c>
      <c r="F758" t="s">
        <v>135</v>
      </c>
      <c r="G758" t="s">
        <v>331</v>
      </c>
      <c r="H758" t="s">
        <v>208</v>
      </c>
      <c r="I758" t="s">
        <v>209</v>
      </c>
      <c r="J758">
        <v>1</v>
      </c>
      <c r="K758">
        <v>45343.685162037036</v>
      </c>
      <c r="L758">
        <v>22</v>
      </c>
      <c r="M758" t="s">
        <v>432</v>
      </c>
      <c r="O758">
        <v>1</v>
      </c>
      <c r="P758">
        <v>22</v>
      </c>
      <c r="Q758">
        <v>0</v>
      </c>
    </row>
    <row r="759" spans="2:17" x14ac:dyDescent="0.25">
      <c r="B759" t="s">
        <v>431</v>
      </c>
      <c r="C759" t="s">
        <v>67</v>
      </c>
      <c r="D759" t="s">
        <v>67</v>
      </c>
      <c r="E759">
        <v>4</v>
      </c>
      <c r="F759" t="s">
        <v>135</v>
      </c>
      <c r="G759" t="s">
        <v>63</v>
      </c>
      <c r="H759" t="s">
        <v>208</v>
      </c>
      <c r="I759" t="s">
        <v>209</v>
      </c>
      <c r="J759">
        <v>1</v>
      </c>
      <c r="K759">
        <v>45343.685185185182</v>
      </c>
      <c r="L759">
        <v>4</v>
      </c>
      <c r="M759" t="s">
        <v>432</v>
      </c>
      <c r="O759">
        <v>1</v>
      </c>
      <c r="P759">
        <v>4</v>
      </c>
      <c r="Q759">
        <v>0</v>
      </c>
    </row>
    <row r="760" spans="2:17" x14ac:dyDescent="0.25">
      <c r="B760" t="s">
        <v>433</v>
      </c>
      <c r="C760" t="s">
        <v>67</v>
      </c>
      <c r="D760" t="s">
        <v>67</v>
      </c>
      <c r="E760">
        <v>15000</v>
      </c>
      <c r="F760" t="s">
        <v>68</v>
      </c>
      <c r="G760" t="s">
        <v>121</v>
      </c>
      <c r="H760" t="s">
        <v>122</v>
      </c>
      <c r="I760" t="s">
        <v>105</v>
      </c>
      <c r="J760">
        <v>1</v>
      </c>
      <c r="K760">
        <v>45343.689236111109</v>
      </c>
      <c r="L760">
        <v>34200</v>
      </c>
      <c r="M760" t="s">
        <v>432</v>
      </c>
      <c r="O760">
        <v>3000</v>
      </c>
      <c r="P760">
        <v>5</v>
      </c>
      <c r="Q760">
        <v>0</v>
      </c>
    </row>
    <row r="761" spans="2:17" x14ac:dyDescent="0.25">
      <c r="B761" t="s">
        <v>433</v>
      </c>
      <c r="C761" t="s">
        <v>67</v>
      </c>
      <c r="D761" t="s">
        <v>67</v>
      </c>
      <c r="E761">
        <v>3000</v>
      </c>
      <c r="F761" t="s">
        <v>68</v>
      </c>
      <c r="G761" t="s">
        <v>110</v>
      </c>
      <c r="H761" t="s">
        <v>111</v>
      </c>
      <c r="I761" t="s">
        <v>105</v>
      </c>
      <c r="J761">
        <v>1</v>
      </c>
      <c r="K761">
        <v>45343.689282407409</v>
      </c>
      <c r="L761">
        <v>7800</v>
      </c>
      <c r="M761" t="s">
        <v>432</v>
      </c>
      <c r="O761">
        <v>2400</v>
      </c>
      <c r="P761">
        <v>1</v>
      </c>
      <c r="Q761">
        <v>600</v>
      </c>
    </row>
    <row r="762" spans="2:17" x14ac:dyDescent="0.25">
      <c r="B762" t="s">
        <v>434</v>
      </c>
      <c r="C762" t="s">
        <v>435</v>
      </c>
      <c r="D762" t="s">
        <v>67</v>
      </c>
      <c r="E762">
        <v>0</v>
      </c>
      <c r="F762" t="s">
        <v>127</v>
      </c>
      <c r="G762" t="s">
        <v>131</v>
      </c>
      <c r="H762" t="s">
        <v>132</v>
      </c>
      <c r="I762" t="s">
        <v>130</v>
      </c>
      <c r="J762">
        <v>0</v>
      </c>
      <c r="K762">
        <v>45343.731342592589</v>
      </c>
      <c r="L762">
        <v>4700</v>
      </c>
      <c r="O762">
        <v>10</v>
      </c>
      <c r="P762">
        <v>0</v>
      </c>
      <c r="Q762">
        <v>0</v>
      </c>
    </row>
    <row r="763" spans="2:17" x14ac:dyDescent="0.25">
      <c r="B763" t="s">
        <v>434</v>
      </c>
      <c r="C763" t="s">
        <v>436</v>
      </c>
      <c r="D763" t="s">
        <v>67</v>
      </c>
      <c r="E763">
        <v>0</v>
      </c>
      <c r="F763" t="s">
        <v>127</v>
      </c>
      <c r="G763" t="s">
        <v>133</v>
      </c>
      <c r="H763" t="s">
        <v>134</v>
      </c>
      <c r="I763" t="s">
        <v>130</v>
      </c>
      <c r="J763">
        <v>0</v>
      </c>
      <c r="K763">
        <v>45343.731377314813</v>
      </c>
      <c r="L763">
        <v>265</v>
      </c>
      <c r="O763">
        <v>10</v>
      </c>
      <c r="P763">
        <v>0</v>
      </c>
      <c r="Q763">
        <v>0</v>
      </c>
    </row>
    <row r="764" spans="2:17" x14ac:dyDescent="0.25">
      <c r="B764" t="s">
        <v>434</v>
      </c>
      <c r="C764" t="s">
        <v>437</v>
      </c>
      <c r="D764" t="s">
        <v>67</v>
      </c>
      <c r="E764">
        <v>0</v>
      </c>
      <c r="F764" t="s">
        <v>127</v>
      </c>
      <c r="G764" t="s">
        <v>128</v>
      </c>
      <c r="H764" t="s">
        <v>134</v>
      </c>
      <c r="I764" t="s">
        <v>130</v>
      </c>
      <c r="J764">
        <v>0</v>
      </c>
      <c r="K764">
        <v>45344.731377256947</v>
      </c>
      <c r="L764">
        <v>266</v>
      </c>
    </row>
    <row r="765" spans="2:17" x14ac:dyDescent="0.25">
      <c r="B765" t="s">
        <v>293</v>
      </c>
      <c r="C765" t="s">
        <v>403</v>
      </c>
      <c r="D765">
        <v>542</v>
      </c>
      <c r="E765">
        <v>20</v>
      </c>
      <c r="F765" t="s">
        <v>135</v>
      </c>
      <c r="G765" t="s">
        <v>62</v>
      </c>
      <c r="H765" t="s">
        <v>208</v>
      </c>
      <c r="I765" t="s">
        <v>209</v>
      </c>
      <c r="J765">
        <v>0</v>
      </c>
      <c r="K765">
        <v>45344.378125000003</v>
      </c>
      <c r="L765">
        <v>49</v>
      </c>
      <c r="O765">
        <v>1</v>
      </c>
      <c r="P765">
        <v>20</v>
      </c>
      <c r="Q765">
        <v>0</v>
      </c>
    </row>
    <row r="766" spans="2:17" x14ac:dyDescent="0.25">
      <c r="B766" t="s">
        <v>293</v>
      </c>
      <c r="C766" t="s">
        <v>403</v>
      </c>
      <c r="D766">
        <v>542</v>
      </c>
      <c r="E766">
        <v>15</v>
      </c>
      <c r="F766" t="s">
        <v>135</v>
      </c>
      <c r="G766" t="s">
        <v>216</v>
      </c>
      <c r="H766" t="s">
        <v>208</v>
      </c>
      <c r="I766" t="s">
        <v>209</v>
      </c>
      <c r="J766">
        <v>0</v>
      </c>
      <c r="K766">
        <v>45344.378159722219</v>
      </c>
      <c r="L766">
        <v>39</v>
      </c>
      <c r="O766">
        <v>1</v>
      </c>
      <c r="P766">
        <v>15</v>
      </c>
      <c r="Q766">
        <v>0</v>
      </c>
    </row>
    <row r="767" spans="2:17" x14ac:dyDescent="0.25">
      <c r="B767" t="s">
        <v>293</v>
      </c>
      <c r="C767" t="s">
        <v>403</v>
      </c>
      <c r="D767">
        <v>542</v>
      </c>
      <c r="E767">
        <v>30</v>
      </c>
      <c r="F767" t="s">
        <v>135</v>
      </c>
      <c r="G767" t="s">
        <v>64</v>
      </c>
      <c r="H767" t="s">
        <v>208</v>
      </c>
      <c r="I767" t="s">
        <v>209</v>
      </c>
      <c r="J767">
        <v>0</v>
      </c>
      <c r="K767">
        <v>45344.378171296295</v>
      </c>
      <c r="L767">
        <v>28</v>
      </c>
      <c r="O767">
        <v>1</v>
      </c>
      <c r="P767">
        <v>30</v>
      </c>
      <c r="Q767">
        <v>0</v>
      </c>
    </row>
    <row r="768" spans="2:17" x14ac:dyDescent="0.25">
      <c r="B768" t="s">
        <v>293</v>
      </c>
      <c r="C768" t="s">
        <v>403</v>
      </c>
      <c r="D768">
        <v>542</v>
      </c>
      <c r="E768">
        <v>12</v>
      </c>
      <c r="F768" t="s">
        <v>135</v>
      </c>
      <c r="G768" t="s">
        <v>331</v>
      </c>
      <c r="H768" t="s">
        <v>208</v>
      </c>
      <c r="I768" t="s">
        <v>209</v>
      </c>
      <c r="J768">
        <v>0</v>
      </c>
      <c r="K768">
        <v>45344.378182870372</v>
      </c>
      <c r="L768">
        <v>10</v>
      </c>
      <c r="O768">
        <v>1</v>
      </c>
      <c r="P768">
        <v>12</v>
      </c>
      <c r="Q768">
        <v>0</v>
      </c>
    </row>
    <row r="769" spans="2:17" x14ac:dyDescent="0.25">
      <c r="B769" t="s">
        <v>293</v>
      </c>
      <c r="C769" t="s">
        <v>403</v>
      </c>
      <c r="D769">
        <v>542</v>
      </c>
      <c r="E769">
        <v>5</v>
      </c>
      <c r="F769" t="s">
        <v>135</v>
      </c>
      <c r="G769" t="s">
        <v>65</v>
      </c>
      <c r="H769" t="s">
        <v>208</v>
      </c>
      <c r="I769" t="s">
        <v>209</v>
      </c>
      <c r="J769">
        <v>0</v>
      </c>
      <c r="K769">
        <v>45344.378194444442</v>
      </c>
      <c r="L769">
        <v>28</v>
      </c>
      <c r="O769">
        <v>1</v>
      </c>
      <c r="P769">
        <v>5</v>
      </c>
      <c r="Q769">
        <v>0</v>
      </c>
    </row>
    <row r="770" spans="2:17" x14ac:dyDescent="0.25">
      <c r="B770" t="s">
        <v>293</v>
      </c>
      <c r="C770" t="s">
        <v>403</v>
      </c>
      <c r="D770">
        <v>542</v>
      </c>
      <c r="E770">
        <v>2</v>
      </c>
      <c r="F770" t="s">
        <v>135</v>
      </c>
      <c r="G770" t="s">
        <v>220</v>
      </c>
      <c r="H770" t="s">
        <v>208</v>
      </c>
      <c r="I770" t="s">
        <v>209</v>
      </c>
      <c r="J770">
        <v>0</v>
      </c>
      <c r="K770">
        <v>45344.378217592595</v>
      </c>
      <c r="L770">
        <v>2</v>
      </c>
      <c r="O770">
        <v>1</v>
      </c>
      <c r="P770">
        <v>2</v>
      </c>
      <c r="Q770">
        <v>0</v>
      </c>
    </row>
    <row r="771" spans="2:17" x14ac:dyDescent="0.25">
      <c r="B771" t="s">
        <v>293</v>
      </c>
      <c r="C771" t="s">
        <v>403</v>
      </c>
      <c r="D771">
        <v>542</v>
      </c>
      <c r="E771">
        <v>2</v>
      </c>
      <c r="F771" t="s">
        <v>135</v>
      </c>
      <c r="G771" t="s">
        <v>63</v>
      </c>
      <c r="H771" t="s">
        <v>208</v>
      </c>
      <c r="I771" t="s">
        <v>209</v>
      </c>
      <c r="J771">
        <v>0</v>
      </c>
      <c r="K771">
        <v>45344.378229166665</v>
      </c>
      <c r="L771">
        <v>2</v>
      </c>
      <c r="O771">
        <v>1</v>
      </c>
      <c r="P771">
        <v>2</v>
      </c>
      <c r="Q771">
        <v>0</v>
      </c>
    </row>
    <row r="772" spans="2:17" x14ac:dyDescent="0.25">
      <c r="B772" t="s">
        <v>293</v>
      </c>
      <c r="C772" t="s">
        <v>403</v>
      </c>
      <c r="D772">
        <v>542</v>
      </c>
      <c r="E772">
        <v>2</v>
      </c>
      <c r="F772" t="s">
        <v>135</v>
      </c>
      <c r="G772" t="s">
        <v>228</v>
      </c>
      <c r="H772" t="s">
        <v>208</v>
      </c>
      <c r="I772" t="s">
        <v>209</v>
      </c>
      <c r="J772">
        <v>0</v>
      </c>
      <c r="K772">
        <v>45344.378240740742</v>
      </c>
      <c r="L772">
        <v>2</v>
      </c>
      <c r="O772">
        <v>1</v>
      </c>
      <c r="P772">
        <v>2</v>
      </c>
      <c r="Q772">
        <v>0</v>
      </c>
    </row>
    <row r="773" spans="2:17" x14ac:dyDescent="0.25">
      <c r="B773" t="s">
        <v>293</v>
      </c>
      <c r="C773" t="s">
        <v>356</v>
      </c>
      <c r="D773">
        <v>543</v>
      </c>
      <c r="E773">
        <v>250</v>
      </c>
      <c r="F773" t="s">
        <v>68</v>
      </c>
      <c r="G773" t="s">
        <v>155</v>
      </c>
      <c r="H773" t="s">
        <v>156</v>
      </c>
      <c r="J773">
        <v>0</v>
      </c>
      <c r="K773">
        <v>45344.378252314818</v>
      </c>
      <c r="L773">
        <v>1852</v>
      </c>
      <c r="O773">
        <v>24</v>
      </c>
      <c r="P773">
        <v>10</v>
      </c>
      <c r="Q773">
        <v>9.9999999999999858</v>
      </c>
    </row>
    <row r="774" spans="2:17" x14ac:dyDescent="0.25">
      <c r="B774" t="s">
        <v>293</v>
      </c>
      <c r="C774" t="s">
        <v>410</v>
      </c>
      <c r="D774">
        <v>544</v>
      </c>
      <c r="E774">
        <v>10000</v>
      </c>
      <c r="F774" t="s">
        <v>68</v>
      </c>
      <c r="G774" t="s">
        <v>107</v>
      </c>
      <c r="H774" t="s">
        <v>108</v>
      </c>
      <c r="I774" t="s">
        <v>105</v>
      </c>
      <c r="J774">
        <v>0</v>
      </c>
      <c r="K774">
        <v>45344.378321759257</v>
      </c>
      <c r="L774">
        <v>11600</v>
      </c>
      <c r="O774">
        <v>1200</v>
      </c>
      <c r="P774">
        <v>8</v>
      </c>
      <c r="Q774">
        <v>400.00000000000068</v>
      </c>
    </row>
    <row r="775" spans="2:17" x14ac:dyDescent="0.25">
      <c r="B775" t="s">
        <v>293</v>
      </c>
      <c r="C775" t="s">
        <v>364</v>
      </c>
      <c r="D775">
        <v>545</v>
      </c>
      <c r="E775">
        <v>200</v>
      </c>
      <c r="F775" t="s">
        <v>68</v>
      </c>
      <c r="G775" t="s">
        <v>151</v>
      </c>
      <c r="H775" t="s">
        <v>152</v>
      </c>
      <c r="I775" t="s">
        <v>105</v>
      </c>
      <c r="J775">
        <v>0</v>
      </c>
      <c r="K775">
        <v>45344.378333333334</v>
      </c>
      <c r="L775">
        <v>786</v>
      </c>
      <c r="O775">
        <v>200</v>
      </c>
      <c r="P775">
        <v>1</v>
      </c>
      <c r="Q775">
        <v>0</v>
      </c>
    </row>
    <row r="776" spans="2:17" x14ac:dyDescent="0.25">
      <c r="B776" t="s">
        <v>293</v>
      </c>
      <c r="C776" t="s">
        <v>423</v>
      </c>
      <c r="D776">
        <v>546</v>
      </c>
      <c r="E776">
        <v>750</v>
      </c>
      <c r="F776" t="s">
        <v>68</v>
      </c>
      <c r="G776" t="s">
        <v>115</v>
      </c>
      <c r="H776" t="s">
        <v>116</v>
      </c>
      <c r="I776" t="s">
        <v>105</v>
      </c>
      <c r="J776">
        <v>0</v>
      </c>
      <c r="K776">
        <v>45344.378344907411</v>
      </c>
      <c r="L776">
        <v>11800</v>
      </c>
      <c r="O776">
        <v>1200</v>
      </c>
      <c r="P776">
        <v>0</v>
      </c>
      <c r="Q776">
        <v>750</v>
      </c>
    </row>
    <row r="777" spans="2:17" x14ac:dyDescent="0.25">
      <c r="B777" t="s">
        <v>293</v>
      </c>
      <c r="C777" t="s">
        <v>413</v>
      </c>
      <c r="D777">
        <v>547</v>
      </c>
      <c r="E777">
        <v>240</v>
      </c>
      <c r="F777" t="s">
        <v>68</v>
      </c>
      <c r="G777" t="s">
        <v>163</v>
      </c>
      <c r="H777" t="s">
        <v>164</v>
      </c>
      <c r="I777" t="s">
        <v>165</v>
      </c>
      <c r="J777">
        <v>0</v>
      </c>
      <c r="K777">
        <v>45344.378368055557</v>
      </c>
      <c r="L777">
        <v>-246</v>
      </c>
      <c r="O777">
        <v>300</v>
      </c>
      <c r="P777">
        <v>0</v>
      </c>
      <c r="Q777">
        <v>240</v>
      </c>
    </row>
    <row r="778" spans="2:17" x14ac:dyDescent="0.25">
      <c r="B778" t="s">
        <v>158</v>
      </c>
      <c r="C778" t="s">
        <v>417</v>
      </c>
      <c r="D778">
        <v>548</v>
      </c>
      <c r="E778">
        <v>40</v>
      </c>
      <c r="F778" t="s">
        <v>127</v>
      </c>
      <c r="G778" t="s">
        <v>131</v>
      </c>
      <c r="H778" t="s">
        <v>132</v>
      </c>
      <c r="I778" t="s">
        <v>130</v>
      </c>
      <c r="J778">
        <v>0</v>
      </c>
      <c r="K778">
        <v>45345.714942129627</v>
      </c>
      <c r="L778">
        <v>4660</v>
      </c>
      <c r="O778">
        <v>10</v>
      </c>
      <c r="P778">
        <v>4</v>
      </c>
      <c r="Q778">
        <v>0</v>
      </c>
    </row>
    <row r="779" spans="2:17" x14ac:dyDescent="0.25">
      <c r="B779" t="s">
        <v>158</v>
      </c>
      <c r="C779" t="s">
        <v>417</v>
      </c>
      <c r="D779">
        <v>548</v>
      </c>
      <c r="E779">
        <v>20</v>
      </c>
      <c r="F779" t="s">
        <v>127</v>
      </c>
      <c r="G779" t="s">
        <v>133</v>
      </c>
      <c r="H779" t="s">
        <v>134</v>
      </c>
      <c r="I779" t="s">
        <v>130</v>
      </c>
      <c r="J779">
        <v>0</v>
      </c>
      <c r="K779">
        <v>45345.714965277781</v>
      </c>
      <c r="L779">
        <v>245</v>
      </c>
      <c r="O779">
        <v>10</v>
      </c>
      <c r="P779">
        <v>2</v>
      </c>
      <c r="Q779">
        <v>0</v>
      </c>
    </row>
    <row r="780" spans="2:17" x14ac:dyDescent="0.25">
      <c r="B780" t="s">
        <v>158</v>
      </c>
      <c r="C780" t="s">
        <v>411</v>
      </c>
      <c r="D780">
        <v>549</v>
      </c>
      <c r="E780">
        <v>200</v>
      </c>
      <c r="F780" t="s">
        <v>68</v>
      </c>
      <c r="G780" t="s">
        <v>142</v>
      </c>
      <c r="H780" t="s">
        <v>143</v>
      </c>
      <c r="I780" t="s">
        <v>144</v>
      </c>
      <c r="J780">
        <v>0</v>
      </c>
      <c r="K780">
        <v>45345.71497685185</v>
      </c>
      <c r="L780">
        <v>6888</v>
      </c>
      <c r="O780">
        <v>24</v>
      </c>
      <c r="P780">
        <v>8</v>
      </c>
      <c r="Q780">
        <v>8.0000000000000142</v>
      </c>
    </row>
    <row r="781" spans="2:17" x14ac:dyDescent="0.25">
      <c r="B781" t="s">
        <v>158</v>
      </c>
      <c r="C781" t="s">
        <v>338</v>
      </c>
      <c r="D781">
        <v>550</v>
      </c>
      <c r="E781">
        <v>1000</v>
      </c>
      <c r="F781" t="s">
        <v>68</v>
      </c>
      <c r="G781" t="s">
        <v>163</v>
      </c>
      <c r="H781" t="s">
        <v>164</v>
      </c>
      <c r="I781" t="s">
        <v>165</v>
      </c>
      <c r="J781">
        <v>0</v>
      </c>
      <c r="K781">
        <v>45345.71497685185</v>
      </c>
      <c r="L781">
        <v>-1246</v>
      </c>
      <c r="O781">
        <v>300</v>
      </c>
      <c r="P781">
        <v>3</v>
      </c>
      <c r="Q781">
        <v>100.00000000000004</v>
      </c>
    </row>
    <row r="782" spans="2:17" x14ac:dyDescent="0.25">
      <c r="B782" t="s">
        <v>158</v>
      </c>
      <c r="C782" t="s">
        <v>473</v>
      </c>
      <c r="D782">
        <v>551</v>
      </c>
      <c r="E782">
        <v>500</v>
      </c>
      <c r="F782" t="s">
        <v>135</v>
      </c>
      <c r="G782" t="s">
        <v>141</v>
      </c>
      <c r="H782" t="s">
        <v>137</v>
      </c>
      <c r="I782" t="s">
        <v>138</v>
      </c>
      <c r="J782">
        <v>0</v>
      </c>
      <c r="K782">
        <v>45345.714999999997</v>
      </c>
      <c r="L782">
        <v>1368</v>
      </c>
      <c r="O782">
        <v>144</v>
      </c>
      <c r="P782">
        <v>3</v>
      </c>
      <c r="Q782">
        <v>68.000000000000014</v>
      </c>
    </row>
    <row r="783" spans="2:17" x14ac:dyDescent="0.25">
      <c r="B783" t="s">
        <v>293</v>
      </c>
      <c r="C783" t="s">
        <v>412</v>
      </c>
      <c r="D783">
        <v>552</v>
      </c>
      <c r="E783">
        <v>50</v>
      </c>
      <c r="F783" t="s">
        <v>68</v>
      </c>
      <c r="G783" t="s">
        <v>157</v>
      </c>
      <c r="H783" t="s">
        <v>156</v>
      </c>
      <c r="J783">
        <v>0</v>
      </c>
      <c r="K783">
        <v>45348.563460648147</v>
      </c>
      <c r="L783">
        <v>1118</v>
      </c>
      <c r="O783">
        <v>12</v>
      </c>
      <c r="P783">
        <v>4</v>
      </c>
      <c r="Q783">
        <v>2.0000000000000036</v>
      </c>
    </row>
    <row r="784" spans="2:17" x14ac:dyDescent="0.25">
      <c r="B784" t="s">
        <v>293</v>
      </c>
      <c r="C784" t="s">
        <v>247</v>
      </c>
      <c r="D784">
        <v>553</v>
      </c>
      <c r="E784">
        <v>3000</v>
      </c>
      <c r="F784" t="s">
        <v>68</v>
      </c>
      <c r="G784" t="s">
        <v>121</v>
      </c>
      <c r="H784" t="s">
        <v>122</v>
      </c>
      <c r="I784" t="s">
        <v>105</v>
      </c>
      <c r="J784">
        <v>0</v>
      </c>
      <c r="K784">
        <v>45348.56349537037</v>
      </c>
      <c r="L784">
        <v>31200</v>
      </c>
      <c r="O784">
        <v>3000</v>
      </c>
      <c r="P784">
        <v>1</v>
      </c>
      <c r="Q784">
        <v>0</v>
      </c>
    </row>
    <row r="785" spans="2:17" x14ac:dyDescent="0.25">
      <c r="B785" t="s">
        <v>293</v>
      </c>
      <c r="C785" t="s">
        <v>311</v>
      </c>
      <c r="D785">
        <v>554</v>
      </c>
      <c r="E785">
        <v>2000</v>
      </c>
      <c r="F785" t="s">
        <v>68</v>
      </c>
      <c r="G785" t="s">
        <v>179</v>
      </c>
      <c r="H785" t="s">
        <v>180</v>
      </c>
      <c r="I785" t="s">
        <v>144</v>
      </c>
      <c r="J785">
        <v>0</v>
      </c>
      <c r="K785">
        <v>45348.563530092593</v>
      </c>
      <c r="L785">
        <v>-2000</v>
      </c>
      <c r="O785">
        <v>2000</v>
      </c>
      <c r="P785">
        <v>1</v>
      </c>
      <c r="Q785">
        <v>0</v>
      </c>
    </row>
    <row r="786" spans="2:17" x14ac:dyDescent="0.25">
      <c r="B786" t="s">
        <v>293</v>
      </c>
      <c r="C786" t="s">
        <v>474</v>
      </c>
      <c r="D786">
        <v>555</v>
      </c>
      <c r="E786">
        <v>20</v>
      </c>
      <c r="F786" t="s">
        <v>68</v>
      </c>
      <c r="G786">
        <v>111023</v>
      </c>
      <c r="H786" t="s">
        <v>233</v>
      </c>
      <c r="I786" t="s">
        <v>234</v>
      </c>
      <c r="J786">
        <v>0</v>
      </c>
      <c r="K786">
        <v>45348.563622685186</v>
      </c>
      <c r="L786">
        <v>0</v>
      </c>
      <c r="O786">
        <v>1</v>
      </c>
      <c r="P786">
        <v>20</v>
      </c>
      <c r="Q786">
        <v>0</v>
      </c>
    </row>
    <row r="787" spans="2:17" x14ac:dyDescent="0.25">
      <c r="B787" t="s">
        <v>293</v>
      </c>
      <c r="C787" t="s">
        <v>376</v>
      </c>
      <c r="D787">
        <v>556</v>
      </c>
      <c r="E787">
        <v>170</v>
      </c>
      <c r="F787" t="s">
        <v>127</v>
      </c>
      <c r="G787" t="s">
        <v>131</v>
      </c>
      <c r="H787" t="s">
        <v>132</v>
      </c>
      <c r="I787" t="s">
        <v>130</v>
      </c>
      <c r="J787">
        <v>0</v>
      </c>
      <c r="K787">
        <v>45348.563692129632</v>
      </c>
      <c r="L787">
        <v>4490</v>
      </c>
      <c r="O787">
        <v>10</v>
      </c>
      <c r="P787">
        <v>17</v>
      </c>
      <c r="Q787">
        <v>0</v>
      </c>
    </row>
    <row r="788" spans="2:17" x14ac:dyDescent="0.25">
      <c r="B788" t="s">
        <v>438</v>
      </c>
      <c r="C788" t="s">
        <v>67</v>
      </c>
      <c r="D788" t="s">
        <v>67</v>
      </c>
      <c r="E788">
        <v>10000</v>
      </c>
      <c r="F788" t="s">
        <v>68</v>
      </c>
      <c r="G788" t="s">
        <v>179</v>
      </c>
      <c r="H788" t="s">
        <v>180</v>
      </c>
      <c r="I788" t="s">
        <v>144</v>
      </c>
      <c r="J788">
        <v>1</v>
      </c>
      <c r="K788">
        <v>45348.5705787037</v>
      </c>
      <c r="L788">
        <v>8000</v>
      </c>
      <c r="M788" t="s">
        <v>439</v>
      </c>
      <c r="O788">
        <v>2000</v>
      </c>
      <c r="P788">
        <v>5</v>
      </c>
      <c r="Q788">
        <v>0</v>
      </c>
    </row>
    <row r="789" spans="2:17" x14ac:dyDescent="0.25">
      <c r="B789" t="s">
        <v>440</v>
      </c>
      <c r="C789" t="s">
        <v>67</v>
      </c>
      <c r="D789" t="s">
        <v>67</v>
      </c>
      <c r="E789">
        <v>14000</v>
      </c>
      <c r="F789" t="s">
        <v>68</v>
      </c>
      <c r="G789" t="s">
        <v>179</v>
      </c>
      <c r="H789" t="s">
        <v>180</v>
      </c>
      <c r="I789" t="s">
        <v>144</v>
      </c>
      <c r="J789">
        <v>1</v>
      </c>
      <c r="K789">
        <v>45348.571747685186</v>
      </c>
      <c r="L789">
        <v>22000</v>
      </c>
      <c r="M789" t="s">
        <v>439</v>
      </c>
      <c r="O789">
        <v>2000</v>
      </c>
      <c r="P789">
        <v>7</v>
      </c>
      <c r="Q789">
        <v>0</v>
      </c>
    </row>
    <row r="790" spans="2:17" x14ac:dyDescent="0.25">
      <c r="B790" t="s">
        <v>441</v>
      </c>
      <c r="C790" t="s">
        <v>67</v>
      </c>
      <c r="D790" t="s">
        <v>67</v>
      </c>
      <c r="E790">
        <v>8000</v>
      </c>
      <c r="F790" t="s">
        <v>68</v>
      </c>
      <c r="G790" t="s">
        <v>179</v>
      </c>
      <c r="H790" t="s">
        <v>180</v>
      </c>
      <c r="I790" t="s">
        <v>144</v>
      </c>
      <c r="J790">
        <v>1</v>
      </c>
      <c r="K790">
        <v>45348.572233796294</v>
      </c>
      <c r="L790">
        <v>30000</v>
      </c>
      <c r="M790" t="s">
        <v>439</v>
      </c>
      <c r="O790">
        <v>2000</v>
      </c>
      <c r="P790">
        <v>4</v>
      </c>
      <c r="Q790">
        <v>0</v>
      </c>
    </row>
    <row r="791" spans="2:17" x14ac:dyDescent="0.25">
      <c r="B791" t="s">
        <v>442</v>
      </c>
      <c r="C791" t="s">
        <v>67</v>
      </c>
      <c r="D791" t="s">
        <v>67</v>
      </c>
      <c r="E791">
        <v>40</v>
      </c>
      <c r="F791" t="s">
        <v>135</v>
      </c>
      <c r="G791" t="s">
        <v>350</v>
      </c>
      <c r="H791" t="s">
        <v>208</v>
      </c>
      <c r="I791" t="s">
        <v>209</v>
      </c>
      <c r="J791">
        <v>1</v>
      </c>
      <c r="K791">
        <v>45348.57980324074</v>
      </c>
      <c r="L791">
        <v>76</v>
      </c>
      <c r="M791" t="s">
        <v>439</v>
      </c>
      <c r="O791">
        <v>1</v>
      </c>
      <c r="P791">
        <v>40</v>
      </c>
      <c r="Q791">
        <v>0</v>
      </c>
    </row>
    <row r="792" spans="2:17" x14ac:dyDescent="0.25">
      <c r="B792" t="s">
        <v>442</v>
      </c>
      <c r="C792" t="s">
        <v>67</v>
      </c>
      <c r="D792" t="s">
        <v>67</v>
      </c>
      <c r="E792">
        <v>44</v>
      </c>
      <c r="F792" t="s">
        <v>135</v>
      </c>
      <c r="G792" t="s">
        <v>331</v>
      </c>
      <c r="H792" t="s">
        <v>208</v>
      </c>
      <c r="I792" t="s">
        <v>209</v>
      </c>
      <c r="J792">
        <v>1</v>
      </c>
      <c r="K792">
        <v>45348.579942129632</v>
      </c>
      <c r="L792">
        <v>54</v>
      </c>
      <c r="M792" t="s">
        <v>439</v>
      </c>
      <c r="O792">
        <v>1</v>
      </c>
      <c r="P792">
        <v>44</v>
      </c>
      <c r="Q792">
        <v>0</v>
      </c>
    </row>
    <row r="793" spans="2:17" x14ac:dyDescent="0.25">
      <c r="B793" t="s">
        <v>442</v>
      </c>
      <c r="C793" t="s">
        <v>67</v>
      </c>
      <c r="D793" t="s">
        <v>67</v>
      </c>
      <c r="E793">
        <v>40</v>
      </c>
      <c r="F793" t="s">
        <v>135</v>
      </c>
      <c r="G793" t="s">
        <v>227</v>
      </c>
      <c r="H793" t="s">
        <v>208</v>
      </c>
      <c r="I793" t="s">
        <v>209</v>
      </c>
      <c r="J793">
        <v>1</v>
      </c>
      <c r="K793">
        <v>45348.58</v>
      </c>
      <c r="L793">
        <v>70</v>
      </c>
      <c r="M793" t="s">
        <v>439</v>
      </c>
      <c r="O793">
        <v>1</v>
      </c>
      <c r="P793">
        <v>40</v>
      </c>
      <c r="Q793">
        <v>0</v>
      </c>
    </row>
    <row r="794" spans="2:17" x14ac:dyDescent="0.25">
      <c r="B794" t="s">
        <v>442</v>
      </c>
      <c r="C794" t="s">
        <v>67</v>
      </c>
      <c r="D794" t="s">
        <v>67</v>
      </c>
      <c r="E794">
        <v>26</v>
      </c>
      <c r="F794" t="s">
        <v>135</v>
      </c>
      <c r="G794" t="s">
        <v>216</v>
      </c>
      <c r="H794" t="s">
        <v>208</v>
      </c>
      <c r="I794" t="s">
        <v>209</v>
      </c>
      <c r="J794">
        <v>1</v>
      </c>
      <c r="K794">
        <v>45348.580046296294</v>
      </c>
      <c r="L794">
        <v>65</v>
      </c>
      <c r="M794" t="s">
        <v>439</v>
      </c>
      <c r="O794">
        <v>1</v>
      </c>
      <c r="P794">
        <v>26</v>
      </c>
      <c r="Q794">
        <v>0</v>
      </c>
    </row>
    <row r="795" spans="2:17" x14ac:dyDescent="0.25">
      <c r="B795" t="s">
        <v>442</v>
      </c>
      <c r="C795" t="s">
        <v>67</v>
      </c>
      <c r="D795" t="s">
        <v>67</v>
      </c>
      <c r="E795">
        <v>4</v>
      </c>
      <c r="F795" t="s">
        <v>135</v>
      </c>
      <c r="G795" t="s">
        <v>230</v>
      </c>
      <c r="H795" t="s">
        <v>208</v>
      </c>
      <c r="I795" t="s">
        <v>209</v>
      </c>
      <c r="J795">
        <v>1</v>
      </c>
      <c r="K795">
        <v>45348.580104166664</v>
      </c>
      <c r="L795">
        <v>4</v>
      </c>
      <c r="M795" t="s">
        <v>439</v>
      </c>
      <c r="O795">
        <v>1</v>
      </c>
      <c r="P795">
        <v>4</v>
      </c>
      <c r="Q795">
        <v>0</v>
      </c>
    </row>
    <row r="796" spans="2:17" x14ac:dyDescent="0.25">
      <c r="B796" t="s">
        <v>442</v>
      </c>
      <c r="C796" t="s">
        <v>67</v>
      </c>
      <c r="D796" t="s">
        <v>67</v>
      </c>
      <c r="E796">
        <v>28</v>
      </c>
      <c r="F796" t="s">
        <v>135</v>
      </c>
      <c r="G796" t="s">
        <v>64</v>
      </c>
      <c r="H796" t="s">
        <v>208</v>
      </c>
      <c r="I796" t="s">
        <v>209</v>
      </c>
      <c r="J796">
        <v>1</v>
      </c>
      <c r="K796">
        <v>45348.580150462964</v>
      </c>
      <c r="L796">
        <v>56</v>
      </c>
      <c r="M796" t="s">
        <v>439</v>
      </c>
      <c r="O796">
        <v>1</v>
      </c>
      <c r="P796">
        <v>28</v>
      </c>
      <c r="Q796">
        <v>0</v>
      </c>
    </row>
    <row r="797" spans="2:17" x14ac:dyDescent="0.25">
      <c r="B797" t="s">
        <v>442</v>
      </c>
      <c r="C797" t="s">
        <v>67</v>
      </c>
      <c r="D797" t="s">
        <v>67</v>
      </c>
      <c r="E797">
        <v>10</v>
      </c>
      <c r="F797" t="s">
        <v>135</v>
      </c>
      <c r="G797" t="s">
        <v>65</v>
      </c>
      <c r="H797" t="s">
        <v>208</v>
      </c>
      <c r="I797" t="s">
        <v>209</v>
      </c>
      <c r="J797">
        <v>1</v>
      </c>
      <c r="K797">
        <v>45348.580208333333</v>
      </c>
      <c r="L797">
        <v>38</v>
      </c>
      <c r="M797" t="s">
        <v>439</v>
      </c>
      <c r="O797">
        <v>1</v>
      </c>
      <c r="P797">
        <v>10</v>
      </c>
      <c r="Q797">
        <v>0</v>
      </c>
    </row>
    <row r="798" spans="2:17" x14ac:dyDescent="0.25">
      <c r="B798" t="s">
        <v>158</v>
      </c>
      <c r="C798" t="s">
        <v>353</v>
      </c>
      <c r="D798">
        <v>557</v>
      </c>
      <c r="E798">
        <v>40</v>
      </c>
      <c r="F798" t="s">
        <v>68</v>
      </c>
      <c r="G798">
        <v>6885</v>
      </c>
      <c r="H798" t="s">
        <v>169</v>
      </c>
      <c r="I798" t="s">
        <v>144</v>
      </c>
      <c r="J798">
        <v>0</v>
      </c>
      <c r="K798">
        <v>45349.692291666666</v>
      </c>
      <c r="L798">
        <v>520</v>
      </c>
      <c r="O798">
        <v>100</v>
      </c>
      <c r="P798">
        <v>0</v>
      </c>
      <c r="Q798">
        <v>40</v>
      </c>
    </row>
    <row r="799" spans="2:17" x14ac:dyDescent="0.25">
      <c r="B799" t="s">
        <v>158</v>
      </c>
      <c r="C799" t="s">
        <v>353</v>
      </c>
      <c r="D799">
        <v>557</v>
      </c>
      <c r="E799">
        <v>30</v>
      </c>
      <c r="F799" t="s">
        <v>68</v>
      </c>
      <c r="G799">
        <v>6800</v>
      </c>
      <c r="H799" t="s">
        <v>150</v>
      </c>
      <c r="I799" t="s">
        <v>144</v>
      </c>
      <c r="J799">
        <v>0</v>
      </c>
      <c r="K799">
        <v>45349.692395833335</v>
      </c>
      <c r="L799">
        <v>134</v>
      </c>
      <c r="O799">
        <v>4</v>
      </c>
      <c r="P799">
        <v>7</v>
      </c>
      <c r="Q799">
        <v>2</v>
      </c>
    </row>
    <row r="800" spans="2:17" x14ac:dyDescent="0.25">
      <c r="B800" t="s">
        <v>158</v>
      </c>
      <c r="C800" t="s">
        <v>336</v>
      </c>
      <c r="D800">
        <v>558</v>
      </c>
      <c r="E800">
        <v>1000</v>
      </c>
      <c r="F800" t="s">
        <v>68</v>
      </c>
      <c r="G800" t="s">
        <v>107</v>
      </c>
      <c r="H800" t="s">
        <v>108</v>
      </c>
      <c r="I800" t="s">
        <v>105</v>
      </c>
      <c r="J800">
        <v>0</v>
      </c>
      <c r="K800">
        <v>45349.692407407405</v>
      </c>
      <c r="L800">
        <v>10600</v>
      </c>
      <c r="O800">
        <v>1200</v>
      </c>
      <c r="P800">
        <v>0</v>
      </c>
      <c r="Q800">
        <v>1000</v>
      </c>
    </row>
    <row r="801" spans="2:17" x14ac:dyDescent="0.25">
      <c r="B801" t="s">
        <v>158</v>
      </c>
      <c r="C801" t="s">
        <v>336</v>
      </c>
      <c r="D801">
        <v>558</v>
      </c>
      <c r="E801">
        <v>1600</v>
      </c>
      <c r="F801" t="s">
        <v>68</v>
      </c>
      <c r="G801" t="s">
        <v>170</v>
      </c>
      <c r="H801" t="s">
        <v>171</v>
      </c>
      <c r="I801" t="s">
        <v>105</v>
      </c>
      <c r="J801">
        <v>0</v>
      </c>
      <c r="K801">
        <v>45349.692430555559</v>
      </c>
      <c r="L801">
        <v>11000</v>
      </c>
      <c r="O801">
        <v>2400</v>
      </c>
      <c r="P801">
        <v>0</v>
      </c>
      <c r="Q801">
        <v>1600</v>
      </c>
    </row>
    <row r="802" spans="2:17" x14ac:dyDescent="0.25">
      <c r="B802" t="s">
        <v>158</v>
      </c>
      <c r="C802" t="s">
        <v>338</v>
      </c>
      <c r="D802">
        <v>559</v>
      </c>
      <c r="E802">
        <v>1000</v>
      </c>
      <c r="F802" t="s">
        <v>68</v>
      </c>
      <c r="G802" t="s">
        <v>163</v>
      </c>
      <c r="H802" t="s">
        <v>164</v>
      </c>
      <c r="I802" t="s">
        <v>165</v>
      </c>
      <c r="J802">
        <v>0</v>
      </c>
      <c r="K802">
        <v>45349.692523148151</v>
      </c>
      <c r="L802">
        <v>-2246</v>
      </c>
      <c r="O802">
        <v>300</v>
      </c>
      <c r="P802">
        <v>3</v>
      </c>
      <c r="Q802">
        <v>100.00000000000004</v>
      </c>
    </row>
    <row r="803" spans="2:17" x14ac:dyDescent="0.25">
      <c r="B803" t="s">
        <v>158</v>
      </c>
      <c r="C803" t="s">
        <v>417</v>
      </c>
      <c r="D803">
        <v>560</v>
      </c>
      <c r="E803">
        <v>40</v>
      </c>
      <c r="F803" t="s">
        <v>127</v>
      </c>
      <c r="G803" t="s">
        <v>131</v>
      </c>
      <c r="H803" t="s">
        <v>132</v>
      </c>
      <c r="I803" t="s">
        <v>130</v>
      </c>
      <c r="J803">
        <v>0</v>
      </c>
      <c r="K803">
        <v>45349.692615740743</v>
      </c>
      <c r="L803">
        <v>4450</v>
      </c>
      <c r="O803">
        <v>10</v>
      </c>
      <c r="P803">
        <v>4</v>
      </c>
      <c r="Q803">
        <v>0</v>
      </c>
    </row>
    <row r="804" spans="2:17" x14ac:dyDescent="0.25">
      <c r="B804" t="s">
        <v>158</v>
      </c>
      <c r="C804" t="s">
        <v>417</v>
      </c>
      <c r="D804">
        <v>560</v>
      </c>
      <c r="E804">
        <v>1200</v>
      </c>
      <c r="F804" t="s">
        <v>68</v>
      </c>
      <c r="G804" t="s">
        <v>103</v>
      </c>
      <c r="H804" t="s">
        <v>104</v>
      </c>
      <c r="I804" t="s">
        <v>105</v>
      </c>
      <c r="J804">
        <v>0</v>
      </c>
      <c r="K804">
        <v>45349.69263888889</v>
      </c>
      <c r="L804">
        <v>44300</v>
      </c>
      <c r="O804">
        <v>2400</v>
      </c>
      <c r="P804">
        <v>0</v>
      </c>
      <c r="Q804">
        <v>1200</v>
      </c>
    </row>
    <row r="805" spans="2:17" x14ac:dyDescent="0.25">
      <c r="B805" t="s">
        <v>158</v>
      </c>
      <c r="C805" t="s">
        <v>417</v>
      </c>
      <c r="D805">
        <v>560</v>
      </c>
      <c r="E805">
        <v>50</v>
      </c>
      <c r="F805" t="s">
        <v>127</v>
      </c>
      <c r="G805" t="s">
        <v>133</v>
      </c>
      <c r="H805" t="s">
        <v>134</v>
      </c>
      <c r="I805" t="s">
        <v>130</v>
      </c>
      <c r="J805">
        <v>0</v>
      </c>
      <c r="K805">
        <v>45349.692650462966</v>
      </c>
      <c r="L805">
        <v>195</v>
      </c>
      <c r="O805">
        <v>10</v>
      </c>
      <c r="P805">
        <v>5</v>
      </c>
      <c r="Q805">
        <v>0</v>
      </c>
    </row>
    <row r="806" spans="2:17" x14ac:dyDescent="0.25">
      <c r="B806" t="s">
        <v>454</v>
      </c>
      <c r="C806" t="s">
        <v>455</v>
      </c>
      <c r="D806" t="s">
        <v>66</v>
      </c>
      <c r="E806">
        <v>4000</v>
      </c>
      <c r="F806" t="s">
        <v>68</v>
      </c>
      <c r="G806" t="s">
        <v>163</v>
      </c>
      <c r="H806" t="s">
        <v>164</v>
      </c>
      <c r="I806" t="s">
        <v>165</v>
      </c>
      <c r="J806">
        <v>1</v>
      </c>
      <c r="K806">
        <v>45349.709305555552</v>
      </c>
      <c r="L806">
        <v>-6246</v>
      </c>
      <c r="M806">
        <v>45324</v>
      </c>
      <c r="O806">
        <v>300</v>
      </c>
      <c r="P806">
        <v>13</v>
      </c>
      <c r="Q806">
        <v>100.00000000000017</v>
      </c>
    </row>
    <row r="807" spans="2:17" x14ac:dyDescent="0.25">
      <c r="B807" t="s">
        <v>434</v>
      </c>
      <c r="C807" t="s">
        <v>106</v>
      </c>
      <c r="D807">
        <v>1905</v>
      </c>
      <c r="E807">
        <v>0</v>
      </c>
      <c r="F807" t="s">
        <v>127</v>
      </c>
      <c r="G807" t="s">
        <v>133</v>
      </c>
      <c r="H807" t="s">
        <v>134</v>
      </c>
      <c r="I807" t="s">
        <v>130</v>
      </c>
      <c r="J807">
        <v>0</v>
      </c>
      <c r="K807">
        <v>45349.71366898148</v>
      </c>
      <c r="L807">
        <v>1905</v>
      </c>
      <c r="O807">
        <v>10</v>
      </c>
      <c r="P807">
        <v>0</v>
      </c>
      <c r="Q807">
        <v>0</v>
      </c>
    </row>
    <row r="808" spans="2:17" x14ac:dyDescent="0.25">
      <c r="B808" t="s">
        <v>434</v>
      </c>
      <c r="C808" t="s">
        <v>106</v>
      </c>
      <c r="D808">
        <v>10</v>
      </c>
      <c r="E808">
        <v>0</v>
      </c>
      <c r="F808" t="s">
        <v>127</v>
      </c>
      <c r="G808" t="s">
        <v>128</v>
      </c>
      <c r="H808" t="s">
        <v>129</v>
      </c>
      <c r="I808" t="s">
        <v>130</v>
      </c>
      <c r="J808">
        <v>0</v>
      </c>
      <c r="K808">
        <v>45349.714375000003</v>
      </c>
      <c r="L808">
        <v>-193</v>
      </c>
      <c r="O808">
        <v>10</v>
      </c>
      <c r="P808">
        <v>0</v>
      </c>
      <c r="Q808">
        <v>0</v>
      </c>
    </row>
    <row r="809" spans="2:17" x14ac:dyDescent="0.25">
      <c r="B809" t="s">
        <v>434</v>
      </c>
      <c r="C809" t="s">
        <v>456</v>
      </c>
      <c r="D809" t="s">
        <v>66</v>
      </c>
      <c r="E809">
        <v>0</v>
      </c>
      <c r="F809" t="s">
        <v>127</v>
      </c>
      <c r="G809" t="s">
        <v>131</v>
      </c>
      <c r="H809" t="s">
        <v>132</v>
      </c>
      <c r="I809" t="s">
        <v>130</v>
      </c>
      <c r="J809">
        <v>0</v>
      </c>
      <c r="K809">
        <v>45349.715868055559</v>
      </c>
      <c r="L809">
        <v>4450</v>
      </c>
      <c r="O809">
        <v>10</v>
      </c>
      <c r="P809">
        <v>0</v>
      </c>
      <c r="Q809">
        <v>0</v>
      </c>
    </row>
    <row r="810" spans="2:17" x14ac:dyDescent="0.25">
      <c r="B810" t="s">
        <v>434</v>
      </c>
      <c r="C810" t="s">
        <v>457</v>
      </c>
      <c r="D810" t="s">
        <v>458</v>
      </c>
      <c r="E810">
        <v>0</v>
      </c>
      <c r="F810" t="s">
        <v>135</v>
      </c>
      <c r="G810" t="s">
        <v>136</v>
      </c>
      <c r="H810" t="s">
        <v>137</v>
      </c>
      <c r="I810" t="s">
        <v>138</v>
      </c>
      <c r="J810">
        <v>0</v>
      </c>
      <c r="K810">
        <v>45350.666354166664</v>
      </c>
      <c r="L810">
        <v>1228</v>
      </c>
      <c r="O810">
        <v>144</v>
      </c>
      <c r="P810">
        <v>0</v>
      </c>
      <c r="Q810">
        <v>0</v>
      </c>
    </row>
    <row r="811" spans="2:17" x14ac:dyDescent="0.25">
      <c r="B811" t="s">
        <v>434</v>
      </c>
      <c r="C811" t="s">
        <v>459</v>
      </c>
      <c r="D811" t="s">
        <v>460</v>
      </c>
      <c r="E811">
        <v>0</v>
      </c>
      <c r="F811" t="s">
        <v>135</v>
      </c>
      <c r="G811" t="s">
        <v>139</v>
      </c>
      <c r="H811" t="s">
        <v>137</v>
      </c>
      <c r="I811" t="s">
        <v>138</v>
      </c>
      <c r="J811">
        <v>0</v>
      </c>
      <c r="K811">
        <v>45350.666400462964</v>
      </c>
      <c r="L811">
        <v>5008</v>
      </c>
      <c r="O811">
        <v>144</v>
      </c>
      <c r="P811">
        <v>0</v>
      </c>
      <c r="Q811">
        <v>0</v>
      </c>
    </row>
    <row r="812" spans="2:17" x14ac:dyDescent="0.25">
      <c r="B812" t="s">
        <v>434</v>
      </c>
      <c r="C812" t="s">
        <v>461</v>
      </c>
      <c r="D812" t="s">
        <v>462</v>
      </c>
      <c r="E812">
        <v>0</v>
      </c>
      <c r="F812" t="s">
        <v>135</v>
      </c>
      <c r="G812" t="s">
        <v>140</v>
      </c>
      <c r="H812" t="s">
        <v>137</v>
      </c>
      <c r="I812" t="s">
        <v>138</v>
      </c>
      <c r="J812">
        <v>0</v>
      </c>
      <c r="K812">
        <v>45350.666446759256</v>
      </c>
      <c r="L812">
        <v>3502</v>
      </c>
      <c r="O812">
        <v>144</v>
      </c>
      <c r="P812">
        <v>0</v>
      </c>
      <c r="Q812">
        <v>0</v>
      </c>
    </row>
    <row r="813" spans="2:17" x14ac:dyDescent="0.25">
      <c r="B813" t="s">
        <v>434</v>
      </c>
      <c r="C813" t="s">
        <v>414</v>
      </c>
      <c r="D813" t="s">
        <v>463</v>
      </c>
      <c r="E813">
        <v>0</v>
      </c>
      <c r="F813" t="s">
        <v>135</v>
      </c>
      <c r="G813" t="s">
        <v>141</v>
      </c>
      <c r="H813" t="s">
        <v>137</v>
      </c>
      <c r="I813" t="s">
        <v>138</v>
      </c>
      <c r="J813">
        <v>0</v>
      </c>
      <c r="K813">
        <v>45350.666481481479</v>
      </c>
      <c r="L813">
        <v>1368</v>
      </c>
      <c r="O813">
        <v>144</v>
      </c>
      <c r="P813">
        <v>0</v>
      </c>
      <c r="Q813">
        <v>0</v>
      </c>
    </row>
    <row r="814" spans="2:17" x14ac:dyDescent="0.25">
      <c r="B814" t="s">
        <v>158</v>
      </c>
      <c r="C814" t="s">
        <v>338</v>
      </c>
      <c r="D814">
        <v>1380</v>
      </c>
      <c r="E814">
        <v>220</v>
      </c>
      <c r="F814" t="s">
        <v>135</v>
      </c>
      <c r="G814" t="s">
        <v>136</v>
      </c>
      <c r="H814" t="s">
        <v>137</v>
      </c>
      <c r="I814" t="s">
        <v>138</v>
      </c>
      <c r="J814">
        <v>0</v>
      </c>
      <c r="K814">
        <v>45330.688067129631</v>
      </c>
      <c r="L814">
        <v>788</v>
      </c>
      <c r="O814">
        <v>144</v>
      </c>
      <c r="P814">
        <v>1</v>
      </c>
      <c r="Q814">
        <v>75.999999999999986</v>
      </c>
    </row>
    <row r="815" spans="2:17" x14ac:dyDescent="0.25">
      <c r="B815" t="s">
        <v>158</v>
      </c>
      <c r="C815" t="s">
        <v>338</v>
      </c>
      <c r="D815">
        <v>1380</v>
      </c>
      <c r="E815">
        <v>800</v>
      </c>
      <c r="F815" t="s">
        <v>135</v>
      </c>
      <c r="G815" t="s">
        <v>139</v>
      </c>
      <c r="H815" t="s">
        <v>137</v>
      </c>
      <c r="I815" t="s">
        <v>138</v>
      </c>
      <c r="J815">
        <v>0</v>
      </c>
      <c r="K815">
        <v>45330.688067129631</v>
      </c>
      <c r="L815">
        <v>4208</v>
      </c>
      <c r="O815">
        <v>144</v>
      </c>
      <c r="P815">
        <v>5</v>
      </c>
      <c r="Q815">
        <v>79.999999999999972</v>
      </c>
    </row>
    <row r="816" spans="2:17" x14ac:dyDescent="0.25">
      <c r="B816" t="s">
        <v>158</v>
      </c>
      <c r="C816" t="s">
        <v>338</v>
      </c>
      <c r="D816">
        <v>1380</v>
      </c>
      <c r="E816">
        <v>700</v>
      </c>
      <c r="F816" t="s">
        <v>135</v>
      </c>
      <c r="G816" t="s">
        <v>140</v>
      </c>
      <c r="H816" t="s">
        <v>137</v>
      </c>
      <c r="I816" t="s">
        <v>138</v>
      </c>
      <c r="J816">
        <v>0</v>
      </c>
      <c r="K816">
        <v>45330.688067129631</v>
      </c>
      <c r="L816">
        <v>2802</v>
      </c>
      <c r="O816">
        <v>144</v>
      </c>
      <c r="P816">
        <v>4</v>
      </c>
      <c r="Q816">
        <v>123.99999999999994</v>
      </c>
    </row>
    <row r="817" spans="2:17" x14ac:dyDescent="0.25">
      <c r="B817" t="s">
        <v>158</v>
      </c>
      <c r="C817" t="s">
        <v>336</v>
      </c>
      <c r="D817">
        <v>1381</v>
      </c>
      <c r="E817">
        <v>1600</v>
      </c>
      <c r="F817" t="s">
        <v>68</v>
      </c>
      <c r="G817" t="s">
        <v>170</v>
      </c>
      <c r="H817" t="s">
        <v>171</v>
      </c>
      <c r="I817" t="s">
        <v>105</v>
      </c>
      <c r="J817">
        <v>0</v>
      </c>
      <c r="K817">
        <v>45330.688067129631</v>
      </c>
      <c r="L817">
        <v>9400</v>
      </c>
      <c r="O817">
        <v>2400</v>
      </c>
      <c r="P817">
        <v>0</v>
      </c>
      <c r="Q817">
        <v>1600</v>
      </c>
    </row>
    <row r="818" spans="2:17" x14ac:dyDescent="0.25">
      <c r="B818" t="s">
        <v>158</v>
      </c>
      <c r="C818" t="s">
        <v>353</v>
      </c>
      <c r="D818">
        <v>1382</v>
      </c>
      <c r="E818">
        <v>2500</v>
      </c>
      <c r="F818" t="s">
        <v>68</v>
      </c>
      <c r="G818" t="s">
        <v>125</v>
      </c>
      <c r="H818" t="s">
        <v>126</v>
      </c>
      <c r="I818" t="s">
        <v>105</v>
      </c>
      <c r="J818">
        <v>0</v>
      </c>
      <c r="K818">
        <v>45330.688067129631</v>
      </c>
      <c r="L818">
        <v>8200</v>
      </c>
      <c r="O818">
        <v>2400</v>
      </c>
      <c r="P818">
        <v>1</v>
      </c>
      <c r="Q818">
        <v>100.00000000000017</v>
      </c>
    </row>
    <row r="819" spans="2:17" x14ac:dyDescent="0.25">
      <c r="B819" t="s">
        <v>158</v>
      </c>
      <c r="C819" t="s">
        <v>353</v>
      </c>
      <c r="D819">
        <v>1382</v>
      </c>
      <c r="E819">
        <v>40</v>
      </c>
      <c r="F819" t="s">
        <v>68</v>
      </c>
      <c r="G819">
        <v>6885</v>
      </c>
      <c r="H819" t="s">
        <v>169</v>
      </c>
      <c r="I819" t="s">
        <v>144</v>
      </c>
      <c r="J819">
        <v>0</v>
      </c>
      <c r="K819">
        <v>45330.688067129631</v>
      </c>
      <c r="L819">
        <v>480</v>
      </c>
      <c r="O819">
        <v>100</v>
      </c>
      <c r="P819">
        <v>0</v>
      </c>
      <c r="Q819">
        <v>40</v>
      </c>
    </row>
    <row r="820" spans="2:17" x14ac:dyDescent="0.25">
      <c r="B820" t="s">
        <v>293</v>
      </c>
      <c r="C820" t="s">
        <v>406</v>
      </c>
      <c r="D820">
        <v>1383</v>
      </c>
      <c r="E820">
        <v>600</v>
      </c>
      <c r="F820" t="s">
        <v>68</v>
      </c>
      <c r="G820" t="s">
        <v>125</v>
      </c>
      <c r="H820" t="s">
        <v>126</v>
      </c>
      <c r="I820" t="s">
        <v>105</v>
      </c>
      <c r="J820">
        <v>0</v>
      </c>
      <c r="K820">
        <v>45330.688067129631</v>
      </c>
      <c r="L820">
        <v>7600</v>
      </c>
      <c r="O820">
        <v>2400</v>
      </c>
      <c r="P820">
        <v>0</v>
      </c>
      <c r="Q820">
        <v>600</v>
      </c>
    </row>
    <row r="821" spans="2:17" x14ac:dyDescent="0.25">
      <c r="B821" t="s">
        <v>293</v>
      </c>
      <c r="C821" t="s">
        <v>464</v>
      </c>
      <c r="D821">
        <v>1384</v>
      </c>
      <c r="E821">
        <v>500</v>
      </c>
      <c r="F821" t="s">
        <v>68</v>
      </c>
      <c r="G821" t="s">
        <v>115</v>
      </c>
      <c r="H821" t="s">
        <v>116</v>
      </c>
      <c r="I821" t="s">
        <v>105</v>
      </c>
      <c r="J821">
        <v>0</v>
      </c>
      <c r="K821">
        <v>45330.688067129631</v>
      </c>
      <c r="L821">
        <v>11300</v>
      </c>
      <c r="O821">
        <v>1200</v>
      </c>
      <c r="P821">
        <v>0</v>
      </c>
      <c r="Q821">
        <v>500</v>
      </c>
    </row>
    <row r="822" spans="2:17" x14ac:dyDescent="0.25">
      <c r="B822" t="s">
        <v>158</v>
      </c>
      <c r="C822" t="s">
        <v>417</v>
      </c>
      <c r="D822">
        <v>561</v>
      </c>
      <c r="E822">
        <v>40</v>
      </c>
      <c r="F822" t="s">
        <v>127</v>
      </c>
      <c r="G822" t="s">
        <v>131</v>
      </c>
      <c r="H822" t="s">
        <v>132</v>
      </c>
      <c r="I822" t="s">
        <v>130</v>
      </c>
      <c r="J822">
        <v>0</v>
      </c>
      <c r="K822">
        <v>45351.560983796298</v>
      </c>
      <c r="L822">
        <v>4810</v>
      </c>
      <c r="O822">
        <v>10</v>
      </c>
      <c r="P822">
        <v>4</v>
      </c>
      <c r="Q822">
        <v>0</v>
      </c>
    </row>
    <row r="823" spans="2:17" x14ac:dyDescent="0.25">
      <c r="B823" t="s">
        <v>158</v>
      </c>
      <c r="C823" t="s">
        <v>417</v>
      </c>
      <c r="D823">
        <v>561</v>
      </c>
      <c r="E823">
        <v>1200</v>
      </c>
      <c r="F823" t="s">
        <v>68</v>
      </c>
      <c r="G823" t="s">
        <v>103</v>
      </c>
      <c r="H823" t="s">
        <v>104</v>
      </c>
      <c r="I823" t="s">
        <v>105</v>
      </c>
      <c r="J823">
        <v>0</v>
      </c>
      <c r="K823">
        <v>45351.561030092591</v>
      </c>
      <c r="L823">
        <v>43100</v>
      </c>
      <c r="O823">
        <v>2400</v>
      </c>
      <c r="P823">
        <v>0</v>
      </c>
      <c r="Q823">
        <v>1200</v>
      </c>
    </row>
    <row r="824" spans="2:17" x14ac:dyDescent="0.25">
      <c r="B824" t="s">
        <v>158</v>
      </c>
      <c r="C824" t="s">
        <v>417</v>
      </c>
      <c r="D824">
        <v>561</v>
      </c>
      <c r="E824">
        <v>20</v>
      </c>
      <c r="F824" t="s">
        <v>127</v>
      </c>
      <c r="G824" t="s">
        <v>133</v>
      </c>
      <c r="H824" t="s">
        <v>134</v>
      </c>
      <c r="I824" t="s">
        <v>130</v>
      </c>
      <c r="J824">
        <v>0</v>
      </c>
      <c r="K824">
        <v>45351.56318287037</v>
      </c>
      <c r="L824">
        <v>1885</v>
      </c>
      <c r="O824">
        <v>10</v>
      </c>
      <c r="P824">
        <v>2</v>
      </c>
      <c r="Q824">
        <v>0</v>
      </c>
    </row>
    <row r="825" spans="2:17" x14ac:dyDescent="0.25">
      <c r="B825" t="s">
        <v>158</v>
      </c>
      <c r="C825" t="s">
        <v>353</v>
      </c>
      <c r="D825">
        <v>562</v>
      </c>
      <c r="E825">
        <v>40</v>
      </c>
      <c r="F825" t="s">
        <v>68</v>
      </c>
      <c r="G825">
        <v>6885</v>
      </c>
      <c r="H825" t="s">
        <v>169</v>
      </c>
      <c r="I825" t="s">
        <v>144</v>
      </c>
      <c r="J825">
        <v>0</v>
      </c>
      <c r="K825">
        <v>45351.563217592593</v>
      </c>
      <c r="L825">
        <v>440</v>
      </c>
      <c r="O825">
        <v>100</v>
      </c>
      <c r="P825">
        <v>0</v>
      </c>
      <c r="Q825">
        <v>40</v>
      </c>
    </row>
    <row r="826" spans="2:17" x14ac:dyDescent="0.25">
      <c r="B826" t="s">
        <v>158</v>
      </c>
      <c r="C826" t="s">
        <v>286</v>
      </c>
      <c r="D826">
        <v>563</v>
      </c>
      <c r="E826">
        <v>5600</v>
      </c>
      <c r="F826" t="s">
        <v>68</v>
      </c>
      <c r="G826" t="s">
        <v>123</v>
      </c>
      <c r="H826" t="s">
        <v>124</v>
      </c>
      <c r="I826" t="s">
        <v>105</v>
      </c>
      <c r="J826">
        <v>0</v>
      </c>
      <c r="K826">
        <v>45351.563263888886</v>
      </c>
      <c r="L826">
        <v>96900</v>
      </c>
      <c r="O826">
        <v>2400</v>
      </c>
      <c r="P826">
        <v>2</v>
      </c>
      <c r="Q826">
        <v>800.00000000000034</v>
      </c>
    </row>
    <row r="827" spans="2:17" x14ac:dyDescent="0.25">
      <c r="B827" t="s">
        <v>158</v>
      </c>
      <c r="C827" t="s">
        <v>338</v>
      </c>
      <c r="D827">
        <v>564</v>
      </c>
      <c r="E827">
        <v>1000</v>
      </c>
      <c r="F827" t="s">
        <v>68</v>
      </c>
      <c r="G827" t="s">
        <v>163</v>
      </c>
      <c r="H827" t="s">
        <v>164</v>
      </c>
      <c r="I827" t="s">
        <v>165</v>
      </c>
      <c r="J827">
        <v>0</v>
      </c>
      <c r="K827">
        <v>45351.563356481478</v>
      </c>
      <c r="L827">
        <v>-7246</v>
      </c>
      <c r="O827">
        <v>300</v>
      </c>
      <c r="P827">
        <v>3</v>
      </c>
      <c r="Q827">
        <v>100.00000000000004</v>
      </c>
    </row>
    <row r="828" spans="2:17" x14ac:dyDescent="0.25">
      <c r="B828" t="s">
        <v>158</v>
      </c>
      <c r="C828" t="s">
        <v>338</v>
      </c>
      <c r="D828">
        <v>565</v>
      </c>
      <c r="E828">
        <v>5600</v>
      </c>
      <c r="F828" t="s">
        <v>68</v>
      </c>
      <c r="G828" t="s">
        <v>123</v>
      </c>
      <c r="H828" t="s">
        <v>124</v>
      </c>
      <c r="I828" t="s">
        <v>105</v>
      </c>
      <c r="J828">
        <v>0</v>
      </c>
      <c r="K828">
        <v>45352.328344907408</v>
      </c>
      <c r="L828">
        <v>91300</v>
      </c>
      <c r="O828">
        <v>2400</v>
      </c>
      <c r="P828">
        <v>2</v>
      </c>
      <c r="Q828">
        <v>800.00000000000034</v>
      </c>
    </row>
    <row r="829" spans="2:17" x14ac:dyDescent="0.25">
      <c r="B829" t="s">
        <v>158</v>
      </c>
      <c r="C829" t="s">
        <v>338</v>
      </c>
      <c r="D829">
        <v>565</v>
      </c>
      <c r="E829">
        <v>698</v>
      </c>
      <c r="F829" t="s">
        <v>135</v>
      </c>
      <c r="G829" t="s">
        <v>136</v>
      </c>
      <c r="H829" t="s">
        <v>137</v>
      </c>
      <c r="I829" t="s">
        <v>138</v>
      </c>
      <c r="J829">
        <v>0</v>
      </c>
      <c r="K829">
        <v>45352.3283912037</v>
      </c>
      <c r="L829">
        <v>90</v>
      </c>
      <c r="O829">
        <v>144</v>
      </c>
      <c r="P829">
        <v>4</v>
      </c>
      <c r="Q829">
        <v>122.00000000000001</v>
      </c>
    </row>
    <row r="830" spans="2:17" x14ac:dyDescent="0.25">
      <c r="B830" t="s">
        <v>158</v>
      </c>
      <c r="C830" t="s">
        <v>353</v>
      </c>
      <c r="D830">
        <v>566</v>
      </c>
      <c r="E830">
        <v>30</v>
      </c>
      <c r="F830" t="s">
        <v>68</v>
      </c>
      <c r="G830">
        <v>6885</v>
      </c>
      <c r="H830" t="s">
        <v>169</v>
      </c>
      <c r="I830" t="s">
        <v>144</v>
      </c>
      <c r="J830">
        <v>0</v>
      </c>
      <c r="K830">
        <v>45352.328414351854</v>
      </c>
      <c r="L830">
        <v>410</v>
      </c>
      <c r="O830">
        <v>100</v>
      </c>
      <c r="P830">
        <v>0</v>
      </c>
      <c r="Q830">
        <v>30</v>
      </c>
    </row>
    <row r="831" spans="2:17" x14ac:dyDescent="0.25">
      <c r="B831" t="s">
        <v>158</v>
      </c>
      <c r="C831" t="s">
        <v>417</v>
      </c>
      <c r="D831">
        <v>567</v>
      </c>
      <c r="E831">
        <v>40</v>
      </c>
      <c r="F831" t="s">
        <v>127</v>
      </c>
      <c r="G831" t="s">
        <v>131</v>
      </c>
      <c r="H831" t="s">
        <v>132</v>
      </c>
      <c r="I831" t="s">
        <v>130</v>
      </c>
      <c r="J831">
        <v>0</v>
      </c>
      <c r="K831">
        <v>45352.3284375</v>
      </c>
      <c r="L831">
        <v>4770</v>
      </c>
      <c r="O831">
        <v>10</v>
      </c>
      <c r="P831">
        <v>4</v>
      </c>
      <c r="Q831">
        <v>0</v>
      </c>
    </row>
    <row r="832" spans="2:17" x14ac:dyDescent="0.25">
      <c r="B832" t="s">
        <v>158</v>
      </c>
      <c r="C832" t="s">
        <v>417</v>
      </c>
      <c r="D832">
        <v>567</v>
      </c>
      <c r="E832">
        <v>1200</v>
      </c>
      <c r="F832" t="s">
        <v>68</v>
      </c>
      <c r="G832" t="s">
        <v>103</v>
      </c>
      <c r="H832" t="s">
        <v>104</v>
      </c>
      <c r="I832" t="s">
        <v>105</v>
      </c>
      <c r="J832">
        <v>0</v>
      </c>
      <c r="K832">
        <v>45352.328460648147</v>
      </c>
      <c r="L832">
        <v>41900</v>
      </c>
      <c r="O832">
        <v>2400</v>
      </c>
      <c r="P832">
        <v>0</v>
      </c>
      <c r="Q832">
        <v>1200</v>
      </c>
    </row>
    <row r="833" spans="2:17" x14ac:dyDescent="0.25">
      <c r="B833" t="s">
        <v>158</v>
      </c>
      <c r="C833" t="s">
        <v>475</v>
      </c>
      <c r="D833">
        <v>568</v>
      </c>
      <c r="E833">
        <v>500</v>
      </c>
      <c r="F833" t="s">
        <v>135</v>
      </c>
      <c r="G833" t="s">
        <v>141</v>
      </c>
      <c r="H833" t="s">
        <v>137</v>
      </c>
      <c r="I833" t="s">
        <v>138</v>
      </c>
      <c r="J833">
        <v>0</v>
      </c>
      <c r="K833">
        <v>45352.328472222223</v>
      </c>
      <c r="L833">
        <v>868</v>
      </c>
      <c r="O833">
        <v>144</v>
      </c>
      <c r="P833">
        <v>3</v>
      </c>
      <c r="Q833">
        <v>68.000000000000014</v>
      </c>
    </row>
    <row r="834" spans="2:17" x14ac:dyDescent="0.25">
      <c r="B834" t="s">
        <v>158</v>
      </c>
      <c r="C834" t="s">
        <v>475</v>
      </c>
      <c r="D834">
        <v>568</v>
      </c>
      <c r="E834">
        <v>30</v>
      </c>
      <c r="F834" t="s">
        <v>68</v>
      </c>
      <c r="G834">
        <v>6800</v>
      </c>
      <c r="H834" t="s">
        <v>150</v>
      </c>
      <c r="I834" t="s">
        <v>144</v>
      </c>
      <c r="J834">
        <v>0</v>
      </c>
      <c r="K834">
        <v>45352.328483796293</v>
      </c>
      <c r="L834">
        <v>104</v>
      </c>
      <c r="O834">
        <v>4</v>
      </c>
      <c r="P834">
        <v>7</v>
      </c>
      <c r="Q834">
        <v>2</v>
      </c>
    </row>
    <row r="835" spans="2:17" x14ac:dyDescent="0.25">
      <c r="B835" t="s">
        <v>158</v>
      </c>
      <c r="C835" t="s">
        <v>475</v>
      </c>
      <c r="D835">
        <v>568</v>
      </c>
      <c r="E835">
        <v>1000</v>
      </c>
      <c r="F835" t="s">
        <v>68</v>
      </c>
      <c r="G835" t="s">
        <v>142</v>
      </c>
      <c r="H835" t="s">
        <v>143</v>
      </c>
      <c r="I835" t="s">
        <v>144</v>
      </c>
      <c r="J835">
        <v>0</v>
      </c>
      <c r="K835">
        <v>45352.328506944446</v>
      </c>
      <c r="L835">
        <v>5888</v>
      </c>
      <c r="O835">
        <v>24</v>
      </c>
      <c r="P835">
        <v>41</v>
      </c>
      <c r="Q835">
        <v>15.999999999999943</v>
      </c>
    </row>
    <row r="836" spans="2:17" x14ac:dyDescent="0.25">
      <c r="B836" t="s">
        <v>158</v>
      </c>
      <c r="C836" t="s">
        <v>476</v>
      </c>
      <c r="D836">
        <v>569</v>
      </c>
      <c r="E836">
        <v>5000</v>
      </c>
      <c r="F836" t="s">
        <v>68</v>
      </c>
      <c r="G836" t="s">
        <v>146</v>
      </c>
      <c r="H836" t="s">
        <v>147</v>
      </c>
      <c r="I836" t="s">
        <v>144</v>
      </c>
      <c r="J836">
        <v>0</v>
      </c>
      <c r="K836">
        <v>45352.328541666669</v>
      </c>
      <c r="L836">
        <v>18620</v>
      </c>
      <c r="O836">
        <v>440</v>
      </c>
      <c r="P836">
        <v>11</v>
      </c>
      <c r="Q836">
        <v>159.99999999999986</v>
      </c>
    </row>
    <row r="837" spans="2:17" x14ac:dyDescent="0.25">
      <c r="B837" t="s">
        <v>293</v>
      </c>
      <c r="C837" t="s">
        <v>452</v>
      </c>
      <c r="D837">
        <v>2113</v>
      </c>
      <c r="E837">
        <v>2500</v>
      </c>
      <c r="F837" t="s">
        <v>68</v>
      </c>
      <c r="G837" t="s">
        <v>146</v>
      </c>
      <c r="H837" t="s">
        <v>147</v>
      </c>
      <c r="I837" t="s">
        <v>144</v>
      </c>
      <c r="K837">
        <v>45352.37127314815</v>
      </c>
      <c r="O837">
        <v>440</v>
      </c>
      <c r="P837">
        <v>5</v>
      </c>
      <c r="Q837">
        <v>299.99999999999994</v>
      </c>
    </row>
    <row r="838" spans="2:17" x14ac:dyDescent="0.25">
      <c r="B838" t="s">
        <v>293</v>
      </c>
      <c r="C838" t="s">
        <v>452</v>
      </c>
      <c r="D838">
        <v>2113</v>
      </c>
      <c r="E838">
        <v>1000</v>
      </c>
      <c r="F838" t="s">
        <v>68</v>
      </c>
      <c r="G838" t="s">
        <v>179</v>
      </c>
      <c r="H838" t="s">
        <v>180</v>
      </c>
      <c r="I838" t="s">
        <v>144</v>
      </c>
      <c r="K838">
        <v>45352.371354166666</v>
      </c>
      <c r="O838">
        <v>2000</v>
      </c>
      <c r="P838">
        <v>0</v>
      </c>
      <c r="Q838">
        <v>1000</v>
      </c>
    </row>
    <row r="839" spans="2:17" x14ac:dyDescent="0.25">
      <c r="B839" t="s">
        <v>293</v>
      </c>
      <c r="C839" t="s">
        <v>449</v>
      </c>
      <c r="D839">
        <v>2111</v>
      </c>
      <c r="E839">
        <v>2</v>
      </c>
      <c r="F839" t="s">
        <v>68</v>
      </c>
      <c r="G839">
        <v>81066</v>
      </c>
      <c r="H839" t="s">
        <v>181</v>
      </c>
      <c r="K839">
        <v>45352.371932870374</v>
      </c>
      <c r="O839">
        <v>40</v>
      </c>
      <c r="P839">
        <v>0</v>
      </c>
      <c r="Q839">
        <v>2</v>
      </c>
    </row>
    <row r="840" spans="2:17" x14ac:dyDescent="0.25">
      <c r="B840" t="s">
        <v>293</v>
      </c>
      <c r="C840" t="s">
        <v>449</v>
      </c>
      <c r="D840">
        <v>2111</v>
      </c>
      <c r="E840">
        <v>120</v>
      </c>
      <c r="F840" t="s">
        <v>68</v>
      </c>
      <c r="G840" t="s">
        <v>201</v>
      </c>
      <c r="H840" t="s">
        <v>202</v>
      </c>
      <c r="I840" t="s">
        <v>144</v>
      </c>
      <c r="K840">
        <v>45352.372048611112</v>
      </c>
      <c r="O840">
        <v>100</v>
      </c>
      <c r="P840">
        <v>1</v>
      </c>
      <c r="Q840">
        <v>19.999999999999996</v>
      </c>
    </row>
    <row r="841" spans="2:17" x14ac:dyDescent="0.25">
      <c r="B841" t="s">
        <v>293</v>
      </c>
      <c r="C841" t="s">
        <v>449</v>
      </c>
      <c r="D841">
        <v>2111</v>
      </c>
      <c r="E841">
        <v>250</v>
      </c>
      <c r="F841" t="s">
        <v>68</v>
      </c>
      <c r="G841" t="s">
        <v>155</v>
      </c>
      <c r="H841" t="s">
        <v>156</v>
      </c>
      <c r="K841">
        <v>45352.372777777775</v>
      </c>
      <c r="O841">
        <v>24</v>
      </c>
      <c r="P841">
        <v>10</v>
      </c>
      <c r="Q841">
        <v>9.9999999999999858</v>
      </c>
    </row>
    <row r="842" spans="2:17" x14ac:dyDescent="0.25">
      <c r="B842" t="s">
        <v>293</v>
      </c>
      <c r="C842" t="s">
        <v>449</v>
      </c>
      <c r="D842">
        <v>2111</v>
      </c>
      <c r="E842">
        <v>12000</v>
      </c>
      <c r="F842" t="s">
        <v>68</v>
      </c>
      <c r="G842" t="s">
        <v>123</v>
      </c>
      <c r="H842" t="s">
        <v>124</v>
      </c>
      <c r="I842" t="s">
        <v>105</v>
      </c>
      <c r="K842">
        <v>45352.372777777775</v>
      </c>
      <c r="O842">
        <v>2400</v>
      </c>
      <c r="P842">
        <v>5</v>
      </c>
      <c r="Q842">
        <v>0</v>
      </c>
    </row>
    <row r="843" spans="2:17" x14ac:dyDescent="0.25">
      <c r="B843" t="s">
        <v>293</v>
      </c>
      <c r="C843" t="s">
        <v>449</v>
      </c>
      <c r="D843">
        <v>2112</v>
      </c>
      <c r="E843">
        <v>2</v>
      </c>
      <c r="F843" t="s">
        <v>68</v>
      </c>
      <c r="G843" t="s">
        <v>182</v>
      </c>
      <c r="H843" t="s">
        <v>183</v>
      </c>
      <c r="K843">
        <v>45352.372789351852</v>
      </c>
      <c r="O843">
        <v>36</v>
      </c>
      <c r="P843">
        <v>0</v>
      </c>
      <c r="Q843">
        <v>2</v>
      </c>
    </row>
    <row r="844" spans="2:17" x14ac:dyDescent="0.25">
      <c r="B844" t="s">
        <v>293</v>
      </c>
      <c r="C844" t="s">
        <v>449</v>
      </c>
      <c r="D844">
        <v>2112</v>
      </c>
      <c r="E844">
        <v>120</v>
      </c>
      <c r="F844" t="s">
        <v>68</v>
      </c>
      <c r="G844">
        <v>6001</v>
      </c>
      <c r="H844" t="s">
        <v>149</v>
      </c>
      <c r="I844" t="s">
        <v>144</v>
      </c>
      <c r="K844">
        <v>45352.372789351852</v>
      </c>
      <c r="O844">
        <v>60</v>
      </c>
      <c r="P844">
        <v>2</v>
      </c>
      <c r="Q844">
        <v>0</v>
      </c>
    </row>
    <row r="845" spans="2:17" x14ac:dyDescent="0.25">
      <c r="B845" t="s">
        <v>293</v>
      </c>
      <c r="C845" t="s">
        <v>449</v>
      </c>
      <c r="D845">
        <v>2119</v>
      </c>
      <c r="E845">
        <v>10</v>
      </c>
      <c r="F845" t="s">
        <v>68</v>
      </c>
      <c r="G845" t="s">
        <v>157</v>
      </c>
      <c r="H845" t="s">
        <v>156</v>
      </c>
      <c r="K845">
        <v>45352.372800925928</v>
      </c>
      <c r="O845">
        <v>12</v>
      </c>
      <c r="P845">
        <v>0</v>
      </c>
      <c r="Q845">
        <v>10</v>
      </c>
    </row>
    <row r="846" spans="2:17" x14ac:dyDescent="0.25">
      <c r="B846" t="s">
        <v>293</v>
      </c>
      <c r="C846" t="s">
        <v>449</v>
      </c>
      <c r="D846">
        <v>2119</v>
      </c>
      <c r="E846">
        <v>200</v>
      </c>
      <c r="F846" t="s">
        <v>68</v>
      </c>
      <c r="G846" t="s">
        <v>153</v>
      </c>
      <c r="H846" t="s">
        <v>154</v>
      </c>
      <c r="I846" t="s">
        <v>105</v>
      </c>
      <c r="K846">
        <v>45352.372800925928</v>
      </c>
      <c r="O846">
        <v>100</v>
      </c>
      <c r="P846">
        <v>2</v>
      </c>
      <c r="Q846">
        <v>0</v>
      </c>
    </row>
    <row r="847" spans="2:17" x14ac:dyDescent="0.25">
      <c r="B847" t="s">
        <v>293</v>
      </c>
      <c r="C847" t="s">
        <v>449</v>
      </c>
      <c r="D847">
        <v>2122</v>
      </c>
      <c r="E847">
        <v>130</v>
      </c>
      <c r="F847" t="s">
        <v>68</v>
      </c>
      <c r="G847" t="s">
        <v>151</v>
      </c>
      <c r="H847" t="s">
        <v>152</v>
      </c>
      <c r="I847" t="s">
        <v>105</v>
      </c>
      <c r="K847">
        <v>45352.372835648152</v>
      </c>
      <c r="O847">
        <v>200</v>
      </c>
      <c r="P847">
        <v>0</v>
      </c>
      <c r="Q847">
        <v>130</v>
      </c>
    </row>
    <row r="848" spans="2:17" x14ac:dyDescent="0.25">
      <c r="B848" t="s">
        <v>293</v>
      </c>
      <c r="C848" t="s">
        <v>449</v>
      </c>
      <c r="D848">
        <v>2120</v>
      </c>
      <c r="E848">
        <v>10000</v>
      </c>
      <c r="F848" t="s">
        <v>68</v>
      </c>
      <c r="G848" t="s">
        <v>107</v>
      </c>
      <c r="H848" t="s">
        <v>108</v>
      </c>
      <c r="I848" t="s">
        <v>105</v>
      </c>
      <c r="K848">
        <v>45352.373055555552</v>
      </c>
      <c r="O848">
        <v>1200</v>
      </c>
      <c r="P848">
        <v>8</v>
      </c>
      <c r="Q848">
        <v>400.00000000000068</v>
      </c>
    </row>
    <row r="849" spans="1:17" x14ac:dyDescent="0.25">
      <c r="B849" t="s">
        <v>293</v>
      </c>
      <c r="C849" t="s">
        <v>449</v>
      </c>
      <c r="D849">
        <v>2118</v>
      </c>
      <c r="E849">
        <v>144</v>
      </c>
      <c r="F849" t="s">
        <v>135</v>
      </c>
      <c r="G849" t="s">
        <v>140</v>
      </c>
      <c r="H849" t="s">
        <v>137</v>
      </c>
      <c r="I849" t="s">
        <v>138</v>
      </c>
      <c r="K849">
        <v>45352.373055555552</v>
      </c>
      <c r="O849">
        <v>144</v>
      </c>
      <c r="P849">
        <v>1</v>
      </c>
      <c r="Q849">
        <v>0</v>
      </c>
    </row>
    <row r="850" spans="1:17" x14ac:dyDescent="0.25">
      <c r="B850" t="s">
        <v>293</v>
      </c>
      <c r="C850" t="s">
        <v>449</v>
      </c>
      <c r="D850">
        <v>2117</v>
      </c>
      <c r="E850">
        <v>175</v>
      </c>
      <c r="F850" t="s">
        <v>127</v>
      </c>
      <c r="G850" t="s">
        <v>133</v>
      </c>
      <c r="H850" t="s">
        <v>134</v>
      </c>
      <c r="I850" t="s">
        <v>130</v>
      </c>
      <c r="K850">
        <v>45352.373067129629</v>
      </c>
      <c r="O850">
        <v>10</v>
      </c>
      <c r="P850">
        <v>17</v>
      </c>
      <c r="Q850">
        <v>5</v>
      </c>
    </row>
    <row r="851" spans="1:17" x14ac:dyDescent="0.25">
      <c r="B851" t="s">
        <v>293</v>
      </c>
      <c r="C851" t="s">
        <v>449</v>
      </c>
      <c r="D851">
        <v>2117</v>
      </c>
      <c r="E851">
        <v>4</v>
      </c>
      <c r="F851" t="s">
        <v>127</v>
      </c>
      <c r="G851" t="s">
        <v>131</v>
      </c>
      <c r="H851" t="s">
        <v>132</v>
      </c>
      <c r="I851" t="s">
        <v>130</v>
      </c>
      <c r="K851">
        <v>45352.373067129629</v>
      </c>
      <c r="O851">
        <v>10</v>
      </c>
      <c r="P851">
        <v>0</v>
      </c>
      <c r="Q851">
        <v>4</v>
      </c>
    </row>
    <row r="852" spans="1:17" x14ac:dyDescent="0.25">
      <c r="B852" t="s">
        <v>293</v>
      </c>
      <c r="C852" t="s">
        <v>449</v>
      </c>
      <c r="D852">
        <v>2115</v>
      </c>
      <c r="E852">
        <v>6</v>
      </c>
      <c r="F852" t="s">
        <v>68</v>
      </c>
      <c r="G852">
        <v>6200</v>
      </c>
      <c r="H852" t="s">
        <v>148</v>
      </c>
      <c r="I852" t="s">
        <v>144</v>
      </c>
      <c r="K852">
        <v>45352.373090277775</v>
      </c>
      <c r="O852">
        <v>24</v>
      </c>
      <c r="P852">
        <v>0</v>
      </c>
      <c r="Q852">
        <v>6</v>
      </c>
    </row>
    <row r="853" spans="1:17" x14ac:dyDescent="0.25">
      <c r="B853" t="s">
        <v>293</v>
      </c>
      <c r="C853" t="s">
        <v>449</v>
      </c>
      <c r="D853">
        <v>2115</v>
      </c>
      <c r="E853">
        <v>3700</v>
      </c>
      <c r="F853" t="s">
        <v>68</v>
      </c>
      <c r="G853" t="s">
        <v>121</v>
      </c>
      <c r="H853" t="s">
        <v>122</v>
      </c>
      <c r="I853" t="s">
        <v>105</v>
      </c>
      <c r="K853">
        <v>45352.373229166667</v>
      </c>
      <c r="O853">
        <v>3000</v>
      </c>
      <c r="P853">
        <v>1</v>
      </c>
      <c r="Q853">
        <v>700.00000000000023</v>
      </c>
    </row>
    <row r="854" spans="1:17" x14ac:dyDescent="0.25">
      <c r="B854" t="s">
        <v>293</v>
      </c>
      <c r="C854" t="s">
        <v>449</v>
      </c>
      <c r="D854">
        <v>2121</v>
      </c>
      <c r="E854">
        <v>12000</v>
      </c>
      <c r="F854" t="s">
        <v>68</v>
      </c>
      <c r="G854" t="s">
        <v>103</v>
      </c>
      <c r="H854" t="s">
        <v>104</v>
      </c>
      <c r="I854" t="s">
        <v>105</v>
      </c>
      <c r="K854">
        <v>45352.373437499999</v>
      </c>
      <c r="O854">
        <v>2400</v>
      </c>
      <c r="P854">
        <v>5</v>
      </c>
      <c r="Q854">
        <v>0</v>
      </c>
    </row>
    <row r="855" spans="1:17" x14ac:dyDescent="0.25">
      <c r="B855" t="s">
        <v>293</v>
      </c>
      <c r="C855" t="s">
        <v>449</v>
      </c>
      <c r="D855">
        <v>2121</v>
      </c>
      <c r="E855">
        <v>500</v>
      </c>
      <c r="F855" t="s">
        <v>68</v>
      </c>
      <c r="G855" t="s">
        <v>115</v>
      </c>
      <c r="H855" t="s">
        <v>116</v>
      </c>
      <c r="I855" t="s">
        <v>105</v>
      </c>
      <c r="K855">
        <v>45352.373449074075</v>
      </c>
      <c r="O855">
        <v>1200</v>
      </c>
      <c r="P855">
        <v>0</v>
      </c>
      <c r="Q855">
        <v>500</v>
      </c>
    </row>
    <row r="856" spans="1:17" x14ac:dyDescent="0.25">
      <c r="B856" t="s">
        <v>293</v>
      </c>
      <c r="C856" t="s">
        <v>449</v>
      </c>
      <c r="D856">
        <v>2114</v>
      </c>
      <c r="E856">
        <v>240</v>
      </c>
      <c r="F856" t="s">
        <v>68</v>
      </c>
      <c r="G856" t="s">
        <v>163</v>
      </c>
      <c r="H856" t="s">
        <v>164</v>
      </c>
      <c r="I856" t="s">
        <v>165</v>
      </c>
      <c r="K856">
        <v>45352.373449074075</v>
      </c>
      <c r="O856">
        <v>300</v>
      </c>
      <c r="P856">
        <v>0</v>
      </c>
      <c r="Q856">
        <v>240</v>
      </c>
    </row>
    <row r="857" spans="1:17" x14ac:dyDescent="0.25">
      <c r="B857" t="s">
        <v>293</v>
      </c>
      <c r="C857" t="s">
        <v>449</v>
      </c>
      <c r="D857">
        <v>2114</v>
      </c>
      <c r="E857">
        <v>10</v>
      </c>
      <c r="F857" t="s">
        <v>68</v>
      </c>
      <c r="G857">
        <v>6800</v>
      </c>
      <c r="H857" t="s">
        <v>150</v>
      </c>
      <c r="I857" t="s">
        <v>144</v>
      </c>
      <c r="K857">
        <v>45352.373449074075</v>
      </c>
      <c r="O857">
        <v>4</v>
      </c>
      <c r="P857">
        <v>2</v>
      </c>
      <c r="Q857">
        <v>2</v>
      </c>
    </row>
    <row r="858" spans="1:17" x14ac:dyDescent="0.25">
      <c r="B858" t="s">
        <v>293</v>
      </c>
      <c r="C858" t="s">
        <v>449</v>
      </c>
      <c r="D858">
        <v>2114</v>
      </c>
      <c r="E858">
        <v>50</v>
      </c>
      <c r="F858" t="s">
        <v>68</v>
      </c>
      <c r="G858">
        <v>6885</v>
      </c>
      <c r="H858" t="s">
        <v>169</v>
      </c>
      <c r="I858" t="s">
        <v>144</v>
      </c>
      <c r="K858">
        <v>45352.373460648145</v>
      </c>
      <c r="O858">
        <v>100</v>
      </c>
      <c r="P858">
        <v>0</v>
      </c>
      <c r="Q858">
        <v>50</v>
      </c>
    </row>
    <row r="859" spans="1:17" x14ac:dyDescent="0.25">
      <c r="B859" t="s">
        <v>293</v>
      </c>
      <c r="C859" t="s">
        <v>449</v>
      </c>
      <c r="D859">
        <v>2110</v>
      </c>
      <c r="E859">
        <v>36</v>
      </c>
      <c r="F859" t="s">
        <v>68</v>
      </c>
      <c r="G859" t="s">
        <v>166</v>
      </c>
      <c r="H859" t="s">
        <v>167</v>
      </c>
      <c r="K859">
        <v>45352.373460648145</v>
      </c>
      <c r="O859">
        <v>4</v>
      </c>
      <c r="P859">
        <v>9</v>
      </c>
      <c r="Q859">
        <v>0</v>
      </c>
    </row>
    <row r="860" spans="1:17" x14ac:dyDescent="0.25">
      <c r="A860" t="s">
        <v>497</v>
      </c>
      <c r="B860" t="s">
        <v>293</v>
      </c>
      <c r="C860">
        <v>41219425</v>
      </c>
      <c r="D860">
        <v>1426</v>
      </c>
      <c r="E860">
        <v>12000</v>
      </c>
      <c r="F860" t="s">
        <v>68</v>
      </c>
      <c r="G860" t="s">
        <v>123</v>
      </c>
      <c r="H860" t="s">
        <v>124</v>
      </c>
      <c r="I860" t="s">
        <v>105</v>
      </c>
      <c r="J860">
        <v>0</v>
      </c>
      <c r="K860">
        <v>45352.662499999999</v>
      </c>
      <c r="L860">
        <v>79300</v>
      </c>
      <c r="O860">
        <v>2400</v>
      </c>
      <c r="P860">
        <v>5</v>
      </c>
      <c r="Q860">
        <v>0</v>
      </c>
    </row>
    <row r="861" spans="1:17" x14ac:dyDescent="0.25">
      <c r="A861" t="s">
        <v>497</v>
      </c>
      <c r="B861" t="s">
        <v>293</v>
      </c>
      <c r="C861">
        <v>41219425</v>
      </c>
      <c r="D861">
        <v>1426</v>
      </c>
      <c r="E861">
        <v>250</v>
      </c>
      <c r="F861" t="s">
        <v>68</v>
      </c>
      <c r="G861" t="s">
        <v>155</v>
      </c>
      <c r="H861" t="s">
        <v>156</v>
      </c>
      <c r="J861">
        <v>0</v>
      </c>
      <c r="K861">
        <v>45352.662592592591</v>
      </c>
      <c r="L861">
        <v>1602</v>
      </c>
      <c r="O861">
        <v>24</v>
      </c>
      <c r="P861">
        <v>10</v>
      </c>
      <c r="Q861">
        <v>9.9999999999999858</v>
      </c>
    </row>
    <row r="862" spans="1:17" x14ac:dyDescent="0.25">
      <c r="A862" t="s">
        <v>497</v>
      </c>
      <c r="B862" t="s">
        <v>293</v>
      </c>
      <c r="C862">
        <v>41219425</v>
      </c>
      <c r="D862">
        <v>1426</v>
      </c>
      <c r="E862">
        <v>120</v>
      </c>
      <c r="F862" t="s">
        <v>68</v>
      </c>
      <c r="G862" t="s">
        <v>201</v>
      </c>
      <c r="H862" t="s">
        <v>202</v>
      </c>
      <c r="I862" t="s">
        <v>144</v>
      </c>
      <c r="J862">
        <v>0</v>
      </c>
      <c r="K862">
        <v>45352.662615740737</v>
      </c>
      <c r="L862">
        <v>5060</v>
      </c>
      <c r="O862">
        <v>100</v>
      </c>
      <c r="P862">
        <v>1</v>
      </c>
      <c r="Q862">
        <v>19.999999999999996</v>
      </c>
    </row>
    <row r="863" spans="1:17" x14ac:dyDescent="0.25">
      <c r="A863" t="s">
        <v>497</v>
      </c>
      <c r="B863" t="s">
        <v>293</v>
      </c>
      <c r="C863">
        <v>41219425</v>
      </c>
      <c r="D863">
        <v>1426</v>
      </c>
      <c r="E863">
        <v>2</v>
      </c>
      <c r="F863" t="s">
        <v>68</v>
      </c>
      <c r="G863">
        <v>81066</v>
      </c>
      <c r="H863" t="s">
        <v>181</v>
      </c>
      <c r="J863">
        <v>0</v>
      </c>
      <c r="K863">
        <v>45352.662638888891</v>
      </c>
      <c r="L863">
        <v>84</v>
      </c>
      <c r="O863">
        <v>40</v>
      </c>
      <c r="P863">
        <v>0</v>
      </c>
      <c r="Q863">
        <v>2</v>
      </c>
    </row>
    <row r="864" spans="1:17" x14ac:dyDescent="0.25">
      <c r="A864" t="s">
        <v>497</v>
      </c>
      <c r="B864" t="s">
        <v>293</v>
      </c>
      <c r="C864">
        <v>41218860</v>
      </c>
      <c r="D864">
        <v>1427</v>
      </c>
      <c r="E864">
        <v>2</v>
      </c>
      <c r="F864" t="s">
        <v>68</v>
      </c>
      <c r="G864" t="s">
        <v>182</v>
      </c>
      <c r="H864" t="s">
        <v>183</v>
      </c>
      <c r="J864">
        <v>0</v>
      </c>
      <c r="K864">
        <v>45352.662662037037</v>
      </c>
      <c r="L864">
        <v>2</v>
      </c>
      <c r="O864">
        <v>36</v>
      </c>
      <c r="P864">
        <v>0</v>
      </c>
      <c r="Q864">
        <v>2</v>
      </c>
    </row>
    <row r="865" spans="1:17" x14ac:dyDescent="0.25">
      <c r="A865" t="s">
        <v>497</v>
      </c>
      <c r="B865" t="s">
        <v>293</v>
      </c>
      <c r="C865">
        <v>41218860</v>
      </c>
      <c r="D865">
        <v>1427</v>
      </c>
      <c r="E865">
        <v>120</v>
      </c>
      <c r="F865" t="s">
        <v>68</v>
      </c>
      <c r="G865">
        <v>6001</v>
      </c>
      <c r="H865" t="s">
        <v>149</v>
      </c>
      <c r="I865" t="s">
        <v>144</v>
      </c>
      <c r="J865">
        <v>0</v>
      </c>
      <c r="K865">
        <v>45352.662685185183</v>
      </c>
      <c r="L865">
        <v>4300</v>
      </c>
      <c r="O865">
        <v>60</v>
      </c>
      <c r="P865">
        <v>2</v>
      </c>
      <c r="Q865">
        <v>0</v>
      </c>
    </row>
    <row r="866" spans="1:17" x14ac:dyDescent="0.25">
      <c r="A866" t="s">
        <v>497</v>
      </c>
      <c r="B866" t="s">
        <v>293</v>
      </c>
      <c r="C866">
        <v>41219252</v>
      </c>
      <c r="D866">
        <v>1428</v>
      </c>
      <c r="E866">
        <v>1000</v>
      </c>
      <c r="F866" t="s">
        <v>68</v>
      </c>
      <c r="G866" t="s">
        <v>179</v>
      </c>
      <c r="H866" t="s">
        <v>180</v>
      </c>
      <c r="I866" t="s">
        <v>144</v>
      </c>
      <c r="J866">
        <v>0</v>
      </c>
      <c r="K866">
        <v>45352.66269675926</v>
      </c>
      <c r="L866">
        <v>29000</v>
      </c>
      <c r="O866">
        <v>2000</v>
      </c>
      <c r="P866">
        <v>0</v>
      </c>
      <c r="Q866">
        <v>1000</v>
      </c>
    </row>
    <row r="867" spans="1:17" x14ac:dyDescent="0.25">
      <c r="A867" t="s">
        <v>497</v>
      </c>
      <c r="B867" t="s">
        <v>293</v>
      </c>
      <c r="C867">
        <v>41219252</v>
      </c>
      <c r="D867">
        <v>1428</v>
      </c>
      <c r="E867">
        <v>2500</v>
      </c>
      <c r="F867" t="s">
        <v>68</v>
      </c>
      <c r="G867" t="s">
        <v>146</v>
      </c>
      <c r="H867" t="s">
        <v>147</v>
      </c>
      <c r="I867" t="s">
        <v>144</v>
      </c>
      <c r="J867">
        <v>0</v>
      </c>
      <c r="K867">
        <v>45352.662731481483</v>
      </c>
      <c r="L867">
        <v>16120</v>
      </c>
      <c r="O867">
        <v>440</v>
      </c>
      <c r="P867">
        <v>5</v>
      </c>
      <c r="Q867">
        <v>299.99999999999994</v>
      </c>
    </row>
    <row r="868" spans="1:17" x14ac:dyDescent="0.25">
      <c r="A868" t="s">
        <v>497</v>
      </c>
      <c r="B868" t="s">
        <v>293</v>
      </c>
      <c r="C868">
        <v>41219949</v>
      </c>
      <c r="D868">
        <v>1429</v>
      </c>
      <c r="E868">
        <v>240</v>
      </c>
      <c r="F868" t="s">
        <v>68</v>
      </c>
      <c r="G868" t="s">
        <v>163</v>
      </c>
      <c r="H868" t="s">
        <v>164</v>
      </c>
      <c r="I868" t="s">
        <v>165</v>
      </c>
      <c r="J868">
        <v>0</v>
      </c>
      <c r="K868">
        <v>45352.662777777776</v>
      </c>
      <c r="L868">
        <v>-7486</v>
      </c>
      <c r="O868">
        <v>300</v>
      </c>
      <c r="P868">
        <v>0</v>
      </c>
      <c r="Q868">
        <v>240</v>
      </c>
    </row>
    <row r="869" spans="1:17" x14ac:dyDescent="0.25">
      <c r="A869" t="s">
        <v>497</v>
      </c>
      <c r="B869" t="s">
        <v>293</v>
      </c>
      <c r="C869">
        <v>41219949</v>
      </c>
      <c r="D869">
        <v>1429</v>
      </c>
      <c r="E869">
        <v>50</v>
      </c>
      <c r="F869" t="s">
        <v>68</v>
      </c>
      <c r="G869">
        <v>6885</v>
      </c>
      <c r="H869" t="s">
        <v>169</v>
      </c>
      <c r="I869" t="s">
        <v>144</v>
      </c>
      <c r="J869">
        <v>0</v>
      </c>
      <c r="K869">
        <v>45352.662812499999</v>
      </c>
      <c r="L869">
        <v>360</v>
      </c>
      <c r="O869">
        <v>100</v>
      </c>
      <c r="P869">
        <v>0</v>
      </c>
      <c r="Q869">
        <v>50</v>
      </c>
    </row>
    <row r="870" spans="1:17" x14ac:dyDescent="0.25">
      <c r="A870" t="s">
        <v>497</v>
      </c>
      <c r="B870" t="s">
        <v>293</v>
      </c>
      <c r="C870">
        <v>41219949</v>
      </c>
      <c r="D870">
        <v>1429</v>
      </c>
      <c r="E870">
        <v>10</v>
      </c>
      <c r="F870" t="s">
        <v>68</v>
      </c>
      <c r="G870">
        <v>6800</v>
      </c>
      <c r="H870" t="s">
        <v>150</v>
      </c>
      <c r="I870" t="s">
        <v>144</v>
      </c>
      <c r="J870">
        <v>0</v>
      </c>
      <c r="K870">
        <v>45352.662824074076</v>
      </c>
      <c r="L870">
        <v>94</v>
      </c>
      <c r="O870">
        <v>4</v>
      </c>
      <c r="P870">
        <v>2</v>
      </c>
      <c r="Q870">
        <v>2</v>
      </c>
    </row>
    <row r="871" spans="1:17" x14ac:dyDescent="0.25">
      <c r="A871" t="s">
        <v>497</v>
      </c>
      <c r="B871" t="s">
        <v>293</v>
      </c>
      <c r="C871">
        <v>41218896</v>
      </c>
      <c r="D871">
        <v>1430</v>
      </c>
      <c r="E871">
        <v>3700</v>
      </c>
      <c r="F871" t="s">
        <v>68</v>
      </c>
      <c r="G871" t="s">
        <v>121</v>
      </c>
      <c r="H871" t="s">
        <v>122</v>
      </c>
      <c r="I871" t="s">
        <v>105</v>
      </c>
      <c r="J871">
        <v>0</v>
      </c>
      <c r="K871">
        <v>45352.662835648145</v>
      </c>
      <c r="L871">
        <v>27500</v>
      </c>
      <c r="O871">
        <v>3000</v>
      </c>
      <c r="P871">
        <v>1</v>
      </c>
      <c r="Q871">
        <v>700.00000000000023</v>
      </c>
    </row>
    <row r="872" spans="1:17" x14ac:dyDescent="0.25">
      <c r="A872" t="s">
        <v>497</v>
      </c>
      <c r="B872" t="s">
        <v>293</v>
      </c>
      <c r="C872">
        <v>41218896</v>
      </c>
      <c r="D872">
        <v>1430</v>
      </c>
      <c r="E872">
        <v>6</v>
      </c>
      <c r="F872" t="s">
        <v>68</v>
      </c>
      <c r="G872">
        <v>6200</v>
      </c>
      <c r="H872" t="s">
        <v>148</v>
      </c>
      <c r="I872" t="s">
        <v>144</v>
      </c>
      <c r="J872">
        <v>0</v>
      </c>
      <c r="K872">
        <v>45352.662847222222</v>
      </c>
      <c r="L872">
        <v>123</v>
      </c>
      <c r="O872">
        <v>24</v>
      </c>
      <c r="P872">
        <v>0</v>
      </c>
      <c r="Q872">
        <v>6</v>
      </c>
    </row>
    <row r="873" spans="1:17" x14ac:dyDescent="0.25">
      <c r="A873" t="s">
        <v>497</v>
      </c>
      <c r="B873" t="s">
        <v>293</v>
      </c>
      <c r="C873">
        <v>41219694</v>
      </c>
      <c r="D873">
        <v>1431</v>
      </c>
      <c r="E873">
        <v>175</v>
      </c>
      <c r="F873" t="s">
        <v>127</v>
      </c>
      <c r="G873" t="s">
        <v>133</v>
      </c>
      <c r="H873" t="s">
        <v>134</v>
      </c>
      <c r="I873" t="s">
        <v>130</v>
      </c>
      <c r="J873">
        <v>0</v>
      </c>
      <c r="K873">
        <v>45352.662858796299</v>
      </c>
      <c r="L873">
        <v>1710</v>
      </c>
      <c r="O873">
        <v>10</v>
      </c>
      <c r="P873">
        <v>17</v>
      </c>
      <c r="Q873">
        <v>5</v>
      </c>
    </row>
    <row r="874" spans="1:17" x14ac:dyDescent="0.25">
      <c r="A874" t="s">
        <v>497</v>
      </c>
      <c r="B874" t="s">
        <v>293</v>
      </c>
      <c r="C874">
        <v>41219694</v>
      </c>
      <c r="D874">
        <v>1431</v>
      </c>
      <c r="E874">
        <v>4</v>
      </c>
      <c r="F874" t="s">
        <v>127</v>
      </c>
      <c r="G874" t="s">
        <v>131</v>
      </c>
      <c r="H874" t="s">
        <v>132</v>
      </c>
      <c r="I874" t="s">
        <v>130</v>
      </c>
      <c r="J874">
        <v>0</v>
      </c>
      <c r="K874">
        <v>45352.662870370368</v>
      </c>
      <c r="L874">
        <v>4766</v>
      </c>
      <c r="O874">
        <v>10</v>
      </c>
      <c r="P874">
        <v>0</v>
      </c>
      <c r="Q874">
        <v>4</v>
      </c>
    </row>
    <row r="875" spans="1:17" x14ac:dyDescent="0.25">
      <c r="A875" t="s">
        <v>497</v>
      </c>
      <c r="B875" t="s">
        <v>293</v>
      </c>
      <c r="C875">
        <v>41217314</v>
      </c>
      <c r="D875">
        <v>1432</v>
      </c>
      <c r="E875">
        <v>144</v>
      </c>
      <c r="F875" t="s">
        <v>135</v>
      </c>
      <c r="G875" t="s">
        <v>140</v>
      </c>
      <c r="H875" t="s">
        <v>137</v>
      </c>
      <c r="I875" t="s">
        <v>138</v>
      </c>
      <c r="J875">
        <v>0</v>
      </c>
      <c r="K875">
        <v>45352.662881944445</v>
      </c>
      <c r="L875">
        <v>2658</v>
      </c>
      <c r="O875">
        <v>144</v>
      </c>
      <c r="P875">
        <v>1</v>
      </c>
      <c r="Q875">
        <v>0</v>
      </c>
    </row>
    <row r="876" spans="1:17" x14ac:dyDescent="0.25">
      <c r="A876" t="s">
        <v>497</v>
      </c>
      <c r="B876" t="s">
        <v>293</v>
      </c>
      <c r="C876">
        <v>41219951</v>
      </c>
      <c r="D876">
        <v>1433</v>
      </c>
      <c r="E876">
        <v>10</v>
      </c>
      <c r="F876" t="s">
        <v>68</v>
      </c>
      <c r="G876" t="s">
        <v>157</v>
      </c>
      <c r="H876" t="s">
        <v>156</v>
      </c>
      <c r="J876">
        <v>0</v>
      </c>
      <c r="K876">
        <v>45352.662893518522</v>
      </c>
      <c r="L876">
        <v>1108</v>
      </c>
      <c r="O876">
        <v>12</v>
      </c>
      <c r="P876">
        <v>0</v>
      </c>
      <c r="Q876">
        <v>10</v>
      </c>
    </row>
    <row r="877" spans="1:17" x14ac:dyDescent="0.25">
      <c r="A877" t="s">
        <v>497</v>
      </c>
      <c r="B877" t="s">
        <v>293</v>
      </c>
      <c r="C877">
        <v>41219951</v>
      </c>
      <c r="D877">
        <v>1433</v>
      </c>
      <c r="E877">
        <v>200</v>
      </c>
      <c r="F877" t="s">
        <v>68</v>
      </c>
      <c r="G877" t="s">
        <v>153</v>
      </c>
      <c r="H877" t="s">
        <v>154</v>
      </c>
      <c r="I877" t="s">
        <v>105</v>
      </c>
      <c r="J877">
        <v>0</v>
      </c>
      <c r="K877">
        <v>45352.662905092591</v>
      </c>
      <c r="L877">
        <v>1800</v>
      </c>
      <c r="O877">
        <v>100</v>
      </c>
      <c r="P877">
        <v>2</v>
      </c>
      <c r="Q877">
        <v>0</v>
      </c>
    </row>
    <row r="878" spans="1:17" x14ac:dyDescent="0.25">
      <c r="A878" t="s">
        <v>497</v>
      </c>
      <c r="B878" t="s">
        <v>293</v>
      </c>
      <c r="C878">
        <v>41217777</v>
      </c>
      <c r="D878">
        <v>1434</v>
      </c>
      <c r="E878">
        <v>10000</v>
      </c>
      <c r="F878" t="s">
        <v>68</v>
      </c>
      <c r="G878" t="s">
        <v>107</v>
      </c>
      <c r="H878" t="s">
        <v>108</v>
      </c>
      <c r="I878" t="s">
        <v>105</v>
      </c>
      <c r="J878">
        <v>0</v>
      </c>
      <c r="K878">
        <v>45352.662916666668</v>
      </c>
      <c r="L878">
        <v>600</v>
      </c>
      <c r="O878">
        <v>1200</v>
      </c>
      <c r="P878">
        <v>8</v>
      </c>
      <c r="Q878">
        <v>400.00000000000068</v>
      </c>
    </row>
    <row r="879" spans="1:17" x14ac:dyDescent="0.25">
      <c r="A879" t="s">
        <v>497</v>
      </c>
      <c r="B879" t="s">
        <v>293</v>
      </c>
      <c r="C879">
        <v>41220015</v>
      </c>
      <c r="D879">
        <v>1435</v>
      </c>
      <c r="E879">
        <v>12000</v>
      </c>
      <c r="F879" t="s">
        <v>68</v>
      </c>
      <c r="G879" t="s">
        <v>103</v>
      </c>
      <c r="H879" t="s">
        <v>104</v>
      </c>
      <c r="I879" t="s">
        <v>105</v>
      </c>
      <c r="J879">
        <v>0</v>
      </c>
      <c r="K879">
        <v>45352.662951388891</v>
      </c>
      <c r="L879">
        <v>29900</v>
      </c>
      <c r="O879">
        <v>2400</v>
      </c>
      <c r="P879">
        <v>5</v>
      </c>
      <c r="Q879">
        <v>0</v>
      </c>
    </row>
    <row r="880" spans="1:17" x14ac:dyDescent="0.25">
      <c r="A880" t="s">
        <v>497</v>
      </c>
      <c r="B880" t="s">
        <v>293</v>
      </c>
      <c r="C880">
        <v>41220015</v>
      </c>
      <c r="D880">
        <v>1435</v>
      </c>
      <c r="E880">
        <v>500</v>
      </c>
      <c r="F880" t="s">
        <v>68</v>
      </c>
      <c r="G880" t="s">
        <v>115</v>
      </c>
      <c r="H880" t="s">
        <v>116</v>
      </c>
      <c r="I880" t="s">
        <v>105</v>
      </c>
      <c r="J880">
        <v>0</v>
      </c>
      <c r="K880">
        <v>45352.662962962961</v>
      </c>
      <c r="L880">
        <v>10800</v>
      </c>
      <c r="O880">
        <v>1200</v>
      </c>
      <c r="P880">
        <v>0</v>
      </c>
      <c r="Q880">
        <v>500</v>
      </c>
    </row>
    <row r="881" spans="1:17" x14ac:dyDescent="0.25">
      <c r="A881" t="s">
        <v>497</v>
      </c>
      <c r="B881" t="s">
        <v>293</v>
      </c>
      <c r="C881">
        <v>41217485</v>
      </c>
      <c r="D881">
        <v>1436</v>
      </c>
      <c r="E881">
        <v>130</v>
      </c>
      <c r="F881" t="s">
        <v>68</v>
      </c>
      <c r="G881" t="s">
        <v>151</v>
      </c>
      <c r="H881" t="s">
        <v>152</v>
      </c>
      <c r="I881" t="s">
        <v>105</v>
      </c>
      <c r="J881">
        <v>0</v>
      </c>
      <c r="K881">
        <v>45352.662986111114</v>
      </c>
      <c r="L881">
        <v>656</v>
      </c>
      <c r="O881">
        <v>200</v>
      </c>
      <c r="P881">
        <v>0</v>
      </c>
      <c r="Q881">
        <v>130</v>
      </c>
    </row>
    <row r="882" spans="1:17" x14ac:dyDescent="0.25">
      <c r="B882" t="s">
        <v>498</v>
      </c>
      <c r="C882" t="s">
        <v>67</v>
      </c>
      <c r="D882" t="s">
        <v>67</v>
      </c>
      <c r="E882">
        <v>4000</v>
      </c>
      <c r="F882" t="s">
        <v>68</v>
      </c>
      <c r="G882" t="s">
        <v>163</v>
      </c>
      <c r="H882" t="s">
        <v>164</v>
      </c>
      <c r="I882" t="s">
        <v>165</v>
      </c>
      <c r="J882">
        <v>1</v>
      </c>
      <c r="K882">
        <v>45355.693865740737</v>
      </c>
      <c r="L882">
        <v>-3486</v>
      </c>
      <c r="M882" t="s">
        <v>499</v>
      </c>
      <c r="O882">
        <v>12</v>
      </c>
      <c r="P882">
        <v>333</v>
      </c>
      <c r="Q882">
        <v>3.9999999999997726</v>
      </c>
    </row>
    <row r="883" spans="1:17" x14ac:dyDescent="0.25">
      <c r="B883" t="s">
        <v>500</v>
      </c>
      <c r="C883" t="s">
        <v>67</v>
      </c>
      <c r="D883" t="s">
        <v>67</v>
      </c>
      <c r="E883">
        <v>2500</v>
      </c>
      <c r="F883" t="s">
        <v>127</v>
      </c>
      <c r="G883" t="s">
        <v>128</v>
      </c>
      <c r="H883" t="s">
        <v>129</v>
      </c>
      <c r="I883" t="s">
        <v>130</v>
      </c>
      <c r="J883">
        <v>1</v>
      </c>
      <c r="K883">
        <v>45355.681307870371</v>
      </c>
      <c r="L883">
        <v>2510</v>
      </c>
      <c r="M883" t="s">
        <v>501</v>
      </c>
      <c r="O883">
        <v>10</v>
      </c>
      <c r="P883">
        <v>250</v>
      </c>
      <c r="Q883">
        <v>0</v>
      </c>
    </row>
    <row r="884" spans="1:17" x14ac:dyDescent="0.25">
      <c r="B884">
        <v>6</v>
      </c>
      <c r="C884">
        <v>41219432</v>
      </c>
      <c r="D884">
        <v>1484</v>
      </c>
      <c r="E884">
        <v>1600</v>
      </c>
      <c r="F884" t="s">
        <v>68</v>
      </c>
      <c r="G884" t="s">
        <v>170</v>
      </c>
      <c r="H884" t="s">
        <v>171</v>
      </c>
      <c r="I884" t="s">
        <v>105</v>
      </c>
      <c r="J884">
        <v>0</v>
      </c>
      <c r="K884">
        <v>45356.530497685184</v>
      </c>
      <c r="L884">
        <v>7800</v>
      </c>
      <c r="O884">
        <v>2400</v>
      </c>
      <c r="P884">
        <v>0</v>
      </c>
      <c r="Q884">
        <v>1600</v>
      </c>
    </row>
    <row r="885" spans="1:17" x14ac:dyDescent="0.25">
      <c r="B885">
        <v>6</v>
      </c>
      <c r="C885">
        <v>41219432</v>
      </c>
      <c r="D885">
        <v>1484</v>
      </c>
      <c r="E885">
        <v>600</v>
      </c>
      <c r="F885" t="s">
        <v>68</v>
      </c>
      <c r="G885" t="s">
        <v>107</v>
      </c>
      <c r="H885" t="s">
        <v>108</v>
      </c>
      <c r="I885" t="s">
        <v>105</v>
      </c>
      <c r="J885">
        <v>0</v>
      </c>
      <c r="K885">
        <v>45356.530740740738</v>
      </c>
      <c r="L885">
        <v>0</v>
      </c>
      <c r="O885">
        <v>1200</v>
      </c>
      <c r="P885">
        <v>0</v>
      </c>
      <c r="Q885">
        <v>600</v>
      </c>
    </row>
    <row r="886" spans="1:17" x14ac:dyDescent="0.25">
      <c r="B886">
        <v>6</v>
      </c>
      <c r="C886">
        <v>41220183</v>
      </c>
      <c r="D886">
        <v>1485</v>
      </c>
      <c r="E886">
        <v>2000</v>
      </c>
      <c r="F886" t="s">
        <v>68</v>
      </c>
      <c r="G886" t="s">
        <v>103</v>
      </c>
      <c r="H886" t="s">
        <v>104</v>
      </c>
      <c r="I886" t="s">
        <v>105</v>
      </c>
      <c r="J886">
        <v>0</v>
      </c>
      <c r="K886">
        <v>45356.530844907407</v>
      </c>
      <c r="L886">
        <v>27900</v>
      </c>
      <c r="O886">
        <v>2400</v>
      </c>
      <c r="P886">
        <v>0</v>
      </c>
      <c r="Q886">
        <v>2000</v>
      </c>
    </row>
    <row r="887" spans="1:17" x14ac:dyDescent="0.25">
      <c r="B887">
        <v>6</v>
      </c>
      <c r="C887">
        <v>41220183</v>
      </c>
      <c r="D887">
        <v>1486</v>
      </c>
      <c r="E887">
        <v>2000</v>
      </c>
      <c r="G887" t="s">
        <v>103</v>
      </c>
      <c r="H887" t="s">
        <v>104</v>
      </c>
      <c r="I887" t="s">
        <v>105</v>
      </c>
      <c r="J887">
        <v>0</v>
      </c>
      <c r="K887">
        <v>45356.722627314812</v>
      </c>
      <c r="L887">
        <v>25900</v>
      </c>
      <c r="O887">
        <v>2400</v>
      </c>
      <c r="P887">
        <v>0</v>
      </c>
      <c r="Q887">
        <v>2000</v>
      </c>
    </row>
    <row r="888" spans="1:17" x14ac:dyDescent="0.25">
      <c r="B888">
        <v>6</v>
      </c>
      <c r="C888">
        <v>41220281</v>
      </c>
      <c r="D888">
        <v>1487</v>
      </c>
      <c r="E888">
        <v>5000</v>
      </c>
      <c r="F888" t="s">
        <v>68</v>
      </c>
      <c r="G888" t="s">
        <v>146</v>
      </c>
      <c r="H888" t="s">
        <v>147</v>
      </c>
      <c r="I888" t="s">
        <v>144</v>
      </c>
      <c r="J888">
        <v>0</v>
      </c>
      <c r="K888">
        <v>45356.722673611112</v>
      </c>
      <c r="L888">
        <v>11120</v>
      </c>
      <c r="O888">
        <v>440</v>
      </c>
      <c r="P888">
        <v>11</v>
      </c>
      <c r="Q888">
        <v>159.99999999999986</v>
      </c>
    </row>
    <row r="889" spans="1:17" x14ac:dyDescent="0.25">
      <c r="B889">
        <v>6</v>
      </c>
      <c r="C889">
        <v>41220281</v>
      </c>
      <c r="D889">
        <v>1487</v>
      </c>
      <c r="E889">
        <v>10</v>
      </c>
      <c r="F889" t="s">
        <v>68</v>
      </c>
      <c r="G889" t="s">
        <v>182</v>
      </c>
      <c r="H889" t="s">
        <v>183</v>
      </c>
      <c r="J889">
        <v>0</v>
      </c>
      <c r="K889">
        <v>45356.722719907404</v>
      </c>
      <c r="L889">
        <v>-8</v>
      </c>
      <c r="O889">
        <v>36</v>
      </c>
      <c r="P889">
        <v>0</v>
      </c>
      <c r="Q889">
        <v>10</v>
      </c>
    </row>
    <row r="890" spans="1:17" x14ac:dyDescent="0.25">
      <c r="B890">
        <v>6</v>
      </c>
      <c r="C890">
        <v>41220289</v>
      </c>
      <c r="D890">
        <v>1488</v>
      </c>
      <c r="E890">
        <v>30</v>
      </c>
      <c r="F890" t="s">
        <v>68</v>
      </c>
      <c r="G890">
        <v>6800</v>
      </c>
      <c r="H890" t="s">
        <v>150</v>
      </c>
      <c r="I890" t="s">
        <v>144</v>
      </c>
      <c r="J890">
        <v>0</v>
      </c>
      <c r="K890">
        <v>45356.72278935185</v>
      </c>
      <c r="L890">
        <v>64</v>
      </c>
      <c r="O890">
        <v>4</v>
      </c>
      <c r="P890">
        <v>7</v>
      </c>
      <c r="Q890">
        <v>2</v>
      </c>
    </row>
    <row r="891" spans="1:17" x14ac:dyDescent="0.25">
      <c r="B891">
        <v>6</v>
      </c>
      <c r="C891">
        <v>41220183</v>
      </c>
      <c r="D891">
        <v>1489</v>
      </c>
      <c r="E891">
        <v>2000</v>
      </c>
      <c r="F891" t="s">
        <v>68</v>
      </c>
      <c r="G891" t="s">
        <v>103</v>
      </c>
      <c r="H891" t="s">
        <v>104</v>
      </c>
      <c r="I891" t="s">
        <v>105</v>
      </c>
      <c r="J891">
        <v>0</v>
      </c>
      <c r="K891">
        <v>45358.345636574071</v>
      </c>
      <c r="L891">
        <v>23900</v>
      </c>
      <c r="O891">
        <v>2400</v>
      </c>
      <c r="P891">
        <v>0</v>
      </c>
      <c r="Q891">
        <v>2000</v>
      </c>
    </row>
    <row r="892" spans="1:17" x14ac:dyDescent="0.25">
      <c r="B892">
        <v>6</v>
      </c>
      <c r="C892">
        <v>41219002</v>
      </c>
      <c r="D892">
        <v>1490</v>
      </c>
      <c r="E892">
        <v>200</v>
      </c>
      <c r="F892" t="s">
        <v>68</v>
      </c>
      <c r="G892" t="s">
        <v>166</v>
      </c>
      <c r="H892" t="s">
        <v>167</v>
      </c>
      <c r="J892">
        <v>0</v>
      </c>
      <c r="K892">
        <v>45358.345659722225</v>
      </c>
      <c r="L892">
        <v>291</v>
      </c>
      <c r="O892">
        <v>4</v>
      </c>
      <c r="P892">
        <v>50</v>
      </c>
      <c r="Q892">
        <v>0</v>
      </c>
    </row>
    <row r="893" spans="1:17" x14ac:dyDescent="0.25">
      <c r="B893">
        <v>6</v>
      </c>
      <c r="C893">
        <v>41219432</v>
      </c>
      <c r="D893">
        <v>1491</v>
      </c>
      <c r="E893">
        <v>1600</v>
      </c>
      <c r="F893" t="s">
        <v>68</v>
      </c>
      <c r="G893" t="s">
        <v>170</v>
      </c>
      <c r="H893" t="s">
        <v>171</v>
      </c>
      <c r="I893" t="s">
        <v>105</v>
      </c>
      <c r="J893">
        <v>0</v>
      </c>
      <c r="K893">
        <v>45358.345682870371</v>
      </c>
      <c r="L893">
        <v>6200</v>
      </c>
      <c r="O893">
        <v>2400</v>
      </c>
      <c r="P893">
        <v>0</v>
      </c>
      <c r="Q893">
        <v>1600</v>
      </c>
    </row>
    <row r="894" spans="1:17" x14ac:dyDescent="0.25">
      <c r="B894">
        <v>6</v>
      </c>
      <c r="C894">
        <v>41220281</v>
      </c>
      <c r="D894">
        <v>1492</v>
      </c>
      <c r="E894">
        <v>5000</v>
      </c>
      <c r="F894" t="s">
        <v>68</v>
      </c>
      <c r="G894" t="s">
        <v>146</v>
      </c>
      <c r="H894" t="s">
        <v>147</v>
      </c>
      <c r="I894" t="s">
        <v>144</v>
      </c>
      <c r="J894">
        <v>0</v>
      </c>
      <c r="K894">
        <v>45358.345694444448</v>
      </c>
      <c r="L894">
        <v>6120</v>
      </c>
      <c r="O894">
        <v>440</v>
      </c>
      <c r="P894">
        <v>11</v>
      </c>
      <c r="Q894">
        <v>159.99999999999986</v>
      </c>
    </row>
    <row r="895" spans="1:17" x14ac:dyDescent="0.25">
      <c r="B895">
        <v>6</v>
      </c>
      <c r="C895">
        <v>41220281</v>
      </c>
      <c r="D895">
        <v>1492</v>
      </c>
      <c r="E895">
        <v>10</v>
      </c>
      <c r="F895" t="s">
        <v>68</v>
      </c>
      <c r="G895" t="s">
        <v>182</v>
      </c>
      <c r="H895" t="s">
        <v>183</v>
      </c>
      <c r="J895">
        <v>0</v>
      </c>
      <c r="K895">
        <v>45358.345706018517</v>
      </c>
      <c r="L895">
        <v>-18</v>
      </c>
      <c r="O895">
        <v>36</v>
      </c>
      <c r="P895">
        <v>0</v>
      </c>
      <c r="Q895">
        <v>10</v>
      </c>
    </row>
    <row r="896" spans="1:17" x14ac:dyDescent="0.25">
      <c r="B896">
        <v>6</v>
      </c>
      <c r="C896">
        <v>41220281</v>
      </c>
      <c r="D896">
        <v>1492</v>
      </c>
      <c r="E896">
        <v>1000</v>
      </c>
      <c r="F896" t="s">
        <v>127</v>
      </c>
      <c r="G896" t="s">
        <v>128</v>
      </c>
      <c r="H896" t="s">
        <v>129</v>
      </c>
      <c r="I896" t="s">
        <v>130</v>
      </c>
      <c r="J896">
        <v>0</v>
      </c>
      <c r="K896">
        <v>45358.345729166664</v>
      </c>
      <c r="L896">
        <v>1510</v>
      </c>
      <c r="O896">
        <v>10</v>
      </c>
      <c r="P896">
        <v>100</v>
      </c>
      <c r="Q896">
        <v>0</v>
      </c>
    </row>
    <row r="897" spans="2:19" x14ac:dyDescent="0.25">
      <c r="B897">
        <v>6</v>
      </c>
      <c r="C897">
        <v>41217317</v>
      </c>
      <c r="D897">
        <v>1493</v>
      </c>
      <c r="E897">
        <v>2</v>
      </c>
      <c r="F897" t="s">
        <v>135</v>
      </c>
      <c r="G897" t="s">
        <v>225</v>
      </c>
      <c r="H897" t="s">
        <v>208</v>
      </c>
      <c r="I897" t="s">
        <v>209</v>
      </c>
      <c r="J897">
        <v>0</v>
      </c>
      <c r="K897">
        <v>45358.345752314817</v>
      </c>
      <c r="L897">
        <v>9</v>
      </c>
      <c r="O897">
        <v>1</v>
      </c>
      <c r="P897">
        <v>2</v>
      </c>
      <c r="Q897">
        <v>0</v>
      </c>
    </row>
    <row r="898" spans="2:19" x14ac:dyDescent="0.25">
      <c r="B898">
        <v>6</v>
      </c>
      <c r="C898">
        <v>41217317</v>
      </c>
      <c r="D898">
        <v>1493</v>
      </c>
      <c r="E898">
        <v>14</v>
      </c>
      <c r="F898" t="s">
        <v>135</v>
      </c>
      <c r="G898" t="s">
        <v>226</v>
      </c>
      <c r="H898" t="s">
        <v>208</v>
      </c>
      <c r="I898" t="s">
        <v>209</v>
      </c>
      <c r="J898">
        <v>0</v>
      </c>
      <c r="K898">
        <v>45358.345763888887</v>
      </c>
      <c r="L898">
        <v>10</v>
      </c>
      <c r="O898">
        <v>1</v>
      </c>
      <c r="P898">
        <v>14</v>
      </c>
      <c r="Q898">
        <v>0</v>
      </c>
    </row>
    <row r="899" spans="2:19" x14ac:dyDescent="0.25">
      <c r="B899">
        <v>6</v>
      </c>
      <c r="C899">
        <v>41217317</v>
      </c>
      <c r="D899">
        <v>1493</v>
      </c>
      <c r="E899">
        <v>5</v>
      </c>
      <c r="F899" t="s">
        <v>135</v>
      </c>
      <c r="G899" t="s">
        <v>332</v>
      </c>
      <c r="H899" t="s">
        <v>208</v>
      </c>
      <c r="I899" t="s">
        <v>209</v>
      </c>
      <c r="J899">
        <v>0</v>
      </c>
      <c r="K899">
        <v>45358.34578703704</v>
      </c>
      <c r="L899">
        <v>27</v>
      </c>
      <c r="O899">
        <v>1</v>
      </c>
      <c r="P899">
        <v>5</v>
      </c>
      <c r="Q899">
        <v>0</v>
      </c>
    </row>
    <row r="900" spans="2:19" x14ac:dyDescent="0.25">
      <c r="B900">
        <v>6</v>
      </c>
      <c r="C900">
        <v>41217317</v>
      </c>
      <c r="D900">
        <v>1493</v>
      </c>
      <c r="E900">
        <v>24</v>
      </c>
      <c r="F900" t="s">
        <v>135</v>
      </c>
      <c r="G900" t="s">
        <v>227</v>
      </c>
      <c r="H900" t="s">
        <v>208</v>
      </c>
      <c r="I900" t="s">
        <v>209</v>
      </c>
      <c r="J900">
        <v>0</v>
      </c>
      <c r="K900">
        <v>45358.34579861111</v>
      </c>
      <c r="L900">
        <v>46</v>
      </c>
      <c r="O900">
        <v>1</v>
      </c>
      <c r="P900">
        <v>24</v>
      </c>
      <c r="Q900">
        <v>0</v>
      </c>
    </row>
    <row r="901" spans="2:19" x14ac:dyDescent="0.25">
      <c r="B901">
        <v>6</v>
      </c>
      <c r="C901">
        <v>41217317</v>
      </c>
      <c r="D901">
        <v>1493</v>
      </c>
      <c r="E901">
        <v>40</v>
      </c>
      <c r="F901" t="s">
        <v>135</v>
      </c>
      <c r="G901" t="s">
        <v>216</v>
      </c>
      <c r="H901" t="s">
        <v>208</v>
      </c>
      <c r="I901" t="s">
        <v>209</v>
      </c>
      <c r="J901">
        <v>0</v>
      </c>
      <c r="K901">
        <v>45358.345821759256</v>
      </c>
      <c r="L901">
        <v>25</v>
      </c>
      <c r="O901">
        <v>1</v>
      </c>
      <c r="P901">
        <v>40</v>
      </c>
      <c r="Q901">
        <v>0</v>
      </c>
    </row>
    <row r="902" spans="2:19" x14ac:dyDescent="0.25">
      <c r="B902">
        <v>6</v>
      </c>
      <c r="C902">
        <v>41217317</v>
      </c>
      <c r="D902">
        <v>1493</v>
      </c>
      <c r="E902">
        <v>36</v>
      </c>
      <c r="F902" t="s">
        <v>135</v>
      </c>
      <c r="G902" t="s">
        <v>350</v>
      </c>
      <c r="H902" t="s">
        <v>208</v>
      </c>
      <c r="I902" t="s">
        <v>209</v>
      </c>
      <c r="J902">
        <v>0</v>
      </c>
      <c r="K902">
        <v>45358.34584490741</v>
      </c>
      <c r="L902">
        <v>40</v>
      </c>
      <c r="O902">
        <v>1</v>
      </c>
      <c r="P902">
        <v>36</v>
      </c>
      <c r="Q902">
        <v>0</v>
      </c>
    </row>
    <row r="903" spans="2:19" x14ac:dyDescent="0.25">
      <c r="B903">
        <v>4</v>
      </c>
      <c r="C903">
        <v>41219425</v>
      </c>
      <c r="D903">
        <v>1494</v>
      </c>
      <c r="E903">
        <v>10000</v>
      </c>
      <c r="F903" t="s">
        <v>68</v>
      </c>
      <c r="G903" t="s">
        <v>123</v>
      </c>
      <c r="H903" t="s">
        <v>124</v>
      </c>
      <c r="I903" t="s">
        <v>105</v>
      </c>
      <c r="J903">
        <v>0</v>
      </c>
      <c r="K903">
        <v>45358.510810185187</v>
      </c>
      <c r="L903">
        <v>69300</v>
      </c>
      <c r="O903">
        <v>2400</v>
      </c>
      <c r="P903">
        <v>4</v>
      </c>
      <c r="Q903">
        <v>400.00000000000068</v>
      </c>
    </row>
    <row r="904" spans="2:19" x14ac:dyDescent="0.25">
      <c r="B904">
        <v>4</v>
      </c>
      <c r="C904">
        <v>41219425</v>
      </c>
      <c r="D904">
        <v>1494</v>
      </c>
      <c r="E904">
        <v>240</v>
      </c>
      <c r="F904" t="s">
        <v>68</v>
      </c>
      <c r="G904" t="s">
        <v>155</v>
      </c>
      <c r="H904" t="s">
        <v>156</v>
      </c>
      <c r="J904">
        <v>0</v>
      </c>
      <c r="K904">
        <v>45358.510833333334</v>
      </c>
      <c r="L904">
        <v>1362</v>
      </c>
      <c r="O904">
        <v>24</v>
      </c>
      <c r="P904">
        <v>10</v>
      </c>
      <c r="Q904">
        <v>0</v>
      </c>
    </row>
    <row r="905" spans="2:19" x14ac:dyDescent="0.25">
      <c r="B905">
        <v>4</v>
      </c>
      <c r="C905">
        <v>41219425</v>
      </c>
      <c r="D905">
        <v>1494</v>
      </c>
      <c r="E905">
        <v>120</v>
      </c>
      <c r="F905" t="s">
        <v>68</v>
      </c>
      <c r="G905">
        <v>81066</v>
      </c>
      <c r="H905" t="s">
        <v>181</v>
      </c>
      <c r="J905">
        <v>0</v>
      </c>
      <c r="K905">
        <v>45358.510844907411</v>
      </c>
      <c r="L905">
        <v>-36</v>
      </c>
      <c r="O905">
        <v>40</v>
      </c>
      <c r="P905">
        <v>3</v>
      </c>
      <c r="Q905">
        <v>0</v>
      </c>
    </row>
    <row r="906" spans="2:19" x14ac:dyDescent="0.25">
      <c r="B906">
        <v>4</v>
      </c>
      <c r="C906">
        <v>41219425</v>
      </c>
      <c r="D906">
        <v>1494</v>
      </c>
      <c r="E906">
        <v>2</v>
      </c>
      <c r="F906" t="s">
        <v>68</v>
      </c>
      <c r="G906" t="s">
        <v>201</v>
      </c>
      <c r="H906" t="s">
        <v>202</v>
      </c>
      <c r="I906" t="s">
        <v>144</v>
      </c>
      <c r="J906">
        <v>0</v>
      </c>
      <c r="K906">
        <v>45358.51085648148</v>
      </c>
      <c r="L906">
        <v>5058</v>
      </c>
      <c r="O906">
        <v>100</v>
      </c>
      <c r="P906">
        <v>0</v>
      </c>
      <c r="Q906">
        <v>2</v>
      </c>
    </row>
    <row r="907" spans="2:19" x14ac:dyDescent="0.25">
      <c r="B907">
        <v>4</v>
      </c>
      <c r="C907">
        <v>41218860</v>
      </c>
      <c r="D907">
        <v>1495</v>
      </c>
      <c r="E907">
        <v>2</v>
      </c>
      <c r="F907" t="s">
        <v>68</v>
      </c>
      <c r="G907" t="s">
        <v>182</v>
      </c>
      <c r="H907" t="s">
        <v>183</v>
      </c>
      <c r="J907">
        <v>0</v>
      </c>
      <c r="K907">
        <v>45358.510868055557</v>
      </c>
      <c r="L907">
        <v>-20</v>
      </c>
      <c r="O907">
        <v>36</v>
      </c>
      <c r="P907">
        <v>0</v>
      </c>
      <c r="Q907">
        <v>2</v>
      </c>
    </row>
    <row r="908" spans="2:19" x14ac:dyDescent="0.25">
      <c r="B908">
        <v>4</v>
      </c>
      <c r="C908">
        <v>41218860</v>
      </c>
      <c r="D908">
        <v>1495</v>
      </c>
      <c r="E908">
        <v>120</v>
      </c>
      <c r="F908" t="s">
        <v>68</v>
      </c>
      <c r="G908">
        <v>501</v>
      </c>
      <c r="H908" t="s">
        <v>178</v>
      </c>
      <c r="I908" t="s">
        <v>144</v>
      </c>
      <c r="J908">
        <v>0</v>
      </c>
      <c r="K908">
        <v>45358.510891203703</v>
      </c>
      <c r="L908">
        <v>1190</v>
      </c>
      <c r="O908">
        <v>100</v>
      </c>
      <c r="P908">
        <v>1</v>
      </c>
      <c r="Q908">
        <v>19.999999999999996</v>
      </c>
    </row>
    <row r="909" spans="2:19" x14ac:dyDescent="0.25">
      <c r="B909">
        <v>4</v>
      </c>
      <c r="C909">
        <v>41218860</v>
      </c>
      <c r="D909">
        <v>1495</v>
      </c>
      <c r="E909">
        <v>120</v>
      </c>
      <c r="F909" t="s">
        <v>68</v>
      </c>
      <c r="G909">
        <v>6001</v>
      </c>
      <c r="H909" t="s">
        <v>149</v>
      </c>
      <c r="I909" t="s">
        <v>144</v>
      </c>
      <c r="J909">
        <v>0</v>
      </c>
      <c r="K909">
        <v>45358.51090277778</v>
      </c>
      <c r="L909">
        <v>4180</v>
      </c>
      <c r="O909">
        <v>60</v>
      </c>
      <c r="P909">
        <v>2</v>
      </c>
      <c r="Q909">
        <v>0</v>
      </c>
    </row>
    <row r="910" spans="2:19" x14ac:dyDescent="0.25">
      <c r="B910">
        <v>4</v>
      </c>
      <c r="C910">
        <v>41219949</v>
      </c>
      <c r="D910">
        <v>1496</v>
      </c>
      <c r="E910">
        <v>300</v>
      </c>
      <c r="F910" t="s">
        <v>68</v>
      </c>
      <c r="G910" t="s">
        <v>163</v>
      </c>
      <c r="H910" t="s">
        <v>164</v>
      </c>
      <c r="I910" t="s">
        <v>165</v>
      </c>
      <c r="J910">
        <v>0</v>
      </c>
      <c r="K910">
        <v>45358.510914351849</v>
      </c>
      <c r="L910">
        <v>-3786</v>
      </c>
      <c r="O910">
        <v>12</v>
      </c>
      <c r="P910">
        <v>25</v>
      </c>
      <c r="Q910">
        <v>0</v>
      </c>
      <c r="S910">
        <v>1</v>
      </c>
    </row>
    <row r="911" spans="2:19" x14ac:dyDescent="0.25">
      <c r="B911">
        <v>4</v>
      </c>
      <c r="C911">
        <v>41219949</v>
      </c>
      <c r="D911">
        <v>1496</v>
      </c>
      <c r="E911">
        <v>20</v>
      </c>
      <c r="F911" t="s">
        <v>68</v>
      </c>
      <c r="G911">
        <v>6885</v>
      </c>
      <c r="H911" t="s">
        <v>169</v>
      </c>
      <c r="I911" t="s">
        <v>144</v>
      </c>
      <c r="J911">
        <v>0</v>
      </c>
      <c r="K911">
        <v>45358.510937500003</v>
      </c>
      <c r="L911">
        <v>340</v>
      </c>
      <c r="O911">
        <v>100</v>
      </c>
      <c r="P911">
        <v>0</v>
      </c>
      <c r="Q911">
        <v>20</v>
      </c>
    </row>
    <row r="912" spans="2:19" x14ac:dyDescent="0.25">
      <c r="B912">
        <v>4</v>
      </c>
      <c r="C912">
        <v>41219949</v>
      </c>
      <c r="D912">
        <v>1496</v>
      </c>
      <c r="E912">
        <v>15</v>
      </c>
      <c r="F912" t="s">
        <v>68</v>
      </c>
      <c r="G912">
        <v>6800</v>
      </c>
      <c r="H912" t="s">
        <v>150</v>
      </c>
      <c r="I912" t="s">
        <v>144</v>
      </c>
      <c r="J912">
        <v>0</v>
      </c>
      <c r="K912">
        <v>45358.510949074072</v>
      </c>
      <c r="L912">
        <v>49</v>
      </c>
      <c r="O912">
        <v>4</v>
      </c>
      <c r="P912">
        <v>3</v>
      </c>
      <c r="Q912">
        <v>3</v>
      </c>
    </row>
    <row r="913" spans="2:17" x14ac:dyDescent="0.25">
      <c r="B913">
        <v>4</v>
      </c>
      <c r="C913">
        <v>41218896</v>
      </c>
      <c r="D913">
        <v>1497</v>
      </c>
      <c r="E913">
        <v>3</v>
      </c>
      <c r="F913" t="s">
        <v>68</v>
      </c>
      <c r="G913">
        <v>6200</v>
      </c>
      <c r="H913" t="s">
        <v>148</v>
      </c>
      <c r="I913" t="s">
        <v>144</v>
      </c>
      <c r="J913">
        <v>0</v>
      </c>
      <c r="K913">
        <v>45358.510960648149</v>
      </c>
      <c r="L913">
        <v>120</v>
      </c>
      <c r="O913">
        <v>24</v>
      </c>
      <c r="P913">
        <v>0</v>
      </c>
      <c r="Q913">
        <v>3</v>
      </c>
    </row>
    <row r="914" spans="2:17" x14ac:dyDescent="0.25">
      <c r="B914">
        <v>4</v>
      </c>
      <c r="C914">
        <v>41220345</v>
      </c>
      <c r="D914">
        <v>1498</v>
      </c>
      <c r="E914">
        <v>170</v>
      </c>
      <c r="F914" t="s">
        <v>127</v>
      </c>
      <c r="G914" t="s">
        <v>128</v>
      </c>
      <c r="H914" t="s">
        <v>129</v>
      </c>
      <c r="I914" t="s">
        <v>130</v>
      </c>
      <c r="J914">
        <v>0</v>
      </c>
      <c r="K914">
        <v>45358.510983796295</v>
      </c>
      <c r="L914">
        <v>1340</v>
      </c>
      <c r="O914">
        <v>10</v>
      </c>
      <c r="P914">
        <v>17</v>
      </c>
      <c r="Q914">
        <v>0</v>
      </c>
    </row>
    <row r="915" spans="2:17" x14ac:dyDescent="0.25">
      <c r="B915">
        <v>4</v>
      </c>
      <c r="C915">
        <v>41220345</v>
      </c>
      <c r="D915">
        <v>1498</v>
      </c>
      <c r="E915">
        <v>170</v>
      </c>
      <c r="F915" t="s">
        <v>127</v>
      </c>
      <c r="G915" t="s">
        <v>131</v>
      </c>
      <c r="H915" t="s">
        <v>132</v>
      </c>
      <c r="I915" t="s">
        <v>130</v>
      </c>
      <c r="J915">
        <v>0</v>
      </c>
      <c r="K915">
        <v>45358.510995370372</v>
      </c>
      <c r="L915">
        <v>4596</v>
      </c>
      <c r="O915">
        <v>10</v>
      </c>
      <c r="P915">
        <v>17</v>
      </c>
      <c r="Q915">
        <v>0</v>
      </c>
    </row>
    <row r="916" spans="2:17" x14ac:dyDescent="0.25">
      <c r="B916">
        <v>4</v>
      </c>
      <c r="C916">
        <v>41217314</v>
      </c>
      <c r="D916">
        <v>1499</v>
      </c>
      <c r="E916">
        <v>144</v>
      </c>
      <c r="F916" t="s">
        <v>135</v>
      </c>
      <c r="G916" t="s">
        <v>140</v>
      </c>
      <c r="H916" t="s">
        <v>137</v>
      </c>
      <c r="I916" t="s">
        <v>138</v>
      </c>
      <c r="J916">
        <v>0</v>
      </c>
      <c r="K916">
        <v>45358.511006944442</v>
      </c>
      <c r="L916">
        <v>2514</v>
      </c>
      <c r="O916">
        <v>144</v>
      </c>
      <c r="P916">
        <v>1</v>
      </c>
      <c r="Q916">
        <v>0</v>
      </c>
    </row>
    <row r="917" spans="2:17" x14ac:dyDescent="0.25">
      <c r="B917">
        <v>4</v>
      </c>
      <c r="C917">
        <v>41219951</v>
      </c>
      <c r="D917">
        <v>1500</v>
      </c>
      <c r="E917">
        <v>14</v>
      </c>
      <c r="F917" t="s">
        <v>68</v>
      </c>
      <c r="G917" t="s">
        <v>157</v>
      </c>
      <c r="H917" t="s">
        <v>156</v>
      </c>
      <c r="J917">
        <v>0</v>
      </c>
      <c r="K917">
        <v>45358.511018518519</v>
      </c>
      <c r="L917">
        <v>1094</v>
      </c>
      <c r="O917">
        <v>12</v>
      </c>
      <c r="P917">
        <v>1</v>
      </c>
      <c r="Q917">
        <v>2.0000000000000009</v>
      </c>
    </row>
    <row r="918" spans="2:17" x14ac:dyDescent="0.25">
      <c r="B918">
        <v>4</v>
      </c>
      <c r="C918">
        <v>41219951</v>
      </c>
      <c r="D918">
        <v>1500</v>
      </c>
      <c r="E918">
        <v>200</v>
      </c>
      <c r="F918" t="s">
        <v>68</v>
      </c>
      <c r="G918" t="s">
        <v>153</v>
      </c>
      <c r="H918" t="s">
        <v>154</v>
      </c>
      <c r="I918" t="s">
        <v>105</v>
      </c>
      <c r="J918">
        <v>0</v>
      </c>
      <c r="K918">
        <v>45358.511030092595</v>
      </c>
      <c r="L918">
        <v>1600</v>
      </c>
      <c r="O918">
        <v>100</v>
      </c>
      <c r="P918">
        <v>2</v>
      </c>
      <c r="Q918">
        <v>0</v>
      </c>
    </row>
    <row r="919" spans="2:17" x14ac:dyDescent="0.25">
      <c r="B919">
        <v>4</v>
      </c>
      <c r="C919">
        <v>41219252</v>
      </c>
      <c r="D919">
        <v>1501</v>
      </c>
      <c r="E919">
        <v>2000</v>
      </c>
      <c r="F919" t="s">
        <v>68</v>
      </c>
      <c r="G919" t="s">
        <v>179</v>
      </c>
      <c r="H919" t="s">
        <v>180</v>
      </c>
      <c r="I919" t="s">
        <v>144</v>
      </c>
      <c r="J919">
        <v>0</v>
      </c>
      <c r="K919">
        <v>45358.511041666665</v>
      </c>
      <c r="L919">
        <v>27000</v>
      </c>
      <c r="O919">
        <v>2000</v>
      </c>
      <c r="P919">
        <v>1</v>
      </c>
      <c r="Q919">
        <v>0</v>
      </c>
    </row>
    <row r="920" spans="2:17" x14ac:dyDescent="0.25">
      <c r="B920">
        <v>4</v>
      </c>
      <c r="C920">
        <v>41220015</v>
      </c>
      <c r="D920">
        <v>1502</v>
      </c>
      <c r="E920">
        <v>15000</v>
      </c>
      <c r="F920" t="s">
        <v>68</v>
      </c>
      <c r="G920" t="s">
        <v>103</v>
      </c>
      <c r="H920" t="s">
        <v>104</v>
      </c>
      <c r="I920" t="s">
        <v>105</v>
      </c>
      <c r="J920">
        <v>0</v>
      </c>
      <c r="K920">
        <v>45358.511053240742</v>
      </c>
      <c r="L920">
        <v>8900</v>
      </c>
      <c r="O920">
        <v>2400</v>
      </c>
      <c r="P920">
        <v>6</v>
      </c>
      <c r="Q920">
        <v>600</v>
      </c>
    </row>
    <row r="921" spans="2:17" x14ac:dyDescent="0.25">
      <c r="B921">
        <v>4</v>
      </c>
      <c r="C921">
        <v>41220347</v>
      </c>
      <c r="D921">
        <v>1503</v>
      </c>
      <c r="E921">
        <v>1000</v>
      </c>
      <c r="F921" t="s">
        <v>68</v>
      </c>
      <c r="G921" t="s">
        <v>121</v>
      </c>
      <c r="H921" t="s">
        <v>122</v>
      </c>
      <c r="I921" t="s">
        <v>105</v>
      </c>
      <c r="J921">
        <v>0</v>
      </c>
      <c r="K921">
        <v>45358.511076388888</v>
      </c>
      <c r="L921">
        <v>26500</v>
      </c>
      <c r="O921">
        <v>3000</v>
      </c>
      <c r="P921">
        <v>0</v>
      </c>
      <c r="Q921">
        <v>1000</v>
      </c>
    </row>
    <row r="922" spans="2:17" x14ac:dyDescent="0.25">
      <c r="B922">
        <v>4</v>
      </c>
      <c r="C922">
        <v>41220347</v>
      </c>
      <c r="D922">
        <v>1503</v>
      </c>
      <c r="E922">
        <v>500</v>
      </c>
      <c r="F922" t="s">
        <v>68</v>
      </c>
      <c r="G922" t="s">
        <v>115</v>
      </c>
      <c r="H922" t="s">
        <v>116</v>
      </c>
      <c r="I922" t="s">
        <v>105</v>
      </c>
      <c r="J922">
        <v>0</v>
      </c>
      <c r="K922">
        <v>45358.511087962965</v>
      </c>
      <c r="L922">
        <v>10300</v>
      </c>
      <c r="O922">
        <v>1200</v>
      </c>
      <c r="P922">
        <v>0</v>
      </c>
      <c r="Q922">
        <v>500</v>
      </c>
    </row>
    <row r="923" spans="2:17" x14ac:dyDescent="0.25">
      <c r="B923">
        <v>4</v>
      </c>
      <c r="C923">
        <v>41220347</v>
      </c>
      <c r="D923">
        <v>1503</v>
      </c>
      <c r="E923">
        <v>100</v>
      </c>
      <c r="F923" t="s">
        <v>68</v>
      </c>
      <c r="G923" t="s">
        <v>151</v>
      </c>
      <c r="H923" t="s">
        <v>152</v>
      </c>
      <c r="I923" t="s">
        <v>105</v>
      </c>
      <c r="J923">
        <v>0</v>
      </c>
      <c r="K923">
        <v>45358.511099537034</v>
      </c>
      <c r="L923">
        <v>556</v>
      </c>
      <c r="O923">
        <v>200</v>
      </c>
      <c r="P923">
        <v>0</v>
      </c>
      <c r="Q923">
        <v>100</v>
      </c>
    </row>
    <row r="924" spans="2:17" x14ac:dyDescent="0.25">
      <c r="B924">
        <v>4</v>
      </c>
      <c r="C924">
        <v>41217485</v>
      </c>
      <c r="D924">
        <v>1504</v>
      </c>
      <c r="E924">
        <v>100</v>
      </c>
      <c r="F924" t="s">
        <v>68</v>
      </c>
      <c r="G924" t="s">
        <v>151</v>
      </c>
      <c r="H924" t="s">
        <v>152</v>
      </c>
      <c r="I924" t="s">
        <v>105</v>
      </c>
      <c r="J924">
        <v>0</v>
      </c>
      <c r="K924">
        <v>45358.511111111111</v>
      </c>
      <c r="L924">
        <v>456</v>
      </c>
      <c r="O924">
        <v>200</v>
      </c>
      <c r="P924">
        <v>0</v>
      </c>
      <c r="Q924">
        <v>100</v>
      </c>
    </row>
    <row r="925" spans="2:17" x14ac:dyDescent="0.25">
      <c r="B925">
        <v>4</v>
      </c>
      <c r="C925">
        <v>41217700</v>
      </c>
      <c r="D925">
        <v>1505</v>
      </c>
      <c r="E925">
        <v>200</v>
      </c>
      <c r="F925" t="s">
        <v>68</v>
      </c>
      <c r="G925" t="s">
        <v>125</v>
      </c>
      <c r="H925" t="s">
        <v>126</v>
      </c>
      <c r="I925" t="s">
        <v>105</v>
      </c>
      <c r="J925">
        <v>0</v>
      </c>
      <c r="K925">
        <v>45358.511122685188</v>
      </c>
      <c r="L925">
        <v>7400</v>
      </c>
      <c r="O925">
        <v>2400</v>
      </c>
      <c r="P925">
        <v>0</v>
      </c>
      <c r="Q925">
        <v>200</v>
      </c>
    </row>
    <row r="926" spans="2:17" x14ac:dyDescent="0.25">
      <c r="B926">
        <v>6</v>
      </c>
      <c r="C926">
        <v>41220281</v>
      </c>
      <c r="D926">
        <v>1506</v>
      </c>
      <c r="E926">
        <v>10</v>
      </c>
      <c r="F926" t="s">
        <v>68</v>
      </c>
      <c r="G926" t="s">
        <v>182</v>
      </c>
      <c r="H926" t="s">
        <v>183</v>
      </c>
      <c r="J926">
        <v>0</v>
      </c>
      <c r="K926">
        <v>45359.400069444448</v>
      </c>
      <c r="L926">
        <v>-30</v>
      </c>
      <c r="O926">
        <v>36</v>
      </c>
      <c r="P926">
        <v>0</v>
      </c>
      <c r="Q926">
        <v>10</v>
      </c>
    </row>
    <row r="927" spans="2:17" x14ac:dyDescent="0.25">
      <c r="B927">
        <v>6</v>
      </c>
      <c r="C927">
        <v>41220281</v>
      </c>
      <c r="D927">
        <v>1506</v>
      </c>
      <c r="E927">
        <v>600</v>
      </c>
      <c r="F927" t="s">
        <v>127</v>
      </c>
      <c r="G927" t="s">
        <v>128</v>
      </c>
      <c r="H927" t="s">
        <v>129</v>
      </c>
      <c r="I927" t="s">
        <v>130</v>
      </c>
      <c r="J927">
        <v>0</v>
      </c>
      <c r="K927">
        <v>45359.400127314817</v>
      </c>
      <c r="L927">
        <v>740</v>
      </c>
      <c r="O927">
        <v>10</v>
      </c>
      <c r="P927">
        <v>60</v>
      </c>
      <c r="Q927">
        <v>0</v>
      </c>
    </row>
    <row r="928" spans="2:17" x14ac:dyDescent="0.25">
      <c r="B928">
        <v>6</v>
      </c>
      <c r="C928">
        <v>41219002</v>
      </c>
      <c r="D928">
        <v>1507</v>
      </c>
      <c r="E928">
        <v>200</v>
      </c>
      <c r="F928" t="s">
        <v>68</v>
      </c>
      <c r="G928" t="s">
        <v>166</v>
      </c>
      <c r="H928" t="s">
        <v>167</v>
      </c>
      <c r="J928">
        <v>0</v>
      </c>
      <c r="K928">
        <v>45359.40016203704</v>
      </c>
      <c r="L928">
        <v>91</v>
      </c>
      <c r="O928">
        <v>4</v>
      </c>
      <c r="P928">
        <v>50</v>
      </c>
      <c r="Q928">
        <v>0</v>
      </c>
    </row>
    <row r="929" spans="2:17" x14ac:dyDescent="0.25">
      <c r="B929">
        <v>6</v>
      </c>
      <c r="C929">
        <v>41219432</v>
      </c>
      <c r="D929">
        <v>1508</v>
      </c>
      <c r="E929">
        <v>1600</v>
      </c>
      <c r="F929" t="s">
        <v>68</v>
      </c>
      <c r="G929" t="s">
        <v>170</v>
      </c>
      <c r="H929" t="s">
        <v>171</v>
      </c>
      <c r="I929" t="s">
        <v>105</v>
      </c>
      <c r="J929">
        <v>0</v>
      </c>
      <c r="K929">
        <v>45359.400208333333</v>
      </c>
      <c r="L929">
        <v>4600</v>
      </c>
      <c r="O929">
        <v>2400</v>
      </c>
      <c r="P929">
        <v>0</v>
      </c>
      <c r="Q929">
        <v>1600</v>
      </c>
    </row>
    <row r="930" spans="2:17" x14ac:dyDescent="0.25">
      <c r="B930">
        <v>6</v>
      </c>
      <c r="C930">
        <v>41218317</v>
      </c>
      <c r="D930">
        <v>1509</v>
      </c>
      <c r="E930">
        <v>200</v>
      </c>
      <c r="F930" t="s">
        <v>68</v>
      </c>
      <c r="G930" t="s">
        <v>113</v>
      </c>
      <c r="H930" t="s">
        <v>114</v>
      </c>
      <c r="I930" t="s">
        <v>105</v>
      </c>
      <c r="J930">
        <v>0</v>
      </c>
      <c r="K930">
        <v>45359.400231481479</v>
      </c>
      <c r="L930">
        <v>3600</v>
      </c>
      <c r="O930">
        <v>3000</v>
      </c>
      <c r="P930">
        <v>0</v>
      </c>
      <c r="Q930">
        <v>200</v>
      </c>
    </row>
    <row r="931" spans="2:17" x14ac:dyDescent="0.25">
      <c r="B931">
        <v>6</v>
      </c>
      <c r="C931">
        <v>41218317</v>
      </c>
      <c r="D931">
        <v>1509</v>
      </c>
      <c r="E931">
        <v>800</v>
      </c>
      <c r="F931" t="s">
        <v>68</v>
      </c>
      <c r="G931" t="s">
        <v>117</v>
      </c>
      <c r="H931" t="s">
        <v>118</v>
      </c>
      <c r="I931" t="s">
        <v>105</v>
      </c>
      <c r="J931">
        <v>0</v>
      </c>
      <c r="K931">
        <v>45359.400289351855</v>
      </c>
      <c r="L931">
        <v>3000</v>
      </c>
      <c r="O931">
        <v>3000</v>
      </c>
      <c r="P931">
        <v>0</v>
      </c>
      <c r="Q931">
        <v>800</v>
      </c>
    </row>
    <row r="932" spans="2:17" x14ac:dyDescent="0.25">
      <c r="B932" t="s">
        <v>526</v>
      </c>
      <c r="C932" t="s">
        <v>67</v>
      </c>
      <c r="D932" t="s">
        <v>67</v>
      </c>
      <c r="E932">
        <v>800</v>
      </c>
      <c r="F932" t="s">
        <v>127</v>
      </c>
      <c r="G932" t="s">
        <v>133</v>
      </c>
      <c r="H932" t="s">
        <v>134</v>
      </c>
      <c r="I932" t="s">
        <v>130</v>
      </c>
      <c r="J932">
        <v>1</v>
      </c>
      <c r="K932">
        <v>45359.400289351855</v>
      </c>
      <c r="L932">
        <v>800</v>
      </c>
      <c r="O932">
        <v>10</v>
      </c>
      <c r="P932">
        <v>80</v>
      </c>
      <c r="Q932">
        <v>0</v>
      </c>
    </row>
    <row r="933" spans="2:17" x14ac:dyDescent="0.25">
      <c r="B933" t="s">
        <v>526</v>
      </c>
      <c r="C933" t="s">
        <v>67</v>
      </c>
      <c r="D933" t="s">
        <v>67</v>
      </c>
      <c r="E933">
        <v>1440</v>
      </c>
      <c r="F933" t="s">
        <v>135</v>
      </c>
      <c r="G933" t="s">
        <v>139</v>
      </c>
      <c r="H933" t="s">
        <v>137</v>
      </c>
      <c r="I933" t="s">
        <v>138</v>
      </c>
      <c r="J933">
        <v>1</v>
      </c>
      <c r="K933">
        <v>45359.400289351855</v>
      </c>
      <c r="L933">
        <v>5742</v>
      </c>
      <c r="O933">
        <v>144</v>
      </c>
      <c r="P933">
        <v>10</v>
      </c>
      <c r="Q933">
        <v>0</v>
      </c>
    </row>
    <row r="934" spans="2:17" x14ac:dyDescent="0.25">
      <c r="B934" t="s">
        <v>526</v>
      </c>
      <c r="C934" t="s">
        <v>67</v>
      </c>
      <c r="D934" t="s">
        <v>67</v>
      </c>
      <c r="E934">
        <v>1008</v>
      </c>
      <c r="F934" t="s">
        <v>135</v>
      </c>
      <c r="G934" t="s">
        <v>136</v>
      </c>
      <c r="H934" t="s">
        <v>137</v>
      </c>
      <c r="I934" t="s">
        <v>138</v>
      </c>
      <c r="J934">
        <v>1</v>
      </c>
      <c r="K934">
        <v>45359.400289351855</v>
      </c>
      <c r="L934">
        <v>1318</v>
      </c>
      <c r="O934">
        <v>144</v>
      </c>
      <c r="P934">
        <v>7</v>
      </c>
      <c r="Q934">
        <v>0</v>
      </c>
    </row>
    <row r="935" spans="2:17" x14ac:dyDescent="0.25">
      <c r="B935" t="s">
        <v>526</v>
      </c>
      <c r="C935" t="s">
        <v>67</v>
      </c>
      <c r="D935" t="s">
        <v>67</v>
      </c>
      <c r="E935">
        <v>1008</v>
      </c>
      <c r="F935" t="s">
        <v>135</v>
      </c>
      <c r="G935" t="s">
        <v>141</v>
      </c>
      <c r="H935" t="s">
        <v>137</v>
      </c>
      <c r="I935" t="s">
        <v>138</v>
      </c>
      <c r="J935">
        <v>1</v>
      </c>
      <c r="K935">
        <v>45359.400289351855</v>
      </c>
      <c r="L935">
        <v>1876</v>
      </c>
      <c r="O935">
        <v>144</v>
      </c>
      <c r="P935">
        <v>7</v>
      </c>
      <c r="Q935">
        <v>0</v>
      </c>
    </row>
    <row r="936" spans="2:17" x14ac:dyDescent="0.25">
      <c r="B936" t="s">
        <v>527</v>
      </c>
      <c r="C936" t="s">
        <v>67</v>
      </c>
      <c r="D936" t="s">
        <v>67</v>
      </c>
      <c r="E936">
        <v>40000</v>
      </c>
      <c r="F936" t="s">
        <v>68</v>
      </c>
      <c r="G936" t="s">
        <v>107</v>
      </c>
      <c r="H936" t="s">
        <v>108</v>
      </c>
      <c r="I936" t="s">
        <v>105</v>
      </c>
      <c r="J936">
        <v>1</v>
      </c>
      <c r="K936">
        <v>45359.400289351855</v>
      </c>
      <c r="L936">
        <v>39000</v>
      </c>
      <c r="O936">
        <v>1200</v>
      </c>
      <c r="P936">
        <v>33</v>
      </c>
      <c r="Q936">
        <v>400.00000000000284</v>
      </c>
    </row>
    <row r="937" spans="2:17" x14ac:dyDescent="0.25">
      <c r="B937">
        <v>6</v>
      </c>
      <c r="C937">
        <v>41218317</v>
      </c>
      <c r="D937">
        <v>1510</v>
      </c>
      <c r="E937">
        <v>3400</v>
      </c>
      <c r="F937" t="s">
        <v>68</v>
      </c>
      <c r="G937" t="s">
        <v>113</v>
      </c>
      <c r="H937" t="s">
        <v>114</v>
      </c>
      <c r="I937" t="s">
        <v>105</v>
      </c>
      <c r="J937">
        <v>0</v>
      </c>
      <c r="K937">
        <v>45359.757708333331</v>
      </c>
      <c r="L937">
        <v>200</v>
      </c>
      <c r="O937">
        <v>3000</v>
      </c>
      <c r="P937">
        <v>1</v>
      </c>
      <c r="Q937">
        <v>399.99999999999989</v>
      </c>
    </row>
    <row r="938" spans="2:17" x14ac:dyDescent="0.25">
      <c r="B938">
        <v>6</v>
      </c>
      <c r="C938">
        <v>41220289</v>
      </c>
      <c r="D938">
        <v>1511</v>
      </c>
      <c r="E938">
        <v>1000</v>
      </c>
      <c r="F938" t="s">
        <v>68</v>
      </c>
      <c r="G938" t="s">
        <v>142</v>
      </c>
      <c r="H938" t="s">
        <v>143</v>
      </c>
      <c r="I938" t="s">
        <v>144</v>
      </c>
      <c r="J938">
        <v>0</v>
      </c>
      <c r="K938">
        <v>45359.7577662037</v>
      </c>
      <c r="L938">
        <v>4888</v>
      </c>
      <c r="O938">
        <v>24</v>
      </c>
      <c r="P938">
        <v>41</v>
      </c>
      <c r="Q938">
        <v>15.999999999999943</v>
      </c>
    </row>
    <row r="939" spans="2:17" x14ac:dyDescent="0.25">
      <c r="B939">
        <v>6</v>
      </c>
      <c r="C939" t="s">
        <v>528</v>
      </c>
      <c r="D939">
        <v>570</v>
      </c>
      <c r="E939">
        <v>3000</v>
      </c>
      <c r="F939" t="s">
        <v>68</v>
      </c>
      <c r="G939" t="s">
        <v>117</v>
      </c>
      <c r="H939" t="s">
        <v>118</v>
      </c>
      <c r="I939" t="s">
        <v>105</v>
      </c>
      <c r="J939">
        <v>0</v>
      </c>
      <c r="K939">
        <v>45359.757824074077</v>
      </c>
      <c r="L939">
        <v>0</v>
      </c>
      <c r="O939">
        <v>3000</v>
      </c>
      <c r="P939">
        <v>1</v>
      </c>
      <c r="Q939">
        <v>0</v>
      </c>
    </row>
    <row r="940" spans="2:17" x14ac:dyDescent="0.25">
      <c r="B940" t="s">
        <v>434</v>
      </c>
      <c r="C940" t="s">
        <v>529</v>
      </c>
      <c r="D940">
        <v>8000</v>
      </c>
      <c r="E940">
        <v>0</v>
      </c>
      <c r="F940" t="s">
        <v>68</v>
      </c>
      <c r="G940" t="s">
        <v>103</v>
      </c>
      <c r="H940" t="s">
        <v>104</v>
      </c>
      <c r="I940" t="s">
        <v>105</v>
      </c>
      <c r="J940">
        <v>0</v>
      </c>
      <c r="K940">
        <v>45359.786111111112</v>
      </c>
      <c r="L940">
        <v>8900</v>
      </c>
      <c r="O940">
        <v>2400</v>
      </c>
      <c r="P940">
        <v>0</v>
      </c>
      <c r="Q940">
        <v>0</v>
      </c>
    </row>
    <row r="941" spans="2:17" x14ac:dyDescent="0.25">
      <c r="B941" t="s">
        <v>434</v>
      </c>
      <c r="C941" t="s">
        <v>529</v>
      </c>
      <c r="D941">
        <v>0</v>
      </c>
      <c r="E941">
        <v>0</v>
      </c>
      <c r="F941" t="s">
        <v>68</v>
      </c>
      <c r="G941" t="s">
        <v>107</v>
      </c>
      <c r="H941" t="s">
        <v>108</v>
      </c>
      <c r="I941" t="s">
        <v>105</v>
      </c>
      <c r="J941">
        <v>0</v>
      </c>
      <c r="K941">
        <v>45359.786122685182</v>
      </c>
      <c r="L941">
        <v>40000</v>
      </c>
      <c r="O941">
        <v>1200</v>
      </c>
      <c r="P941">
        <v>0</v>
      </c>
      <c r="Q941">
        <v>0</v>
      </c>
    </row>
    <row r="942" spans="2:17" x14ac:dyDescent="0.25">
      <c r="B942" t="s">
        <v>434</v>
      </c>
      <c r="C942" t="s">
        <v>529</v>
      </c>
      <c r="D942">
        <v>7800</v>
      </c>
      <c r="E942">
        <v>0</v>
      </c>
      <c r="F942" t="s">
        <v>68</v>
      </c>
      <c r="G942" t="s">
        <v>110</v>
      </c>
      <c r="H942" t="s">
        <v>111</v>
      </c>
      <c r="I942" t="s">
        <v>105</v>
      </c>
      <c r="J942">
        <v>0</v>
      </c>
      <c r="K942">
        <v>45359.786145833335</v>
      </c>
      <c r="L942">
        <v>7800</v>
      </c>
      <c r="O942">
        <v>2400</v>
      </c>
      <c r="P942">
        <v>0</v>
      </c>
      <c r="Q942">
        <v>0</v>
      </c>
    </row>
    <row r="943" spans="2:17" x14ac:dyDescent="0.25">
      <c r="B943" t="s">
        <v>434</v>
      </c>
      <c r="C943" t="s">
        <v>529</v>
      </c>
      <c r="D943">
        <v>0</v>
      </c>
      <c r="E943">
        <v>0</v>
      </c>
      <c r="F943" t="s">
        <v>68</v>
      </c>
      <c r="G943" t="s">
        <v>113</v>
      </c>
      <c r="H943" t="s">
        <v>114</v>
      </c>
      <c r="I943" t="s">
        <v>105</v>
      </c>
      <c r="J943">
        <v>0</v>
      </c>
      <c r="K943">
        <v>45359.786157407405</v>
      </c>
      <c r="L943">
        <v>200</v>
      </c>
      <c r="O943">
        <v>3000</v>
      </c>
      <c r="P943">
        <v>0</v>
      </c>
      <c r="Q943">
        <v>0</v>
      </c>
    </row>
    <row r="944" spans="2:17" x14ac:dyDescent="0.25">
      <c r="B944" t="s">
        <v>434</v>
      </c>
      <c r="C944" t="s">
        <v>529</v>
      </c>
      <c r="D944">
        <v>8100</v>
      </c>
      <c r="E944">
        <v>0</v>
      </c>
      <c r="F944" t="s">
        <v>68</v>
      </c>
      <c r="G944" t="s">
        <v>115</v>
      </c>
      <c r="H944" t="s">
        <v>116</v>
      </c>
      <c r="I944" t="s">
        <v>105</v>
      </c>
      <c r="J944">
        <v>0</v>
      </c>
      <c r="K944">
        <v>45359.786168981482</v>
      </c>
      <c r="L944">
        <v>10300</v>
      </c>
      <c r="O944">
        <v>1200</v>
      </c>
      <c r="P944">
        <v>0</v>
      </c>
      <c r="Q944">
        <v>0</v>
      </c>
    </row>
    <row r="945" spans="2:22" x14ac:dyDescent="0.25">
      <c r="B945" t="s">
        <v>434</v>
      </c>
      <c r="C945" t="s">
        <v>529</v>
      </c>
      <c r="D945">
        <v>0</v>
      </c>
      <c r="E945">
        <v>0</v>
      </c>
      <c r="F945" t="s">
        <v>68</v>
      </c>
      <c r="G945" t="s">
        <v>117</v>
      </c>
      <c r="H945" t="s">
        <v>118</v>
      </c>
      <c r="I945" t="s">
        <v>105</v>
      </c>
      <c r="J945">
        <v>0</v>
      </c>
      <c r="K945">
        <v>45359.786180555559</v>
      </c>
      <c r="L945">
        <v>0</v>
      </c>
      <c r="O945">
        <v>3000</v>
      </c>
      <c r="P945">
        <v>0</v>
      </c>
      <c r="Q945">
        <v>0</v>
      </c>
    </row>
    <row r="946" spans="2:22" x14ac:dyDescent="0.25">
      <c r="B946" t="s">
        <v>434</v>
      </c>
      <c r="C946" t="s">
        <v>529</v>
      </c>
      <c r="D946">
        <v>28000</v>
      </c>
      <c r="E946">
        <v>0</v>
      </c>
      <c r="F946" t="s">
        <v>68</v>
      </c>
      <c r="G946" t="s">
        <v>119</v>
      </c>
      <c r="H946" t="s">
        <v>120</v>
      </c>
      <c r="I946" t="s">
        <v>105</v>
      </c>
      <c r="J946">
        <v>0</v>
      </c>
      <c r="K946">
        <v>45359.786215277774</v>
      </c>
      <c r="L946">
        <v>28400</v>
      </c>
      <c r="O946">
        <v>2400</v>
      </c>
      <c r="P946">
        <v>0</v>
      </c>
      <c r="Q946">
        <v>0</v>
      </c>
    </row>
    <row r="947" spans="2:22" x14ac:dyDescent="0.25">
      <c r="B947" t="s">
        <v>434</v>
      </c>
      <c r="C947" t="s">
        <v>529</v>
      </c>
      <c r="D947">
        <v>26600</v>
      </c>
      <c r="E947">
        <v>0</v>
      </c>
      <c r="F947" t="s">
        <v>68</v>
      </c>
      <c r="G947" t="s">
        <v>121</v>
      </c>
      <c r="H947" t="s">
        <v>122</v>
      </c>
      <c r="I947" t="s">
        <v>105</v>
      </c>
      <c r="J947">
        <v>0</v>
      </c>
      <c r="K947">
        <v>45359.786226851851</v>
      </c>
      <c r="L947">
        <v>26500</v>
      </c>
      <c r="O947">
        <v>3000</v>
      </c>
      <c r="P947">
        <v>0</v>
      </c>
      <c r="Q947">
        <v>0</v>
      </c>
    </row>
    <row r="948" spans="2:22" x14ac:dyDescent="0.25">
      <c r="B948" t="s">
        <v>434</v>
      </c>
      <c r="C948" t="s">
        <v>529</v>
      </c>
      <c r="D948">
        <v>63700</v>
      </c>
      <c r="E948">
        <v>0</v>
      </c>
      <c r="F948" t="s">
        <v>68</v>
      </c>
      <c r="G948" t="s">
        <v>123</v>
      </c>
      <c r="H948" t="s">
        <v>124</v>
      </c>
      <c r="I948" t="s">
        <v>105</v>
      </c>
      <c r="J948">
        <v>0</v>
      </c>
      <c r="K948">
        <v>45359.786238425928</v>
      </c>
      <c r="L948">
        <v>69300</v>
      </c>
      <c r="O948">
        <v>2400</v>
      </c>
      <c r="P948">
        <v>0</v>
      </c>
      <c r="Q948">
        <v>0</v>
      </c>
    </row>
    <row r="949" spans="2:22" x14ac:dyDescent="0.25">
      <c r="B949" t="s">
        <v>434</v>
      </c>
      <c r="C949" t="s">
        <v>529</v>
      </c>
      <c r="D949">
        <v>7400</v>
      </c>
      <c r="E949">
        <v>0</v>
      </c>
      <c r="F949" t="s">
        <v>68</v>
      </c>
      <c r="G949" t="s">
        <v>125</v>
      </c>
      <c r="H949" t="s">
        <v>126</v>
      </c>
      <c r="I949" t="s">
        <v>105</v>
      </c>
      <c r="J949">
        <v>0</v>
      </c>
      <c r="K949">
        <v>45359.786249999997</v>
      </c>
      <c r="L949">
        <v>7400</v>
      </c>
      <c r="O949">
        <v>2400</v>
      </c>
      <c r="P949">
        <v>0</v>
      </c>
      <c r="Q949">
        <v>0</v>
      </c>
    </row>
    <row r="950" spans="2:22" x14ac:dyDescent="0.25">
      <c r="B950" t="s">
        <v>434</v>
      </c>
      <c r="C950" t="s">
        <v>529</v>
      </c>
      <c r="D950">
        <v>740</v>
      </c>
      <c r="E950">
        <v>0</v>
      </c>
      <c r="F950" t="s">
        <v>127</v>
      </c>
      <c r="G950" t="s">
        <v>128</v>
      </c>
      <c r="H950" t="s">
        <v>129</v>
      </c>
      <c r="I950" t="s">
        <v>130</v>
      </c>
      <c r="J950">
        <v>0</v>
      </c>
      <c r="K950">
        <v>45359.786261574074</v>
      </c>
      <c r="L950">
        <v>740</v>
      </c>
      <c r="O950">
        <v>10</v>
      </c>
      <c r="P950">
        <v>0</v>
      </c>
      <c r="Q950">
        <v>0</v>
      </c>
      <c r="V950" t="s">
        <v>554</v>
      </c>
    </row>
    <row r="951" spans="2:22" x14ac:dyDescent="0.25">
      <c r="B951" t="s">
        <v>434</v>
      </c>
      <c r="C951" t="s">
        <v>529</v>
      </c>
      <c r="D951">
        <v>465</v>
      </c>
      <c r="E951">
        <v>0</v>
      </c>
      <c r="F951" t="s">
        <v>127</v>
      </c>
      <c r="G951" t="s">
        <v>131</v>
      </c>
      <c r="H951" t="s">
        <v>132</v>
      </c>
      <c r="I951" t="s">
        <v>130</v>
      </c>
      <c r="J951">
        <v>0</v>
      </c>
      <c r="K951">
        <v>45359.786273148151</v>
      </c>
      <c r="L951">
        <v>4596</v>
      </c>
      <c r="O951">
        <v>10</v>
      </c>
      <c r="P951">
        <v>0</v>
      </c>
      <c r="Q951">
        <v>0</v>
      </c>
    </row>
    <row r="952" spans="2:22" x14ac:dyDescent="0.25">
      <c r="B952" t="s">
        <v>434</v>
      </c>
      <c r="C952" t="s">
        <v>529</v>
      </c>
      <c r="D952">
        <v>0</v>
      </c>
      <c r="E952">
        <v>0</v>
      </c>
      <c r="F952" t="s">
        <v>127</v>
      </c>
      <c r="G952" t="s">
        <v>133</v>
      </c>
      <c r="H952" t="s">
        <v>134</v>
      </c>
      <c r="I952" t="s">
        <v>130</v>
      </c>
      <c r="J952">
        <v>0</v>
      </c>
      <c r="K952">
        <v>45359.786296296297</v>
      </c>
      <c r="L952">
        <v>2510</v>
      </c>
      <c r="O952">
        <v>10</v>
      </c>
      <c r="P952">
        <v>0</v>
      </c>
      <c r="Q952">
        <v>0</v>
      </c>
    </row>
    <row r="953" spans="2:22" x14ac:dyDescent="0.25">
      <c r="B953" t="s">
        <v>434</v>
      </c>
      <c r="C953" t="s">
        <v>529</v>
      </c>
      <c r="D953">
        <v>310</v>
      </c>
      <c r="E953">
        <v>0</v>
      </c>
      <c r="F953" t="s">
        <v>135</v>
      </c>
      <c r="G953" t="s">
        <v>136</v>
      </c>
      <c r="H953" t="s">
        <v>137</v>
      </c>
      <c r="I953" t="s">
        <v>138</v>
      </c>
      <c r="J953">
        <v>0</v>
      </c>
      <c r="K953">
        <v>45359.786307870374</v>
      </c>
      <c r="L953">
        <v>1098</v>
      </c>
      <c r="O953">
        <v>144</v>
      </c>
      <c r="P953">
        <v>0</v>
      </c>
      <c r="Q953">
        <v>0</v>
      </c>
    </row>
    <row r="954" spans="2:22" x14ac:dyDescent="0.25">
      <c r="B954" t="s">
        <v>434</v>
      </c>
      <c r="C954" t="s">
        <v>529</v>
      </c>
      <c r="D954">
        <v>4302</v>
      </c>
      <c r="E954">
        <v>0</v>
      </c>
      <c r="F954" t="s">
        <v>135</v>
      </c>
      <c r="G954" t="s">
        <v>139</v>
      </c>
      <c r="H954" t="s">
        <v>137</v>
      </c>
      <c r="I954" t="s">
        <v>138</v>
      </c>
      <c r="J954">
        <v>0</v>
      </c>
      <c r="K954">
        <v>45359.786319444444</v>
      </c>
      <c r="L954">
        <v>5648</v>
      </c>
      <c r="O954">
        <v>144</v>
      </c>
      <c r="P954">
        <v>0</v>
      </c>
      <c r="Q954">
        <v>0</v>
      </c>
    </row>
    <row r="955" spans="2:22" x14ac:dyDescent="0.25">
      <c r="B955" t="s">
        <v>434</v>
      </c>
      <c r="C955" t="s">
        <v>529</v>
      </c>
      <c r="D955">
        <v>2370</v>
      </c>
      <c r="E955">
        <v>0</v>
      </c>
      <c r="F955" t="s">
        <v>135</v>
      </c>
      <c r="G955" t="s">
        <v>140</v>
      </c>
      <c r="H955" t="s">
        <v>137</v>
      </c>
      <c r="I955" t="s">
        <v>138</v>
      </c>
      <c r="J955">
        <v>0</v>
      </c>
      <c r="K955">
        <v>45359.78633101852</v>
      </c>
      <c r="L955">
        <v>2514</v>
      </c>
      <c r="O955">
        <v>144</v>
      </c>
      <c r="P955">
        <v>0</v>
      </c>
      <c r="Q955">
        <v>0</v>
      </c>
    </row>
    <row r="956" spans="2:22" x14ac:dyDescent="0.25">
      <c r="B956" t="s">
        <v>434</v>
      </c>
      <c r="C956" t="s">
        <v>529</v>
      </c>
      <c r="D956">
        <v>868</v>
      </c>
      <c r="E956">
        <v>0</v>
      </c>
      <c r="F956" t="s">
        <v>135</v>
      </c>
      <c r="G956" t="s">
        <v>141</v>
      </c>
      <c r="H956" t="s">
        <v>137</v>
      </c>
      <c r="I956" t="s">
        <v>138</v>
      </c>
      <c r="J956">
        <v>0</v>
      </c>
      <c r="K956">
        <v>45359.78634259259</v>
      </c>
      <c r="L956">
        <v>1876</v>
      </c>
      <c r="O956">
        <v>144</v>
      </c>
      <c r="P956">
        <v>0</v>
      </c>
      <c r="Q956">
        <v>0</v>
      </c>
    </row>
    <row r="957" spans="2:22" x14ac:dyDescent="0.25">
      <c r="B957" t="s">
        <v>434</v>
      </c>
      <c r="C957" t="s">
        <v>529</v>
      </c>
      <c r="D957">
        <v>9248</v>
      </c>
      <c r="E957">
        <v>0</v>
      </c>
      <c r="F957" t="s">
        <v>68</v>
      </c>
      <c r="G957" t="s">
        <v>142</v>
      </c>
      <c r="H957" t="s">
        <v>143</v>
      </c>
      <c r="I957" t="s">
        <v>144</v>
      </c>
      <c r="J957">
        <v>0</v>
      </c>
      <c r="K957">
        <v>45359.786365740743</v>
      </c>
      <c r="L957">
        <v>4888</v>
      </c>
      <c r="O957">
        <v>24</v>
      </c>
      <c r="P957">
        <v>0</v>
      </c>
      <c r="Q957">
        <v>0</v>
      </c>
    </row>
    <row r="958" spans="2:22" x14ac:dyDescent="0.25">
      <c r="B958" t="s">
        <v>434</v>
      </c>
      <c r="C958" t="s">
        <v>529</v>
      </c>
      <c r="D958">
        <v>6118</v>
      </c>
      <c r="E958">
        <v>0</v>
      </c>
      <c r="F958" t="s">
        <v>68</v>
      </c>
      <c r="G958" t="s">
        <v>146</v>
      </c>
      <c r="H958" t="s">
        <v>147</v>
      </c>
      <c r="I958" t="s">
        <v>144</v>
      </c>
      <c r="J958">
        <v>0</v>
      </c>
      <c r="K958">
        <v>45359.786400462966</v>
      </c>
      <c r="L958">
        <v>6120</v>
      </c>
      <c r="O958">
        <v>440</v>
      </c>
      <c r="P958">
        <v>0</v>
      </c>
      <c r="Q958">
        <v>0</v>
      </c>
    </row>
    <row r="959" spans="2:22" x14ac:dyDescent="0.25">
      <c r="B959" t="s">
        <v>434</v>
      </c>
      <c r="C959" t="s">
        <v>529</v>
      </c>
      <c r="D959">
        <v>70</v>
      </c>
      <c r="E959">
        <v>0</v>
      </c>
      <c r="F959" t="s">
        <v>68</v>
      </c>
      <c r="G959">
        <v>6200</v>
      </c>
      <c r="H959" t="s">
        <v>148</v>
      </c>
      <c r="I959" t="s">
        <v>144</v>
      </c>
      <c r="J959">
        <v>0</v>
      </c>
      <c r="K959">
        <v>45359.786423611113</v>
      </c>
      <c r="L959">
        <v>120</v>
      </c>
      <c r="O959">
        <v>24</v>
      </c>
      <c r="P959">
        <v>0</v>
      </c>
      <c r="Q959">
        <v>0</v>
      </c>
    </row>
    <row r="960" spans="2:22" x14ac:dyDescent="0.25">
      <c r="B960" t="s">
        <v>434</v>
      </c>
      <c r="C960" t="s">
        <v>529</v>
      </c>
      <c r="D960">
        <v>2320</v>
      </c>
      <c r="E960">
        <v>0</v>
      </c>
      <c r="F960" t="s">
        <v>68</v>
      </c>
      <c r="G960">
        <v>6001</v>
      </c>
      <c r="H960" t="s">
        <v>149</v>
      </c>
      <c r="I960" t="s">
        <v>144</v>
      </c>
      <c r="J960">
        <v>0</v>
      </c>
      <c r="K960">
        <v>45359.786435185182</v>
      </c>
      <c r="L960">
        <v>4180</v>
      </c>
      <c r="O960">
        <v>60</v>
      </c>
      <c r="P960">
        <v>0</v>
      </c>
      <c r="Q960">
        <v>0</v>
      </c>
    </row>
    <row r="961" spans="2:19" x14ac:dyDescent="0.25">
      <c r="B961" t="s">
        <v>434</v>
      </c>
      <c r="C961" t="s">
        <v>529</v>
      </c>
      <c r="D961">
        <v>39</v>
      </c>
      <c r="E961">
        <v>0</v>
      </c>
      <c r="F961" t="s">
        <v>68</v>
      </c>
      <c r="G961">
        <v>6800</v>
      </c>
      <c r="H961" t="s">
        <v>150</v>
      </c>
      <c r="I961" t="s">
        <v>144</v>
      </c>
      <c r="J961">
        <v>0</v>
      </c>
      <c r="K961">
        <v>45359.786458333336</v>
      </c>
      <c r="L961">
        <v>49</v>
      </c>
      <c r="O961">
        <v>4</v>
      </c>
      <c r="P961">
        <v>0</v>
      </c>
      <c r="Q961">
        <v>0</v>
      </c>
    </row>
    <row r="962" spans="2:19" x14ac:dyDescent="0.25">
      <c r="B962" t="s">
        <v>434</v>
      </c>
      <c r="C962" t="s">
        <v>529</v>
      </c>
      <c r="D962">
        <v>336</v>
      </c>
      <c r="E962">
        <v>0</v>
      </c>
      <c r="F962" t="s">
        <v>68</v>
      </c>
      <c r="G962" t="s">
        <v>151</v>
      </c>
      <c r="H962" t="s">
        <v>152</v>
      </c>
      <c r="I962" t="s">
        <v>105</v>
      </c>
      <c r="J962">
        <v>0</v>
      </c>
      <c r="K962">
        <v>45359.786469907405</v>
      </c>
      <c r="L962">
        <v>456</v>
      </c>
      <c r="O962">
        <v>200</v>
      </c>
      <c r="P962">
        <v>0</v>
      </c>
      <c r="Q962">
        <v>0</v>
      </c>
    </row>
    <row r="963" spans="2:19" x14ac:dyDescent="0.25">
      <c r="B963" t="s">
        <v>434</v>
      </c>
      <c r="C963" t="s">
        <v>529</v>
      </c>
      <c r="D963">
        <v>1600</v>
      </c>
      <c r="E963">
        <v>0</v>
      </c>
      <c r="F963" t="s">
        <v>68</v>
      </c>
      <c r="G963" t="s">
        <v>153</v>
      </c>
      <c r="H963" t="s">
        <v>154</v>
      </c>
      <c r="I963" t="s">
        <v>105</v>
      </c>
      <c r="J963">
        <v>0</v>
      </c>
      <c r="K963">
        <v>45359.786493055559</v>
      </c>
      <c r="L963">
        <v>1600</v>
      </c>
      <c r="O963">
        <v>100</v>
      </c>
      <c r="P963">
        <v>0</v>
      </c>
      <c r="Q963">
        <v>0</v>
      </c>
    </row>
    <row r="964" spans="2:19" x14ac:dyDescent="0.25">
      <c r="B964" t="s">
        <v>434</v>
      </c>
      <c r="C964" t="s">
        <v>529</v>
      </c>
      <c r="D964">
        <v>1326</v>
      </c>
      <c r="E964">
        <v>0</v>
      </c>
      <c r="F964" t="s">
        <v>68</v>
      </c>
      <c r="G964" t="s">
        <v>155</v>
      </c>
      <c r="H964" t="s">
        <v>156</v>
      </c>
      <c r="J964">
        <v>0</v>
      </c>
      <c r="K964">
        <v>45359.786504629628</v>
      </c>
      <c r="L964">
        <v>1362</v>
      </c>
      <c r="O964">
        <v>24</v>
      </c>
      <c r="P964">
        <v>0</v>
      </c>
      <c r="Q964">
        <v>0</v>
      </c>
    </row>
    <row r="965" spans="2:19" x14ac:dyDescent="0.25">
      <c r="B965" t="s">
        <v>434</v>
      </c>
      <c r="C965" t="s">
        <v>529</v>
      </c>
      <c r="D965">
        <v>1094</v>
      </c>
      <c r="E965">
        <v>0</v>
      </c>
      <c r="F965" t="s">
        <v>68</v>
      </c>
      <c r="G965" t="s">
        <v>157</v>
      </c>
      <c r="H965" t="s">
        <v>156</v>
      </c>
      <c r="J965">
        <v>0</v>
      </c>
      <c r="K965">
        <v>45359.786516203705</v>
      </c>
      <c r="L965">
        <v>1094</v>
      </c>
      <c r="O965">
        <v>12</v>
      </c>
      <c r="P965">
        <v>0</v>
      </c>
      <c r="Q965">
        <v>0</v>
      </c>
    </row>
    <row r="966" spans="2:19" x14ac:dyDescent="0.25">
      <c r="B966" t="s">
        <v>434</v>
      </c>
      <c r="C966" t="s">
        <v>529</v>
      </c>
      <c r="D966">
        <v>0</v>
      </c>
      <c r="E966">
        <v>0</v>
      </c>
      <c r="F966" t="s">
        <v>68</v>
      </c>
      <c r="G966" t="s">
        <v>159</v>
      </c>
      <c r="H966" t="s">
        <v>160</v>
      </c>
      <c r="I966" t="s">
        <v>161</v>
      </c>
      <c r="J966">
        <v>0</v>
      </c>
      <c r="K966">
        <v>45359.786527777775</v>
      </c>
      <c r="L966">
        <v>0</v>
      </c>
      <c r="O966">
        <v>36</v>
      </c>
      <c r="P966">
        <v>0</v>
      </c>
      <c r="Q966">
        <v>0</v>
      </c>
    </row>
    <row r="967" spans="2:19" x14ac:dyDescent="0.25">
      <c r="B967" t="s">
        <v>434</v>
      </c>
      <c r="C967" t="s">
        <v>529</v>
      </c>
      <c r="D967">
        <v>780</v>
      </c>
      <c r="E967">
        <v>0</v>
      </c>
      <c r="F967" t="s">
        <v>68</v>
      </c>
      <c r="G967" t="s">
        <v>109</v>
      </c>
      <c r="H967" t="s">
        <v>162</v>
      </c>
      <c r="J967">
        <v>0</v>
      </c>
      <c r="K967">
        <v>45359.786539351851</v>
      </c>
      <c r="L967">
        <v>880</v>
      </c>
      <c r="O967">
        <v>96</v>
      </c>
      <c r="P967">
        <v>0</v>
      </c>
      <c r="Q967">
        <v>0</v>
      </c>
    </row>
    <row r="968" spans="2:19" x14ac:dyDescent="0.25">
      <c r="B968" t="s">
        <v>434</v>
      </c>
      <c r="C968" t="s">
        <v>529</v>
      </c>
      <c r="D968">
        <v>4202</v>
      </c>
      <c r="E968">
        <v>0</v>
      </c>
      <c r="F968" t="s">
        <v>68</v>
      </c>
      <c r="G968" t="s">
        <v>163</v>
      </c>
      <c r="H968" t="s">
        <v>164</v>
      </c>
      <c r="I968" t="s">
        <v>165</v>
      </c>
      <c r="J968">
        <v>0</v>
      </c>
      <c r="K968">
        <v>45359.786550925928</v>
      </c>
      <c r="L968">
        <v>-3786</v>
      </c>
      <c r="O968">
        <v>12</v>
      </c>
      <c r="P968">
        <v>0</v>
      </c>
      <c r="Q968">
        <v>0</v>
      </c>
      <c r="S968">
        <v>0</v>
      </c>
    </row>
    <row r="969" spans="2:19" x14ac:dyDescent="0.25">
      <c r="B969" t="s">
        <v>434</v>
      </c>
      <c r="C969" t="s">
        <v>529</v>
      </c>
      <c r="D969">
        <v>81</v>
      </c>
      <c r="E969">
        <v>0</v>
      </c>
      <c r="G969" t="s">
        <v>166</v>
      </c>
      <c r="J969">
        <v>0</v>
      </c>
      <c r="K969">
        <v>45359.786574074074</v>
      </c>
      <c r="L969">
        <v>91</v>
      </c>
      <c r="O969">
        <v>4</v>
      </c>
      <c r="P969">
        <v>0</v>
      </c>
      <c r="Q969">
        <v>0</v>
      </c>
    </row>
    <row r="970" spans="2:19" x14ac:dyDescent="0.25">
      <c r="B970" t="s">
        <v>434</v>
      </c>
      <c r="C970" t="s">
        <v>529</v>
      </c>
      <c r="D970">
        <v>7000</v>
      </c>
      <c r="E970">
        <v>0</v>
      </c>
      <c r="F970" t="s">
        <v>68</v>
      </c>
      <c r="G970" t="s">
        <v>168</v>
      </c>
      <c r="H970" t="s">
        <v>520</v>
      </c>
      <c r="J970">
        <v>0</v>
      </c>
      <c r="K970">
        <v>45359.786585648151</v>
      </c>
      <c r="L970">
        <v>7000</v>
      </c>
      <c r="O970">
        <v>500</v>
      </c>
      <c r="P970">
        <v>0</v>
      </c>
      <c r="Q970">
        <v>0</v>
      </c>
    </row>
    <row r="971" spans="2:19" x14ac:dyDescent="0.25">
      <c r="B971" t="s">
        <v>434</v>
      </c>
      <c r="C971" t="s">
        <v>529</v>
      </c>
      <c r="D971">
        <v>300</v>
      </c>
      <c r="E971">
        <v>0</v>
      </c>
      <c r="F971" t="s">
        <v>68</v>
      </c>
      <c r="G971">
        <v>6885</v>
      </c>
      <c r="H971" t="s">
        <v>169</v>
      </c>
      <c r="I971" t="s">
        <v>144</v>
      </c>
      <c r="J971">
        <v>0</v>
      </c>
      <c r="K971">
        <v>45359.786597222221</v>
      </c>
      <c r="L971">
        <v>340</v>
      </c>
      <c r="O971">
        <v>100</v>
      </c>
      <c r="P971">
        <v>0</v>
      </c>
      <c r="Q971">
        <v>0</v>
      </c>
    </row>
    <row r="972" spans="2:19" x14ac:dyDescent="0.25">
      <c r="B972" t="s">
        <v>434</v>
      </c>
      <c r="C972" t="s">
        <v>529</v>
      </c>
      <c r="D972">
        <v>6200</v>
      </c>
      <c r="E972">
        <v>0</v>
      </c>
      <c r="G972" t="s">
        <v>170</v>
      </c>
      <c r="J972">
        <v>0</v>
      </c>
      <c r="K972">
        <v>45359.786608796298</v>
      </c>
      <c r="L972">
        <v>4600</v>
      </c>
      <c r="O972">
        <v>2400</v>
      </c>
      <c r="P972">
        <v>0</v>
      </c>
      <c r="Q972">
        <v>0</v>
      </c>
    </row>
    <row r="973" spans="2:19" x14ac:dyDescent="0.25">
      <c r="B973" t="s">
        <v>434</v>
      </c>
      <c r="C973" t="s">
        <v>529</v>
      </c>
      <c r="D973">
        <v>29000</v>
      </c>
      <c r="E973">
        <v>0</v>
      </c>
      <c r="G973" t="s">
        <v>172</v>
      </c>
      <c r="J973">
        <v>0</v>
      </c>
      <c r="K973">
        <v>45359.786620370367</v>
      </c>
      <c r="L973">
        <v>29000</v>
      </c>
      <c r="O973">
        <v>2400</v>
      </c>
      <c r="P973">
        <v>0</v>
      </c>
      <c r="Q973">
        <v>0</v>
      </c>
    </row>
    <row r="974" spans="2:19" x14ac:dyDescent="0.25">
      <c r="B974" t="s">
        <v>434</v>
      </c>
      <c r="C974" t="s">
        <v>529</v>
      </c>
      <c r="D974">
        <v>500</v>
      </c>
      <c r="E974">
        <v>0</v>
      </c>
      <c r="F974" t="s">
        <v>174</v>
      </c>
      <c r="G974" t="s">
        <v>175</v>
      </c>
      <c r="H974" t="s">
        <v>176</v>
      </c>
      <c r="J974">
        <v>0</v>
      </c>
      <c r="K974">
        <v>45359.786631944444</v>
      </c>
      <c r="L974">
        <v>500</v>
      </c>
      <c r="O974">
        <v>20</v>
      </c>
      <c r="P974">
        <v>0</v>
      </c>
      <c r="Q974">
        <v>0</v>
      </c>
    </row>
    <row r="975" spans="2:19" x14ac:dyDescent="0.25">
      <c r="B975" t="s">
        <v>434</v>
      </c>
      <c r="C975" t="s">
        <v>529</v>
      </c>
      <c r="D975">
        <v>2990</v>
      </c>
      <c r="E975">
        <v>0</v>
      </c>
      <c r="F975" t="s">
        <v>68</v>
      </c>
      <c r="G975">
        <v>501</v>
      </c>
      <c r="H975" t="s">
        <v>178</v>
      </c>
      <c r="I975" t="s">
        <v>144</v>
      </c>
      <c r="J975">
        <v>0</v>
      </c>
      <c r="K975">
        <v>45359.786643518521</v>
      </c>
      <c r="L975">
        <v>1190</v>
      </c>
      <c r="O975">
        <v>100</v>
      </c>
      <c r="P975">
        <v>0</v>
      </c>
      <c r="Q975">
        <v>0</v>
      </c>
    </row>
    <row r="976" spans="2:19" x14ac:dyDescent="0.25">
      <c r="B976" t="s">
        <v>434</v>
      </c>
      <c r="C976" t="s">
        <v>529</v>
      </c>
      <c r="D976">
        <v>27000</v>
      </c>
      <c r="E976">
        <v>0</v>
      </c>
      <c r="F976" t="s">
        <v>68</v>
      </c>
      <c r="G976" t="s">
        <v>179</v>
      </c>
      <c r="H976" t="s">
        <v>180</v>
      </c>
      <c r="I976" t="s">
        <v>144</v>
      </c>
      <c r="J976">
        <v>0</v>
      </c>
      <c r="K976">
        <v>45359.786666666667</v>
      </c>
      <c r="L976">
        <v>27000</v>
      </c>
      <c r="O976">
        <v>2000</v>
      </c>
      <c r="P976">
        <v>0</v>
      </c>
      <c r="Q976">
        <v>0</v>
      </c>
    </row>
    <row r="977" spans="2:17" x14ac:dyDescent="0.25">
      <c r="B977" t="s">
        <v>434</v>
      </c>
      <c r="C977" t="s">
        <v>529</v>
      </c>
      <c r="D977">
        <v>82</v>
      </c>
      <c r="E977">
        <v>0</v>
      </c>
      <c r="F977" t="s">
        <v>68</v>
      </c>
      <c r="G977">
        <v>81066</v>
      </c>
      <c r="H977" t="s">
        <v>181</v>
      </c>
      <c r="J977">
        <v>0</v>
      </c>
      <c r="K977">
        <v>45359.786678240744</v>
      </c>
      <c r="L977">
        <v>-36</v>
      </c>
      <c r="O977">
        <v>40</v>
      </c>
      <c r="P977">
        <v>0</v>
      </c>
      <c r="Q977">
        <v>0</v>
      </c>
    </row>
    <row r="978" spans="2:17" x14ac:dyDescent="0.25">
      <c r="B978" t="s">
        <v>434</v>
      </c>
      <c r="C978" t="s">
        <v>529</v>
      </c>
      <c r="D978">
        <v>3</v>
      </c>
      <c r="E978">
        <v>0</v>
      </c>
      <c r="F978" t="s">
        <v>68</v>
      </c>
      <c r="G978" t="s">
        <v>182</v>
      </c>
      <c r="H978" t="s">
        <v>183</v>
      </c>
      <c r="J978">
        <v>0</v>
      </c>
      <c r="K978">
        <v>45359.78670138889</v>
      </c>
      <c r="L978">
        <v>-30</v>
      </c>
      <c r="O978">
        <v>36</v>
      </c>
      <c r="P978">
        <v>0</v>
      </c>
      <c r="Q978">
        <v>0</v>
      </c>
    </row>
    <row r="979" spans="2:17" x14ac:dyDescent="0.25">
      <c r="B979" t="s">
        <v>434</v>
      </c>
      <c r="C979" t="s">
        <v>529</v>
      </c>
      <c r="D979">
        <v>2240</v>
      </c>
      <c r="E979">
        <v>0</v>
      </c>
      <c r="F979" t="s">
        <v>68</v>
      </c>
      <c r="G979" t="s">
        <v>201</v>
      </c>
      <c r="H979" t="s">
        <v>202</v>
      </c>
      <c r="I979" t="s">
        <v>144</v>
      </c>
      <c r="J979">
        <v>0</v>
      </c>
      <c r="K979">
        <v>45359.786712962959</v>
      </c>
      <c r="L979">
        <v>5058</v>
      </c>
      <c r="O979">
        <v>100</v>
      </c>
      <c r="P979">
        <v>0</v>
      </c>
      <c r="Q979">
        <v>0</v>
      </c>
    </row>
    <row r="980" spans="2:17" x14ac:dyDescent="0.25">
      <c r="B980" t="s">
        <v>434</v>
      </c>
      <c r="C980" t="s">
        <v>529</v>
      </c>
      <c r="D980">
        <v>9</v>
      </c>
      <c r="E980">
        <v>0</v>
      </c>
      <c r="F980" t="s">
        <v>135</v>
      </c>
      <c r="G980" t="s">
        <v>225</v>
      </c>
      <c r="H980" t="s">
        <v>208</v>
      </c>
      <c r="I980" t="s">
        <v>209</v>
      </c>
      <c r="J980">
        <v>0</v>
      </c>
      <c r="K980">
        <v>45359.786724537036</v>
      </c>
      <c r="L980">
        <v>9</v>
      </c>
      <c r="O980">
        <v>1</v>
      </c>
      <c r="P980">
        <v>0</v>
      </c>
      <c r="Q980">
        <v>0</v>
      </c>
    </row>
    <row r="981" spans="2:17" x14ac:dyDescent="0.25">
      <c r="B981" t="s">
        <v>434</v>
      </c>
      <c r="C981" t="s">
        <v>529</v>
      </c>
      <c r="D981">
        <v>10</v>
      </c>
      <c r="E981">
        <v>0</v>
      </c>
      <c r="F981" t="s">
        <v>135</v>
      </c>
      <c r="G981" t="s">
        <v>226</v>
      </c>
      <c r="H981" t="s">
        <v>208</v>
      </c>
      <c r="I981" t="s">
        <v>209</v>
      </c>
      <c r="J981">
        <v>0</v>
      </c>
      <c r="K981">
        <v>45359.786747685182</v>
      </c>
      <c r="L981">
        <v>10</v>
      </c>
      <c r="O981">
        <v>1</v>
      </c>
      <c r="P981">
        <v>0</v>
      </c>
      <c r="Q981">
        <v>0</v>
      </c>
    </row>
    <row r="982" spans="2:17" x14ac:dyDescent="0.25">
      <c r="B982" t="s">
        <v>434</v>
      </c>
      <c r="C982" t="s">
        <v>529</v>
      </c>
      <c r="D982">
        <v>51</v>
      </c>
      <c r="E982">
        <v>0</v>
      </c>
      <c r="F982" t="s">
        <v>135</v>
      </c>
      <c r="G982" t="s">
        <v>62</v>
      </c>
      <c r="H982" t="s">
        <v>208</v>
      </c>
      <c r="I982" t="s">
        <v>209</v>
      </c>
      <c r="J982">
        <v>0</v>
      </c>
      <c r="K982">
        <v>45359.786759259259</v>
      </c>
      <c r="L982">
        <v>49</v>
      </c>
      <c r="O982">
        <v>1</v>
      </c>
      <c r="P982">
        <v>0</v>
      </c>
      <c r="Q982">
        <v>0</v>
      </c>
    </row>
    <row r="983" spans="2:17" x14ac:dyDescent="0.25">
      <c r="B983" t="s">
        <v>434</v>
      </c>
      <c r="C983" t="s">
        <v>529</v>
      </c>
      <c r="D983">
        <v>44</v>
      </c>
      <c r="E983">
        <v>0</v>
      </c>
      <c r="F983" t="s">
        <v>135</v>
      </c>
      <c r="G983" t="s">
        <v>227</v>
      </c>
      <c r="H983" t="s">
        <v>208</v>
      </c>
      <c r="I983" t="s">
        <v>209</v>
      </c>
      <c r="J983">
        <v>0</v>
      </c>
      <c r="K983">
        <v>45359.786770833336</v>
      </c>
      <c r="L983">
        <v>46</v>
      </c>
      <c r="O983">
        <v>1</v>
      </c>
      <c r="P983">
        <v>0</v>
      </c>
      <c r="Q983">
        <v>0</v>
      </c>
    </row>
    <row r="984" spans="2:17" x14ac:dyDescent="0.25">
      <c r="B984" t="s">
        <v>434</v>
      </c>
      <c r="C984" t="s">
        <v>529</v>
      </c>
      <c r="D984">
        <v>2</v>
      </c>
      <c r="E984">
        <v>0</v>
      </c>
      <c r="F984" t="s">
        <v>135</v>
      </c>
      <c r="G984" t="s">
        <v>63</v>
      </c>
      <c r="H984" t="s">
        <v>208</v>
      </c>
      <c r="I984" t="s">
        <v>209</v>
      </c>
      <c r="J984">
        <v>0</v>
      </c>
      <c r="K984">
        <v>45359.786782407406</v>
      </c>
      <c r="L984">
        <v>2</v>
      </c>
      <c r="O984">
        <v>1</v>
      </c>
      <c r="P984">
        <v>0</v>
      </c>
      <c r="Q984">
        <v>0</v>
      </c>
    </row>
    <row r="985" spans="2:17" x14ac:dyDescent="0.25">
      <c r="B985" t="s">
        <v>434</v>
      </c>
      <c r="C985" t="s">
        <v>529</v>
      </c>
      <c r="D985">
        <v>0</v>
      </c>
      <c r="E985">
        <v>0</v>
      </c>
      <c r="F985" t="s">
        <v>135</v>
      </c>
      <c r="G985" t="s">
        <v>228</v>
      </c>
      <c r="H985" t="s">
        <v>208</v>
      </c>
      <c r="I985" t="s">
        <v>209</v>
      </c>
      <c r="J985">
        <v>0</v>
      </c>
      <c r="K985">
        <v>45359.786805555559</v>
      </c>
      <c r="L985">
        <v>2</v>
      </c>
      <c r="O985">
        <v>1</v>
      </c>
      <c r="P985">
        <v>0</v>
      </c>
      <c r="Q985">
        <v>0</v>
      </c>
    </row>
    <row r="986" spans="2:17" x14ac:dyDescent="0.25">
      <c r="B986" t="s">
        <v>434</v>
      </c>
      <c r="C986" t="s">
        <v>529</v>
      </c>
      <c r="D986">
        <v>4</v>
      </c>
      <c r="E986">
        <v>0</v>
      </c>
      <c r="F986" t="s">
        <v>135</v>
      </c>
      <c r="G986" t="s">
        <v>229</v>
      </c>
      <c r="H986" t="s">
        <v>208</v>
      </c>
      <c r="I986" t="s">
        <v>209</v>
      </c>
      <c r="J986">
        <v>0</v>
      </c>
      <c r="K986">
        <v>45359.786817129629</v>
      </c>
      <c r="L986">
        <v>4</v>
      </c>
      <c r="O986">
        <v>1</v>
      </c>
      <c r="P986">
        <v>0</v>
      </c>
      <c r="Q986">
        <v>0</v>
      </c>
    </row>
    <row r="987" spans="2:17" x14ac:dyDescent="0.25">
      <c r="B987" t="s">
        <v>434</v>
      </c>
      <c r="C987" t="s">
        <v>529</v>
      </c>
      <c r="D987">
        <v>4</v>
      </c>
      <c r="E987">
        <v>0</v>
      </c>
      <c r="F987" t="s">
        <v>135</v>
      </c>
      <c r="G987" t="s">
        <v>230</v>
      </c>
      <c r="H987" t="s">
        <v>208</v>
      </c>
      <c r="I987" t="s">
        <v>209</v>
      </c>
      <c r="J987">
        <v>0</v>
      </c>
      <c r="K987">
        <v>45359.786828703705</v>
      </c>
      <c r="L987">
        <v>4</v>
      </c>
      <c r="O987">
        <v>1</v>
      </c>
      <c r="P987">
        <v>0</v>
      </c>
      <c r="Q987">
        <v>0</v>
      </c>
    </row>
    <row r="988" spans="2:17" x14ac:dyDescent="0.25">
      <c r="B988" t="s">
        <v>434</v>
      </c>
      <c r="C988" t="s">
        <v>529</v>
      </c>
      <c r="D988">
        <v>56</v>
      </c>
      <c r="E988">
        <v>0</v>
      </c>
      <c r="F988" t="s">
        <v>135</v>
      </c>
      <c r="G988" t="s">
        <v>64</v>
      </c>
      <c r="H988" t="s">
        <v>208</v>
      </c>
      <c r="I988" t="s">
        <v>209</v>
      </c>
      <c r="J988">
        <v>0</v>
      </c>
      <c r="K988">
        <v>45359.786840277775</v>
      </c>
      <c r="L988">
        <v>56</v>
      </c>
      <c r="O988">
        <v>1</v>
      </c>
      <c r="P988">
        <v>0</v>
      </c>
      <c r="Q988">
        <v>0</v>
      </c>
    </row>
    <row r="989" spans="2:17" x14ac:dyDescent="0.25">
      <c r="B989" t="s">
        <v>434</v>
      </c>
      <c r="C989" t="s">
        <v>529</v>
      </c>
      <c r="D989">
        <v>14</v>
      </c>
      <c r="E989">
        <v>0</v>
      </c>
      <c r="F989" t="s">
        <v>135</v>
      </c>
      <c r="G989" t="s">
        <v>215</v>
      </c>
      <c r="H989" t="s">
        <v>208</v>
      </c>
      <c r="I989" t="s">
        <v>209</v>
      </c>
      <c r="J989">
        <v>0</v>
      </c>
      <c r="K989">
        <v>45359.786851851852</v>
      </c>
      <c r="L989">
        <v>14</v>
      </c>
      <c r="O989">
        <v>1</v>
      </c>
      <c r="P989">
        <v>0</v>
      </c>
      <c r="Q989">
        <v>0</v>
      </c>
    </row>
    <row r="990" spans="2:17" x14ac:dyDescent="0.25">
      <c r="B990" t="s">
        <v>434</v>
      </c>
      <c r="C990" t="s">
        <v>529</v>
      </c>
      <c r="D990">
        <v>31</v>
      </c>
      <c r="E990">
        <v>0</v>
      </c>
      <c r="F990" t="s">
        <v>135</v>
      </c>
      <c r="G990" t="s">
        <v>216</v>
      </c>
      <c r="H990" t="s">
        <v>208</v>
      </c>
      <c r="I990" t="s">
        <v>209</v>
      </c>
      <c r="J990">
        <v>0</v>
      </c>
      <c r="K990">
        <v>45359.786863425928</v>
      </c>
      <c r="L990">
        <v>25</v>
      </c>
      <c r="O990">
        <v>1</v>
      </c>
      <c r="P990">
        <v>0</v>
      </c>
      <c r="Q990">
        <v>0</v>
      </c>
    </row>
    <row r="991" spans="2:17" x14ac:dyDescent="0.25">
      <c r="B991" t="s">
        <v>434</v>
      </c>
      <c r="C991" t="s">
        <v>529</v>
      </c>
      <c r="D991">
        <v>39</v>
      </c>
      <c r="E991">
        <v>0</v>
      </c>
      <c r="F991" t="s">
        <v>135</v>
      </c>
      <c r="G991" t="s">
        <v>217</v>
      </c>
      <c r="H991" t="s">
        <v>208</v>
      </c>
      <c r="I991" t="s">
        <v>209</v>
      </c>
      <c r="J991">
        <v>0</v>
      </c>
      <c r="K991">
        <v>45359.786874999998</v>
      </c>
      <c r="L991">
        <v>40</v>
      </c>
      <c r="O991">
        <v>1</v>
      </c>
      <c r="P991">
        <v>0</v>
      </c>
      <c r="Q991">
        <v>0</v>
      </c>
    </row>
    <row r="992" spans="2:17" x14ac:dyDescent="0.25">
      <c r="B992" t="s">
        <v>434</v>
      </c>
      <c r="C992" t="s">
        <v>529</v>
      </c>
      <c r="D992">
        <v>32</v>
      </c>
      <c r="E992">
        <v>0</v>
      </c>
      <c r="F992" t="s">
        <v>135</v>
      </c>
      <c r="G992" t="s">
        <v>218</v>
      </c>
      <c r="H992" t="s">
        <v>208</v>
      </c>
      <c r="I992" t="s">
        <v>209</v>
      </c>
      <c r="J992">
        <v>0</v>
      </c>
      <c r="K992">
        <v>45359.786886574075</v>
      </c>
      <c r="L992">
        <v>32</v>
      </c>
      <c r="O992">
        <v>1</v>
      </c>
      <c r="P992">
        <v>0</v>
      </c>
      <c r="Q992">
        <v>0</v>
      </c>
    </row>
    <row r="993" spans="2:19" x14ac:dyDescent="0.25">
      <c r="B993" t="s">
        <v>434</v>
      </c>
      <c r="C993" t="s">
        <v>529</v>
      </c>
      <c r="D993">
        <v>25</v>
      </c>
      <c r="E993">
        <v>0</v>
      </c>
      <c r="F993" t="s">
        <v>135</v>
      </c>
      <c r="G993" t="s">
        <v>219</v>
      </c>
      <c r="H993" t="s">
        <v>208</v>
      </c>
      <c r="I993" t="s">
        <v>209</v>
      </c>
      <c r="J993">
        <v>0</v>
      </c>
      <c r="K993">
        <v>45359.786898148152</v>
      </c>
      <c r="L993">
        <v>22</v>
      </c>
      <c r="O993">
        <v>1</v>
      </c>
      <c r="P993">
        <v>0</v>
      </c>
      <c r="Q993">
        <v>0</v>
      </c>
    </row>
    <row r="994" spans="2:19" x14ac:dyDescent="0.25">
      <c r="B994" t="s">
        <v>434</v>
      </c>
      <c r="C994" t="s">
        <v>529</v>
      </c>
      <c r="D994">
        <v>2</v>
      </c>
      <c r="E994">
        <v>0</v>
      </c>
      <c r="F994" t="s">
        <v>135</v>
      </c>
      <c r="G994" t="s">
        <v>220</v>
      </c>
      <c r="H994" t="s">
        <v>208</v>
      </c>
      <c r="I994" t="s">
        <v>209</v>
      </c>
      <c r="J994">
        <v>0</v>
      </c>
      <c r="K994">
        <v>45359.786909722221</v>
      </c>
      <c r="L994">
        <v>2</v>
      </c>
      <c r="O994">
        <v>1</v>
      </c>
      <c r="P994">
        <v>0</v>
      </c>
      <c r="Q994">
        <v>0</v>
      </c>
    </row>
    <row r="995" spans="2:19" x14ac:dyDescent="0.25">
      <c r="B995" t="s">
        <v>434</v>
      </c>
      <c r="C995" t="s">
        <v>529</v>
      </c>
      <c r="D995">
        <v>0</v>
      </c>
      <c r="E995">
        <v>0</v>
      </c>
      <c r="F995" t="s">
        <v>68</v>
      </c>
      <c r="G995">
        <v>111023</v>
      </c>
      <c r="H995" t="s">
        <v>233</v>
      </c>
      <c r="I995" t="s">
        <v>234</v>
      </c>
      <c r="J995">
        <v>0</v>
      </c>
      <c r="K995">
        <v>45359.786921296298</v>
      </c>
      <c r="L995">
        <v>0</v>
      </c>
      <c r="O995">
        <v>1</v>
      </c>
      <c r="P995">
        <v>0</v>
      </c>
      <c r="Q995">
        <v>0</v>
      </c>
    </row>
    <row r="996" spans="2:19" x14ac:dyDescent="0.25">
      <c r="B996" t="s">
        <v>434</v>
      </c>
      <c r="C996" t="s">
        <v>529</v>
      </c>
      <c r="D996">
        <v>400</v>
      </c>
      <c r="E996">
        <v>0</v>
      </c>
      <c r="F996" t="s">
        <v>68</v>
      </c>
      <c r="G996" t="s">
        <v>274</v>
      </c>
      <c r="H996" t="s">
        <v>275</v>
      </c>
      <c r="I996" t="s">
        <v>105</v>
      </c>
      <c r="J996">
        <v>0</v>
      </c>
      <c r="K996">
        <v>45359.786932870367</v>
      </c>
      <c r="L996">
        <v>400</v>
      </c>
      <c r="O996">
        <v>1</v>
      </c>
      <c r="P996">
        <v>0</v>
      </c>
      <c r="Q996">
        <v>0</v>
      </c>
    </row>
    <row r="997" spans="2:19" x14ac:dyDescent="0.25">
      <c r="B997" t="s">
        <v>434</v>
      </c>
      <c r="C997" t="s">
        <v>529</v>
      </c>
      <c r="D997">
        <v>30000</v>
      </c>
      <c r="E997">
        <v>0</v>
      </c>
      <c r="F997" t="s">
        <v>68</v>
      </c>
      <c r="G997" t="s">
        <v>278</v>
      </c>
      <c r="H997" t="s">
        <v>279</v>
      </c>
      <c r="I997" t="s">
        <v>105</v>
      </c>
      <c r="J997">
        <v>0</v>
      </c>
      <c r="K997">
        <v>45359.786956018521</v>
      </c>
      <c r="L997">
        <v>30000</v>
      </c>
      <c r="O997">
        <v>2400</v>
      </c>
      <c r="P997">
        <v>0</v>
      </c>
      <c r="Q997">
        <v>0</v>
      </c>
    </row>
    <row r="998" spans="2:19" x14ac:dyDescent="0.25">
      <c r="B998" t="s">
        <v>434</v>
      </c>
      <c r="C998" t="s">
        <v>529</v>
      </c>
      <c r="D998" t="s">
        <v>67</v>
      </c>
      <c r="E998">
        <v>0</v>
      </c>
      <c r="F998" t="s">
        <v>68</v>
      </c>
      <c r="G998" t="s">
        <v>112</v>
      </c>
      <c r="H998" t="s">
        <v>323</v>
      </c>
      <c r="I998" t="s">
        <v>66</v>
      </c>
      <c r="J998">
        <v>0</v>
      </c>
      <c r="K998">
        <v>45359.78696759259</v>
      </c>
      <c r="L998">
        <v>9994</v>
      </c>
      <c r="O998">
        <v>100</v>
      </c>
      <c r="P998">
        <v>0</v>
      </c>
      <c r="Q998">
        <v>0</v>
      </c>
    </row>
    <row r="999" spans="2:19" x14ac:dyDescent="0.25">
      <c r="B999" t="s">
        <v>434</v>
      </c>
      <c r="C999" t="s">
        <v>529</v>
      </c>
      <c r="D999">
        <v>54</v>
      </c>
      <c r="E999">
        <v>0</v>
      </c>
      <c r="F999" t="s">
        <v>135</v>
      </c>
      <c r="G999" t="s">
        <v>331</v>
      </c>
      <c r="H999" t="s">
        <v>208</v>
      </c>
      <c r="I999" t="s">
        <v>209</v>
      </c>
      <c r="J999">
        <v>0</v>
      </c>
      <c r="K999">
        <v>45359.786979166667</v>
      </c>
      <c r="L999">
        <v>54</v>
      </c>
      <c r="O999">
        <v>1</v>
      </c>
      <c r="P999">
        <v>0</v>
      </c>
      <c r="Q999">
        <v>0</v>
      </c>
    </row>
    <row r="1000" spans="2:19" x14ac:dyDescent="0.25">
      <c r="B1000" t="s">
        <v>434</v>
      </c>
      <c r="C1000" t="s">
        <v>529</v>
      </c>
      <c r="D1000">
        <v>21</v>
      </c>
      <c r="E1000">
        <v>0</v>
      </c>
      <c r="F1000" t="s">
        <v>135</v>
      </c>
      <c r="G1000" t="s">
        <v>332</v>
      </c>
      <c r="H1000" t="s">
        <v>208</v>
      </c>
      <c r="I1000" t="s">
        <v>209</v>
      </c>
      <c r="J1000">
        <v>0</v>
      </c>
      <c r="K1000">
        <v>45359.787002314813</v>
      </c>
      <c r="L1000">
        <v>27</v>
      </c>
      <c r="O1000">
        <v>1</v>
      </c>
      <c r="P1000">
        <v>0</v>
      </c>
      <c r="Q1000">
        <v>0</v>
      </c>
    </row>
    <row r="1001" spans="2:19" x14ac:dyDescent="0.25">
      <c r="B1001" t="s">
        <v>434</v>
      </c>
      <c r="C1001" t="s">
        <v>529</v>
      </c>
      <c r="D1001">
        <v>29</v>
      </c>
      <c r="E1001">
        <v>0</v>
      </c>
      <c r="F1001" t="s">
        <v>135</v>
      </c>
      <c r="G1001" t="s">
        <v>65</v>
      </c>
      <c r="H1001" t="s">
        <v>208</v>
      </c>
      <c r="I1001" t="s">
        <v>209</v>
      </c>
      <c r="J1001">
        <v>0</v>
      </c>
      <c r="K1001">
        <v>45359.78701388889</v>
      </c>
      <c r="L1001">
        <v>38</v>
      </c>
      <c r="O1001">
        <v>1</v>
      </c>
      <c r="P1001">
        <v>0</v>
      </c>
      <c r="Q1001">
        <v>0</v>
      </c>
    </row>
    <row r="1002" spans="2:19" x14ac:dyDescent="0.25">
      <c r="B1002" t="s">
        <v>434</v>
      </c>
      <c r="C1002" t="s">
        <v>529</v>
      </c>
      <c r="D1002">
        <v>43</v>
      </c>
      <c r="E1002">
        <v>0</v>
      </c>
      <c r="F1002" t="s">
        <v>135</v>
      </c>
      <c r="G1002" t="s">
        <v>333</v>
      </c>
      <c r="H1002" t="s">
        <v>208</v>
      </c>
      <c r="I1002" t="s">
        <v>209</v>
      </c>
      <c r="J1002">
        <v>0</v>
      </c>
      <c r="K1002">
        <v>45359.78702546296</v>
      </c>
      <c r="L1002">
        <v>37</v>
      </c>
      <c r="O1002">
        <v>1</v>
      </c>
      <c r="P1002">
        <v>0</v>
      </c>
      <c r="Q1002">
        <v>0</v>
      </c>
    </row>
    <row r="1003" spans="2:19" x14ac:dyDescent="0.25">
      <c r="B1003" t="s">
        <v>434</v>
      </c>
      <c r="C1003" t="s">
        <v>529</v>
      </c>
      <c r="D1003">
        <v>24</v>
      </c>
      <c r="E1003">
        <v>0</v>
      </c>
      <c r="F1003" t="s">
        <v>135</v>
      </c>
      <c r="G1003" t="s">
        <v>334</v>
      </c>
      <c r="H1003" t="s">
        <v>208</v>
      </c>
      <c r="I1003" t="s">
        <v>209</v>
      </c>
      <c r="J1003">
        <v>0</v>
      </c>
      <c r="K1003">
        <v>45359.787048611113</v>
      </c>
      <c r="L1003">
        <v>24</v>
      </c>
      <c r="O1003">
        <v>1</v>
      </c>
      <c r="P1003">
        <v>0</v>
      </c>
      <c r="Q1003">
        <v>0</v>
      </c>
    </row>
    <row r="1004" spans="2:19" x14ac:dyDescent="0.25">
      <c r="B1004" t="s">
        <v>434</v>
      </c>
      <c r="C1004" t="s">
        <v>529</v>
      </c>
      <c r="D1004">
        <v>42</v>
      </c>
      <c r="E1004">
        <v>0</v>
      </c>
      <c r="F1004" t="s">
        <v>135</v>
      </c>
      <c r="G1004" t="s">
        <v>350</v>
      </c>
      <c r="H1004" t="s">
        <v>208</v>
      </c>
      <c r="I1004" t="s">
        <v>209</v>
      </c>
      <c r="J1004">
        <v>0</v>
      </c>
      <c r="K1004">
        <v>45359.78707175926</v>
      </c>
      <c r="L1004">
        <v>40</v>
      </c>
      <c r="O1004">
        <v>1</v>
      </c>
      <c r="P1004">
        <v>0</v>
      </c>
      <c r="Q1004">
        <v>0</v>
      </c>
    </row>
    <row r="1005" spans="2:19" x14ac:dyDescent="0.25">
      <c r="B1005" t="s">
        <v>158</v>
      </c>
      <c r="C1005" t="s">
        <v>449</v>
      </c>
      <c r="D1005" t="s">
        <v>66</v>
      </c>
      <c r="E1005">
        <v>4</v>
      </c>
      <c r="F1005" t="s">
        <v>135</v>
      </c>
      <c r="G1005" t="s">
        <v>65</v>
      </c>
      <c r="H1005" t="s">
        <v>208</v>
      </c>
      <c r="I1005" t="s">
        <v>209</v>
      </c>
      <c r="J1005">
        <v>0</v>
      </c>
      <c r="K1005">
        <v>45362.584456018521</v>
      </c>
      <c r="L1005">
        <v>25</v>
      </c>
      <c r="O1005">
        <v>1</v>
      </c>
      <c r="P1005">
        <v>4</v>
      </c>
      <c r="Q1005">
        <v>0</v>
      </c>
    </row>
    <row r="1006" spans="2:19" x14ac:dyDescent="0.25">
      <c r="B1006" t="s">
        <v>158</v>
      </c>
      <c r="C1006" t="s">
        <v>449</v>
      </c>
      <c r="D1006" t="s">
        <v>66</v>
      </c>
      <c r="E1006">
        <v>6</v>
      </c>
      <c r="F1006" t="s">
        <v>135</v>
      </c>
      <c r="G1006" t="s">
        <v>331</v>
      </c>
      <c r="H1006" t="s">
        <v>208</v>
      </c>
      <c r="I1006" t="s">
        <v>209</v>
      </c>
      <c r="J1006">
        <v>0</v>
      </c>
      <c r="K1006">
        <v>45362.584456018521</v>
      </c>
      <c r="L1006">
        <v>48</v>
      </c>
      <c r="O1006">
        <v>1</v>
      </c>
      <c r="P1006">
        <v>6</v>
      </c>
      <c r="Q1006">
        <v>0</v>
      </c>
    </row>
    <row r="1007" spans="2:19" x14ac:dyDescent="0.25">
      <c r="B1007" t="s">
        <v>158</v>
      </c>
      <c r="C1007" t="s">
        <v>449</v>
      </c>
      <c r="D1007" t="s">
        <v>66</v>
      </c>
      <c r="E1007">
        <v>5</v>
      </c>
      <c r="F1007" t="s">
        <v>135</v>
      </c>
      <c r="G1007" t="s">
        <v>64</v>
      </c>
      <c r="H1007" t="s">
        <v>208</v>
      </c>
      <c r="I1007" t="s">
        <v>209</v>
      </c>
      <c r="J1007">
        <v>0</v>
      </c>
      <c r="K1007">
        <v>45362.584456018521</v>
      </c>
      <c r="L1007">
        <v>51</v>
      </c>
      <c r="O1007">
        <v>1</v>
      </c>
      <c r="P1007">
        <v>5</v>
      </c>
      <c r="Q1007">
        <v>0</v>
      </c>
    </row>
    <row r="1008" spans="2:19" x14ac:dyDescent="0.25">
      <c r="B1008" t="s">
        <v>158</v>
      </c>
      <c r="C1008" t="s">
        <v>449</v>
      </c>
      <c r="D1008" t="s">
        <v>66</v>
      </c>
      <c r="E1008">
        <v>30</v>
      </c>
      <c r="F1008" t="s">
        <v>68</v>
      </c>
      <c r="G1008" t="s">
        <v>163</v>
      </c>
      <c r="H1008" t="s">
        <v>164</v>
      </c>
      <c r="I1008" t="s">
        <v>165</v>
      </c>
      <c r="J1008">
        <v>0</v>
      </c>
      <c r="K1008">
        <v>45362.584456018521</v>
      </c>
      <c r="L1008">
        <v>4172</v>
      </c>
      <c r="O1008">
        <v>12</v>
      </c>
      <c r="P1008">
        <v>2</v>
      </c>
      <c r="Q1008">
        <v>6</v>
      </c>
      <c r="S1008">
        <v>0</v>
      </c>
    </row>
    <row r="1009" spans="2:17" x14ac:dyDescent="0.25">
      <c r="B1009" t="s">
        <v>158</v>
      </c>
      <c r="C1009" t="s">
        <v>449</v>
      </c>
      <c r="D1009" t="s">
        <v>66</v>
      </c>
      <c r="E1009">
        <v>30</v>
      </c>
      <c r="F1009" t="s">
        <v>135</v>
      </c>
      <c r="G1009" t="s">
        <v>140</v>
      </c>
      <c r="H1009" t="s">
        <v>137</v>
      </c>
      <c r="I1009" t="s">
        <v>138</v>
      </c>
      <c r="J1009">
        <v>0</v>
      </c>
      <c r="K1009">
        <v>45362.584456018521</v>
      </c>
      <c r="L1009">
        <v>2340</v>
      </c>
      <c r="O1009">
        <v>144</v>
      </c>
      <c r="P1009">
        <v>0</v>
      </c>
      <c r="Q1009">
        <v>30</v>
      </c>
    </row>
    <row r="1010" spans="2:17" x14ac:dyDescent="0.25">
      <c r="B1010" t="s">
        <v>530</v>
      </c>
      <c r="C1010" t="s">
        <v>66</v>
      </c>
      <c r="D1010" t="s">
        <v>66</v>
      </c>
      <c r="E1010">
        <v>20000</v>
      </c>
      <c r="F1010" t="s">
        <v>68</v>
      </c>
      <c r="G1010" t="s">
        <v>146</v>
      </c>
      <c r="H1010" t="s">
        <v>147</v>
      </c>
      <c r="I1010" t="s">
        <v>144</v>
      </c>
      <c r="J1010">
        <v>1</v>
      </c>
      <c r="K1010">
        <v>45362.584456018521</v>
      </c>
      <c r="L1010">
        <v>26118</v>
      </c>
      <c r="O1010">
        <v>440</v>
      </c>
      <c r="P1010">
        <v>45</v>
      </c>
      <c r="Q1010">
        <v>199.99999999999943</v>
      </c>
    </row>
    <row r="1011" spans="2:17" x14ac:dyDescent="0.25">
      <c r="B1011" t="s">
        <v>530</v>
      </c>
      <c r="C1011" t="s">
        <v>66</v>
      </c>
      <c r="D1011" t="s">
        <v>66</v>
      </c>
      <c r="E1011">
        <v>400</v>
      </c>
      <c r="F1011" t="s">
        <v>68</v>
      </c>
      <c r="G1011">
        <v>6885</v>
      </c>
      <c r="H1011" t="s">
        <v>169</v>
      </c>
      <c r="I1011" t="s">
        <v>144</v>
      </c>
      <c r="J1011">
        <v>1</v>
      </c>
      <c r="K1011">
        <v>45362.584456018521</v>
      </c>
      <c r="L1011">
        <v>700</v>
      </c>
      <c r="O1011">
        <v>100</v>
      </c>
      <c r="P1011">
        <v>4</v>
      </c>
      <c r="Q1011">
        <v>0</v>
      </c>
    </row>
    <row r="1012" spans="2:17" x14ac:dyDescent="0.25">
      <c r="B1012" t="s">
        <v>531</v>
      </c>
      <c r="C1012" t="s">
        <v>449</v>
      </c>
      <c r="D1012" t="s">
        <v>532</v>
      </c>
      <c r="E1012">
        <v>4</v>
      </c>
      <c r="F1012" t="s">
        <v>135</v>
      </c>
      <c r="G1012" t="s">
        <v>65</v>
      </c>
      <c r="H1012" t="s">
        <v>208</v>
      </c>
      <c r="I1012" t="s">
        <v>209</v>
      </c>
      <c r="J1012">
        <v>1</v>
      </c>
      <c r="K1012">
        <v>45362.584456018521</v>
      </c>
      <c r="L1012">
        <v>29</v>
      </c>
      <c r="O1012">
        <v>1</v>
      </c>
      <c r="P1012">
        <v>4</v>
      </c>
      <c r="Q1012">
        <v>0</v>
      </c>
    </row>
    <row r="1013" spans="2:17" x14ac:dyDescent="0.25">
      <c r="B1013" t="s">
        <v>531</v>
      </c>
      <c r="C1013" t="s">
        <v>449</v>
      </c>
      <c r="D1013" t="s">
        <v>532</v>
      </c>
      <c r="E1013">
        <v>6</v>
      </c>
      <c r="F1013" t="s">
        <v>135</v>
      </c>
      <c r="G1013" t="s">
        <v>331</v>
      </c>
      <c r="H1013" t="s">
        <v>208</v>
      </c>
      <c r="I1013" t="s">
        <v>209</v>
      </c>
      <c r="J1013">
        <v>1</v>
      </c>
      <c r="K1013">
        <v>45362.584456018521</v>
      </c>
      <c r="L1013">
        <v>54</v>
      </c>
      <c r="O1013">
        <v>1</v>
      </c>
      <c r="P1013">
        <v>6</v>
      </c>
      <c r="Q1013">
        <v>0</v>
      </c>
    </row>
    <row r="1014" spans="2:17" x14ac:dyDescent="0.25">
      <c r="B1014" t="s">
        <v>531</v>
      </c>
      <c r="C1014" t="s">
        <v>449</v>
      </c>
      <c r="D1014" t="s">
        <v>532</v>
      </c>
      <c r="E1014">
        <v>5</v>
      </c>
      <c r="F1014" t="s">
        <v>135</v>
      </c>
      <c r="G1014" t="s">
        <v>64</v>
      </c>
      <c r="H1014" t="s">
        <v>208</v>
      </c>
      <c r="I1014" t="s">
        <v>209</v>
      </c>
      <c r="J1014">
        <v>1</v>
      </c>
      <c r="K1014">
        <v>45362.584456018521</v>
      </c>
      <c r="L1014">
        <v>56</v>
      </c>
      <c r="O1014">
        <v>1</v>
      </c>
      <c r="P1014">
        <v>5</v>
      </c>
      <c r="Q1014">
        <v>0</v>
      </c>
    </row>
    <row r="1015" spans="2:17" x14ac:dyDescent="0.25">
      <c r="B1015" t="s">
        <v>531</v>
      </c>
      <c r="C1015" t="s">
        <v>449</v>
      </c>
      <c r="D1015" t="s">
        <v>532</v>
      </c>
      <c r="E1015">
        <v>30</v>
      </c>
      <c r="F1015" t="s">
        <v>68</v>
      </c>
      <c r="G1015" t="s">
        <v>163</v>
      </c>
      <c r="H1015" t="s">
        <v>164</v>
      </c>
      <c r="I1015" t="s">
        <v>165</v>
      </c>
      <c r="J1015">
        <v>1</v>
      </c>
      <c r="K1015">
        <v>45362.584456018521</v>
      </c>
      <c r="L1015">
        <v>4202</v>
      </c>
      <c r="O1015">
        <v>12</v>
      </c>
      <c r="P1015">
        <v>2</v>
      </c>
      <c r="Q1015">
        <v>6</v>
      </c>
    </row>
    <row r="1016" spans="2:17" x14ac:dyDescent="0.25">
      <c r="B1016" t="s">
        <v>531</v>
      </c>
      <c r="C1016" t="s">
        <v>449</v>
      </c>
      <c r="D1016" t="s">
        <v>532</v>
      </c>
      <c r="E1016">
        <v>30</v>
      </c>
      <c r="F1016" t="s">
        <v>135</v>
      </c>
      <c r="G1016" t="s">
        <v>140</v>
      </c>
      <c r="H1016" t="s">
        <v>137</v>
      </c>
      <c r="I1016" t="s">
        <v>138</v>
      </c>
      <c r="J1016">
        <v>1</v>
      </c>
      <c r="K1016">
        <v>45362.584456018521</v>
      </c>
      <c r="L1016">
        <v>2370</v>
      </c>
      <c r="O1016">
        <v>144</v>
      </c>
      <c r="P1016">
        <v>0</v>
      </c>
      <c r="Q1016">
        <v>30</v>
      </c>
    </row>
    <row r="1017" spans="2:17" x14ac:dyDescent="0.25">
      <c r="B1017" t="s">
        <v>531</v>
      </c>
      <c r="C1017" t="s">
        <v>66</v>
      </c>
      <c r="D1017" t="s">
        <v>66</v>
      </c>
      <c r="E1017">
        <v>40</v>
      </c>
      <c r="F1017" t="s">
        <v>68</v>
      </c>
      <c r="G1017">
        <v>111023</v>
      </c>
      <c r="H1017" t="s">
        <v>233</v>
      </c>
      <c r="I1017" t="s">
        <v>234</v>
      </c>
      <c r="J1017">
        <v>1</v>
      </c>
      <c r="K1017">
        <v>45362.584456018521</v>
      </c>
      <c r="L1017">
        <v>40</v>
      </c>
      <c r="O1017">
        <v>1</v>
      </c>
      <c r="P1017">
        <v>40</v>
      </c>
      <c r="Q1017">
        <v>0</v>
      </c>
    </row>
    <row r="1018" spans="2:17" x14ac:dyDescent="0.25">
      <c r="B1018">
        <v>6</v>
      </c>
      <c r="C1018">
        <v>41220289</v>
      </c>
      <c r="D1018">
        <v>1512</v>
      </c>
      <c r="E1018">
        <v>30</v>
      </c>
      <c r="F1018" t="s">
        <v>68</v>
      </c>
      <c r="G1018">
        <v>6800</v>
      </c>
      <c r="H1018" t="s">
        <v>150</v>
      </c>
      <c r="I1018" t="s">
        <v>144</v>
      </c>
      <c r="J1018">
        <v>0</v>
      </c>
      <c r="K1018">
        <v>45363.58457175926</v>
      </c>
      <c r="L1018">
        <v>9</v>
      </c>
      <c r="O1018">
        <v>4</v>
      </c>
      <c r="P1018">
        <v>7</v>
      </c>
      <c r="Q1018">
        <v>2</v>
      </c>
    </row>
    <row r="1019" spans="2:17" x14ac:dyDescent="0.25">
      <c r="B1019">
        <v>6</v>
      </c>
      <c r="C1019">
        <v>41219872</v>
      </c>
      <c r="D1019">
        <v>1513</v>
      </c>
      <c r="E1019">
        <v>400</v>
      </c>
      <c r="F1019" t="s">
        <v>68</v>
      </c>
      <c r="G1019" t="s">
        <v>201</v>
      </c>
      <c r="H1019" t="s">
        <v>202</v>
      </c>
      <c r="I1019" t="s">
        <v>144</v>
      </c>
      <c r="J1019">
        <v>0</v>
      </c>
      <c r="K1019">
        <v>45363.584606481483</v>
      </c>
      <c r="L1019">
        <v>1840</v>
      </c>
      <c r="O1019">
        <v>100</v>
      </c>
      <c r="P1019">
        <v>4</v>
      </c>
      <c r="Q1019">
        <v>0</v>
      </c>
    </row>
    <row r="1020" spans="2:17" x14ac:dyDescent="0.25">
      <c r="B1020">
        <v>6</v>
      </c>
      <c r="C1020">
        <v>41219432</v>
      </c>
      <c r="D1020">
        <v>1514</v>
      </c>
      <c r="E1020">
        <v>1000</v>
      </c>
      <c r="F1020" t="s">
        <v>68</v>
      </c>
      <c r="G1020" t="s">
        <v>107</v>
      </c>
      <c r="H1020" t="s">
        <v>108</v>
      </c>
      <c r="I1020" t="s">
        <v>105</v>
      </c>
      <c r="J1020">
        <v>0</v>
      </c>
      <c r="K1020">
        <v>45363.584629629629</v>
      </c>
      <c r="L1020">
        <v>-1000</v>
      </c>
      <c r="O1020">
        <v>1200</v>
      </c>
      <c r="P1020">
        <v>0</v>
      </c>
      <c r="Q1020">
        <v>1000</v>
      </c>
    </row>
    <row r="1021" spans="2:17" x14ac:dyDescent="0.25">
      <c r="B1021">
        <v>6</v>
      </c>
      <c r="C1021">
        <v>41219432</v>
      </c>
      <c r="D1021">
        <v>1514</v>
      </c>
      <c r="E1021">
        <v>1000</v>
      </c>
      <c r="F1021" t="s">
        <v>68</v>
      </c>
      <c r="G1021" t="s">
        <v>278</v>
      </c>
      <c r="H1021" t="s">
        <v>279</v>
      </c>
      <c r="I1021" t="s">
        <v>105</v>
      </c>
      <c r="J1021">
        <v>0</v>
      </c>
      <c r="K1021">
        <v>45363.584641203706</v>
      </c>
      <c r="L1021">
        <v>29000</v>
      </c>
      <c r="O1021">
        <v>2400</v>
      </c>
      <c r="P1021">
        <v>0</v>
      </c>
      <c r="Q1021">
        <v>1000</v>
      </c>
    </row>
    <row r="1022" spans="2:17" x14ac:dyDescent="0.25">
      <c r="B1022" t="s">
        <v>533</v>
      </c>
      <c r="C1022" t="s">
        <v>66</v>
      </c>
      <c r="D1022" t="s">
        <v>66</v>
      </c>
      <c r="E1022">
        <v>60000</v>
      </c>
      <c r="F1022" t="s">
        <v>68</v>
      </c>
      <c r="G1022" t="s">
        <v>103</v>
      </c>
      <c r="H1022" t="s">
        <v>104</v>
      </c>
      <c r="I1022" t="s">
        <v>105</v>
      </c>
      <c r="J1022">
        <v>1</v>
      </c>
      <c r="K1022">
        <v>45364.508564814816</v>
      </c>
      <c r="L1022">
        <v>68000</v>
      </c>
      <c r="M1022">
        <v>45476</v>
      </c>
      <c r="O1022">
        <v>2400</v>
      </c>
      <c r="P1022">
        <v>25</v>
      </c>
      <c r="Q1022">
        <v>0</v>
      </c>
    </row>
    <row r="1023" spans="2:17" x14ac:dyDescent="0.25">
      <c r="B1023" t="s">
        <v>533</v>
      </c>
      <c r="C1023" t="s">
        <v>66</v>
      </c>
      <c r="D1023" t="s">
        <v>66</v>
      </c>
      <c r="E1023">
        <v>60000</v>
      </c>
      <c r="F1023" t="s">
        <v>68</v>
      </c>
      <c r="G1023" t="s">
        <v>123</v>
      </c>
      <c r="H1023" t="s">
        <v>124</v>
      </c>
      <c r="I1023" t="s">
        <v>105</v>
      </c>
      <c r="J1023">
        <v>1</v>
      </c>
      <c r="K1023">
        <v>45364.508634259262</v>
      </c>
      <c r="L1023">
        <v>123700</v>
      </c>
      <c r="M1023">
        <v>45476</v>
      </c>
      <c r="O1023">
        <v>2400</v>
      </c>
      <c r="P1023">
        <v>25</v>
      </c>
      <c r="Q1023">
        <v>0</v>
      </c>
    </row>
    <row r="1024" spans="2:17" x14ac:dyDescent="0.25">
      <c r="B1024" t="s">
        <v>533</v>
      </c>
      <c r="C1024" t="s">
        <v>66</v>
      </c>
      <c r="D1024" t="s">
        <v>66</v>
      </c>
      <c r="E1024">
        <v>10000</v>
      </c>
      <c r="F1024" t="s">
        <v>68</v>
      </c>
      <c r="G1024" t="s">
        <v>170</v>
      </c>
      <c r="H1024" t="s">
        <v>171</v>
      </c>
      <c r="I1024" t="s">
        <v>105</v>
      </c>
      <c r="J1024">
        <v>1</v>
      </c>
      <c r="K1024">
        <v>45364.508680555555</v>
      </c>
      <c r="L1024">
        <v>16200</v>
      </c>
      <c r="M1024">
        <v>45476</v>
      </c>
      <c r="O1024">
        <v>2400</v>
      </c>
      <c r="P1024">
        <v>4</v>
      </c>
      <c r="Q1024">
        <v>400.00000000000068</v>
      </c>
    </row>
    <row r="1025" spans="2:17" x14ac:dyDescent="0.25">
      <c r="B1025" t="s">
        <v>534</v>
      </c>
      <c r="C1025" t="s">
        <v>66</v>
      </c>
      <c r="D1025" t="s">
        <v>66</v>
      </c>
      <c r="E1025">
        <v>600</v>
      </c>
      <c r="F1025" t="s">
        <v>68</v>
      </c>
      <c r="G1025" t="s">
        <v>166</v>
      </c>
      <c r="H1025" t="s">
        <v>167</v>
      </c>
      <c r="J1025">
        <v>1</v>
      </c>
      <c r="K1025">
        <v>45364.508993055555</v>
      </c>
      <c r="L1025">
        <v>681</v>
      </c>
      <c r="M1025">
        <v>45415</v>
      </c>
      <c r="O1025">
        <v>4</v>
      </c>
      <c r="P1025">
        <v>150</v>
      </c>
      <c r="Q1025">
        <v>0</v>
      </c>
    </row>
    <row r="1026" spans="2:17" x14ac:dyDescent="0.25">
      <c r="B1026">
        <v>6</v>
      </c>
      <c r="C1026">
        <v>41220007</v>
      </c>
      <c r="D1026">
        <v>1515</v>
      </c>
      <c r="E1026">
        <v>1200</v>
      </c>
      <c r="F1026" t="s">
        <v>68</v>
      </c>
      <c r="G1026" t="s">
        <v>103</v>
      </c>
      <c r="H1026" t="s">
        <v>104</v>
      </c>
      <c r="I1026" t="s">
        <v>105</v>
      </c>
      <c r="J1026">
        <v>0</v>
      </c>
      <c r="K1026">
        <v>45364.567928240744</v>
      </c>
      <c r="L1026">
        <v>66800</v>
      </c>
      <c r="O1026">
        <v>2400</v>
      </c>
      <c r="P1026">
        <v>0</v>
      </c>
      <c r="Q1026">
        <v>1200</v>
      </c>
    </row>
    <row r="1027" spans="2:17" x14ac:dyDescent="0.25">
      <c r="B1027">
        <v>6</v>
      </c>
      <c r="C1027">
        <v>41220007</v>
      </c>
      <c r="D1027">
        <v>1515</v>
      </c>
      <c r="E1027">
        <v>100</v>
      </c>
      <c r="F1027" t="s">
        <v>127</v>
      </c>
      <c r="G1027" t="s">
        <v>128</v>
      </c>
      <c r="H1027" t="s">
        <v>129</v>
      </c>
      <c r="I1027" t="s">
        <v>130</v>
      </c>
      <c r="J1027">
        <v>0</v>
      </c>
      <c r="K1027">
        <v>45364.567974537036</v>
      </c>
      <c r="L1027">
        <v>640</v>
      </c>
      <c r="O1027">
        <v>10</v>
      </c>
      <c r="P1027">
        <v>10</v>
      </c>
      <c r="Q1027">
        <v>0</v>
      </c>
    </row>
    <row r="1028" spans="2:17" x14ac:dyDescent="0.25">
      <c r="B1028">
        <v>4</v>
      </c>
      <c r="C1028">
        <v>41219425</v>
      </c>
      <c r="D1028">
        <v>1516</v>
      </c>
      <c r="E1028">
        <v>10000</v>
      </c>
      <c r="F1028" t="s">
        <v>68</v>
      </c>
      <c r="G1028" t="s">
        <v>123</v>
      </c>
      <c r="H1028" t="s">
        <v>124</v>
      </c>
      <c r="I1028" t="s">
        <v>105</v>
      </c>
      <c r="J1028">
        <v>0</v>
      </c>
      <c r="K1028">
        <v>45365.445752314816</v>
      </c>
      <c r="L1028">
        <v>113700</v>
      </c>
      <c r="O1028">
        <v>2400</v>
      </c>
      <c r="P1028">
        <v>4</v>
      </c>
      <c r="Q1028">
        <v>400.00000000000068</v>
      </c>
    </row>
    <row r="1029" spans="2:17" x14ac:dyDescent="0.25">
      <c r="B1029">
        <v>4</v>
      </c>
      <c r="C1029">
        <v>41219425</v>
      </c>
      <c r="D1029">
        <v>1516</v>
      </c>
      <c r="E1029">
        <v>240</v>
      </c>
      <c r="F1029" t="s">
        <v>68</v>
      </c>
      <c r="G1029" t="s">
        <v>155</v>
      </c>
      <c r="H1029" t="s">
        <v>156</v>
      </c>
      <c r="J1029">
        <v>0</v>
      </c>
      <c r="K1029">
        <v>45365.445763888885</v>
      </c>
      <c r="L1029">
        <v>1086</v>
      </c>
      <c r="O1029">
        <v>24</v>
      </c>
      <c r="P1029">
        <v>10</v>
      </c>
      <c r="Q1029">
        <v>0</v>
      </c>
    </row>
    <row r="1030" spans="2:17" x14ac:dyDescent="0.25">
      <c r="B1030">
        <v>4</v>
      </c>
      <c r="C1030">
        <v>41219425</v>
      </c>
      <c r="D1030">
        <v>1516</v>
      </c>
      <c r="E1030">
        <v>120</v>
      </c>
      <c r="F1030" t="s">
        <v>68</v>
      </c>
      <c r="G1030" t="s">
        <v>201</v>
      </c>
      <c r="H1030" t="s">
        <v>202</v>
      </c>
      <c r="I1030" t="s">
        <v>144</v>
      </c>
      <c r="J1030">
        <v>0</v>
      </c>
      <c r="K1030">
        <v>45365.445787037039</v>
      </c>
      <c r="L1030">
        <v>1720</v>
      </c>
      <c r="O1030">
        <v>100</v>
      </c>
      <c r="P1030">
        <v>1</v>
      </c>
      <c r="Q1030">
        <v>19.999999999999996</v>
      </c>
    </row>
    <row r="1031" spans="2:17" x14ac:dyDescent="0.25">
      <c r="B1031">
        <v>4</v>
      </c>
      <c r="C1031">
        <v>41219425</v>
      </c>
      <c r="D1031">
        <v>1516</v>
      </c>
      <c r="E1031">
        <v>2</v>
      </c>
      <c r="F1031" t="s">
        <v>68</v>
      </c>
      <c r="G1031">
        <v>81066</v>
      </c>
      <c r="H1031" t="s">
        <v>181</v>
      </c>
      <c r="J1031">
        <v>0</v>
      </c>
      <c r="K1031">
        <v>45365.445787037039</v>
      </c>
      <c r="L1031">
        <v>80</v>
      </c>
      <c r="O1031">
        <v>40</v>
      </c>
      <c r="P1031">
        <v>0</v>
      </c>
      <c r="Q1031">
        <v>2</v>
      </c>
    </row>
    <row r="1032" spans="2:17" x14ac:dyDescent="0.25">
      <c r="B1032">
        <v>4</v>
      </c>
      <c r="C1032">
        <v>41218860</v>
      </c>
      <c r="D1032">
        <v>1517</v>
      </c>
      <c r="E1032">
        <v>2</v>
      </c>
      <c r="F1032" t="s">
        <v>68</v>
      </c>
      <c r="G1032" t="s">
        <v>182</v>
      </c>
      <c r="H1032" t="s">
        <v>183</v>
      </c>
      <c r="J1032">
        <v>0</v>
      </c>
      <c r="K1032">
        <v>45365.445810185185</v>
      </c>
      <c r="L1032">
        <v>1</v>
      </c>
      <c r="O1032">
        <v>36</v>
      </c>
      <c r="P1032">
        <v>0</v>
      </c>
      <c r="Q1032">
        <v>2</v>
      </c>
    </row>
    <row r="1033" spans="2:17" x14ac:dyDescent="0.25">
      <c r="B1033">
        <v>4</v>
      </c>
      <c r="C1033">
        <v>41218860</v>
      </c>
      <c r="D1033">
        <v>1517</v>
      </c>
      <c r="E1033">
        <v>120</v>
      </c>
      <c r="F1033" t="s">
        <v>68</v>
      </c>
      <c r="G1033">
        <v>501</v>
      </c>
      <c r="H1033" t="s">
        <v>178</v>
      </c>
      <c r="I1033" t="s">
        <v>144</v>
      </c>
      <c r="J1033">
        <v>0</v>
      </c>
      <c r="K1033">
        <v>45365.445821759262</v>
      </c>
      <c r="L1033">
        <v>2870</v>
      </c>
      <c r="O1033">
        <v>100</v>
      </c>
      <c r="P1033">
        <v>1</v>
      </c>
      <c r="Q1033">
        <v>19.999999999999996</v>
      </c>
    </row>
    <row r="1034" spans="2:17" x14ac:dyDescent="0.25">
      <c r="B1034">
        <v>4</v>
      </c>
      <c r="C1034">
        <v>41219949</v>
      </c>
      <c r="D1034">
        <v>1518</v>
      </c>
      <c r="E1034">
        <v>370</v>
      </c>
      <c r="F1034" t="s">
        <v>68</v>
      </c>
      <c r="G1034" t="s">
        <v>163</v>
      </c>
      <c r="H1034" t="s">
        <v>164</v>
      </c>
      <c r="I1034" t="s">
        <v>165</v>
      </c>
      <c r="J1034">
        <v>0</v>
      </c>
      <c r="K1034">
        <v>45365.445844907408</v>
      </c>
      <c r="L1034">
        <v>3832</v>
      </c>
      <c r="O1034">
        <v>12</v>
      </c>
      <c r="P1034">
        <v>30</v>
      </c>
      <c r="Q1034">
        <v>9.9999999999999858</v>
      </c>
    </row>
    <row r="1035" spans="2:17" x14ac:dyDescent="0.25">
      <c r="B1035">
        <v>4</v>
      </c>
      <c r="C1035">
        <v>41219949</v>
      </c>
      <c r="D1035">
        <v>1518</v>
      </c>
      <c r="E1035">
        <v>20</v>
      </c>
      <c r="F1035" t="s">
        <v>68</v>
      </c>
      <c r="G1035">
        <v>6885</v>
      </c>
      <c r="H1035" t="s">
        <v>169</v>
      </c>
      <c r="I1035" t="s">
        <v>144</v>
      </c>
      <c r="J1035">
        <v>0</v>
      </c>
      <c r="K1035">
        <v>45365.445856481485</v>
      </c>
      <c r="L1035">
        <v>680</v>
      </c>
      <c r="O1035">
        <v>100</v>
      </c>
      <c r="P1035">
        <v>0</v>
      </c>
      <c r="Q1035">
        <v>20</v>
      </c>
    </row>
    <row r="1036" spans="2:17" x14ac:dyDescent="0.25">
      <c r="B1036">
        <v>4</v>
      </c>
      <c r="C1036">
        <v>41219949</v>
      </c>
      <c r="D1036">
        <v>1518</v>
      </c>
      <c r="E1036">
        <v>9</v>
      </c>
      <c r="F1036" t="s">
        <v>68</v>
      </c>
      <c r="G1036">
        <v>6800</v>
      </c>
      <c r="H1036" t="s">
        <v>150</v>
      </c>
      <c r="I1036" t="s">
        <v>144</v>
      </c>
      <c r="J1036">
        <v>0</v>
      </c>
      <c r="K1036">
        <v>45365.445868055554</v>
      </c>
      <c r="L1036">
        <v>0</v>
      </c>
      <c r="O1036">
        <v>4</v>
      </c>
      <c r="P1036">
        <v>2</v>
      </c>
      <c r="Q1036">
        <v>1</v>
      </c>
    </row>
    <row r="1037" spans="2:17" x14ac:dyDescent="0.25">
      <c r="B1037">
        <v>4</v>
      </c>
      <c r="C1037">
        <v>41218896</v>
      </c>
      <c r="D1037">
        <v>1519</v>
      </c>
      <c r="E1037">
        <v>3</v>
      </c>
      <c r="F1037" t="s">
        <v>68</v>
      </c>
      <c r="G1037">
        <v>6200</v>
      </c>
      <c r="H1037" t="s">
        <v>148</v>
      </c>
      <c r="I1037" t="s">
        <v>144</v>
      </c>
      <c r="J1037">
        <v>0</v>
      </c>
      <c r="K1037">
        <v>45365.445891203701</v>
      </c>
      <c r="L1037">
        <v>67</v>
      </c>
      <c r="O1037">
        <v>24</v>
      </c>
      <c r="P1037">
        <v>0</v>
      </c>
      <c r="Q1037">
        <v>3</v>
      </c>
    </row>
    <row r="1038" spans="2:17" x14ac:dyDescent="0.25">
      <c r="B1038">
        <v>4</v>
      </c>
      <c r="C1038">
        <v>41220345</v>
      </c>
      <c r="D1038">
        <v>1520</v>
      </c>
      <c r="E1038">
        <v>170</v>
      </c>
      <c r="F1038" t="s">
        <v>127</v>
      </c>
      <c r="G1038" t="s">
        <v>133</v>
      </c>
      <c r="H1038" t="s">
        <v>134</v>
      </c>
      <c r="I1038" t="s">
        <v>130</v>
      </c>
      <c r="J1038">
        <v>0</v>
      </c>
      <c r="K1038">
        <v>45365.445902777778</v>
      </c>
      <c r="L1038">
        <v>630</v>
      </c>
      <c r="O1038">
        <v>10</v>
      </c>
      <c r="P1038">
        <v>17</v>
      </c>
      <c r="Q1038">
        <v>0</v>
      </c>
    </row>
    <row r="1039" spans="2:17" x14ac:dyDescent="0.25">
      <c r="B1039">
        <v>4</v>
      </c>
      <c r="C1039">
        <v>41220345</v>
      </c>
      <c r="D1039">
        <v>1520</v>
      </c>
      <c r="E1039">
        <v>90</v>
      </c>
      <c r="F1039" t="s">
        <v>127</v>
      </c>
      <c r="G1039" t="s">
        <v>128</v>
      </c>
      <c r="H1039" t="s">
        <v>129</v>
      </c>
      <c r="I1039" t="s">
        <v>130</v>
      </c>
      <c r="J1039">
        <v>0</v>
      </c>
      <c r="K1039">
        <v>45365.445914351854</v>
      </c>
      <c r="L1039">
        <v>550</v>
      </c>
      <c r="O1039">
        <v>10</v>
      </c>
      <c r="P1039">
        <v>9</v>
      </c>
      <c r="Q1039">
        <v>0</v>
      </c>
    </row>
    <row r="1040" spans="2:17" x14ac:dyDescent="0.25">
      <c r="B1040">
        <v>4</v>
      </c>
      <c r="C1040">
        <v>41220345</v>
      </c>
      <c r="D1040">
        <v>1520</v>
      </c>
      <c r="E1040">
        <v>90</v>
      </c>
      <c r="F1040" t="s">
        <v>127</v>
      </c>
      <c r="G1040" t="s">
        <v>131</v>
      </c>
      <c r="H1040" t="s">
        <v>132</v>
      </c>
      <c r="I1040" t="s">
        <v>130</v>
      </c>
      <c r="J1040">
        <v>0</v>
      </c>
      <c r="K1040">
        <v>45365.445925925924</v>
      </c>
      <c r="L1040">
        <v>375</v>
      </c>
      <c r="O1040">
        <v>10</v>
      </c>
      <c r="P1040">
        <v>9</v>
      </c>
      <c r="Q1040">
        <v>0</v>
      </c>
    </row>
    <row r="1041" spans="2:17" x14ac:dyDescent="0.25">
      <c r="B1041">
        <v>4</v>
      </c>
      <c r="C1041">
        <v>41217314</v>
      </c>
      <c r="D1041">
        <v>1521</v>
      </c>
      <c r="E1041">
        <v>144</v>
      </c>
      <c r="F1041" t="s">
        <v>135</v>
      </c>
      <c r="G1041" t="s">
        <v>140</v>
      </c>
      <c r="H1041" t="s">
        <v>137</v>
      </c>
      <c r="I1041" t="s">
        <v>138</v>
      </c>
      <c r="J1041">
        <v>0</v>
      </c>
      <c r="K1041">
        <v>45365.445937500001</v>
      </c>
      <c r="L1041">
        <v>2226</v>
      </c>
      <c r="O1041">
        <v>144</v>
      </c>
      <c r="P1041">
        <v>1</v>
      </c>
      <c r="Q1041">
        <v>0</v>
      </c>
    </row>
    <row r="1042" spans="2:17" x14ac:dyDescent="0.25">
      <c r="B1042">
        <v>4</v>
      </c>
      <c r="C1042">
        <v>41219252</v>
      </c>
      <c r="D1042">
        <v>1522</v>
      </c>
      <c r="E1042">
        <v>1000</v>
      </c>
      <c r="F1042" t="s">
        <v>68</v>
      </c>
      <c r="G1042" t="s">
        <v>179</v>
      </c>
      <c r="H1042" t="s">
        <v>180</v>
      </c>
      <c r="I1042" t="s">
        <v>144</v>
      </c>
      <c r="J1042">
        <v>0</v>
      </c>
      <c r="K1042">
        <v>45365.445960648147</v>
      </c>
      <c r="L1042">
        <v>26000</v>
      </c>
      <c r="O1042">
        <v>2000</v>
      </c>
      <c r="P1042">
        <v>0</v>
      </c>
      <c r="Q1042">
        <v>1000</v>
      </c>
    </row>
    <row r="1043" spans="2:17" x14ac:dyDescent="0.25">
      <c r="B1043">
        <v>4</v>
      </c>
      <c r="C1043">
        <v>41219951</v>
      </c>
      <c r="D1043">
        <v>1523</v>
      </c>
      <c r="E1043">
        <v>200</v>
      </c>
      <c r="F1043" t="s">
        <v>68</v>
      </c>
      <c r="G1043" t="s">
        <v>153</v>
      </c>
      <c r="H1043" t="s">
        <v>154</v>
      </c>
      <c r="I1043" t="s">
        <v>105</v>
      </c>
      <c r="J1043">
        <v>0</v>
      </c>
      <c r="K1043">
        <v>45365.445972222224</v>
      </c>
      <c r="L1043">
        <v>1400</v>
      </c>
      <c r="O1043">
        <v>100</v>
      </c>
      <c r="P1043">
        <v>2</v>
      </c>
      <c r="Q1043">
        <v>0</v>
      </c>
    </row>
    <row r="1044" spans="2:17" x14ac:dyDescent="0.25">
      <c r="B1044">
        <v>4</v>
      </c>
      <c r="C1044">
        <v>41220347</v>
      </c>
      <c r="D1044">
        <v>1524</v>
      </c>
      <c r="E1044">
        <v>1000</v>
      </c>
      <c r="F1044" t="s">
        <v>68</v>
      </c>
      <c r="G1044" t="s">
        <v>121</v>
      </c>
      <c r="H1044" t="s">
        <v>122</v>
      </c>
      <c r="I1044" t="s">
        <v>105</v>
      </c>
      <c r="J1044">
        <v>0</v>
      </c>
      <c r="K1044">
        <v>45365.445983796293</v>
      </c>
      <c r="L1044">
        <v>25600</v>
      </c>
      <c r="O1044">
        <v>3000</v>
      </c>
      <c r="P1044">
        <v>0</v>
      </c>
      <c r="Q1044">
        <v>1000</v>
      </c>
    </row>
    <row r="1045" spans="2:17" x14ac:dyDescent="0.25">
      <c r="B1045">
        <v>4</v>
      </c>
      <c r="C1045">
        <v>41220347</v>
      </c>
      <c r="D1045">
        <v>1524</v>
      </c>
      <c r="E1045">
        <v>10000</v>
      </c>
      <c r="F1045" t="s">
        <v>68</v>
      </c>
      <c r="G1045" t="s">
        <v>107</v>
      </c>
      <c r="H1045" t="s">
        <v>122</v>
      </c>
      <c r="I1045" t="s">
        <v>105</v>
      </c>
      <c r="J1045">
        <v>0</v>
      </c>
      <c r="K1045">
        <v>45365.44599537037</v>
      </c>
      <c r="L1045">
        <v>29000</v>
      </c>
      <c r="O1045">
        <v>1200</v>
      </c>
      <c r="P1045">
        <v>8</v>
      </c>
      <c r="Q1045">
        <v>400.00000000000068</v>
      </c>
    </row>
    <row r="1046" spans="2:17" x14ac:dyDescent="0.25">
      <c r="B1046">
        <v>4</v>
      </c>
      <c r="C1046">
        <v>41220347</v>
      </c>
      <c r="D1046">
        <v>1524</v>
      </c>
      <c r="E1046">
        <v>500</v>
      </c>
      <c r="F1046" t="s">
        <v>68</v>
      </c>
      <c r="G1046" t="s">
        <v>115</v>
      </c>
      <c r="H1046" t="s">
        <v>108</v>
      </c>
      <c r="I1046" t="s">
        <v>105</v>
      </c>
      <c r="J1046">
        <v>0</v>
      </c>
      <c r="K1046">
        <v>45365.446030092593</v>
      </c>
      <c r="L1046">
        <v>7600</v>
      </c>
      <c r="O1046">
        <v>1200</v>
      </c>
      <c r="P1046">
        <v>0</v>
      </c>
      <c r="Q1046">
        <v>500</v>
      </c>
    </row>
    <row r="1047" spans="2:17" x14ac:dyDescent="0.25">
      <c r="B1047">
        <v>4</v>
      </c>
      <c r="C1047">
        <v>41220347</v>
      </c>
      <c r="D1047">
        <v>1524</v>
      </c>
      <c r="E1047">
        <v>100</v>
      </c>
      <c r="F1047" t="s">
        <v>68</v>
      </c>
      <c r="G1047" t="s">
        <v>151</v>
      </c>
      <c r="H1047" t="s">
        <v>116</v>
      </c>
      <c r="I1047" t="s">
        <v>105</v>
      </c>
      <c r="J1047">
        <v>0</v>
      </c>
      <c r="K1047">
        <v>45365.44604166667</v>
      </c>
      <c r="L1047">
        <v>236</v>
      </c>
      <c r="O1047">
        <v>200</v>
      </c>
      <c r="P1047">
        <v>0</v>
      </c>
      <c r="Q1047">
        <v>100</v>
      </c>
    </row>
    <row r="1048" spans="2:17" x14ac:dyDescent="0.25">
      <c r="B1048">
        <v>4</v>
      </c>
      <c r="C1048">
        <v>41220015</v>
      </c>
      <c r="D1048">
        <v>1525</v>
      </c>
      <c r="E1048">
        <v>15000</v>
      </c>
      <c r="F1048" t="s">
        <v>68</v>
      </c>
      <c r="G1048" t="s">
        <v>103</v>
      </c>
      <c r="H1048" t="s">
        <v>104</v>
      </c>
      <c r="I1048" t="s">
        <v>105</v>
      </c>
      <c r="J1048">
        <v>0</v>
      </c>
      <c r="K1048">
        <v>45365.446053240739</v>
      </c>
      <c r="L1048">
        <v>51800</v>
      </c>
      <c r="O1048">
        <v>2400</v>
      </c>
      <c r="P1048">
        <v>6</v>
      </c>
      <c r="Q1048">
        <v>600</v>
      </c>
    </row>
    <row r="1049" spans="2:17" x14ac:dyDescent="0.25">
      <c r="B1049">
        <v>4</v>
      </c>
      <c r="C1049">
        <v>41217700</v>
      </c>
      <c r="D1049">
        <v>1526</v>
      </c>
      <c r="E1049">
        <v>200</v>
      </c>
      <c r="F1049" t="s">
        <v>68</v>
      </c>
      <c r="G1049" t="s">
        <v>125</v>
      </c>
      <c r="H1049" t="s">
        <v>126</v>
      </c>
      <c r="I1049" t="s">
        <v>105</v>
      </c>
      <c r="J1049">
        <v>0</v>
      </c>
      <c r="K1049">
        <v>45365.446064814816</v>
      </c>
      <c r="L1049">
        <v>7200</v>
      </c>
      <c r="O1049">
        <v>2400</v>
      </c>
      <c r="P1049">
        <v>0</v>
      </c>
      <c r="Q1049">
        <v>200</v>
      </c>
    </row>
    <row r="1050" spans="2:17" x14ac:dyDescent="0.25">
      <c r="B1050">
        <v>4</v>
      </c>
      <c r="C1050">
        <v>41220346</v>
      </c>
      <c r="D1050">
        <v>1527</v>
      </c>
      <c r="E1050">
        <v>1000</v>
      </c>
      <c r="F1050" t="s">
        <v>68</v>
      </c>
      <c r="G1050" t="s">
        <v>179</v>
      </c>
      <c r="H1050" t="s">
        <v>180</v>
      </c>
      <c r="I1050" t="s">
        <v>144</v>
      </c>
      <c r="J1050">
        <v>0</v>
      </c>
      <c r="K1050">
        <v>45365.446076388886</v>
      </c>
      <c r="L1050">
        <v>25000</v>
      </c>
      <c r="O1050">
        <v>2000</v>
      </c>
      <c r="P1050">
        <v>0</v>
      </c>
      <c r="Q1050">
        <v>1000</v>
      </c>
    </row>
    <row r="1051" spans="2:17" x14ac:dyDescent="0.25">
      <c r="B1051" t="s">
        <v>158</v>
      </c>
      <c r="C1051" t="s">
        <v>336</v>
      </c>
      <c r="D1051">
        <v>1528</v>
      </c>
      <c r="E1051">
        <v>1000</v>
      </c>
      <c r="F1051" t="s">
        <v>68</v>
      </c>
      <c r="G1051" t="s">
        <v>107</v>
      </c>
      <c r="H1051" t="s">
        <v>108</v>
      </c>
      <c r="I1051" t="s">
        <v>105</v>
      </c>
      <c r="J1051">
        <v>0</v>
      </c>
      <c r="K1051">
        <v>45365.684699074074</v>
      </c>
      <c r="L1051">
        <v>28000</v>
      </c>
      <c r="O1051">
        <v>1200</v>
      </c>
      <c r="P1051">
        <v>0</v>
      </c>
      <c r="Q1051">
        <v>1000</v>
      </c>
    </row>
    <row r="1052" spans="2:17" x14ac:dyDescent="0.25">
      <c r="B1052" t="s">
        <v>158</v>
      </c>
      <c r="C1052" t="s">
        <v>336</v>
      </c>
      <c r="D1052">
        <v>1528</v>
      </c>
      <c r="E1052">
        <v>1800</v>
      </c>
      <c r="F1052" t="s">
        <v>68</v>
      </c>
      <c r="G1052" t="s">
        <v>170</v>
      </c>
      <c r="H1052" t="s">
        <v>171</v>
      </c>
      <c r="I1052" t="s">
        <v>105</v>
      </c>
      <c r="J1052">
        <v>0</v>
      </c>
      <c r="K1052">
        <v>45365.684745370374</v>
      </c>
      <c r="L1052">
        <v>14400</v>
      </c>
      <c r="O1052">
        <v>2400</v>
      </c>
      <c r="P1052">
        <v>0</v>
      </c>
      <c r="Q1052">
        <v>1800</v>
      </c>
    </row>
    <row r="1053" spans="2:17" x14ac:dyDescent="0.25">
      <c r="B1053" t="s">
        <v>158</v>
      </c>
      <c r="C1053" t="s">
        <v>417</v>
      </c>
      <c r="D1053">
        <v>1529</v>
      </c>
      <c r="E1053">
        <v>200</v>
      </c>
      <c r="F1053" t="s">
        <v>127</v>
      </c>
      <c r="G1053" t="s">
        <v>133</v>
      </c>
      <c r="H1053" t="s">
        <v>134</v>
      </c>
      <c r="I1053" t="s">
        <v>130</v>
      </c>
      <c r="J1053">
        <v>0</v>
      </c>
      <c r="K1053">
        <v>45365.68476851852</v>
      </c>
      <c r="L1053">
        <v>430</v>
      </c>
      <c r="O1053">
        <v>10</v>
      </c>
      <c r="P1053">
        <v>20</v>
      </c>
      <c r="Q1053">
        <v>0</v>
      </c>
    </row>
    <row r="1054" spans="2:17" x14ac:dyDescent="0.25">
      <c r="B1054" t="s">
        <v>536</v>
      </c>
      <c r="C1054" t="s">
        <v>66</v>
      </c>
      <c r="D1054" t="s">
        <v>66</v>
      </c>
      <c r="E1054">
        <v>3024</v>
      </c>
      <c r="F1054" t="s">
        <v>68</v>
      </c>
      <c r="G1054" t="s">
        <v>159</v>
      </c>
      <c r="H1054" t="s">
        <v>160</v>
      </c>
      <c r="I1054" t="s">
        <v>161</v>
      </c>
      <c r="J1054">
        <v>1</v>
      </c>
      <c r="K1054">
        <v>45366.498298611114</v>
      </c>
      <c r="L1054">
        <v>3024</v>
      </c>
      <c r="M1054">
        <v>45415</v>
      </c>
      <c r="O1054">
        <v>36</v>
      </c>
      <c r="P1054">
        <v>84</v>
      </c>
      <c r="Q1054">
        <v>0</v>
      </c>
    </row>
    <row r="1055" spans="2:17" x14ac:dyDescent="0.25">
      <c r="B1055" t="s">
        <v>158</v>
      </c>
      <c r="C1055" t="s">
        <v>417</v>
      </c>
      <c r="D1055">
        <v>571</v>
      </c>
      <c r="E1055">
        <v>40</v>
      </c>
      <c r="F1055" t="s">
        <v>127</v>
      </c>
      <c r="G1055" t="s">
        <v>131</v>
      </c>
      <c r="H1055" t="s">
        <v>132</v>
      </c>
      <c r="I1055" t="s">
        <v>130</v>
      </c>
      <c r="J1055">
        <v>0</v>
      </c>
      <c r="K1055">
        <v>45366.682881944442</v>
      </c>
      <c r="L1055">
        <v>4426</v>
      </c>
      <c r="O1055">
        <v>10</v>
      </c>
      <c r="P1055">
        <v>4</v>
      </c>
      <c r="Q1055">
        <v>0</v>
      </c>
    </row>
    <row r="1056" spans="2:17" x14ac:dyDescent="0.25">
      <c r="B1056" t="s">
        <v>158</v>
      </c>
      <c r="C1056" t="s">
        <v>417</v>
      </c>
      <c r="D1056">
        <v>571</v>
      </c>
      <c r="E1056">
        <v>1600</v>
      </c>
      <c r="F1056" t="s">
        <v>68</v>
      </c>
      <c r="G1056" t="s">
        <v>103</v>
      </c>
      <c r="H1056" t="s">
        <v>104</v>
      </c>
      <c r="I1056" t="s">
        <v>105</v>
      </c>
      <c r="J1056">
        <v>0</v>
      </c>
      <c r="K1056">
        <v>45366.683437500003</v>
      </c>
      <c r="L1056">
        <v>50200</v>
      </c>
      <c r="O1056">
        <v>2400</v>
      </c>
      <c r="P1056">
        <v>0</v>
      </c>
      <c r="Q1056">
        <v>1600</v>
      </c>
    </row>
    <row r="1057" spans="2:17" x14ac:dyDescent="0.25">
      <c r="B1057">
        <v>6</v>
      </c>
      <c r="C1057">
        <v>41220281</v>
      </c>
      <c r="D1057">
        <v>572</v>
      </c>
      <c r="E1057">
        <v>5000</v>
      </c>
      <c r="F1057" t="s">
        <v>68</v>
      </c>
      <c r="G1057" t="s">
        <v>146</v>
      </c>
      <c r="H1057" t="s">
        <v>147</v>
      </c>
      <c r="I1057" t="s">
        <v>144</v>
      </c>
      <c r="J1057">
        <v>0</v>
      </c>
      <c r="K1057">
        <v>45371.619895833333</v>
      </c>
      <c r="L1057">
        <v>21118</v>
      </c>
      <c r="O1057">
        <v>440</v>
      </c>
      <c r="P1057">
        <v>11</v>
      </c>
      <c r="Q1057">
        <v>159.99999999999986</v>
      </c>
    </row>
    <row r="1058" spans="2:17" x14ac:dyDescent="0.25">
      <c r="B1058">
        <v>6</v>
      </c>
      <c r="C1058">
        <v>41220281</v>
      </c>
      <c r="D1058">
        <v>573</v>
      </c>
      <c r="E1058">
        <v>1000</v>
      </c>
      <c r="G1058" t="s">
        <v>142</v>
      </c>
      <c r="H1058" t="s">
        <v>143</v>
      </c>
      <c r="J1058">
        <v>0</v>
      </c>
      <c r="K1058">
        <v>45371.61990740741</v>
      </c>
      <c r="L1058">
        <v>4552</v>
      </c>
      <c r="O1058">
        <v>24</v>
      </c>
      <c r="P1058">
        <v>41</v>
      </c>
      <c r="Q1058">
        <v>15.999999999999943</v>
      </c>
    </row>
    <row r="1059" spans="2:17" x14ac:dyDescent="0.25">
      <c r="B1059">
        <v>6</v>
      </c>
      <c r="C1059">
        <v>41219377</v>
      </c>
      <c r="D1059">
        <v>573</v>
      </c>
      <c r="E1059">
        <v>5600</v>
      </c>
      <c r="F1059" t="s">
        <v>68</v>
      </c>
      <c r="G1059" t="s">
        <v>123</v>
      </c>
      <c r="H1059" t="s">
        <v>124</v>
      </c>
      <c r="I1059" t="s">
        <v>105</v>
      </c>
      <c r="J1059">
        <v>0</v>
      </c>
      <c r="K1059">
        <v>45371.61991898148</v>
      </c>
      <c r="L1059">
        <v>108100</v>
      </c>
      <c r="O1059">
        <v>2400</v>
      </c>
      <c r="P1059">
        <v>2</v>
      </c>
      <c r="Q1059">
        <v>800.00000000000034</v>
      </c>
    </row>
    <row r="1060" spans="2:17" x14ac:dyDescent="0.25">
      <c r="B1060">
        <v>6</v>
      </c>
      <c r="C1060">
        <v>41219432</v>
      </c>
      <c r="D1060">
        <v>574</v>
      </c>
      <c r="E1060">
        <v>1000</v>
      </c>
      <c r="F1060" t="s">
        <v>68</v>
      </c>
      <c r="G1060" t="s">
        <v>107</v>
      </c>
      <c r="H1060" t="s">
        <v>108</v>
      </c>
      <c r="I1060" t="s">
        <v>105</v>
      </c>
      <c r="J1060">
        <v>0</v>
      </c>
      <c r="K1060">
        <v>45371.619930555556</v>
      </c>
      <c r="L1060">
        <v>27000</v>
      </c>
      <c r="O1060">
        <v>1200</v>
      </c>
      <c r="P1060">
        <v>0</v>
      </c>
      <c r="Q1060">
        <v>1000</v>
      </c>
    </row>
    <row r="1061" spans="2:17" x14ac:dyDescent="0.25">
      <c r="B1061">
        <v>6</v>
      </c>
      <c r="C1061">
        <v>41219432</v>
      </c>
      <c r="D1061">
        <v>574</v>
      </c>
      <c r="E1061">
        <v>1600</v>
      </c>
      <c r="F1061" t="s">
        <v>68</v>
      </c>
      <c r="G1061" t="s">
        <v>170</v>
      </c>
      <c r="H1061" t="s">
        <v>171</v>
      </c>
      <c r="I1061" t="s">
        <v>105</v>
      </c>
      <c r="J1061">
        <v>0</v>
      </c>
      <c r="K1061">
        <v>45371.619930555556</v>
      </c>
      <c r="L1061">
        <v>12800</v>
      </c>
      <c r="O1061">
        <v>2400</v>
      </c>
      <c r="P1061">
        <v>0</v>
      </c>
      <c r="Q1061">
        <v>1600</v>
      </c>
    </row>
    <row r="1062" spans="2:17" x14ac:dyDescent="0.25">
      <c r="B1062">
        <v>6</v>
      </c>
      <c r="C1062">
        <v>41219432</v>
      </c>
      <c r="D1062">
        <v>574</v>
      </c>
      <c r="E1062">
        <v>4100</v>
      </c>
      <c r="F1062" t="s">
        <v>68</v>
      </c>
      <c r="G1062" t="s">
        <v>172</v>
      </c>
      <c r="H1062" t="s">
        <v>173</v>
      </c>
      <c r="I1062" t="s">
        <v>105</v>
      </c>
      <c r="J1062">
        <v>0</v>
      </c>
      <c r="K1062">
        <v>45371.619942129626</v>
      </c>
      <c r="L1062">
        <v>24900</v>
      </c>
      <c r="O1062">
        <v>2400</v>
      </c>
      <c r="P1062">
        <v>1</v>
      </c>
      <c r="Q1062">
        <v>1699.9999999999998</v>
      </c>
    </row>
    <row r="1063" spans="2:17" x14ac:dyDescent="0.25">
      <c r="B1063">
        <v>6</v>
      </c>
      <c r="C1063">
        <v>41220183</v>
      </c>
      <c r="D1063">
        <v>575</v>
      </c>
      <c r="E1063">
        <v>2000</v>
      </c>
      <c r="F1063" t="s">
        <v>68</v>
      </c>
      <c r="G1063" t="s">
        <v>103</v>
      </c>
      <c r="H1063" t="s">
        <v>104</v>
      </c>
      <c r="I1063" t="s">
        <v>105</v>
      </c>
      <c r="J1063">
        <v>0</v>
      </c>
      <c r="K1063">
        <v>45371.619953703703</v>
      </c>
      <c r="L1063">
        <v>48200</v>
      </c>
      <c r="O1063">
        <v>2400</v>
      </c>
      <c r="P1063">
        <v>0</v>
      </c>
      <c r="Q1063">
        <v>2000</v>
      </c>
    </row>
    <row r="1064" spans="2:17" x14ac:dyDescent="0.25">
      <c r="B1064">
        <v>4</v>
      </c>
      <c r="C1064">
        <v>41219425</v>
      </c>
      <c r="D1064">
        <v>576</v>
      </c>
      <c r="E1064">
        <v>2</v>
      </c>
      <c r="F1064" t="s">
        <v>68</v>
      </c>
      <c r="G1064">
        <v>81066</v>
      </c>
      <c r="H1064" t="s">
        <v>181</v>
      </c>
      <c r="J1064">
        <v>0</v>
      </c>
      <c r="K1064">
        <v>45372.49931712963</v>
      </c>
      <c r="L1064">
        <v>78</v>
      </c>
      <c r="O1064">
        <v>40</v>
      </c>
      <c r="P1064">
        <v>0</v>
      </c>
      <c r="Q1064">
        <v>2</v>
      </c>
    </row>
    <row r="1065" spans="2:17" x14ac:dyDescent="0.25">
      <c r="B1065">
        <v>4</v>
      </c>
      <c r="C1065">
        <v>41219425</v>
      </c>
      <c r="D1065">
        <v>576</v>
      </c>
      <c r="E1065">
        <v>120</v>
      </c>
      <c r="F1065" t="s">
        <v>68</v>
      </c>
      <c r="G1065" t="s">
        <v>201</v>
      </c>
      <c r="H1065" t="s">
        <v>202</v>
      </c>
      <c r="I1065" t="s">
        <v>144</v>
      </c>
      <c r="J1065">
        <v>0</v>
      </c>
      <c r="K1065">
        <v>45372.499421296299</v>
      </c>
      <c r="L1065">
        <v>1600</v>
      </c>
      <c r="O1065">
        <v>100</v>
      </c>
      <c r="P1065">
        <v>1</v>
      </c>
      <c r="Q1065">
        <v>19.999999999999996</v>
      </c>
    </row>
    <row r="1066" spans="2:17" x14ac:dyDescent="0.25">
      <c r="B1066">
        <v>4</v>
      </c>
      <c r="C1066">
        <v>41219425</v>
      </c>
      <c r="D1066">
        <v>576</v>
      </c>
      <c r="E1066">
        <v>240</v>
      </c>
      <c r="F1066" t="s">
        <v>68</v>
      </c>
      <c r="G1066" t="s">
        <v>155</v>
      </c>
      <c r="H1066" t="s">
        <v>156</v>
      </c>
      <c r="J1066">
        <v>0</v>
      </c>
      <c r="K1066">
        <v>45372.499722222223</v>
      </c>
      <c r="L1066">
        <v>846</v>
      </c>
      <c r="O1066">
        <v>24</v>
      </c>
      <c r="P1066">
        <v>10</v>
      </c>
      <c r="Q1066">
        <v>0</v>
      </c>
    </row>
    <row r="1067" spans="2:17" x14ac:dyDescent="0.25">
      <c r="B1067">
        <v>4</v>
      </c>
      <c r="C1067">
        <v>41219425</v>
      </c>
      <c r="D1067">
        <v>576</v>
      </c>
      <c r="E1067">
        <v>10000</v>
      </c>
      <c r="F1067" t="s">
        <v>68</v>
      </c>
      <c r="G1067" t="s">
        <v>123</v>
      </c>
      <c r="H1067" t="s">
        <v>124</v>
      </c>
      <c r="I1067" t="s">
        <v>105</v>
      </c>
      <c r="J1067">
        <v>0</v>
      </c>
      <c r="K1067">
        <v>45372.4997337963</v>
      </c>
      <c r="L1067">
        <v>98100</v>
      </c>
      <c r="O1067">
        <v>2400</v>
      </c>
      <c r="P1067">
        <v>4</v>
      </c>
      <c r="Q1067">
        <v>400.00000000000068</v>
      </c>
    </row>
    <row r="1068" spans="2:17" x14ac:dyDescent="0.25">
      <c r="B1068">
        <v>4</v>
      </c>
      <c r="C1068">
        <v>41220335</v>
      </c>
      <c r="D1068">
        <v>577</v>
      </c>
      <c r="E1068">
        <v>180</v>
      </c>
      <c r="F1068" t="s">
        <v>68</v>
      </c>
      <c r="G1068" t="s">
        <v>159</v>
      </c>
      <c r="H1068" t="s">
        <v>160</v>
      </c>
      <c r="I1068" t="s">
        <v>161</v>
      </c>
      <c r="J1068">
        <v>0</v>
      </c>
      <c r="K1068">
        <v>45373.544236111113</v>
      </c>
      <c r="L1068">
        <v>2690</v>
      </c>
      <c r="O1068">
        <v>36</v>
      </c>
      <c r="P1068">
        <v>5</v>
      </c>
      <c r="Q1068">
        <v>0</v>
      </c>
    </row>
    <row r="1069" spans="2:17" x14ac:dyDescent="0.25">
      <c r="B1069">
        <v>4</v>
      </c>
      <c r="C1069">
        <v>41219949</v>
      </c>
      <c r="D1069">
        <v>578</v>
      </c>
      <c r="E1069">
        <v>20</v>
      </c>
      <c r="F1069" t="s">
        <v>68</v>
      </c>
      <c r="G1069">
        <v>6885</v>
      </c>
      <c r="H1069" t="s">
        <v>169</v>
      </c>
      <c r="I1069" t="s">
        <v>144</v>
      </c>
      <c r="J1069">
        <v>0</v>
      </c>
      <c r="K1069">
        <v>45372.499756944446</v>
      </c>
      <c r="L1069">
        <v>660</v>
      </c>
      <c r="O1069">
        <v>100</v>
      </c>
      <c r="P1069">
        <v>0</v>
      </c>
      <c r="Q1069">
        <v>20</v>
      </c>
    </row>
    <row r="1070" spans="2:17" x14ac:dyDescent="0.25">
      <c r="B1070">
        <v>4</v>
      </c>
      <c r="C1070">
        <v>41218896</v>
      </c>
      <c r="D1070">
        <v>579</v>
      </c>
      <c r="E1070">
        <v>3</v>
      </c>
      <c r="F1070" t="s">
        <v>68</v>
      </c>
      <c r="G1070">
        <v>6200</v>
      </c>
      <c r="H1070" t="s">
        <v>148</v>
      </c>
      <c r="I1070" t="s">
        <v>144</v>
      </c>
      <c r="J1070">
        <v>0</v>
      </c>
      <c r="K1070">
        <v>45372.499768518515</v>
      </c>
      <c r="L1070">
        <v>64</v>
      </c>
      <c r="O1070">
        <v>24</v>
      </c>
      <c r="P1070">
        <v>0</v>
      </c>
      <c r="Q1070">
        <v>3</v>
      </c>
    </row>
    <row r="1071" spans="2:17" x14ac:dyDescent="0.25">
      <c r="B1071">
        <v>4</v>
      </c>
      <c r="C1071">
        <v>41220338</v>
      </c>
      <c r="D1071">
        <v>580</v>
      </c>
      <c r="E1071">
        <v>300</v>
      </c>
      <c r="F1071" t="s">
        <v>68</v>
      </c>
      <c r="G1071" t="s">
        <v>163</v>
      </c>
      <c r="H1071" t="s">
        <v>164</v>
      </c>
      <c r="I1071" t="s">
        <v>165</v>
      </c>
      <c r="J1071">
        <v>0</v>
      </c>
      <c r="K1071">
        <v>45372.499780092592</v>
      </c>
      <c r="L1071">
        <v>3532</v>
      </c>
      <c r="O1071">
        <v>12</v>
      </c>
      <c r="P1071">
        <v>25</v>
      </c>
      <c r="Q1071">
        <v>0</v>
      </c>
    </row>
    <row r="1072" spans="2:17" x14ac:dyDescent="0.25">
      <c r="B1072">
        <v>4</v>
      </c>
      <c r="C1072">
        <v>41218860</v>
      </c>
      <c r="D1072">
        <v>581</v>
      </c>
      <c r="E1072">
        <v>120</v>
      </c>
      <c r="F1072" t="s">
        <v>68</v>
      </c>
      <c r="G1072">
        <v>501</v>
      </c>
      <c r="H1072" t="s">
        <v>178</v>
      </c>
      <c r="I1072" t="s">
        <v>144</v>
      </c>
      <c r="J1072">
        <v>0</v>
      </c>
      <c r="K1072">
        <v>45372.499791666669</v>
      </c>
      <c r="L1072">
        <v>2570</v>
      </c>
      <c r="O1072">
        <v>100</v>
      </c>
      <c r="P1072">
        <v>1</v>
      </c>
      <c r="Q1072">
        <v>19.999999999999996</v>
      </c>
    </row>
    <row r="1073" spans="2:22" x14ac:dyDescent="0.25">
      <c r="B1073">
        <v>4</v>
      </c>
      <c r="C1073">
        <v>41218860</v>
      </c>
      <c r="D1073">
        <v>581</v>
      </c>
      <c r="E1073">
        <v>2</v>
      </c>
      <c r="F1073" t="s">
        <v>68</v>
      </c>
      <c r="G1073" t="s">
        <v>182</v>
      </c>
      <c r="H1073" t="s">
        <v>183</v>
      </c>
      <c r="J1073">
        <v>0</v>
      </c>
      <c r="K1073">
        <v>45372.499791666669</v>
      </c>
      <c r="L1073">
        <v>-1</v>
      </c>
      <c r="O1073">
        <v>36</v>
      </c>
      <c r="P1073">
        <v>0</v>
      </c>
      <c r="Q1073">
        <v>2</v>
      </c>
    </row>
    <row r="1074" spans="2:22" x14ac:dyDescent="0.25">
      <c r="B1074">
        <v>4</v>
      </c>
      <c r="C1074">
        <v>41220345</v>
      </c>
      <c r="D1074">
        <v>582</v>
      </c>
      <c r="E1074">
        <v>170</v>
      </c>
      <c r="F1074" t="s">
        <v>127</v>
      </c>
      <c r="G1074" t="s">
        <v>133</v>
      </c>
      <c r="H1074" t="s">
        <v>134</v>
      </c>
      <c r="I1074" t="s">
        <v>130</v>
      </c>
      <c r="J1074">
        <v>0</v>
      </c>
      <c r="K1074">
        <v>45372.499803240738</v>
      </c>
      <c r="L1074">
        <v>260</v>
      </c>
      <c r="O1074">
        <v>10</v>
      </c>
      <c r="P1074">
        <v>17</v>
      </c>
      <c r="Q1074">
        <v>0</v>
      </c>
    </row>
    <row r="1075" spans="2:22" x14ac:dyDescent="0.25">
      <c r="B1075">
        <v>4</v>
      </c>
      <c r="C1075">
        <v>41220345</v>
      </c>
      <c r="D1075">
        <v>582</v>
      </c>
      <c r="E1075">
        <v>90</v>
      </c>
      <c r="F1075" t="s">
        <v>127</v>
      </c>
      <c r="G1075" t="s">
        <v>128</v>
      </c>
      <c r="H1075" t="s">
        <v>129</v>
      </c>
      <c r="I1075" t="s">
        <v>130</v>
      </c>
      <c r="J1075">
        <v>0</v>
      </c>
      <c r="K1075">
        <v>45372.499814814815</v>
      </c>
      <c r="L1075">
        <v>460</v>
      </c>
      <c r="O1075">
        <v>10</v>
      </c>
      <c r="P1075">
        <v>9</v>
      </c>
      <c r="Q1075">
        <v>0</v>
      </c>
      <c r="V1075" t="s">
        <v>554</v>
      </c>
    </row>
    <row r="1076" spans="2:22" x14ac:dyDescent="0.25">
      <c r="B1076">
        <v>4</v>
      </c>
      <c r="C1076">
        <v>41220345</v>
      </c>
      <c r="D1076">
        <v>582</v>
      </c>
      <c r="E1076">
        <v>90</v>
      </c>
      <c r="F1076" t="s">
        <v>127</v>
      </c>
      <c r="G1076" t="s">
        <v>131</v>
      </c>
      <c r="H1076" t="s">
        <v>132</v>
      </c>
      <c r="I1076" t="s">
        <v>130</v>
      </c>
      <c r="J1076">
        <v>0</v>
      </c>
      <c r="K1076">
        <v>45372.499814814815</v>
      </c>
      <c r="L1076">
        <v>4376</v>
      </c>
      <c r="O1076">
        <v>10</v>
      </c>
      <c r="P1076">
        <v>9</v>
      </c>
      <c r="Q1076">
        <v>0</v>
      </c>
    </row>
    <row r="1077" spans="2:22" x14ac:dyDescent="0.25">
      <c r="B1077">
        <v>4</v>
      </c>
      <c r="C1077">
        <v>41217314</v>
      </c>
      <c r="D1077">
        <v>583</v>
      </c>
      <c r="E1077">
        <v>120</v>
      </c>
      <c r="F1077" t="s">
        <v>135</v>
      </c>
      <c r="G1077" t="s">
        <v>140</v>
      </c>
      <c r="H1077" t="s">
        <v>137</v>
      </c>
      <c r="I1077" t="s">
        <v>138</v>
      </c>
      <c r="J1077">
        <v>0</v>
      </c>
      <c r="K1077">
        <v>45372.499826388892</v>
      </c>
      <c r="L1077">
        <v>2106</v>
      </c>
      <c r="O1077">
        <v>144</v>
      </c>
      <c r="P1077">
        <v>0</v>
      </c>
      <c r="Q1077">
        <v>120</v>
      </c>
    </row>
    <row r="1078" spans="2:22" x14ac:dyDescent="0.25">
      <c r="B1078">
        <v>4</v>
      </c>
      <c r="C1078">
        <v>41217314</v>
      </c>
      <c r="D1078">
        <v>583</v>
      </c>
      <c r="E1078">
        <v>24</v>
      </c>
      <c r="F1078" t="s">
        <v>135</v>
      </c>
      <c r="G1078" t="s">
        <v>136</v>
      </c>
      <c r="H1078" t="s">
        <v>137</v>
      </c>
      <c r="I1078" t="s">
        <v>138</v>
      </c>
      <c r="J1078">
        <v>0</v>
      </c>
      <c r="K1078">
        <v>45372.499826388892</v>
      </c>
      <c r="L1078">
        <v>1294</v>
      </c>
      <c r="O1078">
        <v>144</v>
      </c>
      <c r="P1078">
        <v>0</v>
      </c>
      <c r="Q1078">
        <v>24</v>
      </c>
    </row>
    <row r="1079" spans="2:22" x14ac:dyDescent="0.25">
      <c r="B1079">
        <v>4</v>
      </c>
      <c r="C1079">
        <v>41219951</v>
      </c>
      <c r="D1079">
        <v>584</v>
      </c>
      <c r="E1079">
        <v>200</v>
      </c>
      <c r="F1079" t="s">
        <v>68</v>
      </c>
      <c r="G1079" t="s">
        <v>153</v>
      </c>
      <c r="H1079" t="s">
        <v>154</v>
      </c>
      <c r="I1079" t="s">
        <v>105</v>
      </c>
      <c r="J1079">
        <v>0</v>
      </c>
      <c r="K1079">
        <v>45372.499837962961</v>
      </c>
      <c r="L1079">
        <v>1200</v>
      </c>
      <c r="O1079">
        <v>100</v>
      </c>
      <c r="P1079">
        <v>2</v>
      </c>
      <c r="Q1079">
        <v>0</v>
      </c>
    </row>
    <row r="1080" spans="2:22" x14ac:dyDescent="0.25">
      <c r="B1080">
        <v>4</v>
      </c>
      <c r="C1080">
        <v>41220346</v>
      </c>
      <c r="D1080">
        <v>585</v>
      </c>
      <c r="E1080">
        <v>2000</v>
      </c>
      <c r="F1080" t="s">
        <v>68</v>
      </c>
      <c r="G1080" t="s">
        <v>179</v>
      </c>
      <c r="H1080" t="s">
        <v>180</v>
      </c>
      <c r="I1080" t="s">
        <v>144</v>
      </c>
      <c r="J1080">
        <v>0</v>
      </c>
      <c r="K1080">
        <v>45372.499849537038</v>
      </c>
      <c r="L1080">
        <v>23000</v>
      </c>
      <c r="O1080">
        <v>2000</v>
      </c>
      <c r="P1080">
        <v>1</v>
      </c>
      <c r="Q1080">
        <v>0</v>
      </c>
    </row>
    <row r="1081" spans="2:22" x14ac:dyDescent="0.25">
      <c r="B1081">
        <v>4</v>
      </c>
      <c r="C1081">
        <v>41220347</v>
      </c>
      <c r="D1081">
        <v>586</v>
      </c>
      <c r="E1081">
        <v>10000</v>
      </c>
      <c r="F1081" t="s">
        <v>68</v>
      </c>
      <c r="G1081" t="s">
        <v>107</v>
      </c>
      <c r="H1081" t="s">
        <v>108</v>
      </c>
      <c r="I1081" t="s">
        <v>105</v>
      </c>
      <c r="J1081">
        <v>0</v>
      </c>
      <c r="K1081">
        <v>45372.499849537038</v>
      </c>
      <c r="L1081">
        <v>17000</v>
      </c>
      <c r="O1081">
        <v>1200</v>
      </c>
      <c r="P1081">
        <v>8</v>
      </c>
      <c r="Q1081">
        <v>400.00000000000068</v>
      </c>
    </row>
    <row r="1082" spans="2:22" x14ac:dyDescent="0.25">
      <c r="B1082">
        <v>4</v>
      </c>
      <c r="C1082">
        <v>41220347</v>
      </c>
      <c r="D1082">
        <v>586</v>
      </c>
      <c r="E1082">
        <v>1000</v>
      </c>
      <c r="F1082" t="s">
        <v>68</v>
      </c>
      <c r="G1082" t="s">
        <v>121</v>
      </c>
      <c r="H1082" t="s">
        <v>122</v>
      </c>
      <c r="I1082" t="s">
        <v>105</v>
      </c>
      <c r="J1082">
        <v>0</v>
      </c>
      <c r="K1082">
        <v>45372.499861111108</v>
      </c>
      <c r="L1082">
        <v>24600</v>
      </c>
      <c r="M1082">
        <v>39600</v>
      </c>
      <c r="O1082">
        <v>3000</v>
      </c>
      <c r="P1082">
        <v>0</v>
      </c>
      <c r="Q1082">
        <v>1000</v>
      </c>
    </row>
    <row r="1083" spans="2:22" x14ac:dyDescent="0.25">
      <c r="B1083">
        <v>4</v>
      </c>
      <c r="C1083">
        <v>41220347</v>
      </c>
      <c r="D1083">
        <v>586</v>
      </c>
      <c r="E1083">
        <v>500</v>
      </c>
      <c r="F1083" t="s">
        <v>68</v>
      </c>
      <c r="G1083" t="s">
        <v>115</v>
      </c>
      <c r="H1083" t="s">
        <v>116</v>
      </c>
      <c r="I1083" t="s">
        <v>105</v>
      </c>
      <c r="J1083">
        <v>0</v>
      </c>
      <c r="K1083">
        <v>45372.499872685185</v>
      </c>
      <c r="L1083">
        <v>7100</v>
      </c>
      <c r="O1083">
        <v>1200</v>
      </c>
      <c r="P1083">
        <v>0</v>
      </c>
      <c r="Q1083">
        <v>500</v>
      </c>
    </row>
    <row r="1084" spans="2:22" x14ac:dyDescent="0.25">
      <c r="B1084">
        <v>4</v>
      </c>
      <c r="C1084">
        <v>41220347</v>
      </c>
      <c r="D1084">
        <v>586</v>
      </c>
      <c r="E1084">
        <v>100</v>
      </c>
      <c r="F1084" t="s">
        <v>68</v>
      </c>
      <c r="G1084" t="s">
        <v>151</v>
      </c>
      <c r="H1084" t="s">
        <v>152</v>
      </c>
      <c r="I1084" t="s">
        <v>105</v>
      </c>
      <c r="J1084">
        <v>0</v>
      </c>
      <c r="K1084">
        <v>45372.499872685185</v>
      </c>
      <c r="L1084">
        <v>136</v>
      </c>
      <c r="O1084">
        <v>200</v>
      </c>
      <c r="P1084">
        <v>0</v>
      </c>
      <c r="Q1084">
        <v>100</v>
      </c>
    </row>
    <row r="1085" spans="2:22" x14ac:dyDescent="0.25">
      <c r="B1085">
        <v>4</v>
      </c>
      <c r="C1085">
        <v>41220015</v>
      </c>
      <c r="D1085">
        <v>587</v>
      </c>
      <c r="E1085">
        <v>15000</v>
      </c>
      <c r="F1085" t="s">
        <v>68</v>
      </c>
      <c r="G1085" t="s">
        <v>103</v>
      </c>
      <c r="H1085" t="s">
        <v>104</v>
      </c>
      <c r="I1085" t="s">
        <v>105</v>
      </c>
      <c r="J1085">
        <v>0</v>
      </c>
      <c r="K1085">
        <v>45372.499884259261</v>
      </c>
      <c r="L1085">
        <v>33400</v>
      </c>
      <c r="O1085">
        <v>2400</v>
      </c>
      <c r="P1085">
        <v>6</v>
      </c>
      <c r="Q1085">
        <v>600</v>
      </c>
    </row>
    <row r="1086" spans="2:22" x14ac:dyDescent="0.25">
      <c r="B1086">
        <v>4</v>
      </c>
      <c r="C1086">
        <v>41217700</v>
      </c>
      <c r="D1086">
        <v>588</v>
      </c>
      <c r="E1086">
        <v>200</v>
      </c>
      <c r="F1086" t="s">
        <v>68</v>
      </c>
      <c r="G1086" t="s">
        <v>125</v>
      </c>
      <c r="H1086" t="s">
        <v>126</v>
      </c>
      <c r="I1086" t="s">
        <v>105</v>
      </c>
      <c r="J1086">
        <v>0</v>
      </c>
      <c r="K1086">
        <v>45372.499895833331</v>
      </c>
      <c r="L1086">
        <v>7000</v>
      </c>
      <c r="O1086">
        <v>2400</v>
      </c>
      <c r="P1086">
        <v>0</v>
      </c>
      <c r="Q1086">
        <v>200</v>
      </c>
    </row>
    <row r="1087" spans="2:22" x14ac:dyDescent="0.25">
      <c r="B1087">
        <v>4</v>
      </c>
      <c r="C1087">
        <v>41218405</v>
      </c>
      <c r="D1087">
        <v>589</v>
      </c>
      <c r="E1087">
        <v>120</v>
      </c>
      <c r="F1087" t="s">
        <v>68</v>
      </c>
      <c r="G1087">
        <v>6001</v>
      </c>
      <c r="H1087" t="s">
        <v>149</v>
      </c>
      <c r="I1087" t="s">
        <v>144</v>
      </c>
      <c r="J1087">
        <v>0</v>
      </c>
      <c r="K1087">
        <v>45372.499895833331</v>
      </c>
      <c r="L1087">
        <v>2200</v>
      </c>
      <c r="O1087">
        <v>60</v>
      </c>
      <c r="P1087">
        <v>2</v>
      </c>
      <c r="Q1087">
        <v>0</v>
      </c>
    </row>
    <row r="1088" spans="2:22" x14ac:dyDescent="0.25">
      <c r="B1088" t="s">
        <v>558</v>
      </c>
      <c r="C1088" t="s">
        <v>67</v>
      </c>
      <c r="D1088" t="s">
        <v>67</v>
      </c>
      <c r="E1088">
        <v>15000</v>
      </c>
      <c r="F1088" t="s">
        <v>68</v>
      </c>
      <c r="G1088" t="s">
        <v>121</v>
      </c>
      <c r="H1088" t="s">
        <v>122</v>
      </c>
      <c r="I1088" t="s">
        <v>105</v>
      </c>
      <c r="J1088">
        <v>1</v>
      </c>
      <c r="K1088">
        <v>45372.664699074077</v>
      </c>
      <c r="L1088">
        <v>39600</v>
      </c>
      <c r="M1088" t="s">
        <v>559</v>
      </c>
      <c r="O1088">
        <v>3000</v>
      </c>
      <c r="P1088">
        <v>5</v>
      </c>
      <c r="Q1088">
        <v>0</v>
      </c>
    </row>
    <row r="1089" spans="2:22" x14ac:dyDescent="0.25">
      <c r="B1089" t="s">
        <v>558</v>
      </c>
      <c r="C1089" t="s">
        <v>67</v>
      </c>
      <c r="D1089" t="s">
        <v>67</v>
      </c>
      <c r="E1089">
        <v>3000</v>
      </c>
      <c r="F1089" t="s">
        <v>68</v>
      </c>
      <c r="G1089" t="s">
        <v>110</v>
      </c>
      <c r="H1089" t="s">
        <v>111</v>
      </c>
      <c r="I1089" t="s">
        <v>105</v>
      </c>
      <c r="J1089">
        <v>1</v>
      </c>
      <c r="K1089">
        <v>45372.664733796293</v>
      </c>
      <c r="L1089">
        <v>10800</v>
      </c>
      <c r="M1089" t="s">
        <v>559</v>
      </c>
      <c r="O1089">
        <v>2400</v>
      </c>
      <c r="P1089">
        <v>1</v>
      </c>
      <c r="Q1089">
        <v>600</v>
      </c>
    </row>
    <row r="1090" spans="2:22" x14ac:dyDescent="0.25">
      <c r="B1090">
        <v>6</v>
      </c>
      <c r="C1090">
        <v>41220007</v>
      </c>
      <c r="D1090">
        <v>590</v>
      </c>
      <c r="E1090">
        <v>100</v>
      </c>
      <c r="F1090" t="s">
        <v>127</v>
      </c>
      <c r="G1090" t="s">
        <v>131</v>
      </c>
      <c r="H1090" t="s">
        <v>132</v>
      </c>
      <c r="I1090" t="s">
        <v>130</v>
      </c>
      <c r="J1090">
        <v>0</v>
      </c>
      <c r="K1090">
        <v>45373.772893518515</v>
      </c>
      <c r="L1090">
        <v>4276</v>
      </c>
      <c r="O1090">
        <v>10</v>
      </c>
      <c r="P1090">
        <v>10</v>
      </c>
      <c r="Q1090">
        <v>0</v>
      </c>
    </row>
    <row r="1091" spans="2:22" x14ac:dyDescent="0.25">
      <c r="B1091">
        <v>6</v>
      </c>
      <c r="C1091">
        <v>41219386</v>
      </c>
      <c r="D1091">
        <v>591</v>
      </c>
      <c r="E1091">
        <v>1000</v>
      </c>
      <c r="F1091" t="s">
        <v>68</v>
      </c>
      <c r="G1091" t="s">
        <v>119</v>
      </c>
      <c r="H1091" t="s">
        <v>120</v>
      </c>
      <c r="I1091" t="s">
        <v>105</v>
      </c>
      <c r="J1091">
        <v>0</v>
      </c>
      <c r="K1091">
        <v>45373.773043981484</v>
      </c>
      <c r="L1091">
        <v>27000</v>
      </c>
      <c r="O1091">
        <v>2400</v>
      </c>
      <c r="P1091">
        <v>0</v>
      </c>
      <c r="Q1091">
        <v>1000</v>
      </c>
    </row>
    <row r="1092" spans="2:22" x14ac:dyDescent="0.25">
      <c r="B1092">
        <v>6</v>
      </c>
      <c r="C1092">
        <v>41219042</v>
      </c>
      <c r="D1092">
        <v>592</v>
      </c>
      <c r="E1092">
        <v>700</v>
      </c>
      <c r="F1092" t="s">
        <v>135</v>
      </c>
      <c r="G1092" t="s">
        <v>140</v>
      </c>
      <c r="H1092" t="s">
        <v>137</v>
      </c>
      <c r="I1092" t="s">
        <v>138</v>
      </c>
      <c r="J1092">
        <v>0</v>
      </c>
      <c r="K1092">
        <v>45373.773113425923</v>
      </c>
      <c r="L1092">
        <v>1406</v>
      </c>
      <c r="O1092">
        <v>144</v>
      </c>
      <c r="P1092">
        <v>4</v>
      </c>
      <c r="Q1092">
        <v>123.99999999999994</v>
      </c>
    </row>
    <row r="1093" spans="2:22" x14ac:dyDescent="0.25">
      <c r="B1093">
        <v>6</v>
      </c>
      <c r="C1093">
        <v>41219042</v>
      </c>
      <c r="D1093">
        <v>592</v>
      </c>
      <c r="E1093">
        <v>800</v>
      </c>
      <c r="F1093" t="s">
        <v>135</v>
      </c>
      <c r="G1093" t="s">
        <v>139</v>
      </c>
      <c r="H1093" t="s">
        <v>137</v>
      </c>
      <c r="I1093" t="s">
        <v>138</v>
      </c>
      <c r="J1093">
        <v>0</v>
      </c>
      <c r="K1093">
        <v>45373.773125</v>
      </c>
      <c r="L1093">
        <v>4992</v>
      </c>
      <c r="O1093">
        <v>144</v>
      </c>
      <c r="P1093">
        <v>5</v>
      </c>
      <c r="Q1093">
        <v>79.999999999999972</v>
      </c>
    </row>
    <row r="1094" spans="2:22" x14ac:dyDescent="0.25">
      <c r="B1094">
        <v>6</v>
      </c>
      <c r="C1094">
        <v>41220007</v>
      </c>
      <c r="D1094">
        <v>593</v>
      </c>
      <c r="E1094">
        <v>10</v>
      </c>
      <c r="F1094" t="s">
        <v>127</v>
      </c>
      <c r="G1094" t="s">
        <v>128</v>
      </c>
      <c r="H1094" t="s">
        <v>129</v>
      </c>
      <c r="I1094" t="s">
        <v>130</v>
      </c>
      <c r="J1094">
        <v>0</v>
      </c>
      <c r="K1094">
        <v>45373.773136574076</v>
      </c>
      <c r="L1094">
        <v>450</v>
      </c>
      <c r="O1094">
        <v>10</v>
      </c>
      <c r="P1094">
        <v>1</v>
      </c>
      <c r="Q1094">
        <v>0</v>
      </c>
      <c r="V1094" t="s">
        <v>554</v>
      </c>
    </row>
    <row r="1095" spans="2:22" x14ac:dyDescent="0.25">
      <c r="B1095">
        <v>6</v>
      </c>
      <c r="C1095">
        <v>41219377</v>
      </c>
      <c r="D1095">
        <v>594</v>
      </c>
      <c r="E1095">
        <v>50</v>
      </c>
      <c r="F1095" t="s">
        <v>68</v>
      </c>
      <c r="G1095">
        <v>6200</v>
      </c>
      <c r="H1095" t="s">
        <v>148</v>
      </c>
      <c r="I1095" t="s">
        <v>144</v>
      </c>
      <c r="J1095">
        <v>0</v>
      </c>
      <c r="K1095">
        <v>45373.773136574076</v>
      </c>
      <c r="L1095">
        <v>14</v>
      </c>
      <c r="O1095">
        <v>24</v>
      </c>
      <c r="P1095">
        <v>2</v>
      </c>
      <c r="Q1095">
        <v>2.0000000000000036</v>
      </c>
    </row>
    <row r="1096" spans="2:22" x14ac:dyDescent="0.25">
      <c r="B1096">
        <v>6</v>
      </c>
      <c r="C1096">
        <v>41219377</v>
      </c>
      <c r="D1096">
        <v>594</v>
      </c>
      <c r="E1096">
        <v>1200</v>
      </c>
      <c r="F1096" t="s">
        <v>68</v>
      </c>
      <c r="G1096" t="s">
        <v>201</v>
      </c>
      <c r="H1096" t="s">
        <v>202</v>
      </c>
      <c r="I1096" t="s">
        <v>144</v>
      </c>
      <c r="J1096">
        <v>0</v>
      </c>
      <c r="K1096">
        <v>45373.773148148146</v>
      </c>
      <c r="L1096">
        <v>400</v>
      </c>
      <c r="O1096">
        <v>100</v>
      </c>
      <c r="P1096">
        <v>12</v>
      </c>
      <c r="Q1096">
        <v>0</v>
      </c>
    </row>
    <row r="1097" spans="2:22" x14ac:dyDescent="0.25">
      <c r="B1097">
        <v>6</v>
      </c>
      <c r="C1097">
        <v>41219377</v>
      </c>
      <c r="D1097">
        <v>594</v>
      </c>
      <c r="E1097">
        <v>5600</v>
      </c>
      <c r="F1097" t="s">
        <v>68</v>
      </c>
      <c r="G1097" t="s">
        <v>123</v>
      </c>
      <c r="H1097" t="s">
        <v>124</v>
      </c>
      <c r="I1097" t="s">
        <v>105</v>
      </c>
      <c r="J1097">
        <v>0</v>
      </c>
      <c r="K1097">
        <v>45373.773148148146</v>
      </c>
      <c r="L1097">
        <v>92500</v>
      </c>
      <c r="O1097">
        <v>2400</v>
      </c>
      <c r="P1097">
        <v>2</v>
      </c>
      <c r="Q1097">
        <v>800.00000000000034</v>
      </c>
    </row>
    <row r="1098" spans="2:22" x14ac:dyDescent="0.25">
      <c r="B1098">
        <v>6</v>
      </c>
      <c r="C1098">
        <v>41219377</v>
      </c>
      <c r="D1098">
        <v>594</v>
      </c>
      <c r="E1098">
        <v>20</v>
      </c>
      <c r="F1098" t="s">
        <v>68</v>
      </c>
      <c r="G1098" t="s">
        <v>109</v>
      </c>
      <c r="H1098" t="s">
        <v>162</v>
      </c>
      <c r="J1098">
        <v>0</v>
      </c>
      <c r="K1098">
        <v>45373.773159722223</v>
      </c>
      <c r="L1098">
        <v>760</v>
      </c>
      <c r="O1098">
        <v>96</v>
      </c>
      <c r="P1098">
        <v>0</v>
      </c>
      <c r="Q1098">
        <v>20</v>
      </c>
    </row>
    <row r="1099" spans="2:22" x14ac:dyDescent="0.25">
      <c r="B1099">
        <v>6</v>
      </c>
      <c r="C1099">
        <v>41219432</v>
      </c>
      <c r="D1099">
        <v>595</v>
      </c>
      <c r="E1099">
        <v>1600</v>
      </c>
      <c r="F1099" t="s">
        <v>68</v>
      </c>
      <c r="G1099" t="s">
        <v>170</v>
      </c>
      <c r="H1099" t="s">
        <v>171</v>
      </c>
      <c r="I1099" t="s">
        <v>105</v>
      </c>
      <c r="J1099">
        <v>0</v>
      </c>
      <c r="K1099">
        <v>45373.7731712963</v>
      </c>
      <c r="L1099">
        <v>11200</v>
      </c>
      <c r="O1099">
        <v>2400</v>
      </c>
      <c r="P1099">
        <v>0</v>
      </c>
      <c r="Q1099">
        <v>1600</v>
      </c>
    </row>
    <row r="1100" spans="2:22" x14ac:dyDescent="0.25">
      <c r="B1100">
        <v>6</v>
      </c>
      <c r="C1100">
        <v>41220183</v>
      </c>
      <c r="D1100">
        <v>596</v>
      </c>
      <c r="E1100">
        <v>2000</v>
      </c>
      <c r="F1100" t="s">
        <v>68</v>
      </c>
      <c r="G1100" t="s">
        <v>103</v>
      </c>
      <c r="H1100" t="s">
        <v>104</v>
      </c>
      <c r="I1100" t="s">
        <v>105</v>
      </c>
      <c r="J1100">
        <v>0</v>
      </c>
      <c r="K1100">
        <v>45373.773182870369</v>
      </c>
      <c r="L1100">
        <v>31400</v>
      </c>
      <c r="O1100">
        <v>2400</v>
      </c>
      <c r="P1100">
        <v>0</v>
      </c>
      <c r="Q1100">
        <v>2000</v>
      </c>
    </row>
    <row r="1101" spans="2:22" x14ac:dyDescent="0.25">
      <c r="B1101">
        <v>69887</v>
      </c>
      <c r="E1101">
        <v>14000</v>
      </c>
      <c r="F1101" t="s">
        <v>68</v>
      </c>
      <c r="G1101" t="s">
        <v>179</v>
      </c>
      <c r="H1101" t="s">
        <v>180</v>
      </c>
      <c r="I1101" t="s">
        <v>144</v>
      </c>
      <c r="J1101">
        <v>1</v>
      </c>
      <c r="K1101">
        <v>45376.671307870369</v>
      </c>
      <c r="L1101">
        <v>37000</v>
      </c>
      <c r="M1101" t="s">
        <v>560</v>
      </c>
      <c r="O1101">
        <v>2000</v>
      </c>
      <c r="P1101">
        <v>7</v>
      </c>
      <c r="Q1101">
        <v>0</v>
      </c>
    </row>
    <row r="1102" spans="2:22" x14ac:dyDescent="0.25">
      <c r="B1102">
        <v>69888</v>
      </c>
      <c r="E1102">
        <v>4500</v>
      </c>
      <c r="F1102" t="s">
        <v>68</v>
      </c>
      <c r="G1102">
        <v>6001</v>
      </c>
      <c r="H1102" t="s">
        <v>149</v>
      </c>
      <c r="I1102" t="s">
        <v>144</v>
      </c>
      <c r="J1102">
        <v>1</v>
      </c>
      <c r="K1102">
        <v>45376.671354166669</v>
      </c>
      <c r="L1102">
        <v>6700</v>
      </c>
      <c r="M1102" t="s">
        <v>560</v>
      </c>
      <c r="O1102">
        <v>60</v>
      </c>
      <c r="P1102">
        <v>75</v>
      </c>
      <c r="Q1102">
        <v>0</v>
      </c>
    </row>
    <row r="1103" spans="2:22" x14ac:dyDescent="0.25">
      <c r="B1103">
        <v>69594</v>
      </c>
      <c r="E1103">
        <v>1000</v>
      </c>
      <c r="F1103" t="s">
        <v>68</v>
      </c>
      <c r="G1103">
        <v>501</v>
      </c>
      <c r="H1103" t="s">
        <v>178</v>
      </c>
      <c r="I1103" t="s">
        <v>144</v>
      </c>
      <c r="J1103">
        <v>1</v>
      </c>
      <c r="K1103">
        <v>45376.671377314815</v>
      </c>
      <c r="L1103">
        <v>3750</v>
      </c>
      <c r="M1103" t="s">
        <v>560</v>
      </c>
      <c r="O1103">
        <v>100</v>
      </c>
      <c r="P1103">
        <v>10</v>
      </c>
      <c r="Q1103">
        <v>0</v>
      </c>
    </row>
    <row r="1104" spans="2:22" x14ac:dyDescent="0.25">
      <c r="B1104">
        <v>69593</v>
      </c>
      <c r="E1104">
        <v>1920</v>
      </c>
      <c r="F1104" t="s">
        <v>68</v>
      </c>
      <c r="G1104">
        <v>6001</v>
      </c>
      <c r="H1104" t="s">
        <v>149</v>
      </c>
      <c r="I1104" t="s">
        <v>144</v>
      </c>
      <c r="J1104">
        <v>1</v>
      </c>
      <c r="K1104">
        <v>45376.671400462961</v>
      </c>
      <c r="L1104">
        <v>8620</v>
      </c>
      <c r="M1104" t="s">
        <v>560</v>
      </c>
      <c r="O1104">
        <v>60</v>
      </c>
      <c r="P1104">
        <v>32</v>
      </c>
      <c r="Q1104">
        <v>0</v>
      </c>
    </row>
    <row r="1105" spans="2:17" x14ac:dyDescent="0.25">
      <c r="B1105">
        <v>6</v>
      </c>
      <c r="C1105">
        <v>41220007</v>
      </c>
      <c r="D1105">
        <v>598</v>
      </c>
      <c r="E1105">
        <v>40</v>
      </c>
      <c r="F1105" t="s">
        <v>127</v>
      </c>
      <c r="G1105" t="s">
        <v>131</v>
      </c>
      <c r="H1105" t="s">
        <v>132</v>
      </c>
      <c r="I1105" t="s">
        <v>130</v>
      </c>
      <c r="J1105">
        <v>0</v>
      </c>
      <c r="K1105">
        <v>45378.342638888891</v>
      </c>
      <c r="L1105">
        <v>4236</v>
      </c>
      <c r="O1105">
        <v>10</v>
      </c>
      <c r="P1105">
        <v>4</v>
      </c>
      <c r="Q1105">
        <v>0</v>
      </c>
    </row>
    <row r="1106" spans="2:17" x14ac:dyDescent="0.25">
      <c r="B1106">
        <v>6</v>
      </c>
      <c r="C1106" t="s">
        <v>561</v>
      </c>
      <c r="D1106">
        <v>597</v>
      </c>
      <c r="E1106">
        <v>40</v>
      </c>
      <c r="F1106" t="s">
        <v>68</v>
      </c>
      <c r="G1106">
        <v>6885</v>
      </c>
      <c r="H1106" t="s">
        <v>169</v>
      </c>
      <c r="I1106" t="s">
        <v>144</v>
      </c>
      <c r="J1106" t="s">
        <v>562</v>
      </c>
      <c r="K1106">
        <v>45372.499756944446</v>
      </c>
      <c r="O1106">
        <v>100</v>
      </c>
      <c r="P1106">
        <v>0</v>
      </c>
      <c r="Q1106">
        <v>40</v>
      </c>
    </row>
    <row r="1107" spans="2:17" x14ac:dyDescent="0.25">
      <c r="B1107">
        <v>6</v>
      </c>
      <c r="C1107">
        <v>41220531</v>
      </c>
      <c r="D1107">
        <v>599</v>
      </c>
      <c r="E1107">
        <v>40</v>
      </c>
      <c r="F1107" t="s">
        <v>68</v>
      </c>
      <c r="G1107">
        <v>6885</v>
      </c>
      <c r="H1107" t="s">
        <v>169</v>
      </c>
      <c r="I1107" t="s">
        <v>144</v>
      </c>
      <c r="J1107">
        <v>0</v>
      </c>
      <c r="K1107">
        <v>45378.342939814815</v>
      </c>
      <c r="L1107">
        <v>620</v>
      </c>
      <c r="O1107">
        <v>100</v>
      </c>
      <c r="P1107">
        <v>0</v>
      </c>
      <c r="Q1107">
        <v>40</v>
      </c>
    </row>
    <row r="1108" spans="2:17" x14ac:dyDescent="0.25">
      <c r="B1108">
        <v>6</v>
      </c>
      <c r="C1108">
        <v>41220531</v>
      </c>
      <c r="D1108">
        <v>599</v>
      </c>
      <c r="E1108">
        <v>1000</v>
      </c>
      <c r="F1108" t="s">
        <v>68</v>
      </c>
      <c r="G1108">
        <v>501</v>
      </c>
      <c r="H1108" t="s">
        <v>178</v>
      </c>
      <c r="I1108" t="s">
        <v>144</v>
      </c>
      <c r="J1108">
        <v>0</v>
      </c>
      <c r="K1108">
        <v>45378.342962962961</v>
      </c>
      <c r="L1108">
        <v>2750</v>
      </c>
      <c r="O1108">
        <v>100</v>
      </c>
      <c r="P1108">
        <v>10</v>
      </c>
      <c r="Q1108">
        <v>0</v>
      </c>
    </row>
    <row r="1109" spans="2:17" x14ac:dyDescent="0.25">
      <c r="B1109">
        <v>6</v>
      </c>
      <c r="C1109">
        <v>41219432</v>
      </c>
      <c r="D1109">
        <v>600</v>
      </c>
      <c r="E1109">
        <v>1000</v>
      </c>
      <c r="F1109" t="s">
        <v>68</v>
      </c>
      <c r="G1109" t="s">
        <v>107</v>
      </c>
      <c r="H1109" t="s">
        <v>108</v>
      </c>
      <c r="I1109" t="s">
        <v>105</v>
      </c>
      <c r="J1109">
        <v>0</v>
      </c>
      <c r="K1109">
        <v>45378.342962962961</v>
      </c>
      <c r="L1109">
        <v>16000</v>
      </c>
      <c r="O1109">
        <v>1200</v>
      </c>
      <c r="P1109">
        <v>0</v>
      </c>
      <c r="Q1109">
        <v>1000</v>
      </c>
    </row>
    <row r="1110" spans="2:17" x14ac:dyDescent="0.25">
      <c r="B1110">
        <v>6</v>
      </c>
      <c r="C1110">
        <v>41219432</v>
      </c>
      <c r="D1110">
        <v>600</v>
      </c>
      <c r="E1110">
        <v>1600</v>
      </c>
      <c r="F1110" t="s">
        <v>68</v>
      </c>
      <c r="G1110" t="s">
        <v>170</v>
      </c>
      <c r="H1110" t="s">
        <v>171</v>
      </c>
      <c r="I1110" t="s">
        <v>105</v>
      </c>
      <c r="J1110">
        <v>0</v>
      </c>
      <c r="K1110">
        <v>45378.342974537038</v>
      </c>
      <c r="L1110">
        <v>9600</v>
      </c>
      <c r="O1110">
        <v>2400</v>
      </c>
      <c r="P1110">
        <v>0</v>
      </c>
      <c r="Q1110">
        <v>1600</v>
      </c>
    </row>
    <row r="1111" spans="2:17" x14ac:dyDescent="0.25">
      <c r="B1111">
        <v>6</v>
      </c>
      <c r="C1111">
        <v>41218317</v>
      </c>
      <c r="D1111">
        <v>601</v>
      </c>
      <c r="E1111">
        <v>400</v>
      </c>
      <c r="F1111" t="s">
        <v>68</v>
      </c>
      <c r="G1111" t="s">
        <v>119</v>
      </c>
      <c r="H1111" t="s">
        <v>120</v>
      </c>
      <c r="I1111" t="s">
        <v>105</v>
      </c>
      <c r="J1111">
        <v>0</v>
      </c>
      <c r="K1111">
        <v>45378.571712962963</v>
      </c>
      <c r="L1111">
        <v>26600</v>
      </c>
      <c r="O1111">
        <v>2400</v>
      </c>
      <c r="P1111">
        <v>0</v>
      </c>
      <c r="Q1111">
        <v>400</v>
      </c>
    </row>
    <row r="1112" spans="2:17" x14ac:dyDescent="0.25">
      <c r="B1112">
        <v>6</v>
      </c>
      <c r="C1112">
        <v>41220007</v>
      </c>
      <c r="D1112">
        <v>602</v>
      </c>
      <c r="E1112">
        <v>2000</v>
      </c>
      <c r="F1112" t="s">
        <v>68</v>
      </c>
      <c r="G1112" t="s">
        <v>103</v>
      </c>
      <c r="H1112" t="s">
        <v>104</v>
      </c>
      <c r="I1112" t="s">
        <v>105</v>
      </c>
      <c r="J1112">
        <v>0</v>
      </c>
      <c r="K1112">
        <v>45378.572013888886</v>
      </c>
      <c r="L1112">
        <v>29400</v>
      </c>
      <c r="O1112">
        <v>2400</v>
      </c>
      <c r="P1112">
        <v>0</v>
      </c>
      <c r="Q1112">
        <v>2000</v>
      </c>
    </row>
    <row r="1113" spans="2:17" x14ac:dyDescent="0.25">
      <c r="B1113">
        <v>6</v>
      </c>
      <c r="C1113">
        <v>41219432</v>
      </c>
      <c r="D1113">
        <v>603</v>
      </c>
      <c r="E1113">
        <v>2000</v>
      </c>
      <c r="F1113" t="s">
        <v>68</v>
      </c>
      <c r="G1113" t="s">
        <v>170</v>
      </c>
      <c r="H1113" t="s">
        <v>171</v>
      </c>
      <c r="I1113" t="s">
        <v>105</v>
      </c>
      <c r="J1113">
        <v>0</v>
      </c>
      <c r="K1113">
        <v>45378.572025462963</v>
      </c>
      <c r="L1113">
        <v>7600</v>
      </c>
      <c r="O1113">
        <v>2400</v>
      </c>
      <c r="P1113">
        <v>0</v>
      </c>
      <c r="Q1113">
        <v>2000</v>
      </c>
    </row>
    <row r="1114" spans="2:17" x14ac:dyDescent="0.25">
      <c r="B1114">
        <v>6</v>
      </c>
      <c r="C1114">
        <v>41219432</v>
      </c>
      <c r="D1114">
        <v>603</v>
      </c>
      <c r="E1114">
        <v>2000</v>
      </c>
      <c r="F1114" t="s">
        <v>68</v>
      </c>
      <c r="G1114" t="s">
        <v>107</v>
      </c>
      <c r="H1114" t="s">
        <v>108</v>
      </c>
      <c r="I1114" t="s">
        <v>105</v>
      </c>
      <c r="J1114">
        <v>0</v>
      </c>
      <c r="K1114">
        <v>45378.572025462963</v>
      </c>
      <c r="L1114">
        <v>14000</v>
      </c>
      <c r="O1114">
        <v>1200</v>
      </c>
      <c r="P1114">
        <v>1</v>
      </c>
      <c r="Q1114">
        <v>800.00000000000011</v>
      </c>
    </row>
    <row r="1115" spans="2:17" x14ac:dyDescent="0.25">
      <c r="B1115">
        <v>6</v>
      </c>
      <c r="C1115" t="s">
        <v>563</v>
      </c>
      <c r="D1115">
        <v>604</v>
      </c>
      <c r="E1115">
        <v>10000</v>
      </c>
      <c r="F1115" t="s">
        <v>68</v>
      </c>
      <c r="G1115" t="s">
        <v>103</v>
      </c>
      <c r="H1115" t="s">
        <v>104</v>
      </c>
      <c r="I1115" t="s">
        <v>105</v>
      </c>
      <c r="J1115">
        <v>0</v>
      </c>
      <c r="K1115">
        <v>45378.732905092591</v>
      </c>
      <c r="L1115">
        <v>19400</v>
      </c>
      <c r="O1115">
        <v>2400</v>
      </c>
      <c r="P1115">
        <v>4</v>
      </c>
      <c r="Q1115">
        <v>400.00000000000068</v>
      </c>
    </row>
    <row r="1116" spans="2:17" x14ac:dyDescent="0.25">
      <c r="B1116">
        <v>4</v>
      </c>
      <c r="C1116">
        <v>41219425</v>
      </c>
      <c r="D1116">
        <v>605</v>
      </c>
      <c r="E1116">
        <v>10000</v>
      </c>
      <c r="F1116" t="s">
        <v>68</v>
      </c>
      <c r="G1116" t="s">
        <v>123</v>
      </c>
      <c r="H1116" t="s">
        <v>124</v>
      </c>
      <c r="I1116" t="s">
        <v>105</v>
      </c>
      <c r="J1116">
        <v>0</v>
      </c>
      <c r="K1116">
        <v>45379.727719907409</v>
      </c>
      <c r="L1116">
        <v>82500</v>
      </c>
      <c r="O1116">
        <v>2400</v>
      </c>
      <c r="P1116">
        <v>4</v>
      </c>
      <c r="Q1116">
        <v>400.00000000000068</v>
      </c>
    </row>
    <row r="1117" spans="2:17" x14ac:dyDescent="0.25">
      <c r="B1117">
        <v>4</v>
      </c>
      <c r="C1117">
        <v>41220347</v>
      </c>
      <c r="D1117">
        <v>606</v>
      </c>
      <c r="E1117">
        <v>10000</v>
      </c>
      <c r="F1117" t="s">
        <v>68</v>
      </c>
      <c r="G1117" t="s">
        <v>107</v>
      </c>
      <c r="H1117" t="s">
        <v>108</v>
      </c>
      <c r="I1117" t="s">
        <v>105</v>
      </c>
      <c r="J1117">
        <v>0</v>
      </c>
      <c r="K1117">
        <v>45379.727939814817</v>
      </c>
      <c r="L1117">
        <v>4000</v>
      </c>
      <c r="O1117">
        <v>1200</v>
      </c>
      <c r="P1117">
        <v>8</v>
      </c>
      <c r="Q1117">
        <v>400.00000000000068</v>
      </c>
    </row>
    <row r="1118" spans="2:17" x14ac:dyDescent="0.25">
      <c r="B1118">
        <v>4</v>
      </c>
      <c r="C1118">
        <v>41219951</v>
      </c>
      <c r="D1118">
        <v>607</v>
      </c>
      <c r="E1118">
        <v>200</v>
      </c>
      <c r="F1118" t="s">
        <v>68</v>
      </c>
      <c r="G1118" t="s">
        <v>153</v>
      </c>
      <c r="H1118" t="s">
        <v>154</v>
      </c>
      <c r="I1118" t="s">
        <v>105</v>
      </c>
      <c r="J1118">
        <v>0</v>
      </c>
      <c r="K1118">
        <v>45379.727951388886</v>
      </c>
      <c r="L1118">
        <v>1000</v>
      </c>
      <c r="O1118">
        <v>100</v>
      </c>
      <c r="P1118">
        <v>2</v>
      </c>
      <c r="Q1118">
        <v>0</v>
      </c>
    </row>
    <row r="1119" spans="2:17" x14ac:dyDescent="0.25">
      <c r="B1119">
        <v>4</v>
      </c>
      <c r="C1119">
        <v>41217314</v>
      </c>
      <c r="D1119">
        <v>608</v>
      </c>
      <c r="E1119">
        <v>312</v>
      </c>
      <c r="F1119" t="s">
        <v>135</v>
      </c>
      <c r="G1119" t="s">
        <v>140</v>
      </c>
      <c r="H1119" t="s">
        <v>137</v>
      </c>
      <c r="I1119" t="s">
        <v>138</v>
      </c>
      <c r="J1119">
        <v>0</v>
      </c>
      <c r="K1119">
        <v>45379.727962962963</v>
      </c>
      <c r="L1119">
        <v>1094</v>
      </c>
      <c r="O1119">
        <v>144</v>
      </c>
      <c r="P1119">
        <v>2</v>
      </c>
      <c r="Q1119">
        <v>23.999999999999979</v>
      </c>
    </row>
    <row r="1120" spans="2:17" x14ac:dyDescent="0.25">
      <c r="B1120">
        <v>4</v>
      </c>
      <c r="C1120">
        <v>41220345</v>
      </c>
      <c r="D1120">
        <v>609</v>
      </c>
      <c r="E1120">
        <v>300</v>
      </c>
      <c r="F1120" t="s">
        <v>127</v>
      </c>
      <c r="G1120" t="s">
        <v>128</v>
      </c>
      <c r="H1120" t="s">
        <v>129</v>
      </c>
      <c r="I1120" t="s">
        <v>130</v>
      </c>
      <c r="J1120">
        <v>0</v>
      </c>
      <c r="K1120">
        <v>45379.727962962963</v>
      </c>
      <c r="L1120">
        <v>150</v>
      </c>
      <c r="O1120">
        <v>10</v>
      </c>
      <c r="P1120">
        <v>30</v>
      </c>
      <c r="Q1120">
        <v>0</v>
      </c>
    </row>
    <row r="1121" spans="2:17" x14ac:dyDescent="0.25">
      <c r="B1121">
        <v>4</v>
      </c>
      <c r="C1121">
        <v>41220335</v>
      </c>
      <c r="D1121">
        <v>610</v>
      </c>
      <c r="E1121">
        <v>300</v>
      </c>
      <c r="F1121" t="s">
        <v>68</v>
      </c>
      <c r="G1121" t="s">
        <v>159</v>
      </c>
      <c r="H1121" t="s">
        <v>160</v>
      </c>
      <c r="I1121" t="s">
        <v>161</v>
      </c>
      <c r="J1121">
        <v>0</v>
      </c>
      <c r="K1121">
        <v>45379.72797453704</v>
      </c>
      <c r="L1121">
        <v>2724</v>
      </c>
      <c r="O1121">
        <v>36</v>
      </c>
      <c r="P1121">
        <v>8</v>
      </c>
      <c r="Q1121">
        <v>12.000000000000021</v>
      </c>
    </row>
    <row r="1122" spans="2:17" x14ac:dyDescent="0.25">
      <c r="B1122">
        <v>6</v>
      </c>
      <c r="C1122">
        <v>41219651</v>
      </c>
      <c r="D1122">
        <v>611</v>
      </c>
      <c r="E1122">
        <v>4000</v>
      </c>
      <c r="F1122" t="s">
        <v>68</v>
      </c>
      <c r="G1122" t="s">
        <v>103</v>
      </c>
      <c r="H1122" t="s">
        <v>104</v>
      </c>
      <c r="I1122" t="s">
        <v>105</v>
      </c>
      <c r="J1122">
        <v>0</v>
      </c>
      <c r="K1122">
        <v>45379.731261574074</v>
      </c>
      <c r="L1122">
        <v>15400</v>
      </c>
      <c r="O1122">
        <v>2400</v>
      </c>
      <c r="P1122">
        <v>1</v>
      </c>
      <c r="Q1122">
        <v>1600.0000000000002</v>
      </c>
    </row>
    <row r="1123" spans="2:17" x14ac:dyDescent="0.25">
      <c r="B1123">
        <v>6</v>
      </c>
      <c r="C1123">
        <v>41220289</v>
      </c>
      <c r="D1123">
        <v>1534</v>
      </c>
      <c r="E1123">
        <v>1000</v>
      </c>
      <c r="F1123" t="s">
        <v>68</v>
      </c>
      <c r="G1123" t="s">
        <v>142</v>
      </c>
      <c r="H1123" t="s">
        <v>143</v>
      </c>
      <c r="I1123" t="s">
        <v>144</v>
      </c>
      <c r="J1123">
        <v>0</v>
      </c>
      <c r="K1123">
        <v>45383.544085648151</v>
      </c>
      <c r="L1123">
        <v>3552</v>
      </c>
      <c r="O1123">
        <v>24</v>
      </c>
      <c r="P1123">
        <v>41</v>
      </c>
      <c r="Q1123">
        <v>15.999999999999943</v>
      </c>
    </row>
    <row r="1124" spans="2:17" x14ac:dyDescent="0.25">
      <c r="B1124">
        <v>6</v>
      </c>
      <c r="C1124">
        <v>41219432</v>
      </c>
      <c r="D1124">
        <v>1535</v>
      </c>
      <c r="E1124">
        <v>4000</v>
      </c>
      <c r="F1124" t="s">
        <v>68</v>
      </c>
      <c r="G1124" t="s">
        <v>107</v>
      </c>
      <c r="H1124" t="s">
        <v>108</v>
      </c>
      <c r="I1124" t="s">
        <v>105</v>
      </c>
      <c r="J1124">
        <v>0</v>
      </c>
      <c r="K1124">
        <v>45383.544930555552</v>
      </c>
      <c r="L1124">
        <v>0</v>
      </c>
      <c r="O1124">
        <v>1200</v>
      </c>
      <c r="P1124">
        <v>3</v>
      </c>
      <c r="Q1124">
        <v>400.00000000000017</v>
      </c>
    </row>
    <row r="1125" spans="2:17" x14ac:dyDescent="0.25">
      <c r="B1125">
        <v>6</v>
      </c>
      <c r="C1125">
        <v>41220007</v>
      </c>
      <c r="D1125">
        <v>1536</v>
      </c>
      <c r="E1125">
        <v>40</v>
      </c>
      <c r="F1125" t="s">
        <v>127</v>
      </c>
      <c r="G1125" t="s">
        <v>131</v>
      </c>
      <c r="H1125" t="s">
        <v>132</v>
      </c>
      <c r="I1125" t="s">
        <v>130</v>
      </c>
      <c r="J1125">
        <v>0</v>
      </c>
      <c r="K1125">
        <v>45383.545081018521</v>
      </c>
      <c r="L1125">
        <v>4196</v>
      </c>
      <c r="O1125">
        <v>10</v>
      </c>
      <c r="P1125">
        <v>4</v>
      </c>
      <c r="Q1125">
        <v>0</v>
      </c>
    </row>
    <row r="1126" spans="2:17" x14ac:dyDescent="0.25">
      <c r="B1126">
        <v>4</v>
      </c>
      <c r="C1126">
        <v>41220317</v>
      </c>
      <c r="D1126">
        <v>1537</v>
      </c>
      <c r="E1126">
        <v>36</v>
      </c>
      <c r="F1126" t="s">
        <v>68</v>
      </c>
      <c r="G1126" t="s">
        <v>166</v>
      </c>
      <c r="H1126" t="s">
        <v>167</v>
      </c>
      <c r="J1126">
        <v>0</v>
      </c>
      <c r="K1126">
        <v>45384.52071759259</v>
      </c>
      <c r="L1126">
        <v>642</v>
      </c>
      <c r="O1126">
        <v>4</v>
      </c>
      <c r="P1126">
        <v>9</v>
      </c>
      <c r="Q1126">
        <v>0</v>
      </c>
    </row>
    <row r="1127" spans="2:17" x14ac:dyDescent="0.25">
      <c r="B1127">
        <v>4</v>
      </c>
      <c r="C1127">
        <v>41219425</v>
      </c>
      <c r="D1127">
        <v>1538</v>
      </c>
      <c r="E1127">
        <v>10000</v>
      </c>
      <c r="F1127" t="s">
        <v>68</v>
      </c>
      <c r="G1127" t="s">
        <v>123</v>
      </c>
      <c r="H1127" t="s">
        <v>124</v>
      </c>
      <c r="I1127" t="s">
        <v>105</v>
      </c>
      <c r="J1127">
        <v>0</v>
      </c>
      <c r="K1127">
        <v>45384.520856481482</v>
      </c>
      <c r="L1127">
        <v>72500</v>
      </c>
      <c r="O1127">
        <v>2400</v>
      </c>
      <c r="P1127">
        <v>4</v>
      </c>
      <c r="Q1127">
        <v>400.00000000000068</v>
      </c>
    </row>
    <row r="1128" spans="2:17" x14ac:dyDescent="0.25">
      <c r="B1128">
        <v>4</v>
      </c>
      <c r="C1128">
        <v>41219425</v>
      </c>
      <c r="D1128">
        <v>1538</v>
      </c>
      <c r="E1128">
        <v>240</v>
      </c>
      <c r="F1128" t="s">
        <v>68</v>
      </c>
      <c r="G1128" t="s">
        <v>155</v>
      </c>
      <c r="H1128" t="s">
        <v>156</v>
      </c>
      <c r="J1128">
        <v>0</v>
      </c>
      <c r="K1128">
        <v>45384.520856481482</v>
      </c>
      <c r="L1128">
        <v>606</v>
      </c>
      <c r="O1128">
        <v>24</v>
      </c>
      <c r="P1128">
        <v>10</v>
      </c>
      <c r="Q1128">
        <v>0</v>
      </c>
    </row>
    <row r="1129" spans="2:17" x14ac:dyDescent="0.25">
      <c r="B1129">
        <v>4</v>
      </c>
      <c r="C1129">
        <v>41219425</v>
      </c>
      <c r="D1129">
        <v>1538</v>
      </c>
      <c r="E1129">
        <v>120</v>
      </c>
      <c r="F1129" t="s">
        <v>68</v>
      </c>
      <c r="G1129" t="s">
        <v>201</v>
      </c>
      <c r="H1129" t="s">
        <v>202</v>
      </c>
      <c r="I1129" t="s">
        <v>144</v>
      </c>
      <c r="J1129">
        <v>0</v>
      </c>
      <c r="K1129">
        <v>45384.520868055559</v>
      </c>
      <c r="L1129">
        <v>280</v>
      </c>
      <c r="O1129">
        <v>100</v>
      </c>
      <c r="P1129">
        <v>1</v>
      </c>
      <c r="Q1129">
        <v>19.999999999999996</v>
      </c>
    </row>
    <row r="1130" spans="2:17" x14ac:dyDescent="0.25">
      <c r="B1130">
        <v>4</v>
      </c>
      <c r="C1130">
        <v>41219425</v>
      </c>
      <c r="D1130">
        <v>1538</v>
      </c>
      <c r="E1130">
        <v>2</v>
      </c>
      <c r="F1130" t="s">
        <v>68</v>
      </c>
      <c r="G1130">
        <v>81066</v>
      </c>
      <c r="H1130" t="s">
        <v>181</v>
      </c>
      <c r="J1130">
        <v>0</v>
      </c>
      <c r="K1130">
        <v>45384.520868055559</v>
      </c>
      <c r="L1130">
        <v>76</v>
      </c>
      <c r="O1130">
        <v>40</v>
      </c>
      <c r="P1130">
        <v>0</v>
      </c>
      <c r="Q1130">
        <v>2</v>
      </c>
    </row>
    <row r="1131" spans="2:17" x14ac:dyDescent="0.25">
      <c r="B1131">
        <v>4</v>
      </c>
      <c r="C1131">
        <v>41220335</v>
      </c>
      <c r="D1131">
        <v>1539</v>
      </c>
      <c r="E1131">
        <v>180</v>
      </c>
      <c r="F1131" t="s">
        <v>68</v>
      </c>
      <c r="G1131" t="s">
        <v>159</v>
      </c>
      <c r="H1131" t="s">
        <v>160</v>
      </c>
      <c r="I1131" t="s">
        <v>161</v>
      </c>
      <c r="J1131">
        <v>0</v>
      </c>
      <c r="K1131">
        <v>45384.520879629628</v>
      </c>
      <c r="L1131">
        <v>2544</v>
      </c>
      <c r="O1131">
        <v>36</v>
      </c>
      <c r="P1131">
        <v>5</v>
      </c>
      <c r="Q1131">
        <v>0</v>
      </c>
    </row>
    <row r="1132" spans="2:17" x14ac:dyDescent="0.25">
      <c r="B1132">
        <v>4</v>
      </c>
      <c r="C1132">
        <v>41220338</v>
      </c>
      <c r="D1132">
        <v>1540</v>
      </c>
      <c r="E1132">
        <v>300</v>
      </c>
      <c r="F1132" t="s">
        <v>68</v>
      </c>
      <c r="G1132" t="s">
        <v>163</v>
      </c>
      <c r="H1132" t="s">
        <v>164</v>
      </c>
      <c r="I1132" t="s">
        <v>165</v>
      </c>
      <c r="J1132">
        <v>0</v>
      </c>
      <c r="K1132">
        <v>45384.520891203705</v>
      </c>
      <c r="L1132">
        <v>3232</v>
      </c>
      <c r="O1132">
        <v>12</v>
      </c>
      <c r="P1132">
        <v>25</v>
      </c>
      <c r="Q1132">
        <v>0</v>
      </c>
    </row>
    <row r="1133" spans="2:17" x14ac:dyDescent="0.25">
      <c r="B1133">
        <v>4</v>
      </c>
      <c r="C1133">
        <v>41219949</v>
      </c>
      <c r="D1133">
        <v>1541</v>
      </c>
      <c r="E1133">
        <v>20</v>
      </c>
      <c r="F1133" t="s">
        <v>68</v>
      </c>
      <c r="G1133">
        <v>6885</v>
      </c>
      <c r="H1133" t="s">
        <v>169</v>
      </c>
      <c r="I1133" t="s">
        <v>144</v>
      </c>
      <c r="J1133">
        <v>0</v>
      </c>
      <c r="K1133">
        <v>45384.520891203705</v>
      </c>
      <c r="L1133">
        <v>600</v>
      </c>
      <c r="O1133">
        <v>100</v>
      </c>
      <c r="P1133">
        <v>0</v>
      </c>
      <c r="Q1133">
        <v>20</v>
      </c>
    </row>
    <row r="1134" spans="2:17" x14ac:dyDescent="0.25">
      <c r="B1134">
        <v>4</v>
      </c>
      <c r="C1134">
        <v>41218896</v>
      </c>
      <c r="D1134">
        <v>1542</v>
      </c>
      <c r="E1134">
        <v>3</v>
      </c>
      <c r="F1134" t="s">
        <v>68</v>
      </c>
      <c r="G1134">
        <v>6200</v>
      </c>
      <c r="H1134" t="s">
        <v>148</v>
      </c>
      <c r="I1134" t="s">
        <v>144</v>
      </c>
      <c r="J1134">
        <v>0</v>
      </c>
      <c r="K1134">
        <v>45384.520902777775</v>
      </c>
      <c r="L1134">
        <v>11</v>
      </c>
      <c r="O1134">
        <v>24</v>
      </c>
      <c r="P1134">
        <v>0</v>
      </c>
      <c r="Q1134">
        <v>3</v>
      </c>
    </row>
    <row r="1135" spans="2:17" x14ac:dyDescent="0.25">
      <c r="B1135">
        <v>4</v>
      </c>
      <c r="C1135">
        <v>41220345</v>
      </c>
      <c r="D1135">
        <v>1543</v>
      </c>
      <c r="E1135">
        <v>70</v>
      </c>
      <c r="F1135" t="s">
        <v>127</v>
      </c>
      <c r="G1135" t="s">
        <v>128</v>
      </c>
      <c r="H1135" t="s">
        <v>129</v>
      </c>
      <c r="I1135" t="s">
        <v>130</v>
      </c>
      <c r="J1135">
        <v>0</v>
      </c>
      <c r="K1135">
        <v>45384.520902777775</v>
      </c>
      <c r="L1135">
        <v>80</v>
      </c>
      <c r="O1135">
        <v>10</v>
      </c>
      <c r="P1135">
        <v>7</v>
      </c>
      <c r="Q1135">
        <v>0</v>
      </c>
    </row>
    <row r="1136" spans="2:17" x14ac:dyDescent="0.25">
      <c r="B1136">
        <v>4</v>
      </c>
      <c r="C1136">
        <v>41220345</v>
      </c>
      <c r="D1136">
        <v>1543</v>
      </c>
      <c r="E1136">
        <v>160</v>
      </c>
      <c r="F1136" t="s">
        <v>127</v>
      </c>
      <c r="G1136" t="s">
        <v>133</v>
      </c>
      <c r="H1136" t="s">
        <v>134</v>
      </c>
      <c r="I1136" t="s">
        <v>130</v>
      </c>
      <c r="J1136">
        <v>0</v>
      </c>
      <c r="K1136">
        <v>45384.520914351851</v>
      </c>
      <c r="L1136">
        <v>100</v>
      </c>
      <c r="O1136">
        <v>10</v>
      </c>
      <c r="P1136">
        <v>16</v>
      </c>
      <c r="Q1136">
        <v>0</v>
      </c>
    </row>
    <row r="1137" spans="1:17" x14ac:dyDescent="0.25">
      <c r="B1137">
        <v>4</v>
      </c>
      <c r="C1137">
        <v>41220345</v>
      </c>
      <c r="D1137">
        <v>1543</v>
      </c>
      <c r="E1137">
        <v>70</v>
      </c>
      <c r="F1137" t="s">
        <v>127</v>
      </c>
      <c r="G1137" t="s">
        <v>131</v>
      </c>
      <c r="H1137" t="s">
        <v>132</v>
      </c>
      <c r="I1137" t="s">
        <v>130</v>
      </c>
      <c r="J1137">
        <v>0</v>
      </c>
      <c r="K1137">
        <v>45384.520925925928</v>
      </c>
      <c r="L1137">
        <v>4126</v>
      </c>
      <c r="O1137">
        <v>10</v>
      </c>
      <c r="P1137">
        <v>7</v>
      </c>
      <c r="Q1137">
        <v>0</v>
      </c>
    </row>
    <row r="1138" spans="1:17" x14ac:dyDescent="0.25">
      <c r="B1138">
        <v>4</v>
      </c>
      <c r="C1138">
        <v>41219951</v>
      </c>
      <c r="D1138">
        <v>1544</v>
      </c>
      <c r="E1138">
        <v>200</v>
      </c>
      <c r="F1138" t="s">
        <v>68</v>
      </c>
      <c r="G1138" t="s">
        <v>153</v>
      </c>
      <c r="H1138" t="s">
        <v>154</v>
      </c>
      <c r="I1138" t="s">
        <v>105</v>
      </c>
      <c r="J1138">
        <v>0</v>
      </c>
      <c r="K1138">
        <v>45384.520925925928</v>
      </c>
      <c r="L1138">
        <v>800</v>
      </c>
      <c r="O1138">
        <v>100</v>
      </c>
      <c r="P1138">
        <v>2</v>
      </c>
      <c r="Q1138">
        <v>0</v>
      </c>
    </row>
    <row r="1139" spans="1:17" x14ac:dyDescent="0.25">
      <c r="B1139">
        <v>4</v>
      </c>
      <c r="C1139">
        <v>41220346</v>
      </c>
      <c r="D1139">
        <v>1545</v>
      </c>
      <c r="E1139">
        <v>2000</v>
      </c>
      <c r="F1139" t="s">
        <v>68</v>
      </c>
      <c r="G1139" t="s">
        <v>179</v>
      </c>
      <c r="H1139" t="s">
        <v>180</v>
      </c>
      <c r="I1139" t="s">
        <v>144</v>
      </c>
      <c r="J1139">
        <v>0</v>
      </c>
      <c r="K1139">
        <v>45384.520937499998</v>
      </c>
      <c r="L1139">
        <v>35000</v>
      </c>
      <c r="O1139">
        <v>2000</v>
      </c>
      <c r="P1139">
        <v>1</v>
      </c>
      <c r="Q1139">
        <v>0</v>
      </c>
    </row>
    <row r="1140" spans="1:17" x14ac:dyDescent="0.25">
      <c r="B1140">
        <v>4</v>
      </c>
      <c r="C1140">
        <v>41220015</v>
      </c>
      <c r="D1140">
        <v>1546</v>
      </c>
      <c r="E1140">
        <v>3000</v>
      </c>
      <c r="F1140" t="s">
        <v>68</v>
      </c>
      <c r="G1140" t="s">
        <v>103</v>
      </c>
      <c r="H1140" t="s">
        <v>104</v>
      </c>
      <c r="I1140" t="s">
        <v>105</v>
      </c>
      <c r="J1140">
        <v>0</v>
      </c>
      <c r="K1140">
        <v>45384.520937499998</v>
      </c>
      <c r="L1140">
        <v>12400</v>
      </c>
      <c r="O1140">
        <v>2400</v>
      </c>
      <c r="P1140">
        <v>1</v>
      </c>
      <c r="Q1140">
        <v>600</v>
      </c>
    </row>
    <row r="1141" spans="1:17" x14ac:dyDescent="0.25">
      <c r="B1141">
        <v>4</v>
      </c>
      <c r="C1141">
        <v>41217700</v>
      </c>
      <c r="D1141">
        <v>1547</v>
      </c>
      <c r="E1141">
        <v>200</v>
      </c>
      <c r="F1141" t="s">
        <v>68</v>
      </c>
      <c r="G1141" t="s">
        <v>125</v>
      </c>
      <c r="H1141" t="s">
        <v>126</v>
      </c>
      <c r="I1141" t="s">
        <v>105</v>
      </c>
      <c r="J1141">
        <v>0</v>
      </c>
      <c r="K1141">
        <v>45384.520949074074</v>
      </c>
      <c r="L1141">
        <v>6800</v>
      </c>
      <c r="O1141">
        <v>2400</v>
      </c>
      <c r="P1141">
        <v>0</v>
      </c>
      <c r="Q1141">
        <v>200</v>
      </c>
    </row>
    <row r="1142" spans="1:17" x14ac:dyDescent="0.25">
      <c r="B1142">
        <v>4</v>
      </c>
      <c r="C1142">
        <v>41218405</v>
      </c>
      <c r="D1142">
        <v>1548</v>
      </c>
      <c r="E1142">
        <v>240</v>
      </c>
      <c r="F1142" t="s">
        <v>68</v>
      </c>
      <c r="G1142">
        <v>6001</v>
      </c>
      <c r="H1142" t="s">
        <v>149</v>
      </c>
      <c r="I1142" t="s">
        <v>144</v>
      </c>
      <c r="J1142">
        <v>0</v>
      </c>
      <c r="K1142">
        <v>45384.520960648151</v>
      </c>
      <c r="L1142">
        <v>8380</v>
      </c>
      <c r="O1142">
        <v>60</v>
      </c>
      <c r="P1142">
        <v>4</v>
      </c>
      <c r="Q1142">
        <v>0</v>
      </c>
    </row>
    <row r="1143" spans="1:17" x14ac:dyDescent="0.25">
      <c r="B1143">
        <v>4</v>
      </c>
      <c r="C1143">
        <v>41220347</v>
      </c>
      <c r="D1143">
        <v>1549</v>
      </c>
      <c r="E1143">
        <v>1000</v>
      </c>
      <c r="F1143" t="s">
        <v>68</v>
      </c>
      <c r="G1143" t="s">
        <v>121</v>
      </c>
      <c r="H1143" t="s">
        <v>122</v>
      </c>
      <c r="I1143" t="s">
        <v>105</v>
      </c>
      <c r="J1143">
        <v>0</v>
      </c>
      <c r="K1143">
        <v>45384.520972222221</v>
      </c>
      <c r="L1143">
        <v>38600</v>
      </c>
      <c r="O1143">
        <v>3000</v>
      </c>
      <c r="P1143">
        <v>0</v>
      </c>
      <c r="Q1143">
        <v>1000</v>
      </c>
    </row>
    <row r="1144" spans="1:17" x14ac:dyDescent="0.25">
      <c r="B1144">
        <v>4</v>
      </c>
      <c r="C1144">
        <v>41220347</v>
      </c>
      <c r="D1144">
        <v>1549</v>
      </c>
      <c r="E1144">
        <v>500</v>
      </c>
      <c r="F1144" t="s">
        <v>68</v>
      </c>
      <c r="G1144" t="s">
        <v>115</v>
      </c>
      <c r="H1144" t="s">
        <v>116</v>
      </c>
      <c r="I1144" t="s">
        <v>105</v>
      </c>
      <c r="J1144">
        <v>0</v>
      </c>
      <c r="K1144">
        <v>45384.520972222221</v>
      </c>
      <c r="L1144">
        <v>6600</v>
      </c>
      <c r="O1144">
        <v>1200</v>
      </c>
      <c r="P1144">
        <v>0</v>
      </c>
      <c r="Q1144">
        <v>500</v>
      </c>
    </row>
    <row r="1145" spans="1:17" x14ac:dyDescent="0.25">
      <c r="B1145">
        <v>4</v>
      </c>
      <c r="C1145">
        <v>41220347</v>
      </c>
      <c r="D1145">
        <v>1549</v>
      </c>
      <c r="E1145">
        <v>100</v>
      </c>
      <c r="F1145" t="s">
        <v>68</v>
      </c>
      <c r="G1145" t="s">
        <v>151</v>
      </c>
      <c r="H1145" t="s">
        <v>152</v>
      </c>
      <c r="I1145" t="s">
        <v>105</v>
      </c>
      <c r="J1145">
        <v>0</v>
      </c>
      <c r="K1145">
        <v>45384.520983796298</v>
      </c>
      <c r="L1145">
        <v>36</v>
      </c>
      <c r="O1145">
        <v>200</v>
      </c>
      <c r="P1145">
        <v>0</v>
      </c>
      <c r="Q1145">
        <v>100</v>
      </c>
    </row>
    <row r="1146" spans="1:17" x14ac:dyDescent="0.25">
      <c r="A1146" t="s">
        <v>564</v>
      </c>
      <c r="B1146">
        <v>4</v>
      </c>
      <c r="C1146">
        <v>41220317</v>
      </c>
      <c r="D1146">
        <v>1537</v>
      </c>
      <c r="E1146">
        <v>36</v>
      </c>
      <c r="F1146" t="s">
        <v>68</v>
      </c>
      <c r="G1146" t="s">
        <v>166</v>
      </c>
      <c r="H1146" t="s">
        <v>167</v>
      </c>
      <c r="J1146">
        <v>1</v>
      </c>
      <c r="K1146">
        <v>45385.672314814816</v>
      </c>
      <c r="L1146">
        <v>442</v>
      </c>
      <c r="O1146">
        <v>4</v>
      </c>
      <c r="P1146">
        <v>9</v>
      </c>
      <c r="Q1146">
        <v>0</v>
      </c>
    </row>
    <row r="1147" spans="1:17" x14ac:dyDescent="0.25">
      <c r="A1147" t="s">
        <v>564</v>
      </c>
      <c r="B1147">
        <v>4</v>
      </c>
      <c r="C1147">
        <v>41219425</v>
      </c>
      <c r="D1147">
        <v>1538</v>
      </c>
      <c r="E1147">
        <v>10000</v>
      </c>
      <c r="F1147" t="s">
        <v>68</v>
      </c>
      <c r="G1147" t="s">
        <v>123</v>
      </c>
      <c r="H1147" t="s">
        <v>124</v>
      </c>
      <c r="I1147" t="s">
        <v>105</v>
      </c>
      <c r="J1147">
        <v>1</v>
      </c>
      <c r="K1147">
        <v>45385.672337962962</v>
      </c>
      <c r="L1147">
        <v>72500</v>
      </c>
      <c r="O1147">
        <v>2400</v>
      </c>
      <c r="P1147">
        <v>4</v>
      </c>
      <c r="Q1147">
        <v>400.00000000000068</v>
      </c>
    </row>
    <row r="1148" spans="1:17" x14ac:dyDescent="0.25">
      <c r="A1148" t="s">
        <v>564</v>
      </c>
      <c r="B1148">
        <v>4</v>
      </c>
      <c r="C1148">
        <v>41219425</v>
      </c>
      <c r="D1148">
        <v>1538</v>
      </c>
      <c r="E1148">
        <v>240</v>
      </c>
      <c r="F1148" t="s">
        <v>68</v>
      </c>
      <c r="G1148" t="s">
        <v>155</v>
      </c>
      <c r="H1148" t="s">
        <v>156</v>
      </c>
      <c r="J1148">
        <v>1</v>
      </c>
      <c r="K1148">
        <v>45385.672337962962</v>
      </c>
      <c r="L1148">
        <v>606</v>
      </c>
      <c r="O1148">
        <v>24</v>
      </c>
      <c r="P1148">
        <v>10</v>
      </c>
      <c r="Q1148">
        <v>0</v>
      </c>
    </row>
    <row r="1149" spans="1:17" x14ac:dyDescent="0.25">
      <c r="A1149" t="s">
        <v>564</v>
      </c>
      <c r="B1149">
        <v>4</v>
      </c>
      <c r="C1149">
        <v>41219425</v>
      </c>
      <c r="D1149">
        <v>1538</v>
      </c>
      <c r="E1149">
        <v>120</v>
      </c>
      <c r="F1149" t="s">
        <v>68</v>
      </c>
      <c r="G1149" t="s">
        <v>201</v>
      </c>
      <c r="H1149" t="s">
        <v>202</v>
      </c>
      <c r="I1149" t="s">
        <v>144</v>
      </c>
      <c r="J1149">
        <v>1</v>
      </c>
      <c r="K1149">
        <v>45385.672349537039</v>
      </c>
      <c r="L1149">
        <v>280</v>
      </c>
      <c r="O1149">
        <v>100</v>
      </c>
      <c r="P1149">
        <v>1</v>
      </c>
      <c r="Q1149">
        <v>19.999999999999996</v>
      </c>
    </row>
    <row r="1150" spans="1:17" x14ac:dyDescent="0.25">
      <c r="A1150" t="s">
        <v>564</v>
      </c>
      <c r="B1150">
        <v>4</v>
      </c>
      <c r="C1150">
        <v>41219425</v>
      </c>
      <c r="D1150">
        <v>1538</v>
      </c>
      <c r="E1150">
        <v>2</v>
      </c>
      <c r="F1150" t="s">
        <v>68</v>
      </c>
      <c r="G1150">
        <v>81066</v>
      </c>
      <c r="H1150" t="s">
        <v>181</v>
      </c>
      <c r="J1150">
        <v>1</v>
      </c>
      <c r="K1150">
        <v>45385.672361111108</v>
      </c>
      <c r="L1150">
        <v>76</v>
      </c>
      <c r="O1150">
        <v>40</v>
      </c>
      <c r="P1150">
        <v>0</v>
      </c>
      <c r="Q1150">
        <v>2</v>
      </c>
    </row>
    <row r="1151" spans="1:17" x14ac:dyDescent="0.25">
      <c r="A1151" t="s">
        <v>564</v>
      </c>
      <c r="B1151">
        <v>4</v>
      </c>
      <c r="C1151">
        <v>41220335</v>
      </c>
      <c r="D1151">
        <v>1539</v>
      </c>
      <c r="E1151">
        <v>180</v>
      </c>
      <c r="F1151" t="s">
        <v>68</v>
      </c>
      <c r="G1151" t="s">
        <v>159</v>
      </c>
      <c r="H1151" t="s">
        <v>160</v>
      </c>
      <c r="I1151" t="s">
        <v>161</v>
      </c>
      <c r="J1151">
        <v>1</v>
      </c>
      <c r="K1151">
        <v>45385.672372685185</v>
      </c>
      <c r="L1151">
        <v>2544</v>
      </c>
      <c r="O1151">
        <v>36</v>
      </c>
      <c r="P1151">
        <v>5</v>
      </c>
      <c r="Q1151">
        <v>0</v>
      </c>
    </row>
    <row r="1152" spans="1:17" x14ac:dyDescent="0.25">
      <c r="A1152" t="s">
        <v>564</v>
      </c>
      <c r="B1152">
        <v>4</v>
      </c>
      <c r="C1152">
        <v>41220338</v>
      </c>
      <c r="D1152">
        <v>1540</v>
      </c>
      <c r="E1152">
        <v>300</v>
      </c>
      <c r="F1152" t="s">
        <v>68</v>
      </c>
      <c r="G1152" t="s">
        <v>163</v>
      </c>
      <c r="H1152" t="s">
        <v>164</v>
      </c>
      <c r="I1152" t="s">
        <v>165</v>
      </c>
      <c r="J1152">
        <v>1</v>
      </c>
      <c r="K1152">
        <v>45385.672372685185</v>
      </c>
      <c r="L1152">
        <v>3232</v>
      </c>
      <c r="O1152">
        <v>12</v>
      </c>
      <c r="P1152">
        <v>25</v>
      </c>
      <c r="Q1152">
        <v>0</v>
      </c>
    </row>
    <row r="1153" spans="1:22" x14ac:dyDescent="0.25">
      <c r="A1153" t="s">
        <v>564</v>
      </c>
      <c r="B1153">
        <v>4</v>
      </c>
      <c r="C1153">
        <v>41219949</v>
      </c>
      <c r="D1153">
        <v>1541</v>
      </c>
      <c r="E1153">
        <v>20</v>
      </c>
      <c r="F1153" t="s">
        <v>68</v>
      </c>
      <c r="G1153">
        <v>6885</v>
      </c>
      <c r="H1153" t="s">
        <v>169</v>
      </c>
      <c r="I1153" t="s">
        <v>144</v>
      </c>
      <c r="J1153">
        <v>1</v>
      </c>
      <c r="K1153">
        <v>45385.672384259262</v>
      </c>
      <c r="L1153">
        <v>600</v>
      </c>
      <c r="O1153">
        <v>100</v>
      </c>
      <c r="P1153">
        <v>0</v>
      </c>
      <c r="Q1153">
        <v>20</v>
      </c>
    </row>
    <row r="1154" spans="1:22" x14ac:dyDescent="0.25">
      <c r="A1154" t="s">
        <v>564</v>
      </c>
      <c r="B1154">
        <v>4</v>
      </c>
      <c r="C1154">
        <v>41218896</v>
      </c>
      <c r="D1154" t="s">
        <v>565</v>
      </c>
      <c r="E1154">
        <v>3</v>
      </c>
      <c r="F1154" t="s">
        <v>68</v>
      </c>
      <c r="G1154">
        <v>6200</v>
      </c>
      <c r="H1154" t="s">
        <v>148</v>
      </c>
      <c r="I1154" t="s">
        <v>144</v>
      </c>
      <c r="J1154">
        <v>1</v>
      </c>
      <c r="K1154">
        <v>45385.672395833331</v>
      </c>
      <c r="L1154">
        <v>11</v>
      </c>
      <c r="O1154">
        <v>24</v>
      </c>
      <c r="P1154">
        <v>0</v>
      </c>
      <c r="Q1154">
        <v>3</v>
      </c>
    </row>
    <row r="1155" spans="1:22" x14ac:dyDescent="0.25">
      <c r="A1155" t="s">
        <v>564</v>
      </c>
      <c r="B1155">
        <v>4</v>
      </c>
      <c r="C1155">
        <v>41220345</v>
      </c>
      <c r="D1155">
        <v>1543</v>
      </c>
      <c r="E1155">
        <v>70</v>
      </c>
      <c r="F1155" t="s">
        <v>127</v>
      </c>
      <c r="G1155" t="s">
        <v>128</v>
      </c>
      <c r="H1155" t="s">
        <v>129</v>
      </c>
      <c r="I1155" t="s">
        <v>130</v>
      </c>
      <c r="J1155">
        <v>1</v>
      </c>
      <c r="K1155">
        <v>45385.672407407408</v>
      </c>
      <c r="L1155">
        <v>80</v>
      </c>
      <c r="O1155">
        <v>10</v>
      </c>
      <c r="P1155">
        <v>7</v>
      </c>
      <c r="Q1155">
        <v>0</v>
      </c>
      <c r="V1155" t="s">
        <v>554</v>
      </c>
    </row>
    <row r="1156" spans="1:22" x14ac:dyDescent="0.25">
      <c r="A1156" t="s">
        <v>564</v>
      </c>
      <c r="B1156">
        <v>4</v>
      </c>
      <c r="C1156">
        <v>41220345</v>
      </c>
      <c r="D1156">
        <v>1543</v>
      </c>
      <c r="E1156">
        <v>160</v>
      </c>
      <c r="F1156" t="s">
        <v>127</v>
      </c>
      <c r="G1156" t="s">
        <v>133</v>
      </c>
      <c r="H1156" t="s">
        <v>134</v>
      </c>
      <c r="I1156" t="s">
        <v>130</v>
      </c>
      <c r="J1156">
        <v>1</v>
      </c>
      <c r="K1156">
        <v>45385.672418981485</v>
      </c>
      <c r="L1156">
        <v>100</v>
      </c>
      <c r="O1156">
        <v>10</v>
      </c>
      <c r="P1156">
        <v>16</v>
      </c>
      <c r="Q1156">
        <v>0</v>
      </c>
    </row>
    <row r="1157" spans="1:22" x14ac:dyDescent="0.25">
      <c r="A1157" t="s">
        <v>564</v>
      </c>
      <c r="B1157">
        <v>4</v>
      </c>
      <c r="C1157">
        <v>41220345</v>
      </c>
      <c r="D1157">
        <v>1543</v>
      </c>
      <c r="E1157">
        <v>70</v>
      </c>
      <c r="F1157" t="s">
        <v>127</v>
      </c>
      <c r="G1157" t="s">
        <v>131</v>
      </c>
      <c r="H1157" t="s">
        <v>132</v>
      </c>
      <c r="I1157" t="s">
        <v>130</v>
      </c>
      <c r="J1157">
        <v>1</v>
      </c>
      <c r="K1157">
        <v>45385.672418981485</v>
      </c>
      <c r="L1157">
        <v>4126</v>
      </c>
      <c r="O1157">
        <v>10</v>
      </c>
      <c r="P1157">
        <v>7</v>
      </c>
      <c r="Q1157">
        <v>0</v>
      </c>
    </row>
    <row r="1158" spans="1:22" x14ac:dyDescent="0.25">
      <c r="A1158" t="s">
        <v>564</v>
      </c>
      <c r="B1158">
        <v>4</v>
      </c>
      <c r="C1158">
        <v>41219951</v>
      </c>
      <c r="D1158">
        <v>1544</v>
      </c>
      <c r="E1158">
        <v>200</v>
      </c>
      <c r="F1158" t="s">
        <v>68</v>
      </c>
      <c r="G1158" t="s">
        <v>153</v>
      </c>
      <c r="H1158" t="s">
        <v>154</v>
      </c>
      <c r="I1158" t="s">
        <v>105</v>
      </c>
      <c r="J1158">
        <v>1</v>
      </c>
      <c r="K1158">
        <v>45385.672430555554</v>
      </c>
      <c r="L1158">
        <v>800</v>
      </c>
      <c r="O1158">
        <v>100</v>
      </c>
      <c r="P1158">
        <v>2</v>
      </c>
      <c r="Q1158">
        <v>0</v>
      </c>
    </row>
    <row r="1159" spans="1:22" x14ac:dyDescent="0.25">
      <c r="A1159" t="s">
        <v>564</v>
      </c>
      <c r="B1159">
        <v>4</v>
      </c>
      <c r="C1159">
        <v>41220346</v>
      </c>
      <c r="D1159">
        <v>1545</v>
      </c>
      <c r="E1159">
        <v>2000</v>
      </c>
      <c r="F1159" t="s">
        <v>68</v>
      </c>
      <c r="G1159" t="s">
        <v>179</v>
      </c>
      <c r="H1159" t="s">
        <v>180</v>
      </c>
      <c r="I1159" t="s">
        <v>144</v>
      </c>
      <c r="J1159">
        <v>1</v>
      </c>
      <c r="K1159">
        <v>45385.672442129631</v>
      </c>
      <c r="L1159">
        <v>35000</v>
      </c>
      <c r="O1159">
        <v>2000</v>
      </c>
      <c r="P1159">
        <v>1</v>
      </c>
      <c r="Q1159">
        <v>0</v>
      </c>
    </row>
    <row r="1160" spans="1:22" x14ac:dyDescent="0.25">
      <c r="A1160" t="s">
        <v>564</v>
      </c>
      <c r="B1160">
        <v>4</v>
      </c>
      <c r="C1160">
        <v>41220015</v>
      </c>
      <c r="D1160" t="s">
        <v>564</v>
      </c>
      <c r="E1160">
        <v>3000</v>
      </c>
      <c r="F1160" t="s">
        <v>68</v>
      </c>
      <c r="G1160" t="s">
        <v>103</v>
      </c>
      <c r="H1160" t="s">
        <v>104</v>
      </c>
      <c r="I1160" t="s">
        <v>105</v>
      </c>
      <c r="J1160">
        <v>1</v>
      </c>
      <c r="K1160">
        <v>45385.672453703701</v>
      </c>
      <c r="L1160">
        <v>12400</v>
      </c>
      <c r="O1160">
        <v>2400</v>
      </c>
      <c r="P1160">
        <v>1</v>
      </c>
      <c r="Q1160">
        <v>600</v>
      </c>
      <c r="V1160" t="s">
        <v>566</v>
      </c>
    </row>
    <row r="1161" spans="1:22" x14ac:dyDescent="0.25">
      <c r="A1161" t="s">
        <v>564</v>
      </c>
      <c r="B1161">
        <v>4</v>
      </c>
      <c r="C1161">
        <v>41217700</v>
      </c>
      <c r="D1161">
        <v>1547</v>
      </c>
      <c r="E1161">
        <v>200</v>
      </c>
      <c r="F1161" t="s">
        <v>68</v>
      </c>
      <c r="G1161" t="s">
        <v>125</v>
      </c>
      <c r="H1161" t="s">
        <v>126</v>
      </c>
      <c r="I1161" t="s">
        <v>105</v>
      </c>
      <c r="J1161">
        <v>1</v>
      </c>
      <c r="K1161">
        <v>45385.672465277778</v>
      </c>
      <c r="L1161">
        <v>6800</v>
      </c>
      <c r="O1161">
        <v>2400</v>
      </c>
      <c r="P1161">
        <v>0</v>
      </c>
      <c r="Q1161">
        <v>200</v>
      </c>
    </row>
    <row r="1162" spans="1:22" x14ac:dyDescent="0.25">
      <c r="A1162" t="s">
        <v>564</v>
      </c>
      <c r="B1162">
        <v>4</v>
      </c>
      <c r="C1162">
        <v>41218405</v>
      </c>
      <c r="D1162">
        <v>1548</v>
      </c>
      <c r="E1162">
        <v>240</v>
      </c>
      <c r="F1162" t="s">
        <v>68</v>
      </c>
      <c r="G1162">
        <v>6001</v>
      </c>
      <c r="H1162" t="s">
        <v>149</v>
      </c>
      <c r="I1162" t="s">
        <v>144</v>
      </c>
      <c r="J1162">
        <v>1</v>
      </c>
      <c r="K1162">
        <v>45385.672476851854</v>
      </c>
      <c r="L1162">
        <v>8380</v>
      </c>
      <c r="O1162">
        <v>60</v>
      </c>
      <c r="P1162">
        <v>4</v>
      </c>
      <c r="Q1162">
        <v>0</v>
      </c>
    </row>
    <row r="1163" spans="1:22" x14ac:dyDescent="0.25">
      <c r="A1163" t="s">
        <v>564</v>
      </c>
      <c r="B1163">
        <v>4</v>
      </c>
      <c r="C1163">
        <v>41220347</v>
      </c>
      <c r="D1163">
        <v>1549</v>
      </c>
      <c r="E1163">
        <v>1000</v>
      </c>
      <c r="F1163" t="s">
        <v>68</v>
      </c>
      <c r="G1163" t="s">
        <v>121</v>
      </c>
      <c r="H1163" t="s">
        <v>122</v>
      </c>
      <c r="I1163" t="s">
        <v>105</v>
      </c>
      <c r="J1163">
        <v>1</v>
      </c>
      <c r="K1163">
        <v>45385.672488425924</v>
      </c>
      <c r="L1163">
        <v>38600</v>
      </c>
      <c r="O1163">
        <v>3000</v>
      </c>
      <c r="P1163">
        <v>0</v>
      </c>
      <c r="Q1163">
        <v>1000</v>
      </c>
    </row>
    <row r="1164" spans="1:22" x14ac:dyDescent="0.25">
      <c r="A1164" t="s">
        <v>564</v>
      </c>
      <c r="B1164">
        <v>4</v>
      </c>
      <c r="C1164">
        <v>41220347</v>
      </c>
      <c r="D1164">
        <v>1549</v>
      </c>
      <c r="E1164">
        <v>500</v>
      </c>
      <c r="F1164" t="s">
        <v>68</v>
      </c>
      <c r="G1164" t="s">
        <v>115</v>
      </c>
      <c r="H1164" t="s">
        <v>116</v>
      </c>
      <c r="I1164" t="s">
        <v>105</v>
      </c>
      <c r="J1164">
        <v>1</v>
      </c>
      <c r="K1164">
        <v>45385.672500000001</v>
      </c>
      <c r="L1164">
        <v>6600</v>
      </c>
      <c r="O1164">
        <v>1200</v>
      </c>
      <c r="P1164">
        <v>0</v>
      </c>
      <c r="Q1164">
        <v>500</v>
      </c>
    </row>
    <row r="1165" spans="1:22" x14ac:dyDescent="0.25">
      <c r="A1165" t="s">
        <v>564</v>
      </c>
      <c r="B1165">
        <v>4</v>
      </c>
      <c r="C1165">
        <v>41220347</v>
      </c>
      <c r="D1165">
        <v>1549</v>
      </c>
      <c r="E1165">
        <v>100</v>
      </c>
      <c r="F1165" t="s">
        <v>68</v>
      </c>
      <c r="G1165" t="s">
        <v>151</v>
      </c>
      <c r="H1165" t="s">
        <v>152</v>
      </c>
      <c r="I1165" t="s">
        <v>105</v>
      </c>
      <c r="J1165">
        <v>1</v>
      </c>
      <c r="K1165">
        <v>45385.672534722224</v>
      </c>
      <c r="L1165">
        <v>36</v>
      </c>
      <c r="O1165">
        <v>200</v>
      </c>
      <c r="P1165">
        <v>0</v>
      </c>
      <c r="Q1165">
        <v>100</v>
      </c>
    </row>
    <row r="1166" spans="1:22" x14ac:dyDescent="0.25">
      <c r="B1166">
        <v>6</v>
      </c>
      <c r="C1166">
        <v>41219002</v>
      </c>
      <c r="D1166">
        <v>1550</v>
      </c>
      <c r="E1166">
        <v>200</v>
      </c>
      <c r="F1166" t="s">
        <v>68</v>
      </c>
      <c r="G1166" t="s">
        <v>166</v>
      </c>
      <c r="H1166" t="s">
        <v>167</v>
      </c>
      <c r="J1166">
        <v>0</v>
      </c>
      <c r="K1166">
        <v>45384.701203703706</v>
      </c>
      <c r="L1166">
        <v>406</v>
      </c>
      <c r="O1166">
        <v>4</v>
      </c>
      <c r="P1166">
        <v>50</v>
      </c>
      <c r="Q1166">
        <v>0</v>
      </c>
    </row>
    <row r="1167" spans="1:22" x14ac:dyDescent="0.25">
      <c r="B1167">
        <v>4</v>
      </c>
      <c r="C1167">
        <v>41220317</v>
      </c>
      <c r="D1167">
        <v>1551</v>
      </c>
      <c r="E1167">
        <v>36</v>
      </c>
      <c r="F1167" t="s">
        <v>68</v>
      </c>
      <c r="G1167" t="s">
        <v>166</v>
      </c>
      <c r="H1167" t="s">
        <v>167</v>
      </c>
      <c r="J1167">
        <v>0</v>
      </c>
      <c r="K1167">
        <v>45386.585752314815</v>
      </c>
      <c r="L1167">
        <v>406</v>
      </c>
      <c r="O1167">
        <v>4</v>
      </c>
      <c r="P1167">
        <v>9</v>
      </c>
      <c r="Q1167">
        <v>0</v>
      </c>
    </row>
    <row r="1168" spans="1:22" x14ac:dyDescent="0.25">
      <c r="B1168">
        <v>4</v>
      </c>
      <c r="C1168">
        <v>41220345</v>
      </c>
      <c r="D1168">
        <v>1556</v>
      </c>
      <c r="E1168">
        <v>100</v>
      </c>
      <c r="F1168" t="s">
        <v>127</v>
      </c>
      <c r="G1168" t="s">
        <v>133</v>
      </c>
      <c r="H1168" t="s">
        <v>134</v>
      </c>
      <c r="I1168" t="s">
        <v>130</v>
      </c>
      <c r="J1168">
        <v>0</v>
      </c>
      <c r="K1168">
        <v>45386.585775462961</v>
      </c>
      <c r="L1168">
        <v>0</v>
      </c>
      <c r="O1168">
        <v>10</v>
      </c>
      <c r="P1168">
        <v>10</v>
      </c>
      <c r="Q1168">
        <v>0</v>
      </c>
    </row>
    <row r="1169" spans="1:22" x14ac:dyDescent="0.25">
      <c r="A1169" t="s">
        <v>589</v>
      </c>
      <c r="B1169">
        <v>4</v>
      </c>
      <c r="C1169">
        <v>41220345</v>
      </c>
      <c r="D1169">
        <v>1556</v>
      </c>
      <c r="E1169">
        <v>200</v>
      </c>
      <c r="F1169" t="s">
        <v>127</v>
      </c>
      <c r="G1169" t="s">
        <v>128</v>
      </c>
      <c r="H1169" t="s">
        <v>129</v>
      </c>
      <c r="I1169" t="s">
        <v>130</v>
      </c>
      <c r="J1169">
        <v>0</v>
      </c>
      <c r="K1169">
        <v>45386.585787037038</v>
      </c>
      <c r="L1169">
        <v>0</v>
      </c>
      <c r="O1169">
        <v>10</v>
      </c>
      <c r="P1169">
        <v>8</v>
      </c>
      <c r="Q1169">
        <v>0</v>
      </c>
      <c r="V1169" t="s">
        <v>554</v>
      </c>
    </row>
    <row r="1170" spans="1:22" x14ac:dyDescent="0.25">
      <c r="B1170">
        <v>4</v>
      </c>
      <c r="C1170">
        <v>41220345</v>
      </c>
      <c r="D1170">
        <v>1556</v>
      </c>
      <c r="E1170">
        <v>100</v>
      </c>
      <c r="F1170" t="s">
        <v>127</v>
      </c>
      <c r="G1170" t="s">
        <v>131</v>
      </c>
      <c r="H1170" t="s">
        <v>132</v>
      </c>
      <c r="I1170" t="s">
        <v>130</v>
      </c>
      <c r="J1170">
        <v>0</v>
      </c>
      <c r="K1170">
        <v>45386.585798611108</v>
      </c>
      <c r="L1170">
        <v>4026</v>
      </c>
      <c r="O1170">
        <v>10</v>
      </c>
      <c r="P1170">
        <v>10</v>
      </c>
      <c r="Q1170">
        <v>0</v>
      </c>
    </row>
    <row r="1171" spans="1:22" x14ac:dyDescent="0.25">
      <c r="B1171">
        <v>4</v>
      </c>
      <c r="C1171">
        <v>41220335</v>
      </c>
      <c r="D1171">
        <v>1552</v>
      </c>
      <c r="E1171">
        <v>240</v>
      </c>
      <c r="F1171" t="s">
        <v>68</v>
      </c>
      <c r="G1171" t="s">
        <v>159</v>
      </c>
      <c r="H1171" t="s">
        <v>160</v>
      </c>
      <c r="I1171" t="s">
        <v>161</v>
      </c>
      <c r="J1171">
        <v>0</v>
      </c>
      <c r="K1171">
        <v>45386.585810185185</v>
      </c>
      <c r="L1171">
        <v>2304</v>
      </c>
      <c r="O1171">
        <v>36</v>
      </c>
      <c r="P1171">
        <v>6</v>
      </c>
      <c r="Q1171">
        <v>24.000000000000011</v>
      </c>
    </row>
    <row r="1172" spans="1:22" x14ac:dyDescent="0.25">
      <c r="B1172">
        <v>4</v>
      </c>
      <c r="C1172">
        <v>41220619</v>
      </c>
      <c r="D1172">
        <v>597</v>
      </c>
      <c r="E1172">
        <v>5000</v>
      </c>
      <c r="F1172" t="s">
        <v>68</v>
      </c>
      <c r="G1172" t="s">
        <v>146</v>
      </c>
      <c r="H1172" t="s">
        <v>147</v>
      </c>
      <c r="I1172" t="s">
        <v>144</v>
      </c>
      <c r="J1172" t="s">
        <v>562</v>
      </c>
      <c r="K1172">
        <v>45373.619895833333</v>
      </c>
      <c r="O1172">
        <v>440</v>
      </c>
      <c r="P1172">
        <v>11</v>
      </c>
      <c r="Q1172">
        <v>159.99999999999986</v>
      </c>
    </row>
    <row r="1173" spans="1:22" x14ac:dyDescent="0.25">
      <c r="B1173">
        <v>4</v>
      </c>
      <c r="C1173">
        <v>41219252</v>
      </c>
      <c r="D1173">
        <v>1553</v>
      </c>
      <c r="E1173">
        <v>500</v>
      </c>
      <c r="F1173" t="s">
        <v>68</v>
      </c>
      <c r="G1173" t="s">
        <v>146</v>
      </c>
      <c r="H1173" t="s">
        <v>147</v>
      </c>
      <c r="I1173" t="s">
        <v>144</v>
      </c>
      <c r="J1173">
        <v>0</v>
      </c>
      <c r="K1173">
        <v>45386.585821759261</v>
      </c>
      <c r="L1173">
        <v>20618</v>
      </c>
      <c r="O1173">
        <v>440</v>
      </c>
      <c r="P1173">
        <v>1</v>
      </c>
      <c r="Q1173">
        <v>60.000000000000043</v>
      </c>
    </row>
    <row r="1174" spans="1:22" x14ac:dyDescent="0.25">
      <c r="B1174">
        <v>4</v>
      </c>
      <c r="C1174">
        <v>41219252</v>
      </c>
      <c r="D1174">
        <v>1553</v>
      </c>
      <c r="E1174">
        <v>240</v>
      </c>
      <c r="F1174" t="s">
        <v>68</v>
      </c>
      <c r="G1174" t="s">
        <v>155</v>
      </c>
      <c r="H1174" t="s">
        <v>156</v>
      </c>
      <c r="J1174">
        <v>0</v>
      </c>
      <c r="K1174">
        <v>45386.585833333331</v>
      </c>
      <c r="L1174">
        <v>366</v>
      </c>
      <c r="O1174">
        <v>24</v>
      </c>
      <c r="P1174">
        <v>10</v>
      </c>
      <c r="Q1174">
        <v>0</v>
      </c>
    </row>
    <row r="1175" spans="1:22" x14ac:dyDescent="0.25">
      <c r="B1175">
        <v>4</v>
      </c>
      <c r="C1175">
        <v>41220338</v>
      </c>
      <c r="D1175">
        <v>1554</v>
      </c>
      <c r="E1175">
        <v>300</v>
      </c>
      <c r="F1175" t="s">
        <v>68</v>
      </c>
      <c r="G1175" t="s">
        <v>163</v>
      </c>
      <c r="H1175" t="s">
        <v>164</v>
      </c>
      <c r="I1175" t="s">
        <v>165</v>
      </c>
      <c r="J1175">
        <v>0</v>
      </c>
      <c r="K1175">
        <v>45386.585833333331</v>
      </c>
      <c r="L1175">
        <v>2932</v>
      </c>
      <c r="O1175">
        <v>12</v>
      </c>
      <c r="P1175">
        <v>25</v>
      </c>
      <c r="Q1175">
        <v>0</v>
      </c>
    </row>
    <row r="1176" spans="1:22" x14ac:dyDescent="0.25">
      <c r="B1176">
        <v>4</v>
      </c>
      <c r="C1176">
        <v>41218860</v>
      </c>
      <c r="D1176">
        <v>1555</v>
      </c>
      <c r="E1176">
        <v>100</v>
      </c>
      <c r="F1176" t="s">
        <v>68</v>
      </c>
      <c r="G1176">
        <v>501</v>
      </c>
      <c r="H1176" t="s">
        <v>178</v>
      </c>
      <c r="I1176" t="s">
        <v>144</v>
      </c>
      <c r="J1176">
        <v>0</v>
      </c>
      <c r="K1176">
        <v>45386.585844907408</v>
      </c>
      <c r="L1176">
        <v>2650</v>
      </c>
      <c r="O1176">
        <v>100</v>
      </c>
      <c r="P1176">
        <v>1</v>
      </c>
      <c r="Q1176">
        <v>0</v>
      </c>
    </row>
    <row r="1177" spans="1:22" x14ac:dyDescent="0.25">
      <c r="B1177">
        <v>4</v>
      </c>
      <c r="C1177">
        <v>41218860</v>
      </c>
      <c r="D1177">
        <v>1555</v>
      </c>
      <c r="E1177">
        <v>200</v>
      </c>
      <c r="F1177" t="s">
        <v>68</v>
      </c>
      <c r="G1177" t="s">
        <v>201</v>
      </c>
      <c r="H1177" t="s">
        <v>202</v>
      </c>
      <c r="I1177" t="s">
        <v>144</v>
      </c>
      <c r="J1177">
        <v>0</v>
      </c>
      <c r="K1177">
        <v>45386.585856481484</v>
      </c>
      <c r="L1177">
        <v>80</v>
      </c>
      <c r="O1177">
        <v>100</v>
      </c>
      <c r="P1177">
        <v>2</v>
      </c>
      <c r="Q1177">
        <v>0</v>
      </c>
    </row>
    <row r="1178" spans="1:22" x14ac:dyDescent="0.25">
      <c r="B1178">
        <v>4</v>
      </c>
      <c r="C1178">
        <v>41220346</v>
      </c>
      <c r="D1178">
        <v>1557</v>
      </c>
      <c r="E1178">
        <v>2000</v>
      </c>
      <c r="F1178" t="s">
        <v>68</v>
      </c>
      <c r="G1178" t="s">
        <v>179</v>
      </c>
      <c r="H1178" t="s">
        <v>180</v>
      </c>
      <c r="I1178" t="s">
        <v>144</v>
      </c>
      <c r="J1178">
        <v>0</v>
      </c>
      <c r="K1178">
        <v>45386.585856481484</v>
      </c>
      <c r="L1178">
        <v>33000</v>
      </c>
      <c r="O1178">
        <v>2000</v>
      </c>
      <c r="P1178">
        <v>1</v>
      </c>
      <c r="Q1178">
        <v>0</v>
      </c>
    </row>
    <row r="1179" spans="1:22" x14ac:dyDescent="0.25">
      <c r="B1179">
        <v>4</v>
      </c>
      <c r="C1179">
        <v>41219951</v>
      </c>
      <c r="D1179">
        <v>1558</v>
      </c>
      <c r="E1179">
        <v>100</v>
      </c>
      <c r="F1179" t="s">
        <v>68</v>
      </c>
      <c r="G1179" t="s">
        <v>153</v>
      </c>
      <c r="H1179" t="s">
        <v>154</v>
      </c>
      <c r="I1179" t="s">
        <v>105</v>
      </c>
      <c r="J1179">
        <v>0</v>
      </c>
      <c r="K1179">
        <v>45386.585868055554</v>
      </c>
      <c r="L1179">
        <v>700</v>
      </c>
      <c r="O1179">
        <v>100</v>
      </c>
      <c r="P1179">
        <v>1</v>
      </c>
      <c r="Q1179">
        <v>0</v>
      </c>
    </row>
    <row r="1180" spans="1:22" x14ac:dyDescent="0.25">
      <c r="B1180">
        <v>4</v>
      </c>
      <c r="C1180">
        <v>41219425</v>
      </c>
      <c r="D1180">
        <v>1559</v>
      </c>
      <c r="E1180">
        <v>10000</v>
      </c>
      <c r="F1180" t="s">
        <v>68</v>
      </c>
      <c r="G1180" t="s">
        <v>123</v>
      </c>
      <c r="H1180" t="s">
        <v>124</v>
      </c>
      <c r="I1180" t="s">
        <v>105</v>
      </c>
      <c r="J1180">
        <v>0</v>
      </c>
      <c r="K1180">
        <v>45386.585868055554</v>
      </c>
      <c r="L1180">
        <v>62500</v>
      </c>
      <c r="O1180">
        <v>2400</v>
      </c>
      <c r="P1180">
        <v>4</v>
      </c>
      <c r="Q1180">
        <v>400.00000000000068</v>
      </c>
    </row>
    <row r="1181" spans="1:22" x14ac:dyDescent="0.25">
      <c r="B1181">
        <v>4</v>
      </c>
      <c r="C1181">
        <v>41220347</v>
      </c>
      <c r="D1181">
        <v>1560</v>
      </c>
      <c r="E1181">
        <v>1000</v>
      </c>
      <c r="F1181" t="s">
        <v>68</v>
      </c>
      <c r="G1181" t="s">
        <v>121</v>
      </c>
      <c r="H1181" t="s">
        <v>122</v>
      </c>
      <c r="I1181" t="s">
        <v>105</v>
      </c>
      <c r="J1181">
        <v>0</v>
      </c>
      <c r="K1181">
        <v>45386.585879629631</v>
      </c>
      <c r="L1181">
        <v>37600</v>
      </c>
      <c r="O1181">
        <v>3000</v>
      </c>
      <c r="P1181">
        <v>0</v>
      </c>
      <c r="Q1181">
        <v>1000</v>
      </c>
    </row>
    <row r="1182" spans="1:22" x14ac:dyDescent="0.25">
      <c r="B1182">
        <v>4</v>
      </c>
      <c r="C1182">
        <v>41220347</v>
      </c>
      <c r="D1182">
        <v>1560</v>
      </c>
      <c r="E1182">
        <v>500</v>
      </c>
      <c r="F1182" t="s">
        <v>68</v>
      </c>
      <c r="G1182" t="s">
        <v>115</v>
      </c>
      <c r="H1182" t="s">
        <v>116</v>
      </c>
      <c r="I1182" t="s">
        <v>105</v>
      </c>
      <c r="J1182">
        <v>0</v>
      </c>
      <c r="K1182">
        <v>45386.5858912037</v>
      </c>
      <c r="L1182">
        <v>6100</v>
      </c>
      <c r="O1182">
        <v>1200</v>
      </c>
      <c r="P1182">
        <v>0</v>
      </c>
      <c r="Q1182">
        <v>500</v>
      </c>
    </row>
    <row r="1183" spans="1:22" x14ac:dyDescent="0.25">
      <c r="B1183">
        <v>4</v>
      </c>
      <c r="C1183">
        <v>41217700</v>
      </c>
      <c r="D1183">
        <v>1561</v>
      </c>
      <c r="E1183">
        <v>200</v>
      </c>
      <c r="F1183" t="s">
        <v>68</v>
      </c>
      <c r="G1183" t="s">
        <v>125</v>
      </c>
      <c r="H1183" t="s">
        <v>126</v>
      </c>
      <c r="I1183" t="s">
        <v>105</v>
      </c>
      <c r="J1183">
        <v>0</v>
      </c>
      <c r="K1183">
        <v>45386.5858912037</v>
      </c>
      <c r="L1183">
        <v>6600</v>
      </c>
      <c r="O1183">
        <v>2400</v>
      </c>
      <c r="P1183">
        <v>0</v>
      </c>
      <c r="Q1183">
        <v>200</v>
      </c>
    </row>
    <row r="1184" spans="1:22" x14ac:dyDescent="0.25">
      <c r="B1184">
        <v>4</v>
      </c>
      <c r="C1184">
        <v>41220345</v>
      </c>
      <c r="D1184">
        <v>1563</v>
      </c>
      <c r="E1184">
        <v>100</v>
      </c>
      <c r="F1184" t="s">
        <v>127</v>
      </c>
      <c r="G1184" t="s">
        <v>133</v>
      </c>
      <c r="H1184" t="s">
        <v>134</v>
      </c>
      <c r="I1184" t="s">
        <v>130</v>
      </c>
      <c r="K1184">
        <v>45394.651261574072</v>
      </c>
      <c r="O1184">
        <v>10</v>
      </c>
      <c r="P1184">
        <v>10</v>
      </c>
      <c r="Q1184">
        <v>0</v>
      </c>
    </row>
    <row r="1185" spans="2:22" x14ac:dyDescent="0.25">
      <c r="B1185">
        <v>4</v>
      </c>
      <c r="C1185">
        <v>41220345</v>
      </c>
      <c r="D1185">
        <v>1563</v>
      </c>
      <c r="E1185">
        <v>80</v>
      </c>
      <c r="F1185" t="s">
        <v>127</v>
      </c>
      <c r="G1185" t="s">
        <v>128</v>
      </c>
      <c r="H1185" t="s">
        <v>129</v>
      </c>
      <c r="I1185" t="s">
        <v>130</v>
      </c>
      <c r="K1185">
        <v>45394.651643518519</v>
      </c>
      <c r="O1185">
        <v>10</v>
      </c>
      <c r="P1185">
        <v>8</v>
      </c>
      <c r="Q1185">
        <v>0</v>
      </c>
      <c r="V1185" t="s">
        <v>554</v>
      </c>
    </row>
    <row r="1186" spans="2:22" x14ac:dyDescent="0.25">
      <c r="B1186">
        <v>4</v>
      </c>
      <c r="C1186">
        <v>41220345</v>
      </c>
      <c r="D1186">
        <v>1563</v>
      </c>
      <c r="E1186">
        <v>100</v>
      </c>
      <c r="F1186" t="s">
        <v>127</v>
      </c>
      <c r="G1186" t="s">
        <v>131</v>
      </c>
      <c r="H1186" t="s">
        <v>132</v>
      </c>
      <c r="I1186" t="s">
        <v>130</v>
      </c>
      <c r="K1186">
        <v>45394.651655092595</v>
      </c>
      <c r="O1186">
        <v>10</v>
      </c>
      <c r="P1186">
        <v>10</v>
      </c>
      <c r="Q1186">
        <v>0</v>
      </c>
    </row>
    <row r="1187" spans="2:22" x14ac:dyDescent="0.25">
      <c r="B1187">
        <v>6</v>
      </c>
      <c r="C1187">
        <v>41219377</v>
      </c>
      <c r="D1187">
        <v>1562</v>
      </c>
      <c r="E1187">
        <v>5600</v>
      </c>
      <c r="F1187" t="s">
        <v>68</v>
      </c>
      <c r="G1187" t="s">
        <v>123</v>
      </c>
      <c r="H1187" t="s">
        <v>124</v>
      </c>
      <c r="I1187" t="s">
        <v>105</v>
      </c>
      <c r="J1187">
        <v>0</v>
      </c>
      <c r="K1187">
        <v>45386.585902777777</v>
      </c>
      <c r="L1187">
        <v>56900</v>
      </c>
      <c r="O1187">
        <v>2400</v>
      </c>
      <c r="P1187">
        <v>2</v>
      </c>
      <c r="Q1187">
        <v>800.00000000000034</v>
      </c>
    </row>
    <row r="1188" spans="2:22" x14ac:dyDescent="0.25">
      <c r="B1188">
        <v>6</v>
      </c>
      <c r="C1188">
        <v>41219377</v>
      </c>
      <c r="D1188">
        <v>1562</v>
      </c>
      <c r="E1188">
        <v>40</v>
      </c>
      <c r="F1188" t="s">
        <v>68</v>
      </c>
      <c r="G1188" t="s">
        <v>109</v>
      </c>
      <c r="H1188" t="s">
        <v>162</v>
      </c>
      <c r="J1188">
        <v>0</v>
      </c>
      <c r="K1188">
        <v>45386.585902777777</v>
      </c>
      <c r="L1188">
        <v>720</v>
      </c>
      <c r="O1188">
        <v>96</v>
      </c>
      <c r="P1188">
        <v>0</v>
      </c>
      <c r="Q1188">
        <v>40</v>
      </c>
    </row>
    <row r="1189" spans="2:22" x14ac:dyDescent="0.25">
      <c r="B1189">
        <v>6</v>
      </c>
      <c r="C1189">
        <v>41220531</v>
      </c>
      <c r="D1189">
        <v>1564</v>
      </c>
      <c r="E1189">
        <v>850</v>
      </c>
      <c r="F1189" t="s">
        <v>68</v>
      </c>
      <c r="G1189">
        <v>501</v>
      </c>
      <c r="H1189" t="s">
        <v>178</v>
      </c>
      <c r="I1189" t="s">
        <v>144</v>
      </c>
      <c r="J1189">
        <v>0</v>
      </c>
      <c r="K1189">
        <v>45386.723599537036</v>
      </c>
      <c r="L1189">
        <v>1800</v>
      </c>
      <c r="O1189">
        <v>100</v>
      </c>
      <c r="P1189">
        <v>8</v>
      </c>
      <c r="Q1189">
        <v>50</v>
      </c>
    </row>
    <row r="1190" spans="2:22" x14ac:dyDescent="0.25">
      <c r="B1190">
        <v>6</v>
      </c>
      <c r="C1190">
        <v>41220531</v>
      </c>
      <c r="D1190">
        <v>1564</v>
      </c>
      <c r="E1190">
        <v>50</v>
      </c>
      <c r="F1190" t="s">
        <v>68</v>
      </c>
      <c r="G1190">
        <v>6885</v>
      </c>
      <c r="H1190" t="s">
        <v>169</v>
      </c>
      <c r="I1190" t="s">
        <v>144</v>
      </c>
      <c r="J1190">
        <v>0</v>
      </c>
      <c r="K1190">
        <v>45386.723622685182</v>
      </c>
      <c r="L1190">
        <v>550</v>
      </c>
      <c r="O1190">
        <v>100</v>
      </c>
      <c r="P1190">
        <v>0</v>
      </c>
      <c r="Q1190">
        <v>50</v>
      </c>
    </row>
    <row r="1191" spans="2:22" x14ac:dyDescent="0.25">
      <c r="B1191">
        <v>6</v>
      </c>
      <c r="C1191">
        <v>41218317</v>
      </c>
      <c r="D1191">
        <v>1565</v>
      </c>
      <c r="E1191">
        <v>400</v>
      </c>
      <c r="F1191" t="s">
        <v>68</v>
      </c>
      <c r="G1191" t="s">
        <v>119</v>
      </c>
      <c r="H1191" t="s">
        <v>120</v>
      </c>
      <c r="I1191" t="s">
        <v>105</v>
      </c>
      <c r="J1191">
        <v>0</v>
      </c>
      <c r="K1191">
        <v>45386.723657407405</v>
      </c>
      <c r="L1191">
        <v>26200</v>
      </c>
      <c r="O1191">
        <v>2400</v>
      </c>
      <c r="P1191">
        <v>0</v>
      </c>
      <c r="Q1191">
        <v>400</v>
      </c>
    </row>
    <row r="1192" spans="2:22" x14ac:dyDescent="0.25">
      <c r="B1192">
        <v>6</v>
      </c>
      <c r="C1192">
        <v>41218317</v>
      </c>
      <c r="D1192">
        <v>1565</v>
      </c>
      <c r="E1192">
        <v>3800</v>
      </c>
      <c r="F1192" t="s">
        <v>68</v>
      </c>
      <c r="G1192" t="s">
        <v>121</v>
      </c>
      <c r="H1192" t="s">
        <v>122</v>
      </c>
      <c r="I1192" t="s">
        <v>105</v>
      </c>
      <c r="J1192">
        <v>0</v>
      </c>
      <c r="K1192">
        <v>45386.723680555559</v>
      </c>
      <c r="L1192">
        <v>33800</v>
      </c>
      <c r="O1192">
        <v>3000</v>
      </c>
      <c r="P1192">
        <v>1</v>
      </c>
      <c r="Q1192">
        <v>799.99999999999977</v>
      </c>
    </row>
    <row r="1193" spans="2:22" x14ac:dyDescent="0.25">
      <c r="B1193">
        <v>6</v>
      </c>
      <c r="C1193">
        <v>41219432</v>
      </c>
      <c r="D1193">
        <v>1566</v>
      </c>
      <c r="E1193">
        <v>2000</v>
      </c>
      <c r="F1193" t="s">
        <v>68</v>
      </c>
      <c r="G1193" t="s">
        <v>170</v>
      </c>
      <c r="H1193" t="s">
        <v>171</v>
      </c>
      <c r="I1193" t="s">
        <v>105</v>
      </c>
      <c r="J1193">
        <v>0</v>
      </c>
      <c r="K1193">
        <v>45386.723715277774</v>
      </c>
      <c r="L1193">
        <v>5600</v>
      </c>
      <c r="O1193">
        <v>2400</v>
      </c>
      <c r="P1193">
        <v>0</v>
      </c>
      <c r="Q1193">
        <v>2000</v>
      </c>
    </row>
    <row r="1194" spans="2:22" x14ac:dyDescent="0.25">
      <c r="B1194">
        <v>6</v>
      </c>
      <c r="C1194" t="s">
        <v>567</v>
      </c>
      <c r="D1194">
        <v>1567</v>
      </c>
      <c r="E1194">
        <v>400</v>
      </c>
      <c r="F1194" t="s">
        <v>68</v>
      </c>
      <c r="G1194" t="s">
        <v>274</v>
      </c>
      <c r="H1194" t="s">
        <v>275</v>
      </c>
      <c r="I1194" t="s">
        <v>105</v>
      </c>
      <c r="J1194">
        <v>0</v>
      </c>
      <c r="K1194">
        <v>45386.72378472222</v>
      </c>
      <c r="L1194">
        <v>0</v>
      </c>
      <c r="O1194">
        <v>1</v>
      </c>
      <c r="P1194">
        <v>400</v>
      </c>
      <c r="Q1194">
        <v>0</v>
      </c>
    </row>
    <row r="1195" spans="2:22" x14ac:dyDescent="0.25">
      <c r="B1195">
        <v>6</v>
      </c>
      <c r="C1195" t="s">
        <v>567</v>
      </c>
      <c r="D1195">
        <v>1567</v>
      </c>
      <c r="E1195">
        <v>1000</v>
      </c>
      <c r="F1195" t="s">
        <v>68</v>
      </c>
      <c r="G1195" t="s">
        <v>119</v>
      </c>
      <c r="H1195" t="s">
        <v>120</v>
      </c>
      <c r="I1195" t="s">
        <v>105</v>
      </c>
      <c r="J1195">
        <v>0</v>
      </c>
      <c r="K1195">
        <v>45386.723819444444</v>
      </c>
      <c r="L1195">
        <v>25200</v>
      </c>
      <c r="O1195">
        <v>2400</v>
      </c>
      <c r="P1195">
        <v>0</v>
      </c>
      <c r="Q1195">
        <v>1000</v>
      </c>
    </row>
    <row r="1196" spans="2:22" x14ac:dyDescent="0.25">
      <c r="B1196">
        <v>6</v>
      </c>
      <c r="C1196" t="s">
        <v>567</v>
      </c>
      <c r="D1196">
        <v>1567</v>
      </c>
      <c r="E1196">
        <v>80</v>
      </c>
      <c r="F1196" t="s">
        <v>127</v>
      </c>
      <c r="G1196" t="s">
        <v>131</v>
      </c>
      <c r="H1196" t="s">
        <v>132</v>
      </c>
      <c r="I1196" t="s">
        <v>130</v>
      </c>
      <c r="J1196">
        <v>0</v>
      </c>
      <c r="K1196">
        <v>45386.723854166667</v>
      </c>
      <c r="L1196">
        <v>3946</v>
      </c>
      <c r="O1196">
        <v>10</v>
      </c>
      <c r="P1196">
        <v>8</v>
      </c>
      <c r="Q1196">
        <v>0</v>
      </c>
    </row>
    <row r="1197" spans="2:22" x14ac:dyDescent="0.25">
      <c r="B1197" t="s">
        <v>568</v>
      </c>
      <c r="C1197" t="s">
        <v>66</v>
      </c>
      <c r="D1197" t="s">
        <v>66</v>
      </c>
      <c r="E1197">
        <v>152</v>
      </c>
      <c r="F1197" t="s">
        <v>68</v>
      </c>
      <c r="G1197">
        <v>6800</v>
      </c>
      <c r="H1197" t="s">
        <v>150</v>
      </c>
      <c r="I1197" t="s">
        <v>144</v>
      </c>
      <c r="J1197">
        <v>1</v>
      </c>
      <c r="K1197">
        <v>45386.723541666666</v>
      </c>
      <c r="L1197">
        <v>152</v>
      </c>
      <c r="M1197" t="s">
        <v>569</v>
      </c>
      <c r="O1197">
        <v>4</v>
      </c>
      <c r="P1197">
        <v>38</v>
      </c>
      <c r="Q1197">
        <v>0</v>
      </c>
    </row>
    <row r="1198" spans="2:22" x14ac:dyDescent="0.25">
      <c r="B1198" t="s">
        <v>434</v>
      </c>
      <c r="C1198" t="s">
        <v>67</v>
      </c>
      <c r="D1198" t="s">
        <v>67</v>
      </c>
      <c r="E1198">
        <v>0</v>
      </c>
      <c r="F1198" t="s">
        <v>68</v>
      </c>
      <c r="G1198">
        <v>6001</v>
      </c>
      <c r="H1198" t="s">
        <v>149</v>
      </c>
      <c r="I1198" t="s">
        <v>144</v>
      </c>
      <c r="J1198">
        <v>0</v>
      </c>
      <c r="K1198">
        <v>45387.54478009259</v>
      </c>
      <c r="L1198">
        <v>8200</v>
      </c>
      <c r="O1198">
        <v>60</v>
      </c>
      <c r="P1198">
        <v>0</v>
      </c>
      <c r="Q1198">
        <v>0</v>
      </c>
    </row>
    <row r="1199" spans="2:22" x14ac:dyDescent="0.25">
      <c r="B1199" t="s">
        <v>434</v>
      </c>
      <c r="C1199" t="s">
        <v>67</v>
      </c>
      <c r="D1199" t="s">
        <v>67</v>
      </c>
      <c r="E1199">
        <v>0</v>
      </c>
      <c r="F1199" t="s">
        <v>68</v>
      </c>
      <c r="G1199" t="s">
        <v>159</v>
      </c>
      <c r="H1199" t="s">
        <v>160</v>
      </c>
      <c r="I1199" t="s">
        <v>161</v>
      </c>
      <c r="J1199">
        <v>0</v>
      </c>
      <c r="K1199">
        <v>45387.566354166665</v>
      </c>
      <c r="L1199">
        <v>2124</v>
      </c>
      <c r="O1199">
        <v>36</v>
      </c>
      <c r="P1199">
        <v>0</v>
      </c>
      <c r="Q1199">
        <v>0</v>
      </c>
    </row>
    <row r="1200" spans="2:22" x14ac:dyDescent="0.25">
      <c r="B1200" t="s">
        <v>434</v>
      </c>
      <c r="C1200" t="s">
        <v>67</v>
      </c>
      <c r="D1200" t="s">
        <v>570</v>
      </c>
      <c r="E1200">
        <v>0</v>
      </c>
      <c r="F1200" t="s">
        <v>68</v>
      </c>
      <c r="G1200" t="s">
        <v>484</v>
      </c>
      <c r="H1200" t="s">
        <v>169</v>
      </c>
      <c r="I1200" t="s">
        <v>144</v>
      </c>
      <c r="J1200">
        <v>0</v>
      </c>
      <c r="K1200">
        <v>45388.383206018516</v>
      </c>
      <c r="L1200">
        <v>510</v>
      </c>
      <c r="O1200">
        <v>100</v>
      </c>
      <c r="P1200">
        <v>0</v>
      </c>
      <c r="Q1200">
        <v>0</v>
      </c>
    </row>
    <row r="1201" spans="2:22" x14ac:dyDescent="0.25">
      <c r="B1201" t="s">
        <v>434</v>
      </c>
      <c r="C1201" t="s">
        <v>67</v>
      </c>
      <c r="D1201" t="s">
        <v>570</v>
      </c>
      <c r="E1201">
        <v>0</v>
      </c>
      <c r="F1201" t="s">
        <v>68</v>
      </c>
      <c r="G1201" t="s">
        <v>146</v>
      </c>
      <c r="H1201" t="s">
        <v>147</v>
      </c>
      <c r="I1201" t="s">
        <v>144</v>
      </c>
      <c r="J1201">
        <v>0</v>
      </c>
      <c r="K1201">
        <v>45387.590868055559</v>
      </c>
      <c r="L1201">
        <v>15528</v>
      </c>
      <c r="O1201">
        <v>440</v>
      </c>
      <c r="P1201">
        <v>0</v>
      </c>
      <c r="Q1201">
        <v>0</v>
      </c>
    </row>
    <row r="1202" spans="2:22" x14ac:dyDescent="0.25">
      <c r="B1202">
        <v>6</v>
      </c>
      <c r="C1202">
        <v>41218317</v>
      </c>
      <c r="D1202" t="s">
        <v>571</v>
      </c>
      <c r="E1202">
        <v>400</v>
      </c>
      <c r="F1202" t="s">
        <v>68</v>
      </c>
      <c r="G1202" t="s">
        <v>119</v>
      </c>
      <c r="H1202" t="s">
        <v>120</v>
      </c>
      <c r="I1202" t="s">
        <v>105</v>
      </c>
      <c r="J1202">
        <v>0</v>
      </c>
      <c r="K1202">
        <v>45388.407071759262</v>
      </c>
      <c r="L1202">
        <v>24400</v>
      </c>
      <c r="O1202">
        <v>2400</v>
      </c>
      <c r="P1202">
        <v>0</v>
      </c>
      <c r="Q1202">
        <v>400</v>
      </c>
    </row>
    <row r="1203" spans="2:22" x14ac:dyDescent="0.25">
      <c r="B1203">
        <v>6</v>
      </c>
      <c r="C1203">
        <v>41220531</v>
      </c>
      <c r="D1203" t="s">
        <v>572</v>
      </c>
      <c r="E1203">
        <v>300</v>
      </c>
      <c r="F1203" t="s">
        <v>68</v>
      </c>
      <c r="G1203" t="s">
        <v>484</v>
      </c>
      <c r="H1203" t="s">
        <v>169</v>
      </c>
      <c r="I1203" t="s">
        <v>144</v>
      </c>
      <c r="J1203">
        <v>0</v>
      </c>
      <c r="K1203">
        <v>45388.407233796293</v>
      </c>
      <c r="L1203">
        <v>210</v>
      </c>
      <c r="O1203">
        <v>100</v>
      </c>
      <c r="P1203">
        <v>3</v>
      </c>
      <c r="Q1203">
        <v>0</v>
      </c>
    </row>
    <row r="1204" spans="2:22" x14ac:dyDescent="0.25">
      <c r="B1204">
        <v>6</v>
      </c>
      <c r="C1204">
        <v>41220007</v>
      </c>
      <c r="D1204" t="s">
        <v>573</v>
      </c>
      <c r="E1204">
        <v>40</v>
      </c>
      <c r="F1204" t="s">
        <v>127</v>
      </c>
      <c r="G1204" t="s">
        <v>131</v>
      </c>
      <c r="H1204" t="s">
        <v>132</v>
      </c>
      <c r="I1204" t="s">
        <v>130</v>
      </c>
      <c r="J1204">
        <v>0</v>
      </c>
      <c r="K1204">
        <v>45388.409398148149</v>
      </c>
      <c r="L1204">
        <v>3906</v>
      </c>
      <c r="O1204">
        <v>10</v>
      </c>
      <c r="P1204">
        <v>4</v>
      </c>
      <c r="Q1204">
        <v>0</v>
      </c>
    </row>
    <row r="1205" spans="2:22" x14ac:dyDescent="0.25">
      <c r="B1205" t="s">
        <v>574</v>
      </c>
      <c r="C1205" t="s">
        <v>66</v>
      </c>
      <c r="D1205" t="s">
        <v>66</v>
      </c>
      <c r="E1205">
        <v>200</v>
      </c>
      <c r="F1205" t="s">
        <v>127</v>
      </c>
      <c r="G1205" t="s">
        <v>128</v>
      </c>
      <c r="H1205" t="s">
        <v>129</v>
      </c>
      <c r="I1205" t="s">
        <v>130</v>
      </c>
      <c r="J1205">
        <v>1</v>
      </c>
      <c r="K1205">
        <v>45390.587581018517</v>
      </c>
      <c r="L1205">
        <v>200</v>
      </c>
      <c r="M1205">
        <v>45386</v>
      </c>
      <c r="O1205">
        <v>10</v>
      </c>
      <c r="P1205">
        <v>20</v>
      </c>
      <c r="Q1205">
        <v>0</v>
      </c>
    </row>
    <row r="1206" spans="2:22" x14ac:dyDescent="0.25">
      <c r="B1206" t="s">
        <v>574</v>
      </c>
      <c r="C1206" t="s">
        <v>66</v>
      </c>
      <c r="D1206" t="s">
        <v>66</v>
      </c>
      <c r="E1206">
        <v>100</v>
      </c>
      <c r="F1206" t="s">
        <v>127</v>
      </c>
      <c r="G1206" t="s">
        <v>133</v>
      </c>
      <c r="H1206" t="s">
        <v>134</v>
      </c>
      <c r="I1206" t="s">
        <v>130</v>
      </c>
      <c r="J1206">
        <v>1</v>
      </c>
      <c r="K1206">
        <v>45390.587858796294</v>
      </c>
      <c r="L1206">
        <v>100</v>
      </c>
      <c r="M1206">
        <v>45386</v>
      </c>
      <c r="O1206">
        <v>10</v>
      </c>
      <c r="P1206">
        <v>10</v>
      </c>
      <c r="Q1206">
        <v>0</v>
      </c>
    </row>
    <row r="1207" spans="2:22" x14ac:dyDescent="0.25">
      <c r="B1207">
        <v>4</v>
      </c>
      <c r="C1207">
        <v>41219949</v>
      </c>
      <c r="D1207" t="s">
        <v>575</v>
      </c>
      <c r="E1207">
        <v>12</v>
      </c>
      <c r="F1207" t="s">
        <v>68</v>
      </c>
      <c r="G1207" t="s">
        <v>483</v>
      </c>
      <c r="H1207" t="s">
        <v>150</v>
      </c>
      <c r="I1207" t="s">
        <v>144</v>
      </c>
      <c r="J1207">
        <v>0</v>
      </c>
      <c r="K1207">
        <v>45390.607847222222</v>
      </c>
      <c r="L1207">
        <v>140</v>
      </c>
      <c r="O1207">
        <v>4</v>
      </c>
      <c r="P1207">
        <v>3</v>
      </c>
      <c r="Q1207">
        <v>0</v>
      </c>
    </row>
    <row r="1208" spans="2:22" x14ac:dyDescent="0.25">
      <c r="B1208">
        <v>4</v>
      </c>
      <c r="C1208">
        <v>41217695</v>
      </c>
      <c r="D1208" t="s">
        <v>576</v>
      </c>
      <c r="E1208">
        <v>10</v>
      </c>
      <c r="F1208" t="s">
        <v>135</v>
      </c>
      <c r="G1208" t="s">
        <v>227</v>
      </c>
      <c r="H1208" t="s">
        <v>208</v>
      </c>
      <c r="I1208" t="s">
        <v>209</v>
      </c>
      <c r="J1208">
        <v>0</v>
      </c>
      <c r="K1208">
        <v>45390.607905092591</v>
      </c>
      <c r="L1208">
        <v>34</v>
      </c>
      <c r="O1208">
        <v>1</v>
      </c>
      <c r="P1208">
        <v>10</v>
      </c>
      <c r="Q1208">
        <v>0</v>
      </c>
    </row>
    <row r="1209" spans="2:22" x14ac:dyDescent="0.25">
      <c r="B1209">
        <v>4</v>
      </c>
      <c r="C1209">
        <v>41217695</v>
      </c>
      <c r="D1209">
        <v>1572</v>
      </c>
      <c r="E1209">
        <v>10</v>
      </c>
      <c r="F1209" t="s">
        <v>135</v>
      </c>
      <c r="G1209" t="s">
        <v>216</v>
      </c>
      <c r="H1209" t="s">
        <v>208</v>
      </c>
      <c r="I1209" t="s">
        <v>209</v>
      </c>
      <c r="J1209">
        <v>0</v>
      </c>
      <c r="K1209">
        <v>45390.607928240737</v>
      </c>
      <c r="L1209">
        <v>21</v>
      </c>
      <c r="O1209">
        <v>1</v>
      </c>
      <c r="P1209">
        <v>10</v>
      </c>
      <c r="Q1209">
        <v>0</v>
      </c>
    </row>
    <row r="1210" spans="2:22" x14ac:dyDescent="0.25">
      <c r="B1210">
        <v>4</v>
      </c>
      <c r="C1210">
        <v>41217695</v>
      </c>
      <c r="D1210">
        <v>1572</v>
      </c>
      <c r="E1210">
        <v>10</v>
      </c>
      <c r="F1210" t="s">
        <v>135</v>
      </c>
      <c r="G1210" t="s">
        <v>350</v>
      </c>
      <c r="H1210" t="s">
        <v>208</v>
      </c>
      <c r="I1210" t="s">
        <v>209</v>
      </c>
      <c r="J1210">
        <v>0</v>
      </c>
      <c r="K1210">
        <v>45390.607974537037</v>
      </c>
      <c r="L1210">
        <v>8</v>
      </c>
      <c r="O1210">
        <v>1</v>
      </c>
      <c r="P1210">
        <v>10</v>
      </c>
      <c r="Q1210">
        <v>0</v>
      </c>
    </row>
    <row r="1211" spans="2:22" x14ac:dyDescent="0.25">
      <c r="B1211">
        <v>4</v>
      </c>
      <c r="C1211">
        <v>41217695</v>
      </c>
      <c r="D1211">
        <v>1572</v>
      </c>
      <c r="E1211">
        <v>10</v>
      </c>
      <c r="F1211" t="s">
        <v>135</v>
      </c>
      <c r="G1211" t="s">
        <v>64</v>
      </c>
      <c r="H1211" t="s">
        <v>208</v>
      </c>
      <c r="I1211" t="s">
        <v>209</v>
      </c>
      <c r="J1211">
        <v>0</v>
      </c>
      <c r="K1211">
        <v>45390.607997685183</v>
      </c>
      <c r="L1211">
        <v>70</v>
      </c>
      <c r="O1211">
        <v>1</v>
      </c>
      <c r="P1211">
        <v>10</v>
      </c>
      <c r="Q1211">
        <v>0</v>
      </c>
    </row>
    <row r="1212" spans="2:22" x14ac:dyDescent="0.25">
      <c r="B1212">
        <v>4</v>
      </c>
      <c r="C1212">
        <v>41217695</v>
      </c>
      <c r="D1212">
        <v>1572</v>
      </c>
      <c r="E1212">
        <v>10</v>
      </c>
      <c r="F1212" t="s">
        <v>135</v>
      </c>
      <c r="G1212" t="s">
        <v>217</v>
      </c>
      <c r="H1212" t="s">
        <v>208</v>
      </c>
      <c r="I1212" t="s">
        <v>209</v>
      </c>
      <c r="J1212">
        <v>0</v>
      </c>
      <c r="K1212">
        <v>45390.60800925926</v>
      </c>
      <c r="L1212">
        <v>10</v>
      </c>
      <c r="O1212">
        <v>1</v>
      </c>
      <c r="P1212">
        <v>10</v>
      </c>
      <c r="Q1212">
        <v>0</v>
      </c>
    </row>
    <row r="1213" spans="2:22" x14ac:dyDescent="0.25">
      <c r="B1213">
        <v>4</v>
      </c>
      <c r="C1213">
        <v>41217695</v>
      </c>
      <c r="D1213">
        <v>1572</v>
      </c>
      <c r="E1213">
        <v>10</v>
      </c>
      <c r="F1213" t="s">
        <v>135</v>
      </c>
      <c r="G1213" t="s">
        <v>331</v>
      </c>
      <c r="H1213" t="s">
        <v>208</v>
      </c>
      <c r="I1213" t="s">
        <v>209</v>
      </c>
      <c r="J1213">
        <v>0</v>
      </c>
      <c r="K1213">
        <v>45390.60800925926</v>
      </c>
      <c r="L1213">
        <v>44</v>
      </c>
      <c r="O1213">
        <v>1</v>
      </c>
      <c r="P1213">
        <v>10</v>
      </c>
      <c r="Q1213">
        <v>0</v>
      </c>
    </row>
    <row r="1214" spans="2:22" x14ac:dyDescent="0.25">
      <c r="B1214">
        <v>4</v>
      </c>
      <c r="C1214">
        <v>41220345</v>
      </c>
      <c r="D1214" t="s">
        <v>577</v>
      </c>
      <c r="E1214">
        <v>400</v>
      </c>
      <c r="F1214" t="s">
        <v>127</v>
      </c>
      <c r="G1214" t="s">
        <v>128</v>
      </c>
      <c r="H1214" t="s">
        <v>129</v>
      </c>
      <c r="I1214" t="s">
        <v>130</v>
      </c>
      <c r="J1214">
        <v>0</v>
      </c>
      <c r="K1214">
        <v>45390.608020833337</v>
      </c>
      <c r="L1214">
        <v>-200</v>
      </c>
      <c r="O1214">
        <v>10</v>
      </c>
      <c r="P1214">
        <v>40</v>
      </c>
      <c r="Q1214">
        <v>0</v>
      </c>
      <c r="V1214" t="s">
        <v>554</v>
      </c>
    </row>
    <row r="1215" spans="2:22" x14ac:dyDescent="0.25">
      <c r="B1215">
        <v>4</v>
      </c>
      <c r="C1215" t="s">
        <v>578</v>
      </c>
      <c r="D1215" t="s">
        <v>579</v>
      </c>
      <c r="E1215">
        <v>264</v>
      </c>
      <c r="F1215" t="s">
        <v>135</v>
      </c>
      <c r="G1215" t="s">
        <v>140</v>
      </c>
      <c r="H1215" t="s">
        <v>137</v>
      </c>
      <c r="I1215" t="s">
        <v>138</v>
      </c>
      <c r="J1215">
        <v>0</v>
      </c>
      <c r="K1215">
        <v>45390.608032407406</v>
      </c>
      <c r="L1215">
        <v>830</v>
      </c>
      <c r="O1215">
        <v>144</v>
      </c>
      <c r="P1215">
        <v>1</v>
      </c>
      <c r="Q1215">
        <v>119.99999999999999</v>
      </c>
    </row>
    <row r="1216" spans="2:22" x14ac:dyDescent="0.25">
      <c r="B1216">
        <v>4</v>
      </c>
      <c r="C1216" t="s">
        <v>578</v>
      </c>
      <c r="D1216">
        <v>612</v>
      </c>
      <c r="E1216">
        <v>24</v>
      </c>
      <c r="F1216" t="s">
        <v>135</v>
      </c>
      <c r="G1216" t="s">
        <v>136</v>
      </c>
      <c r="H1216" t="s">
        <v>137</v>
      </c>
      <c r="I1216" t="s">
        <v>138</v>
      </c>
      <c r="J1216">
        <v>0</v>
      </c>
      <c r="K1216">
        <v>45390.608055555553</v>
      </c>
      <c r="L1216">
        <v>1270</v>
      </c>
      <c r="M1216" t="s">
        <v>580</v>
      </c>
      <c r="O1216">
        <v>144</v>
      </c>
      <c r="P1216">
        <v>0</v>
      </c>
      <c r="Q1216">
        <v>24</v>
      </c>
    </row>
    <row r="1217" spans="1:22" x14ac:dyDescent="0.25">
      <c r="B1217" t="s">
        <v>581</v>
      </c>
      <c r="C1217" t="s">
        <v>67</v>
      </c>
      <c r="D1217" t="s">
        <v>67</v>
      </c>
      <c r="E1217">
        <v>4000</v>
      </c>
      <c r="F1217" t="s">
        <v>68</v>
      </c>
      <c r="G1217" t="s">
        <v>163</v>
      </c>
      <c r="H1217" t="s">
        <v>164</v>
      </c>
      <c r="I1217" t="s">
        <v>165</v>
      </c>
      <c r="J1217">
        <v>1</v>
      </c>
      <c r="K1217">
        <v>45390.615416666667</v>
      </c>
      <c r="L1217">
        <v>6932</v>
      </c>
      <c r="M1217" t="s">
        <v>580</v>
      </c>
      <c r="O1217">
        <v>12</v>
      </c>
      <c r="P1217">
        <v>333</v>
      </c>
      <c r="Q1217">
        <v>3.9999999999997726</v>
      </c>
    </row>
    <row r="1218" spans="1:22" x14ac:dyDescent="0.25">
      <c r="B1218" t="s">
        <v>582</v>
      </c>
      <c r="C1218" t="s">
        <v>67</v>
      </c>
      <c r="D1218" t="s">
        <v>67</v>
      </c>
      <c r="E1218">
        <v>40000</v>
      </c>
      <c r="F1218" t="s">
        <v>68</v>
      </c>
      <c r="G1218" t="s">
        <v>107</v>
      </c>
      <c r="H1218" t="s">
        <v>108</v>
      </c>
      <c r="I1218" t="s">
        <v>105</v>
      </c>
      <c r="J1218">
        <v>1</v>
      </c>
      <c r="K1218">
        <v>45390.624675925923</v>
      </c>
      <c r="L1218">
        <v>40000</v>
      </c>
      <c r="M1218" t="s">
        <v>583</v>
      </c>
      <c r="O1218">
        <v>1200</v>
      </c>
      <c r="P1218">
        <v>33</v>
      </c>
      <c r="Q1218">
        <v>400.00000000000284</v>
      </c>
    </row>
    <row r="1219" spans="1:22" x14ac:dyDescent="0.25">
      <c r="B1219" t="s">
        <v>582</v>
      </c>
      <c r="C1219" t="s">
        <v>67</v>
      </c>
      <c r="D1219" t="s">
        <v>67</v>
      </c>
      <c r="E1219">
        <v>1000</v>
      </c>
      <c r="F1219" t="s">
        <v>68</v>
      </c>
      <c r="G1219" t="s">
        <v>151</v>
      </c>
      <c r="H1219" t="s">
        <v>152</v>
      </c>
      <c r="I1219" t="s">
        <v>105</v>
      </c>
      <c r="J1219">
        <v>1</v>
      </c>
      <c r="K1219">
        <v>45390.624722222223</v>
      </c>
      <c r="L1219">
        <v>1036</v>
      </c>
      <c r="M1219" t="s">
        <v>583</v>
      </c>
      <c r="O1219">
        <v>200</v>
      </c>
      <c r="P1219">
        <v>5</v>
      </c>
      <c r="Q1219">
        <v>0</v>
      </c>
    </row>
    <row r="1220" spans="1:22" x14ac:dyDescent="0.25">
      <c r="B1220" t="s">
        <v>584</v>
      </c>
      <c r="C1220" t="s">
        <v>67</v>
      </c>
      <c r="D1220" t="s">
        <v>67</v>
      </c>
      <c r="E1220">
        <v>200</v>
      </c>
      <c r="F1220" t="s">
        <v>68</v>
      </c>
      <c r="G1220" t="s">
        <v>483</v>
      </c>
      <c r="H1220" t="s">
        <v>150</v>
      </c>
      <c r="I1220" t="s">
        <v>144</v>
      </c>
      <c r="J1220">
        <v>1</v>
      </c>
      <c r="K1220">
        <v>45390.642534722225</v>
      </c>
      <c r="L1220">
        <v>340</v>
      </c>
      <c r="M1220">
        <v>45355</v>
      </c>
      <c r="O1220">
        <v>4</v>
      </c>
      <c r="P1220">
        <v>50</v>
      </c>
      <c r="Q1220">
        <v>0</v>
      </c>
    </row>
    <row r="1221" spans="1:22" x14ac:dyDescent="0.25">
      <c r="B1221" t="s">
        <v>585</v>
      </c>
      <c r="C1221" t="s">
        <v>67</v>
      </c>
      <c r="D1221" t="s">
        <v>67</v>
      </c>
      <c r="E1221">
        <v>24</v>
      </c>
      <c r="F1221" t="s">
        <v>68</v>
      </c>
      <c r="G1221" t="s">
        <v>483</v>
      </c>
      <c r="H1221" t="s">
        <v>150</v>
      </c>
      <c r="I1221" t="s">
        <v>144</v>
      </c>
      <c r="J1221">
        <v>1</v>
      </c>
      <c r="K1221">
        <v>45390.643425925926</v>
      </c>
      <c r="L1221">
        <v>364</v>
      </c>
      <c r="M1221">
        <v>45355</v>
      </c>
      <c r="O1221">
        <v>4</v>
      </c>
      <c r="P1221">
        <v>6</v>
      </c>
      <c r="Q1221">
        <v>0</v>
      </c>
    </row>
    <row r="1222" spans="1:22" x14ac:dyDescent="0.25">
      <c r="B1222" t="s">
        <v>586</v>
      </c>
      <c r="C1222" t="s">
        <v>67</v>
      </c>
      <c r="D1222" t="s">
        <v>67</v>
      </c>
      <c r="E1222">
        <v>24</v>
      </c>
      <c r="F1222" t="s">
        <v>68</v>
      </c>
      <c r="G1222" t="s">
        <v>483</v>
      </c>
      <c r="H1222" t="s">
        <v>150</v>
      </c>
      <c r="I1222" t="s">
        <v>144</v>
      </c>
      <c r="J1222">
        <v>1</v>
      </c>
      <c r="K1222">
        <v>45390.644085648149</v>
      </c>
      <c r="L1222">
        <v>388</v>
      </c>
      <c r="M1222">
        <v>45355</v>
      </c>
      <c r="O1222">
        <v>4</v>
      </c>
      <c r="P1222">
        <v>6</v>
      </c>
      <c r="Q1222">
        <v>0</v>
      </c>
    </row>
    <row r="1223" spans="1:22" x14ac:dyDescent="0.25">
      <c r="B1223">
        <v>6</v>
      </c>
      <c r="C1223">
        <v>41220722</v>
      </c>
      <c r="D1223" t="s">
        <v>587</v>
      </c>
      <c r="E1223">
        <v>40</v>
      </c>
      <c r="F1223" t="s">
        <v>127</v>
      </c>
      <c r="G1223" t="s">
        <v>128</v>
      </c>
      <c r="H1223" t="s">
        <v>129</v>
      </c>
      <c r="I1223" t="s">
        <v>130</v>
      </c>
      <c r="J1223">
        <v>0</v>
      </c>
      <c r="K1223">
        <v>45390.719201388885</v>
      </c>
      <c r="L1223">
        <v>-240</v>
      </c>
      <c r="O1223">
        <v>10</v>
      </c>
      <c r="P1223">
        <v>4</v>
      </c>
      <c r="Q1223">
        <v>0</v>
      </c>
    </row>
    <row r="1224" spans="1:22" x14ac:dyDescent="0.25">
      <c r="B1224">
        <v>6</v>
      </c>
      <c r="C1224">
        <v>41219872</v>
      </c>
      <c r="D1224" t="s">
        <v>588</v>
      </c>
      <c r="E1224">
        <v>30</v>
      </c>
      <c r="F1224" t="s">
        <v>68</v>
      </c>
      <c r="G1224" t="s">
        <v>151</v>
      </c>
      <c r="H1224" t="s">
        <v>152</v>
      </c>
      <c r="I1224" t="s">
        <v>105</v>
      </c>
      <c r="J1224">
        <v>0</v>
      </c>
      <c r="K1224">
        <v>45390.721643518518</v>
      </c>
      <c r="L1224">
        <v>1006</v>
      </c>
      <c r="O1224">
        <v>200</v>
      </c>
      <c r="P1224">
        <v>0</v>
      </c>
      <c r="Q1224">
        <v>30</v>
      </c>
    </row>
    <row r="1225" spans="1:22" x14ac:dyDescent="0.25">
      <c r="A1225" t="s">
        <v>589</v>
      </c>
      <c r="B1225">
        <v>6</v>
      </c>
      <c r="C1225">
        <v>41220531</v>
      </c>
      <c r="D1225" t="s">
        <v>590</v>
      </c>
      <c r="E1225">
        <v>350</v>
      </c>
      <c r="F1225" t="s">
        <v>68</v>
      </c>
      <c r="G1225" t="s">
        <v>484</v>
      </c>
      <c r="H1225" t="s">
        <v>169</v>
      </c>
      <c r="I1225" t="s">
        <v>144</v>
      </c>
      <c r="J1225">
        <v>0</v>
      </c>
      <c r="K1225">
        <v>45390.721898148149</v>
      </c>
      <c r="L1225">
        <v>-140</v>
      </c>
      <c r="O1225">
        <v>25</v>
      </c>
      <c r="P1225">
        <v>14</v>
      </c>
      <c r="Q1225">
        <v>0</v>
      </c>
    </row>
    <row r="1226" spans="1:22" x14ac:dyDescent="0.25">
      <c r="B1226" t="s">
        <v>574</v>
      </c>
      <c r="C1226" t="s">
        <v>66</v>
      </c>
      <c r="D1226" t="s">
        <v>66</v>
      </c>
      <c r="E1226">
        <v>1800</v>
      </c>
      <c r="F1226" t="s">
        <v>127</v>
      </c>
      <c r="G1226" t="s">
        <v>128</v>
      </c>
      <c r="H1226" t="s">
        <v>129</v>
      </c>
      <c r="I1226" t="s">
        <v>130</v>
      </c>
      <c r="J1226">
        <v>1</v>
      </c>
      <c r="K1226">
        <v>45390.724305555559</v>
      </c>
      <c r="L1226">
        <v>1560</v>
      </c>
      <c r="M1226">
        <v>45386</v>
      </c>
      <c r="O1226">
        <v>10</v>
      </c>
      <c r="P1226">
        <v>180</v>
      </c>
      <c r="Q1226">
        <v>0</v>
      </c>
      <c r="V1226" t="s">
        <v>554</v>
      </c>
    </row>
    <row r="1227" spans="1:22" x14ac:dyDescent="0.25">
      <c r="B1227" t="s">
        <v>574</v>
      </c>
      <c r="C1227" t="s">
        <v>66</v>
      </c>
      <c r="D1227" t="s">
        <v>66</v>
      </c>
      <c r="E1227">
        <v>900</v>
      </c>
      <c r="F1227" t="s">
        <v>127</v>
      </c>
      <c r="G1227" t="s">
        <v>133</v>
      </c>
      <c r="H1227" t="s">
        <v>134</v>
      </c>
      <c r="I1227" t="s">
        <v>130</v>
      </c>
      <c r="J1227">
        <v>1</v>
      </c>
      <c r="K1227">
        <v>45390.724421296298</v>
      </c>
      <c r="L1227">
        <v>1000</v>
      </c>
      <c r="M1227">
        <v>45386</v>
      </c>
      <c r="O1227">
        <v>10</v>
      </c>
      <c r="P1227">
        <v>90</v>
      </c>
      <c r="Q1227">
        <v>0</v>
      </c>
    </row>
    <row r="1228" spans="1:22" x14ac:dyDescent="0.25">
      <c r="A1228" t="s">
        <v>589</v>
      </c>
      <c r="B1228">
        <v>6</v>
      </c>
      <c r="C1228">
        <v>41220531</v>
      </c>
      <c r="D1228" t="s">
        <v>590</v>
      </c>
      <c r="E1228">
        <v>350</v>
      </c>
      <c r="F1228" t="s">
        <v>68</v>
      </c>
      <c r="G1228" t="s">
        <v>484</v>
      </c>
      <c r="H1228" t="s">
        <v>169</v>
      </c>
      <c r="I1228" t="s">
        <v>144</v>
      </c>
      <c r="J1228">
        <v>1</v>
      </c>
      <c r="K1228">
        <v>45390.724560185183</v>
      </c>
      <c r="L1228">
        <v>210</v>
      </c>
      <c r="M1228">
        <v>45386</v>
      </c>
      <c r="O1228">
        <v>25</v>
      </c>
      <c r="P1228">
        <v>14</v>
      </c>
      <c r="Q1228">
        <v>0</v>
      </c>
    </row>
    <row r="1229" spans="1:22" x14ac:dyDescent="0.25">
      <c r="B1229">
        <v>4</v>
      </c>
      <c r="C1229">
        <v>41220347</v>
      </c>
      <c r="D1229" t="s">
        <v>591</v>
      </c>
      <c r="E1229">
        <v>30000</v>
      </c>
      <c r="F1229" t="s">
        <v>68</v>
      </c>
      <c r="G1229" t="s">
        <v>107</v>
      </c>
      <c r="H1229" t="s">
        <v>108</v>
      </c>
      <c r="I1229" t="s">
        <v>105</v>
      </c>
      <c r="J1229">
        <v>0</v>
      </c>
      <c r="K1229">
        <v>45391.541076388887</v>
      </c>
      <c r="L1229">
        <v>10000</v>
      </c>
      <c r="O1229">
        <v>1200</v>
      </c>
      <c r="P1229">
        <v>25</v>
      </c>
      <c r="Q1229">
        <v>0</v>
      </c>
    </row>
    <row r="1230" spans="1:22" x14ac:dyDescent="0.25">
      <c r="A1230" t="s">
        <v>592</v>
      </c>
      <c r="B1230">
        <v>6</v>
      </c>
      <c r="C1230">
        <v>41220531</v>
      </c>
      <c r="D1230" t="s">
        <v>66</v>
      </c>
      <c r="E1230">
        <v>250</v>
      </c>
      <c r="F1230" t="s">
        <v>68</v>
      </c>
      <c r="G1230" t="s">
        <v>484</v>
      </c>
      <c r="H1230" t="s">
        <v>169</v>
      </c>
      <c r="I1230" t="s">
        <v>144</v>
      </c>
      <c r="J1230">
        <v>0</v>
      </c>
      <c r="K1230">
        <v>45391.567071759258</v>
      </c>
      <c r="L1230">
        <v>-40</v>
      </c>
      <c r="O1230">
        <v>25</v>
      </c>
      <c r="P1230">
        <v>10</v>
      </c>
      <c r="Q1230">
        <v>0</v>
      </c>
    </row>
    <row r="1231" spans="1:22" x14ac:dyDescent="0.25">
      <c r="B1231">
        <v>6</v>
      </c>
      <c r="C1231">
        <v>41219872</v>
      </c>
      <c r="D1231" t="s">
        <v>593</v>
      </c>
      <c r="E1231">
        <v>120</v>
      </c>
      <c r="F1231" t="s">
        <v>68</v>
      </c>
      <c r="G1231" t="s">
        <v>151</v>
      </c>
      <c r="H1231" t="s">
        <v>152</v>
      </c>
      <c r="I1231" t="s">
        <v>105</v>
      </c>
      <c r="J1231">
        <v>0</v>
      </c>
      <c r="K1231">
        <v>45391.567164351851</v>
      </c>
      <c r="L1231">
        <v>886</v>
      </c>
      <c r="O1231">
        <v>200</v>
      </c>
      <c r="P1231">
        <v>0</v>
      </c>
      <c r="Q1231">
        <v>120</v>
      </c>
    </row>
    <row r="1232" spans="1:22" x14ac:dyDescent="0.25">
      <c r="B1232">
        <v>6</v>
      </c>
      <c r="C1232">
        <v>41220722</v>
      </c>
      <c r="D1232" t="s">
        <v>594</v>
      </c>
      <c r="E1232">
        <v>40</v>
      </c>
      <c r="F1232" t="s">
        <v>127</v>
      </c>
      <c r="G1232" t="s">
        <v>131</v>
      </c>
      <c r="H1232" t="s">
        <v>132</v>
      </c>
      <c r="I1232" t="s">
        <v>130</v>
      </c>
      <c r="J1232">
        <v>0</v>
      </c>
      <c r="K1232">
        <v>45391.567199074074</v>
      </c>
      <c r="L1232">
        <v>3866</v>
      </c>
      <c r="O1232">
        <v>10</v>
      </c>
      <c r="P1232">
        <v>4</v>
      </c>
      <c r="Q1232">
        <v>0</v>
      </c>
    </row>
    <row r="1233" spans="1:17" x14ac:dyDescent="0.25">
      <c r="B1233">
        <v>6</v>
      </c>
      <c r="C1233">
        <v>41220619</v>
      </c>
      <c r="D1233" t="s">
        <v>595</v>
      </c>
      <c r="E1233">
        <v>5000</v>
      </c>
      <c r="F1233" t="s">
        <v>68</v>
      </c>
      <c r="G1233" t="s">
        <v>146</v>
      </c>
      <c r="H1233" t="s">
        <v>147</v>
      </c>
      <c r="I1233" t="s">
        <v>144</v>
      </c>
      <c r="J1233">
        <v>0</v>
      </c>
      <c r="K1233">
        <v>45391.567233796297</v>
      </c>
      <c r="L1233">
        <v>10528</v>
      </c>
      <c r="O1233">
        <v>440</v>
      </c>
      <c r="P1233">
        <v>11</v>
      </c>
      <c r="Q1233">
        <v>159.99999999999986</v>
      </c>
    </row>
    <row r="1234" spans="1:17" x14ac:dyDescent="0.25">
      <c r="A1234" t="s">
        <v>592</v>
      </c>
      <c r="B1234">
        <v>6</v>
      </c>
      <c r="C1234">
        <v>41220531</v>
      </c>
      <c r="D1234" t="s">
        <v>66</v>
      </c>
      <c r="E1234">
        <v>40</v>
      </c>
      <c r="F1234" t="s">
        <v>68</v>
      </c>
      <c r="G1234" t="s">
        <v>484</v>
      </c>
      <c r="H1234" t="s">
        <v>169</v>
      </c>
      <c r="I1234" t="s">
        <v>144</v>
      </c>
      <c r="J1234">
        <v>1</v>
      </c>
      <c r="K1234">
        <v>45391.578784722224</v>
      </c>
      <c r="L1234">
        <v>0</v>
      </c>
      <c r="M1234">
        <v>45539</v>
      </c>
      <c r="O1234">
        <v>25</v>
      </c>
      <c r="P1234">
        <v>1</v>
      </c>
      <c r="Q1234">
        <v>15.000000000000002</v>
      </c>
    </row>
    <row r="1235" spans="1:17" x14ac:dyDescent="0.25">
      <c r="A1235" t="s">
        <v>596</v>
      </c>
      <c r="B1235">
        <v>6</v>
      </c>
      <c r="C1235">
        <v>41220531</v>
      </c>
      <c r="D1235" t="s">
        <v>66</v>
      </c>
      <c r="E1235">
        <v>210</v>
      </c>
      <c r="F1235" t="s">
        <v>68</v>
      </c>
      <c r="G1235" t="s">
        <v>484</v>
      </c>
      <c r="H1235" t="s">
        <v>169</v>
      </c>
      <c r="I1235" t="s">
        <v>144</v>
      </c>
      <c r="J1235">
        <v>1</v>
      </c>
      <c r="K1235">
        <v>45391.580891203703</v>
      </c>
      <c r="L1235">
        <v>210</v>
      </c>
      <c r="M1235">
        <v>45539</v>
      </c>
      <c r="O1235">
        <v>25</v>
      </c>
      <c r="P1235">
        <v>8</v>
      </c>
      <c r="Q1235">
        <v>10.000000000000009</v>
      </c>
    </row>
    <row r="1236" spans="1:17" x14ac:dyDescent="0.25">
      <c r="B1236" t="s">
        <v>158</v>
      </c>
      <c r="C1236">
        <v>41220531</v>
      </c>
      <c r="D1236">
        <v>1635</v>
      </c>
      <c r="E1236">
        <v>210</v>
      </c>
      <c r="F1236" t="s">
        <v>68</v>
      </c>
      <c r="G1236" t="s">
        <v>484</v>
      </c>
      <c r="H1236" t="s">
        <v>169</v>
      </c>
      <c r="I1236" t="s">
        <v>144</v>
      </c>
      <c r="J1236">
        <v>0</v>
      </c>
      <c r="K1236">
        <v>45391.638020833336</v>
      </c>
      <c r="L1236">
        <v>0</v>
      </c>
      <c r="O1236">
        <v>25</v>
      </c>
      <c r="P1236">
        <v>8</v>
      </c>
      <c r="Q1236">
        <v>10.000000000000009</v>
      </c>
    </row>
    <row r="1237" spans="1:17" x14ac:dyDescent="0.25">
      <c r="B1237">
        <v>4</v>
      </c>
      <c r="C1237">
        <v>41219949</v>
      </c>
      <c r="D1237" t="s">
        <v>597</v>
      </c>
      <c r="E1237">
        <v>20</v>
      </c>
      <c r="F1237" t="s">
        <v>68</v>
      </c>
      <c r="G1237" t="s">
        <v>483</v>
      </c>
      <c r="H1237" t="s">
        <v>150</v>
      </c>
      <c r="I1237" t="s">
        <v>144</v>
      </c>
      <c r="J1237">
        <v>0</v>
      </c>
      <c r="K1237">
        <v>45392.44017361111</v>
      </c>
      <c r="L1237">
        <v>368</v>
      </c>
      <c r="O1237">
        <v>4</v>
      </c>
      <c r="P1237">
        <v>5</v>
      </c>
      <c r="Q1237">
        <v>0</v>
      </c>
    </row>
    <row r="1238" spans="1:17" x14ac:dyDescent="0.25">
      <c r="B1238">
        <v>4</v>
      </c>
      <c r="C1238">
        <v>41220788</v>
      </c>
      <c r="D1238" t="s">
        <v>598</v>
      </c>
      <c r="E1238">
        <v>576</v>
      </c>
      <c r="F1238" t="s">
        <v>135</v>
      </c>
      <c r="G1238" t="s">
        <v>140</v>
      </c>
      <c r="H1238" t="s">
        <v>137</v>
      </c>
      <c r="I1238" t="s">
        <v>138</v>
      </c>
      <c r="J1238">
        <v>0</v>
      </c>
      <c r="K1238">
        <v>45392.44023148148</v>
      </c>
      <c r="L1238">
        <v>254</v>
      </c>
      <c r="O1238">
        <v>144</v>
      </c>
      <c r="P1238">
        <v>4</v>
      </c>
      <c r="Q1238">
        <v>0</v>
      </c>
    </row>
    <row r="1239" spans="1:17" x14ac:dyDescent="0.25">
      <c r="B1239">
        <v>6</v>
      </c>
      <c r="C1239">
        <v>41219651</v>
      </c>
      <c r="D1239" t="s">
        <v>599</v>
      </c>
      <c r="E1239">
        <v>4000</v>
      </c>
      <c r="F1239" t="s">
        <v>68</v>
      </c>
      <c r="G1239" t="s">
        <v>103</v>
      </c>
      <c r="H1239" t="s">
        <v>104</v>
      </c>
      <c r="I1239" t="s">
        <v>105</v>
      </c>
      <c r="J1239">
        <v>0</v>
      </c>
      <c r="K1239">
        <v>45392.627233796295</v>
      </c>
      <c r="L1239">
        <v>8400</v>
      </c>
      <c r="O1239">
        <v>2400</v>
      </c>
      <c r="P1239">
        <v>1</v>
      </c>
      <c r="Q1239">
        <v>1600.0000000000002</v>
      </c>
    </row>
    <row r="1240" spans="1:17" x14ac:dyDescent="0.25">
      <c r="B1240">
        <v>6</v>
      </c>
      <c r="C1240">
        <v>41219377</v>
      </c>
      <c r="D1240" t="s">
        <v>600</v>
      </c>
      <c r="E1240">
        <v>5600</v>
      </c>
      <c r="F1240" t="s">
        <v>68</v>
      </c>
      <c r="G1240" t="s">
        <v>123</v>
      </c>
      <c r="H1240" t="s">
        <v>124</v>
      </c>
      <c r="I1240" t="s">
        <v>105</v>
      </c>
      <c r="J1240">
        <v>0</v>
      </c>
      <c r="K1240">
        <v>45392.627291666664</v>
      </c>
      <c r="L1240">
        <v>53700</v>
      </c>
      <c r="O1240">
        <v>2400</v>
      </c>
      <c r="P1240">
        <v>2</v>
      </c>
      <c r="Q1240">
        <v>800.00000000000034</v>
      </c>
    </row>
    <row r="1241" spans="1:17" x14ac:dyDescent="0.25">
      <c r="B1241">
        <v>6</v>
      </c>
      <c r="C1241">
        <v>41219432</v>
      </c>
      <c r="D1241" t="s">
        <v>601</v>
      </c>
      <c r="E1241">
        <v>3800</v>
      </c>
      <c r="F1241" t="s">
        <v>68</v>
      </c>
      <c r="G1241" t="s">
        <v>170</v>
      </c>
      <c r="H1241" t="s">
        <v>171</v>
      </c>
      <c r="I1241" t="s">
        <v>105</v>
      </c>
      <c r="J1241">
        <v>0</v>
      </c>
      <c r="K1241">
        <v>45392.627314814818</v>
      </c>
      <c r="L1241">
        <v>1800</v>
      </c>
      <c r="O1241">
        <v>2400</v>
      </c>
      <c r="P1241">
        <v>1</v>
      </c>
      <c r="Q1241">
        <v>1399.9999999999998</v>
      </c>
    </row>
    <row r="1242" spans="1:17" x14ac:dyDescent="0.25">
      <c r="B1242">
        <v>6</v>
      </c>
      <c r="C1242">
        <v>41220619</v>
      </c>
      <c r="D1242" t="s">
        <v>602</v>
      </c>
      <c r="E1242">
        <v>5000</v>
      </c>
      <c r="F1242" t="s">
        <v>68</v>
      </c>
      <c r="G1242" t="s">
        <v>146</v>
      </c>
      <c r="H1242" t="s">
        <v>147</v>
      </c>
      <c r="I1242" t="s">
        <v>144</v>
      </c>
      <c r="J1242">
        <v>0</v>
      </c>
      <c r="K1242">
        <v>45392.627349537041</v>
      </c>
      <c r="L1242">
        <v>5528</v>
      </c>
      <c r="O1242">
        <v>440</v>
      </c>
      <c r="P1242">
        <v>11</v>
      </c>
      <c r="Q1242">
        <v>159.99999999999986</v>
      </c>
    </row>
    <row r="1243" spans="1:17" x14ac:dyDescent="0.25">
      <c r="B1243">
        <v>4</v>
      </c>
      <c r="C1243">
        <v>41220317</v>
      </c>
      <c r="D1243" t="s">
        <v>603</v>
      </c>
      <c r="E1243">
        <v>36</v>
      </c>
      <c r="F1243" t="s">
        <v>68</v>
      </c>
      <c r="G1243" t="s">
        <v>166</v>
      </c>
      <c r="H1243" t="s">
        <v>167</v>
      </c>
      <c r="J1243">
        <v>0</v>
      </c>
      <c r="K1243">
        <v>45393.546435185184</v>
      </c>
      <c r="L1243">
        <v>369</v>
      </c>
      <c r="O1243">
        <v>4</v>
      </c>
      <c r="P1243">
        <v>9</v>
      </c>
      <c r="Q1243">
        <v>0</v>
      </c>
    </row>
    <row r="1244" spans="1:17" x14ac:dyDescent="0.25">
      <c r="B1244">
        <v>4</v>
      </c>
      <c r="C1244">
        <v>41218860</v>
      </c>
      <c r="D1244">
        <v>1657</v>
      </c>
      <c r="E1244">
        <v>80</v>
      </c>
      <c r="F1244" t="s">
        <v>68</v>
      </c>
      <c r="G1244" t="s">
        <v>201</v>
      </c>
      <c r="H1244" t="s">
        <v>202</v>
      </c>
      <c r="I1244" t="s">
        <v>144</v>
      </c>
      <c r="J1244">
        <v>0</v>
      </c>
      <c r="K1244">
        <v>45393.549328703702</v>
      </c>
      <c r="L1244">
        <v>0</v>
      </c>
      <c r="O1244">
        <v>100</v>
      </c>
      <c r="P1244">
        <v>0</v>
      </c>
      <c r="Q1244">
        <v>80</v>
      </c>
    </row>
    <row r="1245" spans="1:17" x14ac:dyDescent="0.25">
      <c r="B1245">
        <v>4</v>
      </c>
      <c r="C1245">
        <v>41220335</v>
      </c>
      <c r="D1245" t="s">
        <v>604</v>
      </c>
      <c r="E1245">
        <v>240</v>
      </c>
      <c r="F1245" t="s">
        <v>68</v>
      </c>
      <c r="G1245" t="s">
        <v>159</v>
      </c>
      <c r="H1245" t="s">
        <v>160</v>
      </c>
      <c r="I1245" t="s">
        <v>161</v>
      </c>
      <c r="J1245">
        <v>0</v>
      </c>
      <c r="K1245">
        <v>45393.549351851849</v>
      </c>
      <c r="L1245">
        <v>1884</v>
      </c>
      <c r="O1245">
        <v>36</v>
      </c>
      <c r="P1245">
        <v>6</v>
      </c>
      <c r="Q1245">
        <v>24.000000000000011</v>
      </c>
    </row>
    <row r="1246" spans="1:17" x14ac:dyDescent="0.25">
      <c r="B1246">
        <v>4</v>
      </c>
      <c r="C1246">
        <v>41219252</v>
      </c>
      <c r="D1246" t="s">
        <v>605</v>
      </c>
      <c r="E1246">
        <v>500</v>
      </c>
      <c r="F1246" t="s">
        <v>68</v>
      </c>
      <c r="G1246" t="s">
        <v>146</v>
      </c>
      <c r="H1246" t="s">
        <v>147</v>
      </c>
      <c r="I1246" t="s">
        <v>144</v>
      </c>
      <c r="J1246">
        <v>0</v>
      </c>
      <c r="K1246">
        <v>45393.549351851849</v>
      </c>
      <c r="L1246">
        <v>5028</v>
      </c>
      <c r="O1246">
        <v>440</v>
      </c>
      <c r="P1246">
        <v>1</v>
      </c>
      <c r="Q1246">
        <v>60.000000000000043</v>
      </c>
    </row>
    <row r="1247" spans="1:17" x14ac:dyDescent="0.25">
      <c r="B1247">
        <v>4</v>
      </c>
      <c r="C1247">
        <v>41219252</v>
      </c>
      <c r="D1247">
        <v>1645</v>
      </c>
      <c r="E1247">
        <v>240</v>
      </c>
      <c r="F1247" t="s">
        <v>68</v>
      </c>
      <c r="G1247" t="s">
        <v>155</v>
      </c>
      <c r="H1247" t="s">
        <v>156</v>
      </c>
      <c r="J1247">
        <v>0</v>
      </c>
      <c r="K1247">
        <v>45393.549363425926</v>
      </c>
      <c r="L1247">
        <v>126</v>
      </c>
      <c r="O1247">
        <v>24</v>
      </c>
      <c r="P1247">
        <v>10</v>
      </c>
      <c r="Q1247">
        <v>0</v>
      </c>
    </row>
    <row r="1248" spans="1:17" x14ac:dyDescent="0.25">
      <c r="B1248">
        <v>4</v>
      </c>
      <c r="C1248">
        <v>41220338</v>
      </c>
      <c r="D1248" t="s">
        <v>606</v>
      </c>
      <c r="E1248">
        <v>300</v>
      </c>
      <c r="F1248" t="s">
        <v>68</v>
      </c>
      <c r="G1248" t="s">
        <v>163</v>
      </c>
      <c r="H1248" t="s">
        <v>164</v>
      </c>
      <c r="I1248" t="s">
        <v>165</v>
      </c>
      <c r="J1248">
        <v>0</v>
      </c>
      <c r="K1248">
        <v>45393.549375000002</v>
      </c>
      <c r="L1248">
        <v>6632</v>
      </c>
      <c r="O1248">
        <v>12</v>
      </c>
      <c r="P1248">
        <v>25</v>
      </c>
      <c r="Q1248">
        <v>0</v>
      </c>
    </row>
    <row r="1249" spans="2:22" x14ac:dyDescent="0.25">
      <c r="B1249">
        <v>4</v>
      </c>
      <c r="C1249">
        <v>41219949</v>
      </c>
      <c r="D1249" t="s">
        <v>607</v>
      </c>
      <c r="E1249">
        <v>12</v>
      </c>
      <c r="F1249" t="s">
        <v>68</v>
      </c>
      <c r="G1249" t="s">
        <v>483</v>
      </c>
      <c r="H1249" t="s">
        <v>150</v>
      </c>
      <c r="I1249" t="s">
        <v>144</v>
      </c>
      <c r="J1249">
        <v>0</v>
      </c>
      <c r="K1249">
        <v>45393.549386574072</v>
      </c>
      <c r="L1249">
        <v>356</v>
      </c>
      <c r="O1249">
        <v>4</v>
      </c>
      <c r="P1249">
        <v>3</v>
      </c>
      <c r="Q1249">
        <v>0</v>
      </c>
    </row>
    <row r="1250" spans="2:22" x14ac:dyDescent="0.25">
      <c r="B1250">
        <v>4</v>
      </c>
      <c r="C1250">
        <v>41218896</v>
      </c>
      <c r="D1250" t="s">
        <v>608</v>
      </c>
      <c r="E1250">
        <v>3</v>
      </c>
      <c r="F1250" t="s">
        <v>68</v>
      </c>
      <c r="G1250" t="s">
        <v>482</v>
      </c>
      <c r="H1250" t="s">
        <v>148</v>
      </c>
      <c r="I1250" t="s">
        <v>144</v>
      </c>
      <c r="J1250">
        <v>0</v>
      </c>
      <c r="K1250">
        <v>45393.549398148149</v>
      </c>
      <c r="L1250">
        <v>8</v>
      </c>
      <c r="O1250">
        <v>24</v>
      </c>
      <c r="P1250">
        <v>0</v>
      </c>
      <c r="Q1250">
        <v>3</v>
      </c>
    </row>
    <row r="1251" spans="2:22" x14ac:dyDescent="0.25">
      <c r="B1251">
        <v>4</v>
      </c>
      <c r="C1251">
        <v>41220345</v>
      </c>
      <c r="D1251" t="s">
        <v>609</v>
      </c>
      <c r="E1251">
        <v>400</v>
      </c>
      <c r="F1251" t="s">
        <v>127</v>
      </c>
      <c r="G1251" t="s">
        <v>133</v>
      </c>
      <c r="H1251" t="s">
        <v>134</v>
      </c>
      <c r="I1251" t="s">
        <v>130</v>
      </c>
      <c r="J1251">
        <v>0</v>
      </c>
      <c r="K1251">
        <v>45393.549479166664</v>
      </c>
      <c r="L1251">
        <v>600</v>
      </c>
      <c r="O1251">
        <v>10</v>
      </c>
      <c r="P1251">
        <v>40</v>
      </c>
      <c r="Q1251">
        <v>0</v>
      </c>
    </row>
    <row r="1252" spans="2:22" x14ac:dyDescent="0.25">
      <c r="B1252">
        <v>4</v>
      </c>
      <c r="C1252">
        <v>41220345</v>
      </c>
      <c r="D1252">
        <v>1649</v>
      </c>
      <c r="E1252">
        <v>100</v>
      </c>
      <c r="F1252" t="s">
        <v>127</v>
      </c>
      <c r="G1252" t="s">
        <v>128</v>
      </c>
      <c r="H1252" t="s">
        <v>129</v>
      </c>
      <c r="I1252" t="s">
        <v>130</v>
      </c>
      <c r="J1252">
        <v>0</v>
      </c>
      <c r="K1252">
        <v>45393.549513888887</v>
      </c>
      <c r="L1252">
        <v>1460</v>
      </c>
      <c r="O1252">
        <v>10</v>
      </c>
      <c r="P1252">
        <v>10</v>
      </c>
      <c r="Q1252">
        <v>0</v>
      </c>
      <c r="V1252" t="s">
        <v>554</v>
      </c>
    </row>
    <row r="1253" spans="2:22" x14ac:dyDescent="0.25">
      <c r="B1253">
        <v>4</v>
      </c>
      <c r="C1253">
        <v>41220345</v>
      </c>
      <c r="D1253">
        <v>1649</v>
      </c>
      <c r="E1253">
        <v>100</v>
      </c>
      <c r="F1253" t="s">
        <v>127</v>
      </c>
      <c r="G1253" t="s">
        <v>131</v>
      </c>
      <c r="H1253" t="s">
        <v>132</v>
      </c>
      <c r="I1253" t="s">
        <v>130</v>
      </c>
      <c r="J1253">
        <v>0</v>
      </c>
      <c r="K1253">
        <v>45393.549525462964</v>
      </c>
      <c r="L1253">
        <v>3766</v>
      </c>
      <c r="O1253">
        <v>10</v>
      </c>
      <c r="P1253">
        <v>10</v>
      </c>
      <c r="Q1253">
        <v>0</v>
      </c>
    </row>
    <row r="1254" spans="2:22" x14ac:dyDescent="0.25">
      <c r="B1254">
        <v>4</v>
      </c>
      <c r="C1254">
        <v>41220788</v>
      </c>
      <c r="D1254">
        <v>1659</v>
      </c>
      <c r="E1254">
        <v>254</v>
      </c>
      <c r="F1254" t="s">
        <v>135</v>
      </c>
      <c r="G1254" t="s">
        <v>140</v>
      </c>
      <c r="H1254" t="s">
        <v>137</v>
      </c>
      <c r="I1254" t="s">
        <v>138</v>
      </c>
      <c r="J1254">
        <v>0</v>
      </c>
      <c r="K1254">
        <v>45393.54959490741</v>
      </c>
      <c r="L1254">
        <v>0</v>
      </c>
      <c r="O1254">
        <v>144</v>
      </c>
      <c r="P1254">
        <v>1</v>
      </c>
      <c r="Q1254">
        <v>110</v>
      </c>
    </row>
    <row r="1255" spans="2:22" x14ac:dyDescent="0.25">
      <c r="B1255">
        <v>4</v>
      </c>
      <c r="C1255">
        <v>41220788</v>
      </c>
      <c r="D1255">
        <v>1650</v>
      </c>
      <c r="E1255">
        <v>24</v>
      </c>
      <c r="F1255" t="s">
        <v>135</v>
      </c>
      <c r="G1255" t="s">
        <v>136</v>
      </c>
      <c r="H1255" t="s">
        <v>137</v>
      </c>
      <c r="I1255" t="s">
        <v>138</v>
      </c>
      <c r="J1255">
        <v>0</v>
      </c>
      <c r="K1255">
        <v>45393.549629629626</v>
      </c>
      <c r="L1255">
        <v>1246</v>
      </c>
      <c r="O1255">
        <v>144</v>
      </c>
      <c r="P1255">
        <v>0</v>
      </c>
      <c r="Q1255">
        <v>24</v>
      </c>
    </row>
    <row r="1256" spans="2:22" x14ac:dyDescent="0.25">
      <c r="B1256">
        <v>4</v>
      </c>
      <c r="C1256">
        <v>41219951</v>
      </c>
      <c r="D1256" t="s">
        <v>610</v>
      </c>
      <c r="E1256">
        <v>120</v>
      </c>
      <c r="F1256" t="s">
        <v>68</v>
      </c>
      <c r="G1256" t="s">
        <v>153</v>
      </c>
      <c r="H1256" t="s">
        <v>154</v>
      </c>
      <c r="I1256" t="s">
        <v>105</v>
      </c>
      <c r="J1256">
        <v>0</v>
      </c>
      <c r="K1256">
        <v>45393.54965277778</v>
      </c>
      <c r="L1256">
        <v>580</v>
      </c>
      <c r="O1256">
        <v>100</v>
      </c>
      <c r="P1256">
        <v>1</v>
      </c>
      <c r="Q1256">
        <v>19.999999999999996</v>
      </c>
    </row>
    <row r="1257" spans="2:22" x14ac:dyDescent="0.25">
      <c r="B1257">
        <v>4</v>
      </c>
      <c r="C1257">
        <v>41220789</v>
      </c>
      <c r="D1257">
        <v>1658</v>
      </c>
      <c r="E1257">
        <v>8400</v>
      </c>
      <c r="F1257" t="s">
        <v>68</v>
      </c>
      <c r="G1257" t="s">
        <v>103</v>
      </c>
      <c r="H1257" t="s">
        <v>104</v>
      </c>
      <c r="I1257" t="s">
        <v>105</v>
      </c>
      <c r="J1257">
        <v>0</v>
      </c>
      <c r="K1257">
        <v>45393.549675925926</v>
      </c>
      <c r="L1257">
        <v>0</v>
      </c>
      <c r="O1257">
        <v>2400</v>
      </c>
      <c r="P1257">
        <v>3</v>
      </c>
      <c r="Q1257">
        <v>1200</v>
      </c>
    </row>
    <row r="1258" spans="2:22" x14ac:dyDescent="0.25">
      <c r="B1258">
        <v>4</v>
      </c>
      <c r="C1258">
        <v>41219425</v>
      </c>
      <c r="D1258" t="s">
        <v>611</v>
      </c>
      <c r="E1258">
        <v>10000</v>
      </c>
      <c r="F1258" t="s">
        <v>68</v>
      </c>
      <c r="G1258" t="s">
        <v>123</v>
      </c>
      <c r="H1258" t="s">
        <v>124</v>
      </c>
      <c r="I1258" t="s">
        <v>105</v>
      </c>
      <c r="J1258">
        <v>0</v>
      </c>
      <c r="K1258">
        <v>45393.549699074072</v>
      </c>
      <c r="L1258">
        <v>43700</v>
      </c>
      <c r="O1258">
        <v>2400</v>
      </c>
      <c r="P1258">
        <v>4</v>
      </c>
      <c r="Q1258">
        <v>400.00000000000068</v>
      </c>
    </row>
    <row r="1259" spans="2:22" x14ac:dyDescent="0.25">
      <c r="B1259">
        <v>4</v>
      </c>
      <c r="C1259">
        <v>41220347</v>
      </c>
      <c r="D1259">
        <v>1654</v>
      </c>
      <c r="E1259">
        <v>1000</v>
      </c>
      <c r="F1259" t="s">
        <v>68</v>
      </c>
      <c r="G1259" t="s">
        <v>121</v>
      </c>
      <c r="H1259" t="s">
        <v>122</v>
      </c>
      <c r="I1259" t="s">
        <v>105</v>
      </c>
      <c r="J1259">
        <v>0</v>
      </c>
      <c r="K1259">
        <v>45393.549722222226</v>
      </c>
      <c r="L1259">
        <v>32800</v>
      </c>
      <c r="O1259">
        <v>3000</v>
      </c>
      <c r="P1259">
        <v>0</v>
      </c>
      <c r="Q1259">
        <v>1000</v>
      </c>
    </row>
    <row r="1260" spans="2:22" x14ac:dyDescent="0.25">
      <c r="B1260">
        <v>4</v>
      </c>
      <c r="C1260">
        <v>41220347</v>
      </c>
      <c r="D1260">
        <v>1654</v>
      </c>
      <c r="E1260">
        <v>10000</v>
      </c>
      <c r="F1260" t="s">
        <v>68</v>
      </c>
      <c r="G1260" t="s">
        <v>107</v>
      </c>
      <c r="H1260" t="s">
        <v>108</v>
      </c>
      <c r="I1260" t="s">
        <v>105</v>
      </c>
      <c r="J1260">
        <v>0</v>
      </c>
      <c r="K1260">
        <v>45393.549745370372</v>
      </c>
      <c r="L1260">
        <v>0</v>
      </c>
      <c r="O1260">
        <v>1200</v>
      </c>
      <c r="P1260">
        <v>8</v>
      </c>
      <c r="Q1260">
        <v>400.00000000000068</v>
      </c>
    </row>
    <row r="1261" spans="2:22" x14ac:dyDescent="0.25">
      <c r="B1261">
        <v>4</v>
      </c>
      <c r="C1261">
        <v>41220347</v>
      </c>
      <c r="D1261">
        <v>1654</v>
      </c>
      <c r="E1261">
        <v>500</v>
      </c>
      <c r="F1261" t="s">
        <v>68</v>
      </c>
      <c r="G1261" t="s">
        <v>115</v>
      </c>
      <c r="H1261" t="s">
        <v>116</v>
      </c>
      <c r="I1261" t="s">
        <v>105</v>
      </c>
      <c r="J1261">
        <v>0</v>
      </c>
      <c r="K1261">
        <v>45393.549791666665</v>
      </c>
      <c r="L1261">
        <v>5650</v>
      </c>
      <c r="O1261">
        <v>1200</v>
      </c>
      <c r="P1261">
        <v>0</v>
      </c>
      <c r="Q1261">
        <v>500</v>
      </c>
    </row>
    <row r="1262" spans="2:22" x14ac:dyDescent="0.25">
      <c r="B1262">
        <v>4</v>
      </c>
      <c r="C1262">
        <v>41220347</v>
      </c>
      <c r="D1262">
        <v>1654</v>
      </c>
      <c r="E1262">
        <v>100</v>
      </c>
      <c r="F1262" t="s">
        <v>68</v>
      </c>
      <c r="G1262" t="s">
        <v>151</v>
      </c>
      <c r="H1262" t="s">
        <v>152</v>
      </c>
      <c r="I1262" t="s">
        <v>105</v>
      </c>
      <c r="J1262">
        <v>0</v>
      </c>
      <c r="K1262">
        <v>45393.549803240741</v>
      </c>
      <c r="L1262">
        <v>786</v>
      </c>
      <c r="O1262">
        <v>200</v>
      </c>
      <c r="P1262">
        <v>0</v>
      </c>
      <c r="Q1262">
        <v>100</v>
      </c>
    </row>
    <row r="1263" spans="2:22" x14ac:dyDescent="0.25">
      <c r="B1263">
        <v>4</v>
      </c>
      <c r="C1263">
        <v>41217401</v>
      </c>
      <c r="D1263" t="s">
        <v>612</v>
      </c>
      <c r="E1263">
        <v>5</v>
      </c>
      <c r="F1263" t="s">
        <v>68</v>
      </c>
      <c r="G1263" t="s">
        <v>490</v>
      </c>
      <c r="H1263" t="s">
        <v>233</v>
      </c>
      <c r="I1263" t="s">
        <v>234</v>
      </c>
      <c r="J1263">
        <v>0</v>
      </c>
      <c r="K1263">
        <v>45393.549826388888</v>
      </c>
      <c r="L1263">
        <v>35</v>
      </c>
      <c r="O1263">
        <v>1</v>
      </c>
      <c r="P1263">
        <v>5</v>
      </c>
      <c r="Q1263">
        <v>0</v>
      </c>
    </row>
    <row r="1264" spans="2:22" x14ac:dyDescent="0.25">
      <c r="B1264" t="s">
        <v>613</v>
      </c>
      <c r="C1264" t="s">
        <v>67</v>
      </c>
      <c r="D1264" t="s">
        <v>67</v>
      </c>
      <c r="E1264">
        <v>12</v>
      </c>
      <c r="F1264" t="s">
        <v>135</v>
      </c>
      <c r="G1264" t="s">
        <v>217</v>
      </c>
      <c r="H1264" t="s">
        <v>208</v>
      </c>
      <c r="I1264" t="s">
        <v>209</v>
      </c>
      <c r="J1264">
        <v>1</v>
      </c>
      <c r="K1264">
        <v>45393.570173611108</v>
      </c>
      <c r="L1264">
        <v>22</v>
      </c>
      <c r="M1264">
        <v>45539</v>
      </c>
      <c r="O1264">
        <v>1</v>
      </c>
      <c r="P1264">
        <v>12</v>
      </c>
      <c r="Q1264">
        <v>0</v>
      </c>
    </row>
    <row r="1265" spans="2:17" x14ac:dyDescent="0.25">
      <c r="B1265" t="s">
        <v>613</v>
      </c>
      <c r="C1265" t="s">
        <v>67</v>
      </c>
      <c r="D1265" t="s">
        <v>67</v>
      </c>
      <c r="E1265">
        <v>30</v>
      </c>
      <c r="F1265" t="s">
        <v>135</v>
      </c>
      <c r="G1265" t="s">
        <v>219</v>
      </c>
      <c r="H1265" t="s">
        <v>208</v>
      </c>
      <c r="I1265" t="s">
        <v>209</v>
      </c>
      <c r="J1265">
        <v>1</v>
      </c>
      <c r="K1265">
        <v>45393.570254629631</v>
      </c>
      <c r="L1265">
        <v>55</v>
      </c>
      <c r="M1265">
        <v>45539</v>
      </c>
      <c r="O1265">
        <v>1</v>
      </c>
      <c r="P1265">
        <v>30</v>
      </c>
      <c r="Q1265">
        <v>0</v>
      </c>
    </row>
    <row r="1266" spans="2:17" x14ac:dyDescent="0.25">
      <c r="B1266" t="s">
        <v>613</v>
      </c>
      <c r="C1266" t="s">
        <v>67</v>
      </c>
      <c r="D1266" t="s">
        <v>67</v>
      </c>
      <c r="E1266">
        <v>2</v>
      </c>
      <c r="F1266" t="s">
        <v>135</v>
      </c>
      <c r="G1266" t="s">
        <v>220</v>
      </c>
      <c r="H1266" t="s">
        <v>208</v>
      </c>
      <c r="I1266" t="s">
        <v>209</v>
      </c>
      <c r="J1266">
        <v>1</v>
      </c>
      <c r="K1266">
        <v>45393.5702662037</v>
      </c>
      <c r="L1266">
        <v>4</v>
      </c>
      <c r="M1266">
        <v>45539</v>
      </c>
      <c r="O1266">
        <v>1</v>
      </c>
      <c r="P1266">
        <v>2</v>
      </c>
      <c r="Q1266">
        <v>0</v>
      </c>
    </row>
    <row r="1267" spans="2:17" x14ac:dyDescent="0.25">
      <c r="B1267" t="s">
        <v>613</v>
      </c>
      <c r="C1267" t="s">
        <v>67</v>
      </c>
      <c r="D1267" t="s">
        <v>67</v>
      </c>
      <c r="E1267">
        <v>2</v>
      </c>
      <c r="F1267" t="s">
        <v>135</v>
      </c>
      <c r="G1267" t="s">
        <v>63</v>
      </c>
      <c r="H1267" t="s">
        <v>208</v>
      </c>
      <c r="I1267" t="s">
        <v>209</v>
      </c>
      <c r="J1267">
        <v>1</v>
      </c>
      <c r="K1267">
        <v>45393.570277777777</v>
      </c>
      <c r="L1267">
        <v>4</v>
      </c>
      <c r="M1267">
        <v>45539</v>
      </c>
      <c r="O1267">
        <v>1</v>
      </c>
      <c r="P1267">
        <v>2</v>
      </c>
      <c r="Q1267">
        <v>0</v>
      </c>
    </row>
    <row r="1268" spans="2:17" x14ac:dyDescent="0.25">
      <c r="B1268" t="s">
        <v>613</v>
      </c>
      <c r="C1268" t="s">
        <v>67</v>
      </c>
      <c r="D1268" t="s">
        <v>67</v>
      </c>
      <c r="E1268">
        <v>2</v>
      </c>
      <c r="F1268" t="s">
        <v>135</v>
      </c>
      <c r="G1268" t="s">
        <v>228</v>
      </c>
      <c r="H1268" t="s">
        <v>208</v>
      </c>
      <c r="I1268" t="s">
        <v>209</v>
      </c>
      <c r="J1268">
        <v>1</v>
      </c>
      <c r="K1268">
        <v>45393.570300925923</v>
      </c>
      <c r="L1268">
        <v>2</v>
      </c>
      <c r="M1268">
        <v>45539</v>
      </c>
      <c r="O1268">
        <v>1</v>
      </c>
      <c r="P1268">
        <v>2</v>
      </c>
      <c r="Q1268">
        <v>0</v>
      </c>
    </row>
    <row r="1269" spans="2:17" x14ac:dyDescent="0.25">
      <c r="B1269" t="s">
        <v>613</v>
      </c>
      <c r="C1269" t="s">
        <v>67</v>
      </c>
      <c r="D1269" t="s">
        <v>67</v>
      </c>
      <c r="E1269">
        <v>24</v>
      </c>
      <c r="F1269" t="s">
        <v>135</v>
      </c>
      <c r="G1269" t="s">
        <v>64</v>
      </c>
      <c r="H1269" t="s">
        <v>208</v>
      </c>
      <c r="I1269" t="s">
        <v>209</v>
      </c>
      <c r="J1269">
        <v>1</v>
      </c>
      <c r="K1269">
        <v>45393.570324074077</v>
      </c>
      <c r="L1269">
        <v>94</v>
      </c>
      <c r="M1269">
        <v>45539</v>
      </c>
      <c r="O1269">
        <v>1</v>
      </c>
      <c r="P1269">
        <v>24</v>
      </c>
      <c r="Q1269">
        <v>0</v>
      </c>
    </row>
    <row r="1270" spans="2:17" x14ac:dyDescent="0.25">
      <c r="B1270" t="s">
        <v>434</v>
      </c>
      <c r="C1270" t="s">
        <v>67</v>
      </c>
      <c r="D1270" t="s">
        <v>67</v>
      </c>
      <c r="E1270">
        <v>0</v>
      </c>
      <c r="F1270" t="s">
        <v>68</v>
      </c>
      <c r="G1270" t="s">
        <v>121</v>
      </c>
      <c r="H1270" t="s">
        <v>122</v>
      </c>
      <c r="I1270" t="s">
        <v>105</v>
      </c>
      <c r="J1270">
        <v>0</v>
      </c>
      <c r="K1270">
        <v>45394.593391203707</v>
      </c>
      <c r="L1270">
        <v>29800</v>
      </c>
      <c r="O1270">
        <v>3000</v>
      </c>
      <c r="P1270">
        <v>0</v>
      </c>
      <c r="Q1270">
        <v>0</v>
      </c>
    </row>
    <row r="1271" spans="2:17" x14ac:dyDescent="0.25">
      <c r="B1271" t="s">
        <v>434</v>
      </c>
      <c r="C1271" t="s">
        <v>66</v>
      </c>
      <c r="D1271" t="s">
        <v>66</v>
      </c>
      <c r="E1271">
        <v>0</v>
      </c>
      <c r="F1271" t="s">
        <v>68</v>
      </c>
      <c r="G1271" t="s">
        <v>146</v>
      </c>
      <c r="H1271" t="s">
        <v>147</v>
      </c>
      <c r="I1271" t="s">
        <v>144</v>
      </c>
      <c r="J1271">
        <v>0</v>
      </c>
      <c r="K1271">
        <v>45394.626296296294</v>
      </c>
      <c r="L1271">
        <v>5117</v>
      </c>
      <c r="O1271">
        <v>440</v>
      </c>
      <c r="P1271">
        <v>0</v>
      </c>
      <c r="Q1271">
        <v>0</v>
      </c>
    </row>
    <row r="1272" spans="2:17" x14ac:dyDescent="0.25">
      <c r="B1272">
        <v>6</v>
      </c>
      <c r="C1272">
        <v>41220007</v>
      </c>
      <c r="D1272" t="s">
        <v>614</v>
      </c>
      <c r="E1272">
        <v>36</v>
      </c>
      <c r="F1272" t="s">
        <v>127</v>
      </c>
      <c r="G1272" t="s">
        <v>131</v>
      </c>
      <c r="H1272" t="s">
        <v>132</v>
      </c>
      <c r="I1272" t="s">
        <v>130</v>
      </c>
      <c r="J1272">
        <v>0</v>
      </c>
      <c r="K1272">
        <v>45397.548090277778</v>
      </c>
      <c r="L1272">
        <v>3730</v>
      </c>
      <c r="O1272">
        <v>10</v>
      </c>
      <c r="P1272">
        <v>3</v>
      </c>
      <c r="Q1272">
        <v>6.0000000000000009</v>
      </c>
    </row>
    <row r="1273" spans="2:17" x14ac:dyDescent="0.25">
      <c r="B1273">
        <v>6</v>
      </c>
      <c r="C1273">
        <v>41219254</v>
      </c>
      <c r="D1273" t="s">
        <v>615</v>
      </c>
      <c r="E1273">
        <v>7200</v>
      </c>
      <c r="F1273" t="s">
        <v>68</v>
      </c>
      <c r="G1273" t="s">
        <v>123</v>
      </c>
      <c r="H1273" t="s">
        <v>124</v>
      </c>
      <c r="I1273" t="s">
        <v>105</v>
      </c>
      <c r="J1273">
        <v>0</v>
      </c>
      <c r="K1273">
        <v>45397.548159722224</v>
      </c>
      <c r="L1273">
        <v>36500</v>
      </c>
      <c r="O1273">
        <v>2400</v>
      </c>
      <c r="P1273">
        <v>3</v>
      </c>
      <c r="Q1273">
        <v>0</v>
      </c>
    </row>
    <row r="1274" spans="2:17" x14ac:dyDescent="0.25">
      <c r="B1274" t="s">
        <v>616</v>
      </c>
      <c r="C1274" t="s">
        <v>67</v>
      </c>
      <c r="D1274" t="s">
        <v>67</v>
      </c>
      <c r="E1274">
        <v>4032</v>
      </c>
      <c r="F1274" t="s">
        <v>135</v>
      </c>
      <c r="G1274" t="s">
        <v>140</v>
      </c>
      <c r="H1274" t="s">
        <v>137</v>
      </c>
      <c r="I1274" t="s">
        <v>138</v>
      </c>
      <c r="J1274">
        <v>1</v>
      </c>
      <c r="K1274">
        <v>45397.552476851852</v>
      </c>
      <c r="L1274">
        <v>4032</v>
      </c>
      <c r="M1274" t="s">
        <v>617</v>
      </c>
      <c r="O1274">
        <v>144</v>
      </c>
      <c r="P1274">
        <v>28</v>
      </c>
      <c r="Q1274">
        <v>0</v>
      </c>
    </row>
    <row r="1275" spans="2:17" x14ac:dyDescent="0.25">
      <c r="B1275" t="s">
        <v>616</v>
      </c>
      <c r="C1275" t="s">
        <v>67</v>
      </c>
      <c r="D1275" t="s">
        <v>67</v>
      </c>
      <c r="E1275">
        <v>1008</v>
      </c>
      <c r="F1275" t="s">
        <v>135</v>
      </c>
      <c r="G1275" t="s">
        <v>141</v>
      </c>
      <c r="H1275" t="s">
        <v>137</v>
      </c>
      <c r="I1275" t="s">
        <v>138</v>
      </c>
      <c r="J1275">
        <v>1</v>
      </c>
      <c r="K1275">
        <v>45397.55265046296</v>
      </c>
      <c r="L1275">
        <v>2884</v>
      </c>
      <c r="M1275" t="s">
        <v>617</v>
      </c>
      <c r="O1275">
        <v>144</v>
      </c>
      <c r="P1275">
        <v>7</v>
      </c>
      <c r="Q1275">
        <v>0</v>
      </c>
    </row>
    <row r="1276" spans="2:17" x14ac:dyDescent="0.25">
      <c r="B1276" t="s">
        <v>618</v>
      </c>
      <c r="C1276" t="s">
        <v>67</v>
      </c>
      <c r="D1276" t="s">
        <v>67</v>
      </c>
      <c r="E1276">
        <v>120</v>
      </c>
      <c r="F1276" t="s">
        <v>68</v>
      </c>
      <c r="G1276" t="s">
        <v>482</v>
      </c>
      <c r="H1276" t="s">
        <v>148</v>
      </c>
      <c r="I1276" t="s">
        <v>144</v>
      </c>
      <c r="J1276">
        <v>1</v>
      </c>
      <c r="K1276">
        <v>45397.711076388892</v>
      </c>
      <c r="L1276">
        <v>120</v>
      </c>
      <c r="M1276" t="s">
        <v>619</v>
      </c>
      <c r="O1276">
        <v>24</v>
      </c>
      <c r="P1276">
        <v>5</v>
      </c>
      <c r="Q1276">
        <v>0</v>
      </c>
    </row>
    <row r="1277" spans="2:17" x14ac:dyDescent="0.25">
      <c r="B1277">
        <v>6</v>
      </c>
      <c r="C1277">
        <v>41220822</v>
      </c>
      <c r="D1277" t="s">
        <v>620</v>
      </c>
      <c r="E1277">
        <v>2400</v>
      </c>
      <c r="F1277" t="s">
        <v>68</v>
      </c>
      <c r="G1277" t="s">
        <v>110</v>
      </c>
      <c r="H1277" t="s">
        <v>111</v>
      </c>
      <c r="I1277" t="s">
        <v>105</v>
      </c>
      <c r="J1277">
        <v>0</v>
      </c>
      <c r="K1277">
        <v>45399.416747685187</v>
      </c>
      <c r="L1277">
        <v>8400</v>
      </c>
      <c r="O1277">
        <v>2400</v>
      </c>
      <c r="P1277">
        <v>1</v>
      </c>
      <c r="Q1277">
        <v>0</v>
      </c>
    </row>
    <row r="1278" spans="2:17" x14ac:dyDescent="0.25">
      <c r="B1278">
        <v>6</v>
      </c>
      <c r="C1278">
        <v>41220007</v>
      </c>
      <c r="D1278" t="s">
        <v>621</v>
      </c>
      <c r="E1278">
        <v>40</v>
      </c>
      <c r="F1278" t="s">
        <v>127</v>
      </c>
      <c r="G1278" t="s">
        <v>131</v>
      </c>
      <c r="H1278" t="s">
        <v>132</v>
      </c>
      <c r="I1278" t="s">
        <v>130</v>
      </c>
      <c r="J1278">
        <v>0</v>
      </c>
      <c r="K1278">
        <v>45399.47283564815</v>
      </c>
      <c r="L1278">
        <v>3690</v>
      </c>
      <c r="O1278">
        <v>10</v>
      </c>
      <c r="P1278">
        <v>4</v>
      </c>
      <c r="Q1278">
        <v>0</v>
      </c>
    </row>
    <row r="1279" spans="2:17" x14ac:dyDescent="0.25">
      <c r="B1279">
        <v>6</v>
      </c>
      <c r="C1279">
        <v>41220822</v>
      </c>
      <c r="D1279" t="s">
        <v>622</v>
      </c>
      <c r="E1279">
        <v>1200</v>
      </c>
      <c r="F1279" t="s">
        <v>68</v>
      </c>
      <c r="G1279" t="s">
        <v>110</v>
      </c>
      <c r="H1279" t="s">
        <v>111</v>
      </c>
      <c r="I1279" t="s">
        <v>105</v>
      </c>
      <c r="J1279">
        <v>0</v>
      </c>
      <c r="K1279">
        <v>45399.472870370373</v>
      </c>
      <c r="L1279">
        <v>7200</v>
      </c>
      <c r="O1279">
        <v>2400</v>
      </c>
      <c r="P1279">
        <v>0</v>
      </c>
      <c r="Q1279">
        <v>1200</v>
      </c>
    </row>
    <row r="1280" spans="2:17" x14ac:dyDescent="0.25">
      <c r="B1280">
        <v>6</v>
      </c>
      <c r="C1280">
        <v>41220281</v>
      </c>
      <c r="D1280" t="s">
        <v>623</v>
      </c>
      <c r="E1280">
        <v>1000</v>
      </c>
      <c r="F1280" t="s">
        <v>68</v>
      </c>
      <c r="G1280" t="s">
        <v>142</v>
      </c>
      <c r="H1280" t="s">
        <v>143</v>
      </c>
      <c r="I1280" t="s">
        <v>144</v>
      </c>
      <c r="J1280">
        <v>0</v>
      </c>
      <c r="K1280">
        <v>45399.472893518519</v>
      </c>
      <c r="L1280">
        <v>2552</v>
      </c>
      <c r="O1280">
        <v>24</v>
      </c>
      <c r="P1280">
        <v>41</v>
      </c>
      <c r="Q1280">
        <v>15.999999999999943</v>
      </c>
    </row>
    <row r="1281" spans="2:22" x14ac:dyDescent="0.25">
      <c r="B1281" t="s">
        <v>624</v>
      </c>
      <c r="E1281">
        <v>8100</v>
      </c>
      <c r="F1281" t="s">
        <v>68</v>
      </c>
      <c r="G1281" t="s">
        <v>123</v>
      </c>
      <c r="H1281" t="s">
        <v>124</v>
      </c>
      <c r="I1281" t="s">
        <v>105</v>
      </c>
      <c r="J1281">
        <v>1</v>
      </c>
      <c r="K1281">
        <v>45399.674189814818</v>
      </c>
      <c r="L1281">
        <v>44600</v>
      </c>
      <c r="M1281">
        <v>45394</v>
      </c>
      <c r="O1281">
        <v>2400</v>
      </c>
      <c r="P1281">
        <v>3</v>
      </c>
      <c r="Q1281">
        <v>900</v>
      </c>
    </row>
    <row r="1282" spans="2:22" x14ac:dyDescent="0.25">
      <c r="B1282" t="s">
        <v>625</v>
      </c>
      <c r="E1282">
        <v>51900</v>
      </c>
      <c r="F1282" t="s">
        <v>68</v>
      </c>
      <c r="G1282" t="s">
        <v>123</v>
      </c>
      <c r="H1282" t="s">
        <v>124</v>
      </c>
      <c r="I1282" t="s">
        <v>105</v>
      </c>
      <c r="J1282">
        <v>1</v>
      </c>
      <c r="K1282">
        <v>45399.674224537041</v>
      </c>
      <c r="L1282">
        <v>96500</v>
      </c>
      <c r="M1282">
        <v>45394</v>
      </c>
      <c r="O1282">
        <v>2400</v>
      </c>
      <c r="P1282">
        <v>21</v>
      </c>
      <c r="Q1282">
        <v>1500</v>
      </c>
    </row>
    <row r="1283" spans="2:22" x14ac:dyDescent="0.25">
      <c r="B1283" t="s">
        <v>626</v>
      </c>
      <c r="E1283">
        <v>60000</v>
      </c>
      <c r="F1283" t="s">
        <v>68</v>
      </c>
      <c r="G1283" t="s">
        <v>103</v>
      </c>
      <c r="H1283" t="s">
        <v>104</v>
      </c>
      <c r="I1283" t="s">
        <v>105</v>
      </c>
      <c r="J1283">
        <v>1</v>
      </c>
      <c r="K1283">
        <v>45399.67423611111</v>
      </c>
      <c r="L1283">
        <v>60000</v>
      </c>
      <c r="M1283">
        <v>45394</v>
      </c>
      <c r="O1283">
        <v>2400</v>
      </c>
      <c r="P1283">
        <v>25</v>
      </c>
      <c r="Q1283">
        <v>0</v>
      </c>
      <c r="V1283" t="s">
        <v>566</v>
      </c>
    </row>
    <row r="1284" spans="2:22" x14ac:dyDescent="0.25">
      <c r="B1284" t="s">
        <v>626</v>
      </c>
      <c r="E1284">
        <v>80000</v>
      </c>
      <c r="F1284" t="s">
        <v>68</v>
      </c>
      <c r="G1284" t="s">
        <v>107</v>
      </c>
      <c r="H1284" t="s">
        <v>108</v>
      </c>
      <c r="I1284" t="s">
        <v>105</v>
      </c>
      <c r="J1284">
        <v>1</v>
      </c>
      <c r="K1284">
        <v>45399.674247685187</v>
      </c>
      <c r="L1284">
        <v>80000</v>
      </c>
      <c r="M1284">
        <v>45394</v>
      </c>
      <c r="O1284">
        <v>1200</v>
      </c>
      <c r="P1284">
        <v>66</v>
      </c>
      <c r="Q1284">
        <v>800.00000000000568</v>
      </c>
    </row>
    <row r="1285" spans="2:22" x14ac:dyDescent="0.25">
      <c r="B1285" t="s">
        <v>626</v>
      </c>
      <c r="E1285">
        <v>15000</v>
      </c>
      <c r="F1285" t="s">
        <v>68</v>
      </c>
      <c r="G1285" t="s">
        <v>170</v>
      </c>
      <c r="H1285" t="s">
        <v>171</v>
      </c>
      <c r="I1285" t="s">
        <v>105</v>
      </c>
      <c r="J1285">
        <v>1</v>
      </c>
      <c r="K1285">
        <v>45399.674270833333</v>
      </c>
      <c r="L1285">
        <v>16800</v>
      </c>
      <c r="M1285">
        <v>45394</v>
      </c>
      <c r="O1285">
        <v>2400</v>
      </c>
      <c r="P1285">
        <v>6</v>
      </c>
      <c r="Q1285">
        <v>600</v>
      </c>
    </row>
    <row r="1286" spans="2:22" x14ac:dyDescent="0.25">
      <c r="B1286" t="s">
        <v>626</v>
      </c>
      <c r="E1286">
        <v>1000</v>
      </c>
      <c r="F1286" t="s">
        <v>68</v>
      </c>
      <c r="G1286" t="s">
        <v>113</v>
      </c>
      <c r="H1286" t="s">
        <v>114</v>
      </c>
      <c r="I1286" t="s">
        <v>105</v>
      </c>
      <c r="J1286">
        <v>1</v>
      </c>
      <c r="K1286">
        <v>45399.67428240741</v>
      </c>
      <c r="L1286">
        <v>1000</v>
      </c>
      <c r="M1286">
        <v>45394</v>
      </c>
      <c r="O1286">
        <v>3000</v>
      </c>
      <c r="P1286">
        <v>0</v>
      </c>
      <c r="Q1286">
        <v>1000</v>
      </c>
    </row>
    <row r="1287" spans="2:22" x14ac:dyDescent="0.25">
      <c r="B1287" t="s">
        <v>626</v>
      </c>
      <c r="E1287">
        <v>1000</v>
      </c>
      <c r="F1287" t="s">
        <v>68</v>
      </c>
      <c r="G1287" t="s">
        <v>117</v>
      </c>
      <c r="H1287" t="s">
        <v>118</v>
      </c>
      <c r="I1287" t="s">
        <v>105</v>
      </c>
      <c r="J1287">
        <v>1</v>
      </c>
      <c r="K1287">
        <v>45399.674293981479</v>
      </c>
      <c r="L1287">
        <v>1000</v>
      </c>
      <c r="M1287">
        <v>45394</v>
      </c>
      <c r="O1287">
        <v>3000</v>
      </c>
      <c r="P1287">
        <v>0</v>
      </c>
      <c r="Q1287">
        <v>1000</v>
      </c>
    </row>
    <row r="1288" spans="2:22" x14ac:dyDescent="0.25">
      <c r="B1288" t="s">
        <v>626</v>
      </c>
      <c r="E1288">
        <v>1000</v>
      </c>
      <c r="F1288" t="s">
        <v>68</v>
      </c>
      <c r="G1288" t="s">
        <v>151</v>
      </c>
      <c r="H1288" t="s">
        <v>152</v>
      </c>
      <c r="I1288" t="s">
        <v>105</v>
      </c>
      <c r="J1288">
        <v>1</v>
      </c>
      <c r="K1288">
        <v>45399.674305555556</v>
      </c>
      <c r="L1288">
        <v>1786</v>
      </c>
      <c r="M1288">
        <v>45394</v>
      </c>
      <c r="O1288">
        <v>200</v>
      </c>
      <c r="P1288">
        <v>5</v>
      </c>
      <c r="Q1288">
        <v>0</v>
      </c>
    </row>
    <row r="1289" spans="2:22" x14ac:dyDescent="0.25">
      <c r="B1289">
        <v>4</v>
      </c>
      <c r="C1289">
        <v>41220317</v>
      </c>
      <c r="D1289" t="s">
        <v>627</v>
      </c>
      <c r="E1289">
        <v>36</v>
      </c>
      <c r="F1289" t="s">
        <v>68</v>
      </c>
      <c r="G1289" t="s">
        <v>166</v>
      </c>
      <c r="H1289" t="s">
        <v>167</v>
      </c>
      <c r="J1289">
        <v>0</v>
      </c>
      <c r="K1289">
        <v>45400.516932870371</v>
      </c>
      <c r="L1289">
        <v>332</v>
      </c>
      <c r="O1289">
        <v>4</v>
      </c>
      <c r="P1289">
        <v>9</v>
      </c>
      <c r="Q1289">
        <v>0</v>
      </c>
    </row>
    <row r="1290" spans="2:22" x14ac:dyDescent="0.25">
      <c r="B1290">
        <v>4</v>
      </c>
      <c r="C1290">
        <v>41220335</v>
      </c>
      <c r="D1290" t="s">
        <v>628</v>
      </c>
      <c r="E1290">
        <v>240</v>
      </c>
      <c r="F1290" t="s">
        <v>68</v>
      </c>
      <c r="G1290" t="s">
        <v>159</v>
      </c>
      <c r="H1290" t="s">
        <v>160</v>
      </c>
      <c r="I1290" t="s">
        <v>161</v>
      </c>
      <c r="J1290">
        <v>0</v>
      </c>
      <c r="K1290">
        <v>45400.51699074074</v>
      </c>
      <c r="L1290">
        <v>1644</v>
      </c>
      <c r="O1290">
        <v>36</v>
      </c>
      <c r="P1290">
        <v>6</v>
      </c>
      <c r="Q1290">
        <v>24.000000000000011</v>
      </c>
    </row>
    <row r="1291" spans="2:22" x14ac:dyDescent="0.25">
      <c r="B1291">
        <v>4</v>
      </c>
      <c r="C1291">
        <v>41219252</v>
      </c>
      <c r="D1291" t="s">
        <v>629</v>
      </c>
      <c r="E1291">
        <v>500</v>
      </c>
      <c r="F1291" t="s">
        <v>68</v>
      </c>
      <c r="G1291" t="s">
        <v>146</v>
      </c>
      <c r="H1291" t="s">
        <v>147</v>
      </c>
      <c r="I1291" t="s">
        <v>144</v>
      </c>
      <c r="J1291">
        <v>0</v>
      </c>
      <c r="K1291">
        <v>45400.517013888886</v>
      </c>
      <c r="L1291">
        <v>4617</v>
      </c>
      <c r="O1291">
        <v>440</v>
      </c>
      <c r="P1291">
        <v>1</v>
      </c>
      <c r="Q1291">
        <v>60.000000000000043</v>
      </c>
    </row>
    <row r="1292" spans="2:22" x14ac:dyDescent="0.25">
      <c r="B1292">
        <v>4</v>
      </c>
      <c r="C1292">
        <v>41219252</v>
      </c>
      <c r="D1292">
        <v>1671</v>
      </c>
      <c r="E1292">
        <v>126</v>
      </c>
      <c r="F1292" t="s">
        <v>68</v>
      </c>
      <c r="G1292" t="s">
        <v>155</v>
      </c>
      <c r="H1292" t="s">
        <v>156</v>
      </c>
      <c r="J1292">
        <v>0</v>
      </c>
      <c r="K1292">
        <v>45400.517048611109</v>
      </c>
      <c r="L1292">
        <v>0</v>
      </c>
      <c r="O1292">
        <v>24</v>
      </c>
      <c r="P1292">
        <v>5</v>
      </c>
      <c r="Q1292">
        <v>6</v>
      </c>
    </row>
    <row r="1293" spans="2:22" x14ac:dyDescent="0.25">
      <c r="B1293">
        <v>4</v>
      </c>
      <c r="C1293">
        <v>41220338</v>
      </c>
      <c r="D1293" t="s">
        <v>630</v>
      </c>
      <c r="E1293">
        <v>300</v>
      </c>
      <c r="F1293" t="s">
        <v>68</v>
      </c>
      <c r="G1293" t="s">
        <v>163</v>
      </c>
      <c r="H1293" t="s">
        <v>164</v>
      </c>
      <c r="I1293" t="s">
        <v>165</v>
      </c>
      <c r="J1293">
        <v>0</v>
      </c>
      <c r="K1293">
        <v>45400.517118055555</v>
      </c>
      <c r="L1293">
        <v>6332</v>
      </c>
      <c r="O1293">
        <v>12</v>
      </c>
      <c r="P1293">
        <v>25</v>
      </c>
      <c r="Q1293">
        <v>0</v>
      </c>
    </row>
    <row r="1294" spans="2:22" x14ac:dyDescent="0.25">
      <c r="B1294">
        <v>6</v>
      </c>
      <c r="C1294">
        <v>41219949</v>
      </c>
      <c r="D1294" t="s">
        <v>631</v>
      </c>
      <c r="E1294">
        <v>12</v>
      </c>
      <c r="F1294" t="s">
        <v>68</v>
      </c>
      <c r="G1294" t="s">
        <v>483</v>
      </c>
      <c r="H1294" t="s">
        <v>150</v>
      </c>
      <c r="I1294" t="s">
        <v>144</v>
      </c>
      <c r="J1294">
        <v>0</v>
      </c>
      <c r="K1294">
        <v>45400.517129629632</v>
      </c>
      <c r="L1294">
        <v>344</v>
      </c>
      <c r="O1294">
        <v>4</v>
      </c>
      <c r="P1294">
        <v>3</v>
      </c>
      <c r="Q1294">
        <v>0</v>
      </c>
    </row>
    <row r="1295" spans="2:22" x14ac:dyDescent="0.25">
      <c r="B1295">
        <v>6</v>
      </c>
      <c r="C1295">
        <v>41218896</v>
      </c>
      <c r="D1295" t="s">
        <v>632</v>
      </c>
      <c r="E1295">
        <v>3</v>
      </c>
      <c r="F1295" t="s">
        <v>68</v>
      </c>
      <c r="G1295" t="s">
        <v>482</v>
      </c>
      <c r="H1295" t="s">
        <v>148</v>
      </c>
      <c r="I1295" t="s">
        <v>144</v>
      </c>
      <c r="J1295">
        <v>0</v>
      </c>
      <c r="K1295">
        <v>45400.517152777778</v>
      </c>
      <c r="L1295">
        <v>117</v>
      </c>
      <c r="O1295">
        <v>24</v>
      </c>
      <c r="P1295">
        <v>0</v>
      </c>
      <c r="Q1295">
        <v>3</v>
      </c>
    </row>
    <row r="1296" spans="2:22" x14ac:dyDescent="0.25">
      <c r="B1296">
        <v>4</v>
      </c>
      <c r="C1296">
        <v>41220788</v>
      </c>
      <c r="D1296" t="s">
        <v>633</v>
      </c>
      <c r="E1296">
        <v>288</v>
      </c>
      <c r="F1296" t="s">
        <v>135</v>
      </c>
      <c r="G1296" t="s">
        <v>140</v>
      </c>
      <c r="H1296" t="s">
        <v>137</v>
      </c>
      <c r="I1296" t="s">
        <v>138</v>
      </c>
      <c r="J1296">
        <v>0</v>
      </c>
      <c r="K1296">
        <v>45400.517164351855</v>
      </c>
      <c r="L1296">
        <v>3744</v>
      </c>
      <c r="O1296">
        <v>144</v>
      </c>
      <c r="P1296">
        <v>2</v>
      </c>
      <c r="Q1296">
        <v>0</v>
      </c>
    </row>
    <row r="1297" spans="2:22" x14ac:dyDescent="0.25">
      <c r="B1297">
        <v>4</v>
      </c>
      <c r="C1297">
        <v>41220345</v>
      </c>
      <c r="D1297" t="s">
        <v>634</v>
      </c>
      <c r="E1297">
        <v>200</v>
      </c>
      <c r="F1297" t="s">
        <v>127</v>
      </c>
      <c r="G1297" t="s">
        <v>133</v>
      </c>
      <c r="H1297" t="s">
        <v>134</v>
      </c>
      <c r="I1297" t="s">
        <v>130</v>
      </c>
      <c r="J1297">
        <v>0</v>
      </c>
      <c r="K1297">
        <v>45400.517175925925</v>
      </c>
      <c r="L1297">
        <v>380</v>
      </c>
      <c r="O1297">
        <v>10</v>
      </c>
      <c r="P1297">
        <v>20</v>
      </c>
      <c r="Q1297">
        <v>0</v>
      </c>
    </row>
    <row r="1298" spans="2:22" x14ac:dyDescent="0.25">
      <c r="B1298">
        <v>4</v>
      </c>
      <c r="C1298">
        <v>41220345</v>
      </c>
      <c r="D1298">
        <v>1676</v>
      </c>
      <c r="E1298">
        <v>100</v>
      </c>
      <c r="F1298" t="s">
        <v>127</v>
      </c>
      <c r="G1298" t="s">
        <v>128</v>
      </c>
      <c r="H1298" t="s">
        <v>129</v>
      </c>
      <c r="I1298" t="s">
        <v>130</v>
      </c>
      <c r="J1298">
        <v>0</v>
      </c>
      <c r="K1298">
        <v>45400.517187500001</v>
      </c>
      <c r="L1298">
        <v>1360</v>
      </c>
      <c r="O1298">
        <v>10</v>
      </c>
      <c r="P1298">
        <v>10</v>
      </c>
      <c r="Q1298">
        <v>0</v>
      </c>
      <c r="V1298" t="s">
        <v>554</v>
      </c>
    </row>
    <row r="1299" spans="2:22" x14ac:dyDescent="0.25">
      <c r="B1299">
        <v>4</v>
      </c>
      <c r="C1299">
        <v>41220345</v>
      </c>
      <c r="D1299">
        <v>1676</v>
      </c>
      <c r="E1299">
        <v>100</v>
      </c>
      <c r="F1299" t="s">
        <v>127</v>
      </c>
      <c r="G1299" t="s">
        <v>131</v>
      </c>
      <c r="H1299" t="s">
        <v>132</v>
      </c>
      <c r="I1299" t="s">
        <v>130</v>
      </c>
      <c r="J1299">
        <v>0</v>
      </c>
      <c r="K1299">
        <v>45400.517199074071</v>
      </c>
      <c r="L1299">
        <v>3590</v>
      </c>
      <c r="O1299">
        <v>10</v>
      </c>
      <c r="P1299">
        <v>10</v>
      </c>
      <c r="Q1299">
        <v>0</v>
      </c>
    </row>
    <row r="1300" spans="2:22" x14ac:dyDescent="0.25">
      <c r="B1300">
        <v>4</v>
      </c>
      <c r="C1300">
        <v>41219951</v>
      </c>
      <c r="D1300" t="s">
        <v>635</v>
      </c>
      <c r="E1300">
        <v>180</v>
      </c>
      <c r="F1300" t="s">
        <v>68</v>
      </c>
      <c r="G1300" t="s">
        <v>153</v>
      </c>
      <c r="H1300" t="s">
        <v>154</v>
      </c>
      <c r="I1300" t="s">
        <v>105</v>
      </c>
      <c r="J1300">
        <v>0</v>
      </c>
      <c r="K1300">
        <v>45400.517210648148</v>
      </c>
      <c r="L1300">
        <v>400</v>
      </c>
      <c r="O1300">
        <v>100</v>
      </c>
      <c r="P1300">
        <v>1</v>
      </c>
      <c r="Q1300">
        <v>80</v>
      </c>
    </row>
    <row r="1301" spans="2:22" x14ac:dyDescent="0.25">
      <c r="B1301">
        <v>4</v>
      </c>
      <c r="C1301">
        <v>41220347</v>
      </c>
      <c r="D1301" t="s">
        <v>636</v>
      </c>
      <c r="E1301">
        <v>1000</v>
      </c>
      <c r="F1301" t="s">
        <v>68</v>
      </c>
      <c r="G1301" t="s">
        <v>121</v>
      </c>
      <c r="H1301" t="s">
        <v>122</v>
      </c>
      <c r="I1301" t="s">
        <v>105</v>
      </c>
      <c r="J1301">
        <v>0</v>
      </c>
      <c r="K1301">
        <v>45400.517210648148</v>
      </c>
      <c r="L1301">
        <v>28800</v>
      </c>
      <c r="O1301">
        <v>3000</v>
      </c>
      <c r="P1301">
        <v>0</v>
      </c>
      <c r="Q1301">
        <v>1000</v>
      </c>
    </row>
    <row r="1302" spans="2:22" x14ac:dyDescent="0.25">
      <c r="B1302">
        <v>4</v>
      </c>
      <c r="C1302">
        <v>41220347</v>
      </c>
      <c r="D1302">
        <v>1678</v>
      </c>
      <c r="E1302">
        <v>10000</v>
      </c>
      <c r="F1302" t="s">
        <v>68</v>
      </c>
      <c r="G1302" t="s">
        <v>107</v>
      </c>
      <c r="H1302" t="s">
        <v>108</v>
      </c>
      <c r="I1302" t="s">
        <v>105</v>
      </c>
      <c r="J1302">
        <v>0</v>
      </c>
      <c r="K1302">
        <v>45400.517222222225</v>
      </c>
      <c r="L1302">
        <v>70000</v>
      </c>
      <c r="O1302">
        <v>1200</v>
      </c>
      <c r="P1302">
        <v>8</v>
      </c>
      <c r="Q1302">
        <v>400.00000000000068</v>
      </c>
    </row>
    <row r="1303" spans="2:22" x14ac:dyDescent="0.25">
      <c r="B1303">
        <v>4</v>
      </c>
      <c r="C1303">
        <v>41220347</v>
      </c>
      <c r="D1303">
        <v>1678</v>
      </c>
      <c r="E1303">
        <v>500</v>
      </c>
      <c r="F1303" t="s">
        <v>68</v>
      </c>
      <c r="G1303" t="s">
        <v>115</v>
      </c>
      <c r="H1303" t="s">
        <v>116</v>
      </c>
      <c r="I1303" t="s">
        <v>105</v>
      </c>
      <c r="J1303">
        <v>0</v>
      </c>
      <c r="K1303">
        <v>45400.517233796294</v>
      </c>
      <c r="L1303">
        <v>5150</v>
      </c>
      <c r="O1303">
        <v>1200</v>
      </c>
      <c r="P1303">
        <v>0</v>
      </c>
      <c r="Q1303">
        <v>500</v>
      </c>
    </row>
    <row r="1304" spans="2:22" x14ac:dyDescent="0.25">
      <c r="B1304">
        <v>4</v>
      </c>
      <c r="C1304">
        <v>41220347</v>
      </c>
      <c r="D1304">
        <v>1678</v>
      </c>
      <c r="E1304">
        <v>100</v>
      </c>
      <c r="F1304" t="s">
        <v>68</v>
      </c>
      <c r="G1304" t="s">
        <v>151</v>
      </c>
      <c r="H1304" t="s">
        <v>152</v>
      </c>
      <c r="I1304" t="s">
        <v>105</v>
      </c>
      <c r="J1304">
        <v>0</v>
      </c>
      <c r="K1304">
        <v>45400.517245370371</v>
      </c>
      <c r="L1304">
        <v>1686</v>
      </c>
      <c r="O1304">
        <v>200</v>
      </c>
      <c r="P1304">
        <v>0</v>
      </c>
      <c r="Q1304">
        <v>100</v>
      </c>
    </row>
    <row r="1305" spans="2:22" x14ac:dyDescent="0.25">
      <c r="B1305">
        <v>4</v>
      </c>
      <c r="C1305">
        <v>41220789</v>
      </c>
      <c r="D1305" t="s">
        <v>637</v>
      </c>
      <c r="E1305">
        <v>12000</v>
      </c>
      <c r="F1305" t="s">
        <v>68</v>
      </c>
      <c r="G1305" t="s">
        <v>103</v>
      </c>
      <c r="H1305" t="s">
        <v>104</v>
      </c>
      <c r="I1305" t="s">
        <v>105</v>
      </c>
      <c r="J1305">
        <v>0</v>
      </c>
      <c r="K1305">
        <v>45400.517256944448</v>
      </c>
      <c r="L1305">
        <v>48000</v>
      </c>
      <c r="O1305">
        <v>2400</v>
      </c>
      <c r="P1305">
        <v>5</v>
      </c>
      <c r="Q1305">
        <v>0</v>
      </c>
      <c r="V1305" t="s">
        <v>566</v>
      </c>
    </row>
    <row r="1306" spans="2:22" x14ac:dyDescent="0.25">
      <c r="B1306">
        <v>4</v>
      </c>
      <c r="C1306">
        <v>41219425</v>
      </c>
      <c r="D1306" t="s">
        <v>638</v>
      </c>
      <c r="E1306">
        <v>10000</v>
      </c>
      <c r="F1306" t="s">
        <v>68</v>
      </c>
      <c r="G1306" t="s">
        <v>123</v>
      </c>
      <c r="H1306" t="s">
        <v>124</v>
      </c>
      <c r="I1306" t="s">
        <v>105</v>
      </c>
      <c r="J1306">
        <v>0</v>
      </c>
      <c r="K1306">
        <v>45400.517280092594</v>
      </c>
      <c r="L1306">
        <v>86500</v>
      </c>
      <c r="O1306">
        <v>2400</v>
      </c>
      <c r="P1306">
        <v>4</v>
      </c>
      <c r="Q1306">
        <v>400.00000000000068</v>
      </c>
    </row>
    <row r="1307" spans="2:22" x14ac:dyDescent="0.25">
      <c r="B1307">
        <v>6</v>
      </c>
      <c r="C1307">
        <v>41219432</v>
      </c>
      <c r="D1307" t="s">
        <v>639</v>
      </c>
      <c r="E1307">
        <v>5000</v>
      </c>
      <c r="F1307" t="s">
        <v>68</v>
      </c>
      <c r="G1307" t="s">
        <v>107</v>
      </c>
      <c r="H1307" t="s">
        <v>108</v>
      </c>
      <c r="I1307" t="s">
        <v>105</v>
      </c>
      <c r="J1307">
        <v>0</v>
      </c>
      <c r="K1307">
        <v>45400.778668981482</v>
      </c>
      <c r="L1307">
        <v>65000</v>
      </c>
      <c r="O1307">
        <v>1200</v>
      </c>
      <c r="P1307">
        <v>4</v>
      </c>
      <c r="Q1307">
        <v>200.00000000000034</v>
      </c>
    </row>
    <row r="1308" spans="2:22" x14ac:dyDescent="0.25">
      <c r="B1308">
        <v>6</v>
      </c>
      <c r="C1308">
        <v>41219002</v>
      </c>
      <c r="D1308" t="s">
        <v>640</v>
      </c>
      <c r="E1308">
        <v>200</v>
      </c>
      <c r="F1308" t="s">
        <v>68</v>
      </c>
      <c r="G1308" t="s">
        <v>166</v>
      </c>
      <c r="H1308" t="s">
        <v>167</v>
      </c>
      <c r="J1308">
        <v>0</v>
      </c>
      <c r="K1308">
        <v>45400.778715277775</v>
      </c>
      <c r="L1308">
        <v>132</v>
      </c>
      <c r="O1308">
        <v>4</v>
      </c>
      <c r="P1308">
        <v>50</v>
      </c>
      <c r="Q1308">
        <v>0</v>
      </c>
    </row>
    <row r="1309" spans="2:22" x14ac:dyDescent="0.25">
      <c r="B1309">
        <v>6</v>
      </c>
      <c r="C1309">
        <v>41220007</v>
      </c>
      <c r="D1309" t="s">
        <v>641</v>
      </c>
      <c r="E1309">
        <v>40</v>
      </c>
      <c r="F1309" t="s">
        <v>127</v>
      </c>
      <c r="G1309" t="s">
        <v>131</v>
      </c>
      <c r="H1309" t="s">
        <v>132</v>
      </c>
      <c r="I1309" t="s">
        <v>130</v>
      </c>
      <c r="J1309">
        <v>0</v>
      </c>
      <c r="K1309">
        <v>45401.465462962966</v>
      </c>
      <c r="L1309">
        <v>3550</v>
      </c>
      <c r="O1309">
        <v>10</v>
      </c>
      <c r="P1309">
        <v>4</v>
      </c>
      <c r="Q1309">
        <v>0</v>
      </c>
    </row>
    <row r="1310" spans="2:22" x14ac:dyDescent="0.25">
      <c r="B1310">
        <v>6</v>
      </c>
      <c r="C1310">
        <v>41219377</v>
      </c>
      <c r="D1310" t="s">
        <v>642</v>
      </c>
      <c r="E1310">
        <v>1000</v>
      </c>
      <c r="F1310" t="s">
        <v>68</v>
      </c>
      <c r="G1310" t="s">
        <v>163</v>
      </c>
      <c r="H1310" t="s">
        <v>164</v>
      </c>
      <c r="I1310" t="s">
        <v>165</v>
      </c>
      <c r="J1310">
        <v>0</v>
      </c>
      <c r="K1310">
        <v>45401.465532407405</v>
      </c>
      <c r="L1310">
        <v>5332</v>
      </c>
      <c r="O1310">
        <v>12</v>
      </c>
      <c r="P1310">
        <v>83</v>
      </c>
      <c r="Q1310">
        <v>3.9999999999999432</v>
      </c>
    </row>
    <row r="1311" spans="2:22" x14ac:dyDescent="0.25">
      <c r="B1311">
        <v>4</v>
      </c>
      <c r="C1311">
        <v>41220789</v>
      </c>
      <c r="D1311" t="s">
        <v>643</v>
      </c>
      <c r="E1311">
        <v>24000</v>
      </c>
      <c r="F1311" t="s">
        <v>68</v>
      </c>
      <c r="G1311" t="s">
        <v>103</v>
      </c>
      <c r="H1311" t="s">
        <v>104</v>
      </c>
      <c r="I1311" t="s">
        <v>105</v>
      </c>
      <c r="J1311">
        <v>0</v>
      </c>
      <c r="K1311">
        <v>45404.63071759259</v>
      </c>
      <c r="L1311">
        <v>24000</v>
      </c>
      <c r="O1311">
        <v>2400</v>
      </c>
      <c r="P1311">
        <v>10</v>
      </c>
      <c r="Q1311">
        <v>0</v>
      </c>
      <c r="V1311" t="s">
        <v>566</v>
      </c>
    </row>
    <row r="1312" spans="2:22" x14ac:dyDescent="0.25">
      <c r="B1312">
        <v>4</v>
      </c>
      <c r="C1312">
        <v>41220883</v>
      </c>
      <c r="D1312" t="s">
        <v>644</v>
      </c>
      <c r="E1312">
        <v>20</v>
      </c>
      <c r="F1312" t="s">
        <v>68</v>
      </c>
      <c r="G1312" t="s">
        <v>482</v>
      </c>
      <c r="H1312" t="s">
        <v>148</v>
      </c>
      <c r="I1312" t="s">
        <v>144</v>
      </c>
      <c r="J1312">
        <v>0</v>
      </c>
      <c r="K1312">
        <v>45404.353935185187</v>
      </c>
      <c r="L1312">
        <v>97</v>
      </c>
      <c r="O1312">
        <v>24</v>
      </c>
      <c r="P1312">
        <v>0</v>
      </c>
      <c r="Q1312">
        <v>20</v>
      </c>
    </row>
    <row r="1313" spans="2:22" x14ac:dyDescent="0.25">
      <c r="B1313">
        <v>6</v>
      </c>
      <c r="C1313">
        <v>41220007</v>
      </c>
      <c r="D1313" t="s">
        <v>645</v>
      </c>
      <c r="E1313">
        <v>40</v>
      </c>
      <c r="F1313" t="s">
        <v>127</v>
      </c>
      <c r="G1313" t="s">
        <v>131</v>
      </c>
      <c r="H1313" t="s">
        <v>132</v>
      </c>
      <c r="I1313" t="s">
        <v>130</v>
      </c>
      <c r="J1313">
        <v>0</v>
      </c>
      <c r="K1313">
        <v>45404.895937499998</v>
      </c>
      <c r="L1313">
        <v>3510</v>
      </c>
      <c r="O1313">
        <v>10</v>
      </c>
      <c r="P1313">
        <v>4</v>
      </c>
      <c r="Q1313">
        <v>0</v>
      </c>
    </row>
    <row r="1314" spans="2:22" x14ac:dyDescent="0.25">
      <c r="B1314">
        <v>6</v>
      </c>
      <c r="C1314">
        <v>41219432</v>
      </c>
      <c r="D1314" t="s">
        <v>646</v>
      </c>
      <c r="E1314">
        <v>4400</v>
      </c>
      <c r="F1314" t="s">
        <v>68</v>
      </c>
      <c r="G1314" t="s">
        <v>170</v>
      </c>
      <c r="H1314" t="s">
        <v>171</v>
      </c>
      <c r="I1314" t="s">
        <v>105</v>
      </c>
      <c r="J1314">
        <v>0</v>
      </c>
      <c r="K1314">
        <v>45404.896226851852</v>
      </c>
      <c r="L1314">
        <v>12400</v>
      </c>
      <c r="O1314">
        <v>2400</v>
      </c>
      <c r="P1314">
        <v>1</v>
      </c>
      <c r="Q1314">
        <v>1999.9999999999998</v>
      </c>
    </row>
    <row r="1315" spans="2:22" x14ac:dyDescent="0.25">
      <c r="B1315">
        <v>6</v>
      </c>
      <c r="C1315">
        <v>41220882</v>
      </c>
      <c r="D1315" t="s">
        <v>647</v>
      </c>
      <c r="E1315">
        <v>4000</v>
      </c>
      <c r="F1315" t="s">
        <v>68</v>
      </c>
      <c r="G1315" t="s">
        <v>103</v>
      </c>
      <c r="H1315" t="s">
        <v>104</v>
      </c>
      <c r="I1315" t="s">
        <v>105</v>
      </c>
      <c r="J1315">
        <v>0</v>
      </c>
      <c r="K1315">
        <v>45404.896238425928</v>
      </c>
      <c r="L1315">
        <v>20000</v>
      </c>
      <c r="O1315">
        <v>2400</v>
      </c>
      <c r="P1315">
        <v>1</v>
      </c>
      <c r="Q1315">
        <v>1600.0000000000002</v>
      </c>
      <c r="V1315" t="s">
        <v>566</v>
      </c>
    </row>
    <row r="1316" spans="2:22" x14ac:dyDescent="0.25">
      <c r="B1316">
        <v>6</v>
      </c>
      <c r="C1316">
        <v>41219872</v>
      </c>
      <c r="D1316" t="s">
        <v>648</v>
      </c>
      <c r="E1316">
        <v>90</v>
      </c>
      <c r="F1316" t="s">
        <v>68</v>
      </c>
      <c r="G1316" t="s">
        <v>151</v>
      </c>
      <c r="H1316" t="s">
        <v>152</v>
      </c>
      <c r="I1316" t="s">
        <v>105</v>
      </c>
      <c r="J1316">
        <v>0</v>
      </c>
      <c r="K1316">
        <v>45404.896261574075</v>
      </c>
      <c r="L1316">
        <v>1596</v>
      </c>
      <c r="O1316">
        <v>200</v>
      </c>
      <c r="P1316">
        <v>0</v>
      </c>
      <c r="Q1316">
        <v>90</v>
      </c>
    </row>
    <row r="1317" spans="2:22" x14ac:dyDescent="0.25">
      <c r="B1317">
        <v>6</v>
      </c>
      <c r="C1317">
        <v>41219002</v>
      </c>
      <c r="D1317" t="s">
        <v>649</v>
      </c>
      <c r="E1317">
        <v>2000</v>
      </c>
      <c r="F1317" t="s">
        <v>68</v>
      </c>
      <c r="G1317" t="s">
        <v>355</v>
      </c>
      <c r="H1317" t="s">
        <v>149</v>
      </c>
      <c r="I1317" t="s">
        <v>144</v>
      </c>
      <c r="J1317">
        <v>0</v>
      </c>
      <c r="K1317">
        <v>45404.896273148152</v>
      </c>
      <c r="L1317">
        <v>6400</v>
      </c>
      <c r="O1317">
        <v>60</v>
      </c>
      <c r="P1317">
        <v>33</v>
      </c>
      <c r="Q1317">
        <v>20.000000000000142</v>
      </c>
      <c r="V1317" t="s">
        <v>650</v>
      </c>
    </row>
    <row r="1318" spans="2:22" x14ac:dyDescent="0.25">
      <c r="B1318">
        <v>6</v>
      </c>
      <c r="C1318">
        <v>41219002</v>
      </c>
      <c r="D1318" t="s">
        <v>651</v>
      </c>
      <c r="E1318">
        <v>2000</v>
      </c>
      <c r="F1318" t="s">
        <v>68</v>
      </c>
      <c r="G1318" t="s">
        <v>355</v>
      </c>
      <c r="H1318" t="s">
        <v>149</v>
      </c>
      <c r="I1318" t="s">
        <v>144</v>
      </c>
      <c r="J1318">
        <v>0</v>
      </c>
      <c r="K1318">
        <v>45406.497349537036</v>
      </c>
      <c r="L1318">
        <v>4400</v>
      </c>
      <c r="O1318">
        <v>60</v>
      </c>
      <c r="P1318">
        <v>33</v>
      </c>
      <c r="Q1318">
        <v>20.000000000000142</v>
      </c>
      <c r="V1318" t="s">
        <v>555</v>
      </c>
    </row>
    <row r="1319" spans="2:22" x14ac:dyDescent="0.25">
      <c r="B1319" t="s">
        <v>652</v>
      </c>
      <c r="E1319">
        <v>1000</v>
      </c>
      <c r="F1319" t="s">
        <v>68</v>
      </c>
      <c r="G1319" t="s">
        <v>153</v>
      </c>
      <c r="H1319" t="s">
        <v>154</v>
      </c>
      <c r="I1319" t="s">
        <v>105</v>
      </c>
      <c r="J1319">
        <v>1</v>
      </c>
      <c r="K1319">
        <v>45405.582719907405</v>
      </c>
      <c r="L1319">
        <v>1400</v>
      </c>
      <c r="M1319" t="s">
        <v>653</v>
      </c>
      <c r="O1319">
        <v>100</v>
      </c>
      <c r="P1319">
        <v>10</v>
      </c>
      <c r="Q1319">
        <v>0</v>
      </c>
    </row>
    <row r="1320" spans="2:22" x14ac:dyDescent="0.25">
      <c r="B1320">
        <v>81147</v>
      </c>
      <c r="E1320">
        <v>1000</v>
      </c>
      <c r="F1320" t="s">
        <v>68</v>
      </c>
      <c r="G1320" t="s">
        <v>146</v>
      </c>
      <c r="H1320" t="s">
        <v>147</v>
      </c>
      <c r="I1320" t="s">
        <v>144</v>
      </c>
      <c r="J1320">
        <v>1</v>
      </c>
      <c r="K1320">
        <v>45405.582812499997</v>
      </c>
      <c r="L1320">
        <v>5617</v>
      </c>
      <c r="M1320" t="s">
        <v>653</v>
      </c>
      <c r="O1320">
        <v>440</v>
      </c>
      <c r="P1320">
        <v>2</v>
      </c>
      <c r="Q1320">
        <v>120.00000000000009</v>
      </c>
    </row>
    <row r="1321" spans="2:22" x14ac:dyDescent="0.25">
      <c r="B1321">
        <v>81207</v>
      </c>
      <c r="E1321">
        <v>2000</v>
      </c>
      <c r="F1321" t="s">
        <v>68</v>
      </c>
      <c r="G1321" t="s">
        <v>201</v>
      </c>
      <c r="H1321" t="s">
        <v>202</v>
      </c>
      <c r="I1321" t="s">
        <v>144</v>
      </c>
      <c r="J1321">
        <v>1</v>
      </c>
      <c r="K1321">
        <v>45405.582858796297</v>
      </c>
      <c r="L1321">
        <v>2000</v>
      </c>
      <c r="M1321" t="s">
        <v>653</v>
      </c>
      <c r="O1321">
        <v>100</v>
      </c>
      <c r="P1321">
        <v>20</v>
      </c>
      <c r="Q1321">
        <v>0</v>
      </c>
    </row>
    <row r="1322" spans="2:22" x14ac:dyDescent="0.25">
      <c r="B1322">
        <v>6</v>
      </c>
      <c r="C1322">
        <v>41220289</v>
      </c>
      <c r="D1322" t="s">
        <v>654</v>
      </c>
      <c r="E1322">
        <v>110</v>
      </c>
      <c r="F1322" t="s">
        <v>68</v>
      </c>
      <c r="G1322" t="s">
        <v>483</v>
      </c>
      <c r="H1322" t="s">
        <v>150</v>
      </c>
      <c r="I1322" t="s">
        <v>144</v>
      </c>
      <c r="J1322">
        <v>0</v>
      </c>
      <c r="K1322">
        <v>45405.787638888891</v>
      </c>
      <c r="L1322">
        <v>234</v>
      </c>
      <c r="O1322">
        <v>4</v>
      </c>
      <c r="P1322">
        <v>27</v>
      </c>
      <c r="Q1322">
        <v>2</v>
      </c>
    </row>
    <row r="1323" spans="2:22" x14ac:dyDescent="0.25">
      <c r="B1323">
        <v>6</v>
      </c>
      <c r="C1323">
        <v>41220007</v>
      </c>
      <c r="D1323" t="s">
        <v>655</v>
      </c>
      <c r="E1323">
        <v>40</v>
      </c>
      <c r="F1323" t="s">
        <v>127</v>
      </c>
      <c r="G1323" t="s">
        <v>131</v>
      </c>
      <c r="H1323" t="s">
        <v>132</v>
      </c>
      <c r="I1323" t="s">
        <v>130</v>
      </c>
      <c r="J1323">
        <v>0</v>
      </c>
      <c r="K1323">
        <v>45405.787673611114</v>
      </c>
      <c r="L1323">
        <v>3470</v>
      </c>
      <c r="O1323">
        <v>10</v>
      </c>
      <c r="P1323">
        <v>4</v>
      </c>
      <c r="Q1323">
        <v>0</v>
      </c>
    </row>
    <row r="1324" spans="2:22" x14ac:dyDescent="0.25">
      <c r="B1324">
        <v>6</v>
      </c>
      <c r="C1324">
        <v>41220839</v>
      </c>
      <c r="D1324" t="s">
        <v>656</v>
      </c>
      <c r="E1324">
        <v>1000</v>
      </c>
      <c r="F1324" t="s">
        <v>68</v>
      </c>
      <c r="G1324" t="s">
        <v>119</v>
      </c>
      <c r="H1324" t="s">
        <v>120</v>
      </c>
      <c r="I1324" t="s">
        <v>105</v>
      </c>
      <c r="J1324">
        <v>0</v>
      </c>
      <c r="K1324">
        <v>45405.78769675926</v>
      </c>
      <c r="L1324">
        <v>23800</v>
      </c>
      <c r="O1324">
        <v>2400</v>
      </c>
      <c r="P1324">
        <v>0</v>
      </c>
      <c r="Q1324">
        <v>1000</v>
      </c>
    </row>
    <row r="1325" spans="2:22" x14ac:dyDescent="0.25">
      <c r="B1325">
        <v>10146</v>
      </c>
      <c r="E1325">
        <v>3024</v>
      </c>
      <c r="F1325" t="s">
        <v>68</v>
      </c>
      <c r="G1325" t="s">
        <v>159</v>
      </c>
      <c r="H1325" t="s">
        <v>556</v>
      </c>
      <c r="I1325" t="s">
        <v>161</v>
      </c>
      <c r="J1325">
        <v>1</v>
      </c>
      <c r="K1325">
        <v>45406.413958333331</v>
      </c>
      <c r="L1325">
        <v>4668</v>
      </c>
      <c r="M1325" t="s">
        <v>657</v>
      </c>
      <c r="O1325">
        <v>36</v>
      </c>
      <c r="P1325">
        <v>84</v>
      </c>
      <c r="Q1325">
        <v>0</v>
      </c>
    </row>
    <row r="1326" spans="2:22" x14ac:dyDescent="0.25">
      <c r="B1326">
        <v>4</v>
      </c>
      <c r="C1326">
        <v>41220317</v>
      </c>
      <c r="D1326" t="s">
        <v>658</v>
      </c>
      <c r="E1326">
        <v>36</v>
      </c>
      <c r="F1326" t="s">
        <v>68</v>
      </c>
      <c r="G1326" t="s">
        <v>166</v>
      </c>
      <c r="H1326" t="s">
        <v>167</v>
      </c>
      <c r="J1326">
        <v>0</v>
      </c>
      <c r="K1326">
        <v>45407.469143518516</v>
      </c>
      <c r="L1326">
        <v>96</v>
      </c>
      <c r="O1326">
        <v>4</v>
      </c>
      <c r="P1326">
        <v>9</v>
      </c>
      <c r="Q1326">
        <v>0</v>
      </c>
    </row>
    <row r="1327" spans="2:22" x14ac:dyDescent="0.25">
      <c r="B1327">
        <v>4</v>
      </c>
      <c r="C1327">
        <v>41218860</v>
      </c>
      <c r="D1327" t="s">
        <v>659</v>
      </c>
      <c r="E1327">
        <v>200</v>
      </c>
      <c r="F1327" t="s">
        <v>68</v>
      </c>
      <c r="G1327" t="s">
        <v>201</v>
      </c>
      <c r="H1327" t="s">
        <v>202</v>
      </c>
      <c r="I1327" t="s">
        <v>144</v>
      </c>
      <c r="J1327">
        <v>0</v>
      </c>
      <c r="K1327">
        <v>45407.469189814816</v>
      </c>
      <c r="L1327">
        <v>1800</v>
      </c>
      <c r="O1327">
        <v>100</v>
      </c>
      <c r="P1327">
        <v>2</v>
      </c>
      <c r="Q1327">
        <v>0</v>
      </c>
    </row>
    <row r="1328" spans="2:22" x14ac:dyDescent="0.25">
      <c r="B1328">
        <v>4</v>
      </c>
      <c r="C1328">
        <v>41220335</v>
      </c>
      <c r="D1328" t="s">
        <v>660</v>
      </c>
      <c r="E1328">
        <v>240</v>
      </c>
      <c r="F1328" t="s">
        <v>68</v>
      </c>
      <c r="G1328" t="s">
        <v>159</v>
      </c>
      <c r="H1328" t="s">
        <v>556</v>
      </c>
      <c r="I1328" t="s">
        <v>161</v>
      </c>
      <c r="J1328">
        <v>0</v>
      </c>
      <c r="K1328">
        <v>45407.469201388885</v>
      </c>
      <c r="L1328">
        <v>4428</v>
      </c>
      <c r="O1328">
        <v>36</v>
      </c>
      <c r="P1328">
        <v>6</v>
      </c>
      <c r="Q1328">
        <v>24.000000000000011</v>
      </c>
    </row>
    <row r="1329" spans="2:22" x14ac:dyDescent="0.25">
      <c r="B1329">
        <v>4</v>
      </c>
      <c r="C1329">
        <v>41219252</v>
      </c>
      <c r="D1329" t="s">
        <v>661</v>
      </c>
      <c r="E1329">
        <v>500</v>
      </c>
      <c r="F1329" t="s">
        <v>68</v>
      </c>
      <c r="G1329" t="s">
        <v>146</v>
      </c>
      <c r="H1329" t="s">
        <v>147</v>
      </c>
      <c r="I1329" t="s">
        <v>144</v>
      </c>
      <c r="J1329">
        <v>0</v>
      </c>
      <c r="K1329">
        <v>45407.469201388885</v>
      </c>
      <c r="L1329">
        <v>5117</v>
      </c>
      <c r="O1329">
        <v>440</v>
      </c>
      <c r="P1329">
        <v>1</v>
      </c>
      <c r="Q1329">
        <v>60.000000000000043</v>
      </c>
    </row>
    <row r="1330" spans="2:22" x14ac:dyDescent="0.25">
      <c r="B1330">
        <v>4</v>
      </c>
      <c r="C1330">
        <v>41220338</v>
      </c>
      <c r="D1330" t="s">
        <v>662</v>
      </c>
      <c r="E1330">
        <v>300</v>
      </c>
      <c r="F1330" t="s">
        <v>68</v>
      </c>
      <c r="G1330" t="s">
        <v>163</v>
      </c>
      <c r="H1330" t="s">
        <v>164</v>
      </c>
      <c r="I1330" t="s">
        <v>165</v>
      </c>
      <c r="J1330">
        <v>0</v>
      </c>
      <c r="K1330">
        <v>45407.469212962962</v>
      </c>
      <c r="L1330">
        <v>5032</v>
      </c>
      <c r="O1330">
        <v>12</v>
      </c>
      <c r="P1330">
        <v>25</v>
      </c>
      <c r="Q1330">
        <v>0</v>
      </c>
    </row>
    <row r="1331" spans="2:22" x14ac:dyDescent="0.25">
      <c r="B1331">
        <v>4</v>
      </c>
      <c r="C1331">
        <v>41220910</v>
      </c>
      <c r="D1331" t="s">
        <v>663</v>
      </c>
      <c r="E1331">
        <v>12</v>
      </c>
      <c r="F1331" t="s">
        <v>68</v>
      </c>
      <c r="G1331" t="s">
        <v>483</v>
      </c>
      <c r="H1331" t="s">
        <v>150</v>
      </c>
      <c r="I1331" t="s">
        <v>144</v>
      </c>
      <c r="J1331">
        <v>0</v>
      </c>
      <c r="K1331">
        <v>45407.469224537039</v>
      </c>
      <c r="L1331">
        <v>222</v>
      </c>
      <c r="O1331">
        <v>4</v>
      </c>
      <c r="P1331">
        <v>3</v>
      </c>
      <c r="Q1331">
        <v>0</v>
      </c>
    </row>
    <row r="1332" spans="2:22" x14ac:dyDescent="0.25">
      <c r="B1332">
        <v>4</v>
      </c>
      <c r="C1332">
        <v>41218896</v>
      </c>
      <c r="D1332" t="s">
        <v>664</v>
      </c>
      <c r="E1332">
        <v>8</v>
      </c>
      <c r="F1332" t="s">
        <v>68</v>
      </c>
      <c r="G1332" t="s">
        <v>482</v>
      </c>
      <c r="H1332" t="s">
        <v>148</v>
      </c>
      <c r="I1332" t="s">
        <v>144</v>
      </c>
      <c r="J1332">
        <v>0</v>
      </c>
      <c r="K1332">
        <v>45407.469224537039</v>
      </c>
      <c r="L1332">
        <v>89</v>
      </c>
      <c r="O1332">
        <v>24</v>
      </c>
      <c r="P1332">
        <v>0</v>
      </c>
      <c r="Q1332">
        <v>8</v>
      </c>
    </row>
    <row r="1333" spans="2:22" x14ac:dyDescent="0.25">
      <c r="B1333">
        <v>4</v>
      </c>
      <c r="C1333">
        <v>41220788</v>
      </c>
      <c r="D1333" t="s">
        <v>665</v>
      </c>
      <c r="E1333">
        <v>120</v>
      </c>
      <c r="F1333" t="s">
        <v>68</v>
      </c>
      <c r="G1333" t="s">
        <v>485</v>
      </c>
      <c r="H1333" t="s">
        <v>178</v>
      </c>
      <c r="I1333" t="s">
        <v>144</v>
      </c>
      <c r="J1333">
        <v>0</v>
      </c>
      <c r="K1333">
        <v>45407.469247685185</v>
      </c>
      <c r="L1333">
        <v>1680</v>
      </c>
      <c r="O1333">
        <v>100</v>
      </c>
      <c r="P1333">
        <v>1</v>
      </c>
      <c r="Q1333">
        <v>19.999999999999996</v>
      </c>
      <c r="V1333" t="s">
        <v>535</v>
      </c>
    </row>
    <row r="1334" spans="2:22" x14ac:dyDescent="0.25">
      <c r="B1334">
        <v>4</v>
      </c>
      <c r="C1334">
        <v>41220788</v>
      </c>
      <c r="D1334">
        <v>632</v>
      </c>
      <c r="E1334">
        <v>288</v>
      </c>
      <c r="F1334" t="s">
        <v>135</v>
      </c>
      <c r="G1334" t="s">
        <v>140</v>
      </c>
      <c r="H1334" t="s">
        <v>137</v>
      </c>
      <c r="I1334" t="s">
        <v>138</v>
      </c>
      <c r="J1334">
        <v>0</v>
      </c>
      <c r="K1334">
        <v>45407.469247685185</v>
      </c>
      <c r="L1334">
        <v>3456</v>
      </c>
      <c r="O1334">
        <v>144</v>
      </c>
      <c r="P1334">
        <v>2</v>
      </c>
      <c r="Q1334">
        <v>0</v>
      </c>
    </row>
    <row r="1335" spans="2:22" x14ac:dyDescent="0.25">
      <c r="B1335">
        <v>4</v>
      </c>
      <c r="C1335">
        <v>41220345</v>
      </c>
      <c r="D1335" t="s">
        <v>666</v>
      </c>
      <c r="E1335">
        <v>180</v>
      </c>
      <c r="F1335" t="s">
        <v>127</v>
      </c>
      <c r="G1335" t="s">
        <v>133</v>
      </c>
      <c r="H1335" t="s">
        <v>134</v>
      </c>
      <c r="I1335" t="s">
        <v>130</v>
      </c>
      <c r="J1335">
        <v>0</v>
      </c>
      <c r="K1335">
        <v>45407.469259259262</v>
      </c>
      <c r="L1335">
        <v>200</v>
      </c>
      <c r="O1335">
        <v>10</v>
      </c>
      <c r="P1335">
        <v>18</v>
      </c>
      <c r="Q1335">
        <v>0</v>
      </c>
    </row>
    <row r="1336" spans="2:22" x14ac:dyDescent="0.25">
      <c r="B1336">
        <v>4</v>
      </c>
      <c r="C1336">
        <v>41219951</v>
      </c>
      <c r="D1336" t="s">
        <v>667</v>
      </c>
      <c r="E1336">
        <v>200</v>
      </c>
      <c r="F1336" t="s">
        <v>68</v>
      </c>
      <c r="G1336" t="s">
        <v>153</v>
      </c>
      <c r="H1336" t="s">
        <v>154</v>
      </c>
      <c r="I1336" t="s">
        <v>105</v>
      </c>
      <c r="J1336">
        <v>0</v>
      </c>
      <c r="K1336">
        <v>45407.469259259262</v>
      </c>
      <c r="L1336">
        <v>1200</v>
      </c>
      <c r="O1336">
        <v>100</v>
      </c>
      <c r="P1336">
        <v>2</v>
      </c>
      <c r="Q1336">
        <v>0</v>
      </c>
    </row>
    <row r="1337" spans="2:22" x14ac:dyDescent="0.25">
      <c r="B1337">
        <v>4</v>
      </c>
      <c r="C1337">
        <v>41220347</v>
      </c>
      <c r="D1337" t="s">
        <v>668</v>
      </c>
      <c r="E1337">
        <v>12000</v>
      </c>
      <c r="F1337" t="s">
        <v>68</v>
      </c>
      <c r="G1337" t="s">
        <v>107</v>
      </c>
      <c r="H1337" t="s">
        <v>108</v>
      </c>
      <c r="I1337" t="s">
        <v>105</v>
      </c>
      <c r="J1337">
        <v>0</v>
      </c>
      <c r="K1337">
        <v>45407.469270833331</v>
      </c>
      <c r="L1337">
        <v>53000</v>
      </c>
      <c r="O1337">
        <v>1200</v>
      </c>
      <c r="P1337">
        <v>10</v>
      </c>
      <c r="Q1337">
        <v>0</v>
      </c>
    </row>
    <row r="1338" spans="2:22" x14ac:dyDescent="0.25">
      <c r="B1338">
        <v>4</v>
      </c>
      <c r="C1338">
        <v>41220347</v>
      </c>
      <c r="D1338">
        <v>635</v>
      </c>
      <c r="E1338">
        <v>1000</v>
      </c>
      <c r="F1338" t="s">
        <v>68</v>
      </c>
      <c r="G1338" t="s">
        <v>121</v>
      </c>
      <c r="H1338" t="s">
        <v>122</v>
      </c>
      <c r="I1338" t="s">
        <v>105</v>
      </c>
      <c r="J1338">
        <v>0</v>
      </c>
      <c r="K1338">
        <v>45407.469293981485</v>
      </c>
      <c r="L1338">
        <v>27800</v>
      </c>
      <c r="O1338">
        <v>3000</v>
      </c>
      <c r="P1338">
        <v>0</v>
      </c>
      <c r="Q1338">
        <v>1000</v>
      </c>
    </row>
    <row r="1339" spans="2:22" x14ac:dyDescent="0.25">
      <c r="B1339">
        <v>4</v>
      </c>
      <c r="C1339">
        <v>41220347</v>
      </c>
      <c r="D1339">
        <v>635</v>
      </c>
      <c r="E1339">
        <v>500</v>
      </c>
      <c r="F1339" t="s">
        <v>68</v>
      </c>
      <c r="G1339" t="s">
        <v>115</v>
      </c>
      <c r="H1339" t="s">
        <v>116</v>
      </c>
      <c r="I1339" t="s">
        <v>105</v>
      </c>
      <c r="J1339">
        <v>0</v>
      </c>
      <c r="K1339">
        <v>45407.469305555554</v>
      </c>
      <c r="L1339">
        <v>4650</v>
      </c>
      <c r="O1339">
        <v>1200</v>
      </c>
      <c r="P1339">
        <v>0</v>
      </c>
      <c r="Q1339">
        <v>500</v>
      </c>
    </row>
    <row r="1340" spans="2:22" x14ac:dyDescent="0.25">
      <c r="B1340">
        <v>4</v>
      </c>
      <c r="C1340">
        <v>41220347</v>
      </c>
      <c r="D1340">
        <v>635</v>
      </c>
      <c r="E1340">
        <v>100</v>
      </c>
      <c r="F1340" t="s">
        <v>68</v>
      </c>
      <c r="G1340" t="s">
        <v>151</v>
      </c>
      <c r="H1340" t="s">
        <v>152</v>
      </c>
      <c r="I1340" t="s">
        <v>105</v>
      </c>
      <c r="J1340">
        <v>0</v>
      </c>
      <c r="K1340">
        <v>45407.469317129631</v>
      </c>
      <c r="L1340">
        <v>1496</v>
      </c>
      <c r="O1340">
        <v>200</v>
      </c>
      <c r="P1340">
        <v>0</v>
      </c>
      <c r="Q1340">
        <v>100</v>
      </c>
    </row>
    <row r="1341" spans="2:22" x14ac:dyDescent="0.25">
      <c r="B1341">
        <v>4</v>
      </c>
      <c r="C1341">
        <v>41220789</v>
      </c>
      <c r="D1341" t="s">
        <v>669</v>
      </c>
      <c r="E1341">
        <v>12000</v>
      </c>
      <c r="F1341" t="s">
        <v>68</v>
      </c>
      <c r="G1341" t="s">
        <v>103</v>
      </c>
      <c r="H1341" t="s">
        <v>104</v>
      </c>
      <c r="I1341" t="s">
        <v>105</v>
      </c>
      <c r="J1341">
        <v>0</v>
      </c>
      <c r="K1341">
        <v>45407.469328703701</v>
      </c>
      <c r="L1341">
        <v>8000</v>
      </c>
      <c r="O1341">
        <v>2400</v>
      </c>
      <c r="P1341">
        <v>5</v>
      </c>
      <c r="Q1341">
        <v>0</v>
      </c>
      <c r="V1341" t="s">
        <v>566</v>
      </c>
    </row>
    <row r="1342" spans="2:22" x14ac:dyDescent="0.25">
      <c r="B1342">
        <v>4</v>
      </c>
      <c r="C1342">
        <v>41219425</v>
      </c>
      <c r="D1342" t="s">
        <v>670</v>
      </c>
      <c r="E1342">
        <v>10000</v>
      </c>
      <c r="F1342" t="s">
        <v>68</v>
      </c>
      <c r="G1342" t="s">
        <v>123</v>
      </c>
      <c r="H1342" t="s">
        <v>124</v>
      </c>
      <c r="I1342" t="s">
        <v>105</v>
      </c>
      <c r="J1342">
        <v>0</v>
      </c>
      <c r="K1342">
        <v>45407.469340277778</v>
      </c>
      <c r="L1342">
        <v>76500</v>
      </c>
      <c r="O1342">
        <v>2400</v>
      </c>
      <c r="P1342">
        <v>4</v>
      </c>
      <c r="Q1342">
        <v>400.00000000000068</v>
      </c>
    </row>
    <row r="1343" spans="2:22" x14ac:dyDescent="0.25">
      <c r="B1343" t="s">
        <v>671</v>
      </c>
      <c r="E1343">
        <v>200</v>
      </c>
      <c r="F1343" t="s">
        <v>127</v>
      </c>
      <c r="G1343" t="s">
        <v>128</v>
      </c>
      <c r="H1343" t="s">
        <v>129</v>
      </c>
      <c r="I1343" t="s">
        <v>130</v>
      </c>
      <c r="J1343">
        <v>1</v>
      </c>
      <c r="K1343">
        <v>45407.685659722221</v>
      </c>
      <c r="L1343">
        <v>1560</v>
      </c>
      <c r="M1343" t="s">
        <v>672</v>
      </c>
      <c r="O1343">
        <v>10</v>
      </c>
      <c r="P1343">
        <v>20</v>
      </c>
      <c r="Q1343">
        <v>0</v>
      </c>
    </row>
    <row r="1344" spans="2:22" x14ac:dyDescent="0.25">
      <c r="B1344" t="s">
        <v>671</v>
      </c>
      <c r="E1344">
        <v>100</v>
      </c>
      <c r="F1344" t="s">
        <v>127</v>
      </c>
      <c r="G1344" t="s">
        <v>131</v>
      </c>
      <c r="H1344" t="s">
        <v>132</v>
      </c>
      <c r="I1344" t="s">
        <v>130</v>
      </c>
      <c r="J1344">
        <v>1</v>
      </c>
      <c r="K1344">
        <v>45407.685752314814</v>
      </c>
      <c r="L1344">
        <v>3570</v>
      </c>
      <c r="M1344" t="s">
        <v>672</v>
      </c>
      <c r="O1344">
        <v>10</v>
      </c>
      <c r="P1344">
        <v>10</v>
      </c>
      <c r="Q1344">
        <v>0</v>
      </c>
    </row>
    <row r="1345" spans="2:22" x14ac:dyDescent="0.25">
      <c r="B1345" t="s">
        <v>673</v>
      </c>
      <c r="E1345">
        <v>50000</v>
      </c>
      <c r="F1345" t="s">
        <v>68</v>
      </c>
      <c r="G1345" t="s">
        <v>107</v>
      </c>
      <c r="H1345" t="s">
        <v>108</v>
      </c>
      <c r="I1345" t="s">
        <v>105</v>
      </c>
      <c r="J1345">
        <v>1</v>
      </c>
      <c r="K1345">
        <v>45407.685868055552</v>
      </c>
      <c r="L1345">
        <v>103000</v>
      </c>
      <c r="M1345" t="s">
        <v>674</v>
      </c>
      <c r="O1345">
        <v>1200</v>
      </c>
      <c r="P1345">
        <v>41</v>
      </c>
      <c r="Q1345">
        <v>799.99999999999716</v>
      </c>
    </row>
    <row r="1346" spans="2:22" x14ac:dyDescent="0.25">
      <c r="B1346" t="s">
        <v>675</v>
      </c>
      <c r="E1346">
        <v>2000</v>
      </c>
      <c r="F1346" t="s">
        <v>68</v>
      </c>
      <c r="G1346" t="s">
        <v>117</v>
      </c>
      <c r="H1346" t="s">
        <v>118</v>
      </c>
      <c r="I1346" t="s">
        <v>105</v>
      </c>
      <c r="J1346">
        <v>1</v>
      </c>
      <c r="K1346">
        <v>45407.703935185185</v>
      </c>
      <c r="L1346">
        <v>3000</v>
      </c>
      <c r="M1346" t="s">
        <v>676</v>
      </c>
      <c r="O1346">
        <v>3000</v>
      </c>
      <c r="P1346">
        <v>0</v>
      </c>
      <c r="Q1346">
        <v>2000</v>
      </c>
    </row>
    <row r="1347" spans="2:22" x14ac:dyDescent="0.25">
      <c r="B1347" t="s">
        <v>675</v>
      </c>
      <c r="E1347">
        <v>2000</v>
      </c>
      <c r="F1347" t="s">
        <v>68</v>
      </c>
      <c r="G1347" t="s">
        <v>113</v>
      </c>
      <c r="H1347" t="s">
        <v>114</v>
      </c>
      <c r="I1347" t="s">
        <v>105</v>
      </c>
      <c r="J1347">
        <v>1</v>
      </c>
      <c r="K1347">
        <v>45407.704016203701</v>
      </c>
      <c r="L1347">
        <v>3000</v>
      </c>
      <c r="M1347" t="s">
        <v>676</v>
      </c>
      <c r="O1347">
        <v>3000</v>
      </c>
      <c r="P1347">
        <v>0</v>
      </c>
      <c r="Q1347">
        <v>2000</v>
      </c>
    </row>
    <row r="1348" spans="2:22" x14ac:dyDescent="0.25">
      <c r="B1348" t="s">
        <v>675</v>
      </c>
      <c r="E1348">
        <v>8000</v>
      </c>
      <c r="F1348" t="s">
        <v>68</v>
      </c>
      <c r="G1348" t="s">
        <v>170</v>
      </c>
      <c r="H1348" t="s">
        <v>171</v>
      </c>
      <c r="I1348" t="s">
        <v>105</v>
      </c>
      <c r="J1348">
        <v>1</v>
      </c>
      <c r="K1348">
        <v>45407.704074074078</v>
      </c>
      <c r="L1348">
        <v>20400</v>
      </c>
      <c r="M1348" t="s">
        <v>676</v>
      </c>
      <c r="O1348">
        <v>2400</v>
      </c>
      <c r="P1348">
        <v>3</v>
      </c>
      <c r="Q1348">
        <v>800.00000000000034</v>
      </c>
    </row>
    <row r="1349" spans="2:22" x14ac:dyDescent="0.25">
      <c r="B1349" t="s">
        <v>675</v>
      </c>
      <c r="E1349">
        <v>60000</v>
      </c>
      <c r="F1349" t="s">
        <v>68</v>
      </c>
      <c r="G1349" t="s">
        <v>103</v>
      </c>
      <c r="H1349" t="s">
        <v>104</v>
      </c>
      <c r="I1349" t="s">
        <v>105</v>
      </c>
      <c r="J1349">
        <v>1</v>
      </c>
      <c r="K1349">
        <v>45407.704097222224</v>
      </c>
      <c r="L1349">
        <v>68000</v>
      </c>
      <c r="M1349" t="s">
        <v>676</v>
      </c>
      <c r="O1349">
        <v>2400</v>
      </c>
      <c r="P1349">
        <v>25</v>
      </c>
      <c r="Q1349">
        <v>0</v>
      </c>
      <c r="V1349" t="s">
        <v>566</v>
      </c>
    </row>
    <row r="1350" spans="2:22" x14ac:dyDescent="0.25">
      <c r="B1350" t="s">
        <v>671</v>
      </c>
      <c r="C1350" t="s">
        <v>677</v>
      </c>
      <c r="E1350">
        <v>1800</v>
      </c>
      <c r="F1350" t="s">
        <v>127</v>
      </c>
      <c r="G1350" t="s">
        <v>128</v>
      </c>
      <c r="H1350" t="s">
        <v>129</v>
      </c>
      <c r="I1350" t="s">
        <v>130</v>
      </c>
      <c r="J1350">
        <v>1</v>
      </c>
      <c r="K1350">
        <v>45408.396018518521</v>
      </c>
      <c r="L1350">
        <v>3360</v>
      </c>
      <c r="M1350" t="s">
        <v>676</v>
      </c>
      <c r="O1350">
        <v>10</v>
      </c>
      <c r="P1350">
        <v>180</v>
      </c>
      <c r="Q1350">
        <v>0</v>
      </c>
      <c r="V1350" t="s">
        <v>554</v>
      </c>
    </row>
    <row r="1351" spans="2:22" x14ac:dyDescent="0.25">
      <c r="B1351" t="s">
        <v>671</v>
      </c>
      <c r="C1351" t="s">
        <v>677</v>
      </c>
      <c r="E1351">
        <v>900</v>
      </c>
      <c r="F1351" t="s">
        <v>127</v>
      </c>
      <c r="G1351" t="s">
        <v>131</v>
      </c>
      <c r="H1351" t="s">
        <v>132</v>
      </c>
      <c r="I1351" t="s">
        <v>130</v>
      </c>
      <c r="J1351">
        <v>1</v>
      </c>
      <c r="K1351">
        <v>45408.39607638889</v>
      </c>
      <c r="L1351">
        <v>4470</v>
      </c>
      <c r="M1351" t="s">
        <v>676</v>
      </c>
      <c r="O1351">
        <v>10</v>
      </c>
      <c r="P1351">
        <v>90</v>
      </c>
      <c r="Q1351">
        <v>0</v>
      </c>
    </row>
    <row r="1352" spans="2:22" x14ac:dyDescent="0.25">
      <c r="B1352" t="s">
        <v>434</v>
      </c>
      <c r="E1352">
        <v>0</v>
      </c>
      <c r="F1352" t="s">
        <v>68</v>
      </c>
      <c r="G1352" t="s">
        <v>121</v>
      </c>
      <c r="H1352" t="s">
        <v>122</v>
      </c>
      <c r="I1352" t="s">
        <v>105</v>
      </c>
      <c r="J1352">
        <v>0</v>
      </c>
      <c r="K1352">
        <v>45408.416967592595</v>
      </c>
      <c r="L1352">
        <v>30800</v>
      </c>
      <c r="O1352">
        <v>3000</v>
      </c>
      <c r="P1352">
        <v>0</v>
      </c>
      <c r="Q1352">
        <v>0</v>
      </c>
    </row>
    <row r="1353" spans="2:22" x14ac:dyDescent="0.25">
      <c r="B1353" t="s">
        <v>434</v>
      </c>
      <c r="E1353">
        <v>0</v>
      </c>
      <c r="F1353" t="s">
        <v>68</v>
      </c>
      <c r="G1353" t="s">
        <v>123</v>
      </c>
      <c r="H1353" t="s">
        <v>124</v>
      </c>
      <c r="I1353" t="s">
        <v>105</v>
      </c>
      <c r="J1353">
        <v>0</v>
      </c>
      <c r="K1353">
        <v>45408.417025462964</v>
      </c>
      <c r="L1353">
        <v>76400</v>
      </c>
      <c r="O1353">
        <v>2400</v>
      </c>
      <c r="P1353">
        <v>0</v>
      </c>
      <c r="Q1353">
        <v>0</v>
      </c>
    </row>
    <row r="1354" spans="2:22" x14ac:dyDescent="0.25">
      <c r="B1354" t="s">
        <v>678</v>
      </c>
      <c r="C1354" t="s">
        <v>66</v>
      </c>
      <c r="D1354" t="s">
        <v>66</v>
      </c>
      <c r="E1354">
        <v>3456</v>
      </c>
      <c r="F1354" t="s">
        <v>68</v>
      </c>
      <c r="G1354" t="s">
        <v>155</v>
      </c>
      <c r="H1354" t="s">
        <v>156</v>
      </c>
      <c r="J1354">
        <v>1</v>
      </c>
      <c r="K1354">
        <v>45411.495405092595</v>
      </c>
      <c r="L1354">
        <v>3456</v>
      </c>
      <c r="M1354" t="s">
        <v>679</v>
      </c>
      <c r="O1354">
        <v>24</v>
      </c>
      <c r="P1354">
        <v>144</v>
      </c>
      <c r="Q1354">
        <v>0</v>
      </c>
    </row>
    <row r="1355" spans="2:22" x14ac:dyDescent="0.25">
      <c r="B1355" t="s">
        <v>678</v>
      </c>
      <c r="C1355" t="s">
        <v>66</v>
      </c>
      <c r="D1355" t="s">
        <v>66</v>
      </c>
      <c r="E1355">
        <v>72</v>
      </c>
      <c r="F1355" t="s">
        <v>68</v>
      </c>
      <c r="G1355" t="s">
        <v>182</v>
      </c>
      <c r="H1355" t="s">
        <v>183</v>
      </c>
      <c r="J1355">
        <v>1</v>
      </c>
      <c r="K1355">
        <v>45411.495462962965</v>
      </c>
      <c r="L1355">
        <v>200</v>
      </c>
      <c r="M1355" t="s">
        <v>679</v>
      </c>
      <c r="O1355">
        <v>36</v>
      </c>
      <c r="P1355">
        <v>5</v>
      </c>
      <c r="Q1355">
        <v>19.999999999999993</v>
      </c>
    </row>
    <row r="1356" spans="2:22" x14ac:dyDescent="0.25">
      <c r="B1356">
        <v>6</v>
      </c>
      <c r="C1356">
        <v>41220007</v>
      </c>
      <c r="D1356" t="s">
        <v>680</v>
      </c>
      <c r="E1356">
        <v>40</v>
      </c>
      <c r="F1356" t="s">
        <v>127</v>
      </c>
      <c r="G1356" t="s">
        <v>131</v>
      </c>
      <c r="H1356" t="s">
        <v>132</v>
      </c>
      <c r="I1356" t="s">
        <v>130</v>
      </c>
      <c r="J1356">
        <v>0</v>
      </c>
      <c r="K1356">
        <v>45411.522210648145</v>
      </c>
      <c r="L1356">
        <v>4430</v>
      </c>
      <c r="O1356">
        <v>10</v>
      </c>
      <c r="P1356">
        <v>4</v>
      </c>
      <c r="Q1356">
        <v>0</v>
      </c>
    </row>
    <row r="1357" spans="2:22" x14ac:dyDescent="0.25">
      <c r="B1357">
        <v>6</v>
      </c>
      <c r="C1357">
        <v>41219432</v>
      </c>
      <c r="D1357" t="s">
        <v>681</v>
      </c>
      <c r="E1357">
        <v>5000</v>
      </c>
      <c r="F1357" t="s">
        <v>68</v>
      </c>
      <c r="G1357" t="s">
        <v>107</v>
      </c>
      <c r="H1357" t="s">
        <v>108</v>
      </c>
      <c r="I1357" t="s">
        <v>105</v>
      </c>
      <c r="J1357">
        <v>0</v>
      </c>
      <c r="K1357">
        <v>45411.522280092591</v>
      </c>
      <c r="L1357">
        <v>98000</v>
      </c>
      <c r="O1357">
        <v>1200</v>
      </c>
      <c r="P1357">
        <v>4</v>
      </c>
      <c r="Q1357">
        <v>200.00000000000034</v>
      </c>
    </row>
    <row r="1358" spans="2:22" x14ac:dyDescent="0.25">
      <c r="B1358">
        <v>6</v>
      </c>
      <c r="C1358">
        <v>41220882</v>
      </c>
      <c r="D1358" t="s">
        <v>682</v>
      </c>
      <c r="E1358">
        <v>4000</v>
      </c>
      <c r="F1358" t="s">
        <v>68</v>
      </c>
      <c r="G1358" t="s">
        <v>103</v>
      </c>
      <c r="H1358" t="s">
        <v>104</v>
      </c>
      <c r="I1358" t="s">
        <v>105</v>
      </c>
      <c r="J1358">
        <v>0</v>
      </c>
      <c r="K1358">
        <v>45411.522303240738</v>
      </c>
      <c r="L1358">
        <v>64000</v>
      </c>
      <c r="O1358">
        <v>2400</v>
      </c>
      <c r="P1358">
        <v>1</v>
      </c>
      <c r="Q1358">
        <v>1600.0000000000002</v>
      </c>
    </row>
    <row r="1359" spans="2:22" x14ac:dyDescent="0.25">
      <c r="B1359">
        <v>6</v>
      </c>
      <c r="C1359">
        <v>41218317</v>
      </c>
      <c r="D1359" t="s">
        <v>683</v>
      </c>
      <c r="E1359">
        <v>400</v>
      </c>
      <c r="F1359" t="s">
        <v>68</v>
      </c>
      <c r="G1359" t="s">
        <v>119</v>
      </c>
      <c r="H1359" t="s">
        <v>120</v>
      </c>
      <c r="I1359" t="s">
        <v>105</v>
      </c>
      <c r="J1359">
        <v>0</v>
      </c>
      <c r="K1359">
        <v>45411.522337962961</v>
      </c>
      <c r="L1359">
        <v>23400</v>
      </c>
      <c r="O1359">
        <v>2400</v>
      </c>
      <c r="P1359">
        <v>0</v>
      </c>
      <c r="Q1359">
        <v>400</v>
      </c>
    </row>
    <row r="1360" spans="2:22" x14ac:dyDescent="0.25">
      <c r="B1360">
        <v>84648</v>
      </c>
      <c r="E1360">
        <v>120</v>
      </c>
      <c r="F1360" t="s">
        <v>68</v>
      </c>
      <c r="G1360" t="s">
        <v>483</v>
      </c>
      <c r="H1360" t="s">
        <v>150</v>
      </c>
      <c r="I1360" t="s">
        <v>144</v>
      </c>
      <c r="J1360">
        <v>1</v>
      </c>
      <c r="K1360">
        <v>45411.71806712963</v>
      </c>
      <c r="L1360">
        <v>342</v>
      </c>
      <c r="M1360" t="s">
        <v>684</v>
      </c>
      <c r="O1360">
        <v>4</v>
      </c>
      <c r="P1360">
        <v>30</v>
      </c>
      <c r="Q1360">
        <v>0</v>
      </c>
    </row>
    <row r="1361" spans="2:17" x14ac:dyDescent="0.25">
      <c r="B1361">
        <v>84163</v>
      </c>
      <c r="E1361">
        <v>600</v>
      </c>
      <c r="F1361" t="s">
        <v>68</v>
      </c>
      <c r="G1361" t="s">
        <v>484</v>
      </c>
      <c r="H1361" t="s">
        <v>169</v>
      </c>
      <c r="I1361" t="s">
        <v>144</v>
      </c>
      <c r="J1361">
        <v>1</v>
      </c>
      <c r="K1361">
        <v>45411.718101851853</v>
      </c>
      <c r="L1361">
        <v>600</v>
      </c>
      <c r="M1361" t="s">
        <v>685</v>
      </c>
      <c r="O1361">
        <v>25</v>
      </c>
      <c r="P1361">
        <v>24</v>
      </c>
      <c r="Q1361">
        <v>0</v>
      </c>
    </row>
    <row r="1362" spans="2:17" x14ac:dyDescent="0.25">
      <c r="B1362">
        <v>6</v>
      </c>
      <c r="C1362">
        <v>41220007</v>
      </c>
      <c r="D1362" t="s">
        <v>686</v>
      </c>
      <c r="E1362">
        <v>40</v>
      </c>
      <c r="F1362" t="s">
        <v>127</v>
      </c>
      <c r="G1362" t="s">
        <v>131</v>
      </c>
      <c r="H1362" t="s">
        <v>132</v>
      </c>
      <c r="I1362" t="s">
        <v>130</v>
      </c>
      <c r="J1362">
        <v>0</v>
      </c>
      <c r="K1362">
        <v>45412.554050925923</v>
      </c>
      <c r="L1362">
        <v>4390</v>
      </c>
      <c r="O1362">
        <v>10</v>
      </c>
      <c r="P1362">
        <v>4</v>
      </c>
      <c r="Q1362">
        <v>0</v>
      </c>
    </row>
    <row r="1363" spans="2:17" x14ac:dyDescent="0.25">
      <c r="B1363">
        <v>6</v>
      </c>
      <c r="C1363">
        <v>41219377</v>
      </c>
      <c r="D1363" t="s">
        <v>687</v>
      </c>
      <c r="E1363">
        <v>570</v>
      </c>
      <c r="F1363" t="s">
        <v>68</v>
      </c>
      <c r="G1363" t="s">
        <v>163</v>
      </c>
      <c r="H1363" t="s">
        <v>164</v>
      </c>
      <c r="I1363" t="s">
        <v>165</v>
      </c>
      <c r="J1363">
        <v>0</v>
      </c>
      <c r="K1363">
        <v>45412.554097222222</v>
      </c>
      <c r="L1363">
        <v>4462</v>
      </c>
      <c r="O1363">
        <v>12</v>
      </c>
      <c r="P1363">
        <v>47</v>
      </c>
      <c r="Q1363">
        <v>6</v>
      </c>
    </row>
    <row r="1364" spans="2:17" x14ac:dyDescent="0.25">
      <c r="B1364">
        <v>6</v>
      </c>
      <c r="C1364">
        <v>41219444</v>
      </c>
      <c r="D1364" t="s">
        <v>688</v>
      </c>
      <c r="E1364">
        <v>2500</v>
      </c>
      <c r="F1364" t="s">
        <v>68</v>
      </c>
      <c r="G1364" t="s">
        <v>125</v>
      </c>
      <c r="H1364" t="s">
        <v>126</v>
      </c>
      <c r="I1364" t="s">
        <v>105</v>
      </c>
      <c r="J1364">
        <v>0</v>
      </c>
      <c r="K1364">
        <v>45412.554131944446</v>
      </c>
      <c r="L1364">
        <v>4100</v>
      </c>
      <c r="O1364">
        <v>2400</v>
      </c>
      <c r="P1364">
        <v>1</v>
      </c>
      <c r="Q1364">
        <v>100.00000000000017</v>
      </c>
    </row>
    <row r="1365" spans="2:17" x14ac:dyDescent="0.25">
      <c r="B1365">
        <v>6</v>
      </c>
      <c r="C1365">
        <v>41218317</v>
      </c>
      <c r="D1365" t="s">
        <v>689</v>
      </c>
      <c r="E1365">
        <v>300</v>
      </c>
      <c r="F1365" t="s">
        <v>68</v>
      </c>
      <c r="G1365" t="s">
        <v>121</v>
      </c>
      <c r="H1365" t="s">
        <v>122</v>
      </c>
      <c r="I1365" t="s">
        <v>105</v>
      </c>
      <c r="J1365">
        <v>0</v>
      </c>
      <c r="K1365">
        <v>45412.554155092592</v>
      </c>
      <c r="L1365">
        <v>30500</v>
      </c>
      <c r="O1365">
        <v>3000</v>
      </c>
      <c r="P1365">
        <v>0</v>
      </c>
      <c r="Q1365">
        <v>300</v>
      </c>
    </row>
    <row r="1366" spans="2:17" x14ac:dyDescent="0.25">
      <c r="B1366">
        <v>6</v>
      </c>
      <c r="C1366">
        <v>41218317</v>
      </c>
      <c r="D1366">
        <v>645</v>
      </c>
      <c r="E1366">
        <v>1000</v>
      </c>
      <c r="F1366" t="s">
        <v>68</v>
      </c>
      <c r="G1366" t="s">
        <v>119</v>
      </c>
      <c r="H1366" t="s">
        <v>120</v>
      </c>
      <c r="I1366" t="s">
        <v>105</v>
      </c>
      <c r="J1366">
        <v>0</v>
      </c>
      <c r="K1366">
        <v>45412.554189814815</v>
      </c>
      <c r="L1366">
        <v>22400</v>
      </c>
      <c r="O1366">
        <v>2400</v>
      </c>
      <c r="P1366">
        <v>0</v>
      </c>
      <c r="Q1366">
        <v>1000</v>
      </c>
    </row>
    <row r="1367" spans="2:17" x14ac:dyDescent="0.25">
      <c r="B1367">
        <v>4</v>
      </c>
      <c r="C1367">
        <v>41220317</v>
      </c>
      <c r="D1367" t="s">
        <v>537</v>
      </c>
      <c r="E1367">
        <v>36</v>
      </c>
      <c r="F1367" t="s">
        <v>68</v>
      </c>
      <c r="G1367" t="s">
        <v>166</v>
      </c>
      <c r="H1367" t="s">
        <v>167</v>
      </c>
      <c r="J1367">
        <v>0</v>
      </c>
      <c r="K1367">
        <v>45414.648611111108</v>
      </c>
      <c r="L1367">
        <v>60</v>
      </c>
      <c r="O1367">
        <v>4</v>
      </c>
      <c r="P1367">
        <v>9</v>
      </c>
      <c r="Q1367">
        <v>0</v>
      </c>
    </row>
    <row r="1368" spans="2:17" x14ac:dyDescent="0.25">
      <c r="B1368">
        <v>4</v>
      </c>
      <c r="C1368">
        <v>41219425</v>
      </c>
      <c r="D1368" t="s">
        <v>538</v>
      </c>
      <c r="E1368">
        <v>10000</v>
      </c>
      <c r="F1368" t="s">
        <v>68</v>
      </c>
      <c r="G1368" t="s">
        <v>123</v>
      </c>
      <c r="H1368" t="s">
        <v>124</v>
      </c>
      <c r="I1368" t="s">
        <v>105</v>
      </c>
      <c r="J1368">
        <v>0</v>
      </c>
      <c r="K1368">
        <v>45414.6487037037</v>
      </c>
      <c r="L1368">
        <v>66400</v>
      </c>
      <c r="O1368">
        <v>2400</v>
      </c>
      <c r="P1368">
        <v>4</v>
      </c>
      <c r="Q1368">
        <v>400.00000000000068</v>
      </c>
    </row>
    <row r="1369" spans="2:17" x14ac:dyDescent="0.25">
      <c r="B1369">
        <v>4</v>
      </c>
      <c r="C1369">
        <v>41219425</v>
      </c>
      <c r="D1369">
        <v>1686</v>
      </c>
      <c r="E1369">
        <v>290</v>
      </c>
      <c r="F1369" t="s">
        <v>68</v>
      </c>
      <c r="G1369" t="s">
        <v>155</v>
      </c>
      <c r="H1369" t="s">
        <v>156</v>
      </c>
      <c r="J1369">
        <v>0</v>
      </c>
      <c r="K1369">
        <v>45414.648715277777</v>
      </c>
      <c r="L1369">
        <v>3166</v>
      </c>
      <c r="O1369">
        <v>24</v>
      </c>
      <c r="P1369">
        <v>12</v>
      </c>
      <c r="Q1369">
        <v>2.0000000000000142</v>
      </c>
    </row>
    <row r="1370" spans="2:17" x14ac:dyDescent="0.25">
      <c r="B1370">
        <v>4</v>
      </c>
      <c r="C1370">
        <v>41219425</v>
      </c>
      <c r="D1370">
        <v>1686</v>
      </c>
      <c r="E1370">
        <v>8</v>
      </c>
      <c r="F1370" t="s">
        <v>68</v>
      </c>
      <c r="G1370" t="s">
        <v>357</v>
      </c>
      <c r="H1370" t="s">
        <v>181</v>
      </c>
      <c r="J1370">
        <v>0</v>
      </c>
      <c r="K1370">
        <v>45414.648726851854</v>
      </c>
      <c r="L1370">
        <v>68</v>
      </c>
      <c r="O1370">
        <v>40</v>
      </c>
      <c r="P1370">
        <v>0</v>
      </c>
      <c r="Q1370">
        <v>8</v>
      </c>
    </row>
    <row r="1371" spans="2:17" x14ac:dyDescent="0.25">
      <c r="B1371">
        <v>4</v>
      </c>
      <c r="C1371">
        <v>41218860</v>
      </c>
      <c r="D1371" t="s">
        <v>539</v>
      </c>
      <c r="E1371">
        <v>6</v>
      </c>
      <c r="F1371" t="s">
        <v>68</v>
      </c>
      <c r="G1371" t="s">
        <v>182</v>
      </c>
      <c r="H1371" t="s">
        <v>183</v>
      </c>
      <c r="J1371">
        <v>0</v>
      </c>
      <c r="K1371">
        <v>45414.648738425924</v>
      </c>
      <c r="L1371">
        <v>66</v>
      </c>
      <c r="O1371">
        <v>36</v>
      </c>
      <c r="P1371">
        <v>0</v>
      </c>
      <c r="Q1371">
        <v>6</v>
      </c>
    </row>
    <row r="1372" spans="2:17" x14ac:dyDescent="0.25">
      <c r="B1372">
        <v>4</v>
      </c>
      <c r="C1372">
        <v>41218860</v>
      </c>
      <c r="D1372">
        <v>1687</v>
      </c>
      <c r="E1372">
        <v>240</v>
      </c>
      <c r="F1372" t="s">
        <v>68</v>
      </c>
      <c r="G1372" t="s">
        <v>201</v>
      </c>
      <c r="H1372" t="s">
        <v>202</v>
      </c>
      <c r="I1372" t="s">
        <v>144</v>
      </c>
      <c r="J1372">
        <v>0</v>
      </c>
      <c r="K1372">
        <v>45414.648738425924</v>
      </c>
      <c r="L1372">
        <v>1560</v>
      </c>
      <c r="O1372">
        <v>100</v>
      </c>
      <c r="P1372">
        <v>2</v>
      </c>
      <c r="Q1372">
        <v>39.999999999999993</v>
      </c>
    </row>
    <row r="1373" spans="2:17" x14ac:dyDescent="0.25">
      <c r="B1373">
        <v>4</v>
      </c>
      <c r="C1373">
        <v>41220335</v>
      </c>
      <c r="D1373" t="s">
        <v>540</v>
      </c>
      <c r="E1373">
        <v>240</v>
      </c>
      <c r="F1373" t="s">
        <v>68</v>
      </c>
      <c r="G1373" t="s">
        <v>159</v>
      </c>
      <c r="H1373" t="s">
        <v>556</v>
      </c>
      <c r="I1373" t="s">
        <v>161</v>
      </c>
      <c r="J1373">
        <v>0</v>
      </c>
      <c r="K1373">
        <v>45414.64875</v>
      </c>
      <c r="L1373">
        <v>4188</v>
      </c>
      <c r="O1373">
        <v>36</v>
      </c>
      <c r="P1373">
        <v>6</v>
      </c>
      <c r="Q1373">
        <v>24.000000000000011</v>
      </c>
    </row>
    <row r="1374" spans="2:17" x14ac:dyDescent="0.25">
      <c r="B1374">
        <v>4</v>
      </c>
      <c r="C1374">
        <v>41219252</v>
      </c>
      <c r="D1374" t="s">
        <v>541</v>
      </c>
      <c r="E1374">
        <v>500</v>
      </c>
      <c r="F1374" t="s">
        <v>68</v>
      </c>
      <c r="G1374" t="s">
        <v>146</v>
      </c>
      <c r="H1374" t="s">
        <v>147</v>
      </c>
      <c r="I1374" t="s">
        <v>144</v>
      </c>
      <c r="J1374">
        <v>0</v>
      </c>
      <c r="K1374">
        <v>45414.648761574077</v>
      </c>
      <c r="L1374">
        <v>4617</v>
      </c>
      <c r="O1374">
        <v>440</v>
      </c>
      <c r="P1374">
        <v>1</v>
      </c>
      <c r="Q1374">
        <v>60.000000000000043</v>
      </c>
    </row>
    <row r="1375" spans="2:17" x14ac:dyDescent="0.25">
      <c r="B1375">
        <v>4</v>
      </c>
      <c r="C1375">
        <v>41220338</v>
      </c>
      <c r="D1375" t="s">
        <v>542</v>
      </c>
      <c r="E1375">
        <v>300</v>
      </c>
      <c r="F1375" t="s">
        <v>68</v>
      </c>
      <c r="G1375" t="s">
        <v>163</v>
      </c>
      <c r="H1375" t="s">
        <v>164</v>
      </c>
      <c r="I1375" t="s">
        <v>165</v>
      </c>
      <c r="J1375">
        <v>0</v>
      </c>
      <c r="K1375">
        <v>45414.648761574077</v>
      </c>
      <c r="L1375">
        <v>4162</v>
      </c>
      <c r="O1375">
        <v>12</v>
      </c>
      <c r="P1375">
        <v>25</v>
      </c>
      <c r="Q1375">
        <v>0</v>
      </c>
    </row>
    <row r="1376" spans="2:17" x14ac:dyDescent="0.25">
      <c r="B1376">
        <v>4</v>
      </c>
      <c r="C1376">
        <v>41219949</v>
      </c>
      <c r="D1376" t="s">
        <v>543</v>
      </c>
      <c r="E1376">
        <v>50</v>
      </c>
      <c r="F1376" t="s">
        <v>68</v>
      </c>
      <c r="G1376" t="s">
        <v>484</v>
      </c>
      <c r="H1376" t="s">
        <v>169</v>
      </c>
      <c r="I1376" t="s">
        <v>144</v>
      </c>
      <c r="J1376">
        <v>0</v>
      </c>
      <c r="K1376">
        <v>45414.648773148147</v>
      </c>
      <c r="L1376">
        <v>550</v>
      </c>
      <c r="O1376">
        <v>25</v>
      </c>
      <c r="P1376">
        <v>2</v>
      </c>
      <c r="Q1376">
        <v>0</v>
      </c>
    </row>
    <row r="1377" spans="2:22" x14ac:dyDescent="0.25">
      <c r="B1377">
        <v>4</v>
      </c>
      <c r="C1377">
        <v>41220910</v>
      </c>
      <c r="D1377" t="s">
        <v>544</v>
      </c>
      <c r="E1377">
        <v>12</v>
      </c>
      <c r="F1377" t="s">
        <v>68</v>
      </c>
      <c r="G1377" t="s">
        <v>483</v>
      </c>
      <c r="H1377" t="s">
        <v>150</v>
      </c>
      <c r="I1377" t="s">
        <v>144</v>
      </c>
      <c r="J1377">
        <v>0</v>
      </c>
      <c r="K1377">
        <v>45414.648784722223</v>
      </c>
      <c r="L1377">
        <v>330</v>
      </c>
      <c r="O1377">
        <v>4</v>
      </c>
      <c r="P1377">
        <v>3</v>
      </c>
      <c r="Q1377">
        <v>0</v>
      </c>
    </row>
    <row r="1378" spans="2:22" x14ac:dyDescent="0.25">
      <c r="B1378">
        <v>4</v>
      </c>
      <c r="C1378">
        <v>41220883</v>
      </c>
      <c r="D1378" t="s">
        <v>545</v>
      </c>
      <c r="E1378">
        <v>3</v>
      </c>
      <c r="F1378" t="s">
        <v>68</v>
      </c>
      <c r="G1378" t="s">
        <v>482</v>
      </c>
      <c r="H1378" t="s">
        <v>148</v>
      </c>
      <c r="I1378" t="s">
        <v>144</v>
      </c>
      <c r="J1378">
        <v>0</v>
      </c>
      <c r="K1378">
        <v>45414.648796296293</v>
      </c>
      <c r="L1378">
        <v>86</v>
      </c>
      <c r="O1378">
        <v>24</v>
      </c>
      <c r="P1378">
        <v>0</v>
      </c>
      <c r="Q1378">
        <v>3</v>
      </c>
    </row>
    <row r="1379" spans="2:22" x14ac:dyDescent="0.25">
      <c r="B1379">
        <v>4</v>
      </c>
      <c r="C1379">
        <v>41218405</v>
      </c>
      <c r="D1379" t="s">
        <v>546</v>
      </c>
      <c r="E1379">
        <v>114</v>
      </c>
      <c r="F1379" t="s">
        <v>68</v>
      </c>
      <c r="G1379" t="s">
        <v>355</v>
      </c>
      <c r="H1379" t="s">
        <v>149</v>
      </c>
      <c r="I1379" t="s">
        <v>144</v>
      </c>
      <c r="J1379">
        <v>0</v>
      </c>
      <c r="K1379">
        <v>45414.648796296293</v>
      </c>
      <c r="L1379">
        <v>4286</v>
      </c>
      <c r="O1379">
        <v>60</v>
      </c>
      <c r="P1379">
        <v>1</v>
      </c>
      <c r="Q1379">
        <v>53.999999999999993</v>
      </c>
      <c r="V1379" t="s">
        <v>555</v>
      </c>
    </row>
    <row r="1380" spans="2:22" x14ac:dyDescent="0.25">
      <c r="B1380">
        <v>4</v>
      </c>
      <c r="C1380">
        <v>41220788</v>
      </c>
      <c r="D1380" t="s">
        <v>547</v>
      </c>
      <c r="E1380">
        <v>120</v>
      </c>
      <c r="F1380" t="s">
        <v>68</v>
      </c>
      <c r="G1380" t="s">
        <v>485</v>
      </c>
      <c r="H1380" t="s">
        <v>178</v>
      </c>
      <c r="I1380" t="s">
        <v>144</v>
      </c>
      <c r="J1380">
        <v>0</v>
      </c>
      <c r="K1380">
        <v>45414.64880787037</v>
      </c>
      <c r="L1380">
        <v>1560</v>
      </c>
      <c r="O1380">
        <v>100</v>
      </c>
      <c r="P1380">
        <v>1</v>
      </c>
      <c r="Q1380">
        <v>19.999999999999996</v>
      </c>
      <c r="V1380" t="s">
        <v>535</v>
      </c>
    </row>
    <row r="1381" spans="2:22" x14ac:dyDescent="0.25">
      <c r="B1381">
        <v>4</v>
      </c>
      <c r="C1381">
        <v>41220788</v>
      </c>
      <c r="D1381">
        <v>1695</v>
      </c>
      <c r="E1381">
        <v>288</v>
      </c>
      <c r="F1381" t="s">
        <v>135</v>
      </c>
      <c r="G1381" t="s">
        <v>140</v>
      </c>
      <c r="H1381" t="s">
        <v>137</v>
      </c>
      <c r="I1381" t="s">
        <v>138</v>
      </c>
      <c r="J1381">
        <v>0</v>
      </c>
      <c r="K1381">
        <v>45414.648819444446</v>
      </c>
      <c r="L1381">
        <v>3168</v>
      </c>
      <c r="O1381">
        <v>144</v>
      </c>
      <c r="P1381">
        <v>2</v>
      </c>
      <c r="Q1381">
        <v>0</v>
      </c>
    </row>
    <row r="1382" spans="2:22" x14ac:dyDescent="0.25">
      <c r="B1382">
        <v>4</v>
      </c>
      <c r="C1382">
        <v>41219951</v>
      </c>
      <c r="D1382" t="s">
        <v>396</v>
      </c>
      <c r="E1382">
        <v>200</v>
      </c>
      <c r="F1382" t="s">
        <v>68</v>
      </c>
      <c r="G1382" t="s">
        <v>153</v>
      </c>
      <c r="H1382" t="s">
        <v>154</v>
      </c>
      <c r="I1382" t="s">
        <v>105</v>
      </c>
      <c r="J1382">
        <v>0</v>
      </c>
      <c r="K1382">
        <v>45414.648831018516</v>
      </c>
      <c r="L1382">
        <v>1000</v>
      </c>
      <c r="O1382">
        <v>100</v>
      </c>
      <c r="P1382">
        <v>2</v>
      </c>
      <c r="Q1382">
        <v>0</v>
      </c>
    </row>
    <row r="1383" spans="2:22" x14ac:dyDescent="0.25">
      <c r="B1383">
        <v>4</v>
      </c>
      <c r="C1383">
        <v>41220347</v>
      </c>
      <c r="D1383" t="s">
        <v>548</v>
      </c>
      <c r="E1383">
        <v>1000</v>
      </c>
      <c r="F1383" t="s">
        <v>68</v>
      </c>
      <c r="G1383" t="s">
        <v>121</v>
      </c>
      <c r="H1383" t="s">
        <v>122</v>
      </c>
      <c r="I1383" t="s">
        <v>105</v>
      </c>
      <c r="J1383">
        <v>0</v>
      </c>
      <c r="K1383">
        <v>45414.648831018516</v>
      </c>
      <c r="L1383">
        <v>29500</v>
      </c>
      <c r="O1383">
        <v>3000</v>
      </c>
      <c r="P1383">
        <v>0</v>
      </c>
      <c r="Q1383">
        <v>1000</v>
      </c>
    </row>
    <row r="1384" spans="2:22" x14ac:dyDescent="0.25">
      <c r="B1384">
        <v>4</v>
      </c>
      <c r="C1384">
        <v>41220347</v>
      </c>
      <c r="D1384">
        <v>1697</v>
      </c>
      <c r="E1384">
        <v>8000</v>
      </c>
      <c r="F1384" t="s">
        <v>68</v>
      </c>
      <c r="G1384" t="s">
        <v>107</v>
      </c>
      <c r="H1384" t="s">
        <v>108</v>
      </c>
      <c r="I1384" t="s">
        <v>105</v>
      </c>
      <c r="J1384">
        <v>0</v>
      </c>
      <c r="K1384">
        <v>45414.648842592593</v>
      </c>
      <c r="L1384">
        <v>90000</v>
      </c>
      <c r="O1384">
        <v>1200</v>
      </c>
      <c r="P1384">
        <v>6</v>
      </c>
      <c r="Q1384">
        <v>800.00000000000034</v>
      </c>
    </row>
    <row r="1385" spans="2:22" x14ac:dyDescent="0.25">
      <c r="B1385">
        <v>4</v>
      </c>
      <c r="C1385">
        <v>41220347</v>
      </c>
      <c r="D1385">
        <v>1697</v>
      </c>
      <c r="E1385">
        <v>500</v>
      </c>
      <c r="F1385" t="s">
        <v>68</v>
      </c>
      <c r="G1385" t="s">
        <v>115</v>
      </c>
      <c r="H1385" t="s">
        <v>116</v>
      </c>
      <c r="I1385" t="s">
        <v>105</v>
      </c>
      <c r="J1385">
        <v>0</v>
      </c>
      <c r="K1385">
        <v>45414.648854166669</v>
      </c>
      <c r="L1385">
        <v>4150</v>
      </c>
      <c r="O1385">
        <v>1200</v>
      </c>
      <c r="P1385">
        <v>0</v>
      </c>
      <c r="Q1385">
        <v>500</v>
      </c>
    </row>
    <row r="1386" spans="2:22" x14ac:dyDescent="0.25">
      <c r="B1386">
        <v>4</v>
      </c>
      <c r="C1386">
        <v>41220347</v>
      </c>
      <c r="D1386">
        <v>1697</v>
      </c>
      <c r="E1386">
        <v>100</v>
      </c>
      <c r="F1386" t="s">
        <v>68</v>
      </c>
      <c r="G1386" t="s">
        <v>151</v>
      </c>
      <c r="H1386" t="s">
        <v>152</v>
      </c>
      <c r="I1386" t="s">
        <v>105</v>
      </c>
      <c r="J1386">
        <v>0</v>
      </c>
      <c r="K1386">
        <v>45414.648854166669</v>
      </c>
      <c r="L1386">
        <v>1396</v>
      </c>
      <c r="O1386">
        <v>200</v>
      </c>
      <c r="P1386">
        <v>0</v>
      </c>
      <c r="Q1386">
        <v>100</v>
      </c>
    </row>
    <row r="1387" spans="2:22" x14ac:dyDescent="0.25">
      <c r="B1387">
        <v>4</v>
      </c>
      <c r="C1387">
        <v>41220789</v>
      </c>
      <c r="D1387" t="s">
        <v>549</v>
      </c>
      <c r="E1387">
        <v>12000</v>
      </c>
      <c r="F1387" t="s">
        <v>68</v>
      </c>
      <c r="G1387" t="s">
        <v>103</v>
      </c>
      <c r="H1387" t="s">
        <v>104</v>
      </c>
      <c r="I1387" t="s">
        <v>105</v>
      </c>
      <c r="J1387">
        <v>0</v>
      </c>
      <c r="K1387">
        <v>45414.648865740739</v>
      </c>
      <c r="L1387">
        <v>52000</v>
      </c>
      <c r="O1387">
        <v>2400</v>
      </c>
      <c r="P1387">
        <v>5</v>
      </c>
      <c r="Q1387">
        <v>0</v>
      </c>
    </row>
    <row r="1388" spans="2:22" x14ac:dyDescent="0.25">
      <c r="B1388">
        <v>4</v>
      </c>
      <c r="C1388">
        <v>41220789</v>
      </c>
      <c r="D1388">
        <v>1698</v>
      </c>
      <c r="E1388">
        <v>4000</v>
      </c>
      <c r="F1388" t="s">
        <v>68</v>
      </c>
      <c r="G1388" t="s">
        <v>107</v>
      </c>
      <c r="H1388" t="s">
        <v>108</v>
      </c>
      <c r="I1388" t="s">
        <v>105</v>
      </c>
      <c r="J1388">
        <v>0</v>
      </c>
      <c r="K1388">
        <v>45414.648877314816</v>
      </c>
      <c r="L1388">
        <v>86000</v>
      </c>
      <c r="O1388">
        <v>1200</v>
      </c>
      <c r="P1388">
        <v>3</v>
      </c>
      <c r="Q1388">
        <v>400.00000000000017</v>
      </c>
    </row>
    <row r="1389" spans="2:22" x14ac:dyDescent="0.25">
      <c r="B1389">
        <v>4</v>
      </c>
      <c r="C1389">
        <v>41220346</v>
      </c>
      <c r="D1389" t="s">
        <v>550</v>
      </c>
      <c r="E1389">
        <v>2000</v>
      </c>
      <c r="F1389" t="s">
        <v>68</v>
      </c>
      <c r="G1389" t="s">
        <v>179</v>
      </c>
      <c r="H1389" t="s">
        <v>180</v>
      </c>
      <c r="I1389" t="s">
        <v>144</v>
      </c>
      <c r="J1389">
        <v>0</v>
      </c>
      <c r="K1389">
        <v>45414.648888888885</v>
      </c>
      <c r="L1389">
        <v>31000</v>
      </c>
      <c r="O1389">
        <v>2000</v>
      </c>
      <c r="P1389">
        <v>1</v>
      </c>
      <c r="Q1389">
        <v>0</v>
      </c>
    </row>
    <row r="1390" spans="2:22" x14ac:dyDescent="0.25">
      <c r="B1390" t="s">
        <v>690</v>
      </c>
      <c r="E1390">
        <v>1840</v>
      </c>
      <c r="F1390" t="s">
        <v>127</v>
      </c>
      <c r="G1390" t="s">
        <v>133</v>
      </c>
      <c r="H1390" t="s">
        <v>134</v>
      </c>
      <c r="I1390" t="s">
        <v>130</v>
      </c>
      <c r="J1390">
        <v>1</v>
      </c>
      <c r="K1390">
        <v>45414.668402777781</v>
      </c>
      <c r="L1390">
        <v>2040</v>
      </c>
      <c r="M1390" t="s">
        <v>691</v>
      </c>
      <c r="O1390">
        <v>10</v>
      </c>
      <c r="P1390">
        <v>184</v>
      </c>
      <c r="Q1390">
        <v>0</v>
      </c>
    </row>
    <row r="1391" spans="2:22" x14ac:dyDescent="0.25">
      <c r="B1391">
        <v>6</v>
      </c>
      <c r="C1391">
        <v>41221001</v>
      </c>
      <c r="D1391" t="s">
        <v>696</v>
      </c>
      <c r="E1391">
        <v>5000</v>
      </c>
      <c r="F1391" t="s">
        <v>68</v>
      </c>
      <c r="G1391" t="s">
        <v>170</v>
      </c>
      <c r="H1391" t="s">
        <v>171</v>
      </c>
      <c r="I1391" t="s">
        <v>105</v>
      </c>
      <c r="J1391">
        <v>0</v>
      </c>
      <c r="K1391">
        <v>45415.549178240741</v>
      </c>
      <c r="L1391">
        <v>15400</v>
      </c>
      <c r="O1391">
        <v>2400</v>
      </c>
      <c r="P1391">
        <v>2</v>
      </c>
      <c r="Q1391">
        <v>200.00000000000034</v>
      </c>
    </row>
    <row r="1392" spans="2:22" x14ac:dyDescent="0.25">
      <c r="B1392">
        <v>6</v>
      </c>
      <c r="C1392">
        <v>41220007</v>
      </c>
      <c r="D1392" t="s">
        <v>697</v>
      </c>
      <c r="E1392">
        <v>40</v>
      </c>
      <c r="F1392" t="s">
        <v>127</v>
      </c>
      <c r="G1392" t="s">
        <v>131</v>
      </c>
      <c r="H1392" t="s">
        <v>132</v>
      </c>
      <c r="I1392" t="s">
        <v>130</v>
      </c>
      <c r="J1392">
        <v>0</v>
      </c>
      <c r="K1392">
        <v>45415.549525462964</v>
      </c>
      <c r="L1392">
        <v>4350</v>
      </c>
      <c r="O1392">
        <v>10</v>
      </c>
      <c r="P1392">
        <v>4</v>
      </c>
      <c r="Q1392">
        <v>0</v>
      </c>
    </row>
    <row r="1393" spans="2:22" x14ac:dyDescent="0.25">
      <c r="B1393">
        <v>4</v>
      </c>
      <c r="C1393">
        <v>41220938</v>
      </c>
      <c r="D1393" t="s">
        <v>551</v>
      </c>
      <c r="E1393">
        <v>12</v>
      </c>
      <c r="F1393" t="s">
        <v>68</v>
      </c>
      <c r="G1393" t="s">
        <v>552</v>
      </c>
      <c r="H1393" t="s">
        <v>692</v>
      </c>
      <c r="I1393" t="s">
        <v>693</v>
      </c>
      <c r="J1393">
        <v>0</v>
      </c>
      <c r="K1393">
        <v>45415.549537037034</v>
      </c>
      <c r="L1393">
        <v>108</v>
      </c>
      <c r="O1393">
        <v>1</v>
      </c>
      <c r="P1393">
        <v>12</v>
      </c>
      <c r="Q1393">
        <v>0</v>
      </c>
      <c r="V1393" t="s">
        <v>695</v>
      </c>
    </row>
    <row r="1394" spans="2:22" x14ac:dyDescent="0.25">
      <c r="B1394">
        <v>4</v>
      </c>
      <c r="C1394">
        <v>41219252</v>
      </c>
      <c r="D1394" t="s">
        <v>710</v>
      </c>
      <c r="E1394">
        <v>1500</v>
      </c>
      <c r="F1394" t="s">
        <v>68</v>
      </c>
      <c r="G1394" t="s">
        <v>146</v>
      </c>
      <c r="H1394" t="s">
        <v>147</v>
      </c>
      <c r="I1394" t="s">
        <v>144</v>
      </c>
      <c r="J1394">
        <v>0</v>
      </c>
      <c r="K1394">
        <v>45415.54954861111</v>
      </c>
      <c r="L1394">
        <v>3117</v>
      </c>
      <c r="O1394">
        <v>440</v>
      </c>
      <c r="P1394">
        <v>3</v>
      </c>
      <c r="Q1394">
        <v>180.00000000000003</v>
      </c>
    </row>
    <row r="1395" spans="2:22" x14ac:dyDescent="0.25">
      <c r="B1395">
        <v>4</v>
      </c>
      <c r="C1395">
        <v>41220909</v>
      </c>
      <c r="D1395" t="s">
        <v>711</v>
      </c>
      <c r="E1395">
        <v>3118</v>
      </c>
      <c r="F1395" t="s">
        <v>68</v>
      </c>
      <c r="G1395" t="s">
        <v>146</v>
      </c>
      <c r="H1395" t="s">
        <v>147</v>
      </c>
      <c r="I1395" t="s">
        <v>144</v>
      </c>
      <c r="J1395">
        <v>0</v>
      </c>
      <c r="K1395">
        <v>45415.549571759257</v>
      </c>
      <c r="L1395">
        <v>0</v>
      </c>
      <c r="O1395">
        <v>440</v>
      </c>
      <c r="P1395">
        <v>7</v>
      </c>
      <c r="Q1395">
        <v>37.999999999999829</v>
      </c>
    </row>
    <row r="1396" spans="2:22" x14ac:dyDescent="0.25">
      <c r="B1396">
        <v>10147</v>
      </c>
      <c r="E1396">
        <v>600</v>
      </c>
      <c r="F1396" t="s">
        <v>68</v>
      </c>
      <c r="G1396" t="s">
        <v>166</v>
      </c>
      <c r="H1396" t="s">
        <v>709</v>
      </c>
      <c r="J1396">
        <v>1</v>
      </c>
      <c r="K1396">
        <v>45415.561469907407</v>
      </c>
      <c r="L1396">
        <v>660</v>
      </c>
      <c r="M1396" t="s">
        <v>657</v>
      </c>
      <c r="O1396">
        <v>4</v>
      </c>
      <c r="P1396">
        <v>150</v>
      </c>
      <c r="Q1396">
        <v>0</v>
      </c>
    </row>
    <row r="1397" spans="2:22" x14ac:dyDescent="0.25">
      <c r="B1397">
        <v>6</v>
      </c>
      <c r="C1397">
        <v>41220007</v>
      </c>
      <c r="D1397" t="s">
        <v>712</v>
      </c>
      <c r="E1397">
        <v>40</v>
      </c>
      <c r="F1397" t="s">
        <v>127</v>
      </c>
      <c r="G1397" t="s">
        <v>131</v>
      </c>
      <c r="H1397" t="s">
        <v>132</v>
      </c>
      <c r="I1397" t="s">
        <v>130</v>
      </c>
      <c r="J1397">
        <v>0</v>
      </c>
      <c r="K1397">
        <v>45415.569988425923</v>
      </c>
      <c r="L1397">
        <v>4310</v>
      </c>
      <c r="O1397">
        <v>10</v>
      </c>
      <c r="P1397">
        <v>4</v>
      </c>
      <c r="Q1397">
        <v>0</v>
      </c>
      <c r="V1397" t="s">
        <v>554</v>
      </c>
    </row>
    <row r="1398" spans="2:22" x14ac:dyDescent="0.25">
      <c r="B1398">
        <v>6</v>
      </c>
      <c r="C1398">
        <v>41220007</v>
      </c>
      <c r="D1398">
        <v>1738</v>
      </c>
      <c r="E1398">
        <v>20</v>
      </c>
      <c r="F1398" t="s">
        <v>127</v>
      </c>
      <c r="G1398" t="s">
        <v>133</v>
      </c>
      <c r="H1398" t="s">
        <v>134</v>
      </c>
      <c r="I1398" t="s">
        <v>130</v>
      </c>
      <c r="J1398">
        <v>0</v>
      </c>
      <c r="K1398">
        <v>45415.570034722223</v>
      </c>
      <c r="L1398">
        <v>2020</v>
      </c>
      <c r="O1398">
        <v>10</v>
      </c>
      <c r="P1398">
        <v>2</v>
      </c>
      <c r="Q1398">
        <v>0</v>
      </c>
      <c r="V1398" t="s">
        <v>554</v>
      </c>
    </row>
    <row r="1399" spans="2:22" x14ac:dyDescent="0.25">
      <c r="B1399">
        <v>6</v>
      </c>
      <c r="C1399">
        <v>41221001</v>
      </c>
      <c r="D1399" t="s">
        <v>713</v>
      </c>
      <c r="E1399">
        <v>5000</v>
      </c>
      <c r="F1399" t="s">
        <v>68</v>
      </c>
      <c r="G1399" t="s">
        <v>170</v>
      </c>
      <c r="H1399" t="s">
        <v>171</v>
      </c>
      <c r="I1399" t="s">
        <v>105</v>
      </c>
      <c r="J1399">
        <v>0</v>
      </c>
      <c r="K1399">
        <v>45415.570069444446</v>
      </c>
      <c r="L1399">
        <v>10400</v>
      </c>
      <c r="O1399">
        <v>2400</v>
      </c>
      <c r="P1399">
        <v>2</v>
      </c>
      <c r="Q1399">
        <v>200.00000000000034</v>
      </c>
    </row>
    <row r="1400" spans="2:22" x14ac:dyDescent="0.25">
      <c r="B1400">
        <v>6</v>
      </c>
      <c r="C1400">
        <v>41220882</v>
      </c>
      <c r="D1400" t="s">
        <v>714</v>
      </c>
      <c r="E1400">
        <v>2000</v>
      </c>
      <c r="F1400" t="s">
        <v>68</v>
      </c>
      <c r="G1400" t="s">
        <v>103</v>
      </c>
      <c r="H1400" t="s">
        <v>104</v>
      </c>
      <c r="I1400" t="s">
        <v>105</v>
      </c>
      <c r="J1400">
        <v>0</v>
      </c>
      <c r="K1400">
        <v>45415.570127314815</v>
      </c>
      <c r="L1400">
        <v>50000</v>
      </c>
      <c r="O1400">
        <v>2400</v>
      </c>
      <c r="P1400">
        <v>0</v>
      </c>
      <c r="Q1400">
        <v>2000</v>
      </c>
    </row>
    <row r="1401" spans="2:22" x14ac:dyDescent="0.25">
      <c r="B1401">
        <v>87146</v>
      </c>
      <c r="E1401">
        <v>2000</v>
      </c>
      <c r="F1401" t="s">
        <v>68</v>
      </c>
      <c r="G1401" t="s">
        <v>485</v>
      </c>
      <c r="H1401" t="s">
        <v>178</v>
      </c>
      <c r="I1401" t="s">
        <v>144</v>
      </c>
      <c r="J1401">
        <v>1</v>
      </c>
      <c r="K1401">
        <v>45418.531724537039</v>
      </c>
      <c r="L1401">
        <v>3560</v>
      </c>
      <c r="M1401" t="s">
        <v>715</v>
      </c>
      <c r="O1401">
        <v>100</v>
      </c>
      <c r="P1401">
        <v>20</v>
      </c>
      <c r="Q1401">
        <v>0</v>
      </c>
      <c r="V1401" t="s">
        <v>535</v>
      </c>
    </row>
    <row r="1402" spans="2:22" x14ac:dyDescent="0.25">
      <c r="B1402">
        <v>87147</v>
      </c>
      <c r="E1402">
        <v>500</v>
      </c>
      <c r="F1402" t="s">
        <v>68</v>
      </c>
      <c r="G1402" t="s">
        <v>201</v>
      </c>
      <c r="H1402" t="s">
        <v>202</v>
      </c>
      <c r="I1402" t="s">
        <v>144</v>
      </c>
      <c r="J1402">
        <v>1</v>
      </c>
      <c r="K1402">
        <v>45418.531006944446</v>
      </c>
      <c r="L1402">
        <v>2060</v>
      </c>
      <c r="M1402" t="s">
        <v>715</v>
      </c>
      <c r="O1402">
        <v>100</v>
      </c>
      <c r="P1402">
        <v>5</v>
      </c>
      <c r="Q1402">
        <v>0</v>
      </c>
    </row>
    <row r="1403" spans="2:22" x14ac:dyDescent="0.25">
      <c r="B1403">
        <v>6</v>
      </c>
      <c r="C1403">
        <v>41220996</v>
      </c>
      <c r="D1403" t="s">
        <v>716</v>
      </c>
      <c r="E1403">
        <v>1000</v>
      </c>
      <c r="F1403" t="s">
        <v>68</v>
      </c>
      <c r="G1403" t="s">
        <v>142</v>
      </c>
      <c r="H1403" t="s">
        <v>143</v>
      </c>
      <c r="I1403" t="s">
        <v>144</v>
      </c>
      <c r="J1403">
        <v>0</v>
      </c>
      <c r="K1403">
        <v>45418.584907407407</v>
      </c>
      <c r="L1403">
        <v>1552</v>
      </c>
      <c r="O1403">
        <v>24</v>
      </c>
      <c r="P1403">
        <v>41</v>
      </c>
      <c r="Q1403">
        <v>15.999999999999943</v>
      </c>
    </row>
    <row r="1404" spans="2:22" x14ac:dyDescent="0.25">
      <c r="B1404">
        <v>6</v>
      </c>
      <c r="C1404">
        <v>41220839</v>
      </c>
      <c r="D1404" t="s">
        <v>717</v>
      </c>
      <c r="E1404">
        <v>1000</v>
      </c>
      <c r="F1404" t="s">
        <v>68</v>
      </c>
      <c r="G1404" t="s">
        <v>119</v>
      </c>
      <c r="H1404" t="s">
        <v>120</v>
      </c>
      <c r="I1404" t="s">
        <v>105</v>
      </c>
      <c r="J1404">
        <v>0</v>
      </c>
      <c r="K1404">
        <v>45420.394178240742</v>
      </c>
      <c r="L1404">
        <v>21400</v>
      </c>
      <c r="O1404">
        <v>2400</v>
      </c>
      <c r="P1404">
        <v>0</v>
      </c>
      <c r="Q1404">
        <v>1000</v>
      </c>
    </row>
    <row r="1405" spans="2:22" x14ac:dyDescent="0.25">
      <c r="B1405">
        <v>6</v>
      </c>
      <c r="C1405">
        <v>41220996</v>
      </c>
      <c r="D1405" t="s">
        <v>718</v>
      </c>
      <c r="E1405">
        <v>1000</v>
      </c>
      <c r="F1405" t="s">
        <v>68</v>
      </c>
      <c r="G1405" t="s">
        <v>142</v>
      </c>
      <c r="H1405" t="s">
        <v>143</v>
      </c>
      <c r="I1405" t="s">
        <v>144</v>
      </c>
      <c r="J1405">
        <v>0</v>
      </c>
      <c r="K1405">
        <v>45420.394236111111</v>
      </c>
      <c r="L1405">
        <v>552</v>
      </c>
      <c r="O1405">
        <v>24</v>
      </c>
      <c r="P1405">
        <v>41</v>
      </c>
      <c r="Q1405">
        <v>15.999999999999943</v>
      </c>
    </row>
    <row r="1406" spans="2:22" x14ac:dyDescent="0.25">
      <c r="B1406">
        <v>6</v>
      </c>
      <c r="C1406">
        <v>41219002</v>
      </c>
      <c r="D1406" t="s">
        <v>719</v>
      </c>
      <c r="E1406">
        <v>200</v>
      </c>
      <c r="F1406" t="s">
        <v>68</v>
      </c>
      <c r="G1406" t="s">
        <v>166</v>
      </c>
      <c r="H1406" t="s">
        <v>709</v>
      </c>
      <c r="J1406">
        <v>0</v>
      </c>
      <c r="K1406">
        <v>45420.394270833334</v>
      </c>
      <c r="L1406">
        <v>460</v>
      </c>
      <c r="O1406">
        <v>4</v>
      </c>
      <c r="P1406">
        <v>50</v>
      </c>
      <c r="Q1406">
        <v>0</v>
      </c>
    </row>
    <row r="1407" spans="2:22" x14ac:dyDescent="0.25">
      <c r="B1407">
        <v>6</v>
      </c>
      <c r="C1407">
        <v>41220007</v>
      </c>
      <c r="D1407" t="s">
        <v>720</v>
      </c>
      <c r="E1407">
        <v>40</v>
      </c>
      <c r="F1407" t="s">
        <v>127</v>
      </c>
      <c r="G1407" t="s">
        <v>131</v>
      </c>
      <c r="H1407" t="s">
        <v>132</v>
      </c>
      <c r="I1407" t="s">
        <v>130</v>
      </c>
      <c r="J1407">
        <v>0</v>
      </c>
      <c r="K1407">
        <v>45421.529328703706</v>
      </c>
      <c r="L1407">
        <v>4270</v>
      </c>
      <c r="O1407">
        <v>10</v>
      </c>
      <c r="P1407">
        <v>4</v>
      </c>
      <c r="Q1407">
        <v>0</v>
      </c>
      <c r="V1407" t="s">
        <v>554</v>
      </c>
    </row>
    <row r="1408" spans="2:22" x14ac:dyDescent="0.25">
      <c r="B1408">
        <v>6</v>
      </c>
      <c r="C1408" t="s">
        <v>721</v>
      </c>
      <c r="D1408" t="s">
        <v>722</v>
      </c>
      <c r="E1408">
        <v>10000</v>
      </c>
      <c r="F1408" t="s">
        <v>68</v>
      </c>
      <c r="G1408" t="s">
        <v>103</v>
      </c>
      <c r="H1408" t="s">
        <v>104</v>
      </c>
      <c r="I1408" t="s">
        <v>105</v>
      </c>
      <c r="J1408">
        <v>0</v>
      </c>
      <c r="K1408">
        <v>45421.529409722221</v>
      </c>
      <c r="L1408">
        <v>40000</v>
      </c>
      <c r="O1408">
        <v>2400</v>
      </c>
      <c r="P1408">
        <v>4</v>
      </c>
      <c r="Q1408">
        <v>400.00000000000068</v>
      </c>
    </row>
    <row r="1409" spans="2:22" x14ac:dyDescent="0.25">
      <c r="B1409">
        <v>6</v>
      </c>
      <c r="C1409" t="s">
        <v>723</v>
      </c>
      <c r="D1409" t="s">
        <v>724</v>
      </c>
      <c r="E1409">
        <v>2100</v>
      </c>
      <c r="F1409" t="s">
        <v>68</v>
      </c>
      <c r="G1409" t="s">
        <v>117</v>
      </c>
      <c r="H1409" t="s">
        <v>118</v>
      </c>
      <c r="I1409" t="s">
        <v>105</v>
      </c>
      <c r="J1409">
        <v>0</v>
      </c>
      <c r="K1409">
        <v>45421.529606481483</v>
      </c>
      <c r="L1409">
        <v>900</v>
      </c>
      <c r="O1409">
        <v>3000</v>
      </c>
      <c r="P1409">
        <v>0</v>
      </c>
      <c r="Q1409">
        <v>2100</v>
      </c>
    </row>
    <row r="1410" spans="2:22" x14ac:dyDescent="0.25">
      <c r="B1410" t="s">
        <v>293</v>
      </c>
      <c r="C1410">
        <v>41220908</v>
      </c>
      <c r="D1410" t="s">
        <v>725</v>
      </c>
      <c r="E1410">
        <v>5</v>
      </c>
      <c r="F1410" t="s">
        <v>68</v>
      </c>
      <c r="G1410" t="s">
        <v>182</v>
      </c>
      <c r="H1410" t="s">
        <v>183</v>
      </c>
      <c r="J1410">
        <v>0</v>
      </c>
      <c r="K1410">
        <v>45421.605138888888</v>
      </c>
      <c r="L1410">
        <v>61</v>
      </c>
      <c r="O1410">
        <v>36</v>
      </c>
      <c r="P1410">
        <v>0</v>
      </c>
      <c r="Q1410">
        <v>5</v>
      </c>
    </row>
    <row r="1411" spans="2:22" x14ac:dyDescent="0.25">
      <c r="B1411" t="s">
        <v>293</v>
      </c>
      <c r="C1411">
        <v>41220317</v>
      </c>
      <c r="D1411" t="s">
        <v>726</v>
      </c>
      <c r="E1411">
        <v>36</v>
      </c>
      <c r="F1411" t="s">
        <v>68</v>
      </c>
      <c r="G1411" t="s">
        <v>166</v>
      </c>
      <c r="H1411" t="s">
        <v>709</v>
      </c>
      <c r="J1411">
        <v>0</v>
      </c>
      <c r="K1411">
        <v>45421.605162037034</v>
      </c>
      <c r="L1411">
        <v>424</v>
      </c>
      <c r="O1411">
        <v>4</v>
      </c>
      <c r="P1411">
        <v>9</v>
      </c>
      <c r="Q1411">
        <v>0</v>
      </c>
    </row>
    <row r="1412" spans="2:22" x14ac:dyDescent="0.25">
      <c r="B1412" t="s">
        <v>293</v>
      </c>
      <c r="C1412">
        <v>41220335</v>
      </c>
      <c r="D1412" t="s">
        <v>727</v>
      </c>
      <c r="E1412">
        <v>240</v>
      </c>
      <c r="F1412" t="s">
        <v>68</v>
      </c>
      <c r="G1412" t="s">
        <v>159</v>
      </c>
      <c r="H1412" t="s">
        <v>556</v>
      </c>
      <c r="I1412" t="s">
        <v>161</v>
      </c>
      <c r="J1412">
        <v>0</v>
      </c>
      <c r="K1412">
        <v>45421.605185185188</v>
      </c>
      <c r="L1412">
        <v>3948</v>
      </c>
      <c r="O1412">
        <v>36</v>
      </c>
      <c r="P1412">
        <v>6</v>
      </c>
      <c r="Q1412">
        <v>24.000000000000011</v>
      </c>
    </row>
    <row r="1413" spans="2:22" x14ac:dyDescent="0.25">
      <c r="B1413" t="s">
        <v>293</v>
      </c>
      <c r="C1413">
        <v>41220338</v>
      </c>
      <c r="D1413" t="s">
        <v>728</v>
      </c>
      <c r="E1413">
        <v>300</v>
      </c>
      <c r="F1413" t="s">
        <v>68</v>
      </c>
      <c r="G1413" t="s">
        <v>163</v>
      </c>
      <c r="H1413" t="s">
        <v>164</v>
      </c>
      <c r="I1413" t="s">
        <v>165</v>
      </c>
      <c r="J1413">
        <v>0</v>
      </c>
      <c r="K1413">
        <v>45421.605185185188</v>
      </c>
      <c r="L1413">
        <v>3862</v>
      </c>
      <c r="O1413">
        <v>12</v>
      </c>
      <c r="P1413">
        <v>25</v>
      </c>
      <c r="Q1413">
        <v>0</v>
      </c>
    </row>
    <row r="1414" spans="2:22" x14ac:dyDescent="0.25">
      <c r="B1414" t="s">
        <v>293</v>
      </c>
      <c r="C1414">
        <v>41220910</v>
      </c>
      <c r="D1414" t="s">
        <v>729</v>
      </c>
      <c r="E1414">
        <v>12</v>
      </c>
      <c r="F1414" t="s">
        <v>68</v>
      </c>
      <c r="G1414" t="s">
        <v>483</v>
      </c>
      <c r="H1414" t="s">
        <v>150</v>
      </c>
      <c r="I1414" t="s">
        <v>144</v>
      </c>
      <c r="J1414">
        <v>0</v>
      </c>
      <c r="K1414">
        <v>45421.605196759258</v>
      </c>
      <c r="L1414">
        <v>318</v>
      </c>
      <c r="O1414">
        <v>4</v>
      </c>
      <c r="P1414">
        <v>3</v>
      </c>
      <c r="Q1414">
        <v>0</v>
      </c>
    </row>
    <row r="1415" spans="2:22" x14ac:dyDescent="0.25">
      <c r="B1415" t="s">
        <v>293</v>
      </c>
      <c r="C1415">
        <v>41220883</v>
      </c>
      <c r="D1415" t="s">
        <v>730</v>
      </c>
      <c r="E1415">
        <v>3</v>
      </c>
      <c r="F1415" t="s">
        <v>68</v>
      </c>
      <c r="G1415" t="s">
        <v>482</v>
      </c>
      <c r="H1415" t="s">
        <v>148</v>
      </c>
      <c r="I1415" t="s">
        <v>144</v>
      </c>
      <c r="J1415">
        <v>0</v>
      </c>
      <c r="K1415">
        <v>45421.605208333334</v>
      </c>
      <c r="L1415">
        <v>83</v>
      </c>
      <c r="O1415">
        <v>24</v>
      </c>
      <c r="P1415">
        <v>0</v>
      </c>
      <c r="Q1415">
        <v>3</v>
      </c>
    </row>
    <row r="1416" spans="2:22" x14ac:dyDescent="0.25">
      <c r="B1416" t="s">
        <v>293</v>
      </c>
      <c r="C1416">
        <v>41220788</v>
      </c>
      <c r="D1416" t="s">
        <v>731</v>
      </c>
      <c r="E1416">
        <v>120</v>
      </c>
      <c r="F1416" t="s">
        <v>68</v>
      </c>
      <c r="G1416" t="s">
        <v>485</v>
      </c>
      <c r="H1416" t="s">
        <v>178</v>
      </c>
      <c r="I1416" t="s">
        <v>144</v>
      </c>
      <c r="J1416">
        <v>0</v>
      </c>
      <c r="K1416">
        <v>45421.605208333334</v>
      </c>
      <c r="L1416">
        <v>3440</v>
      </c>
      <c r="O1416">
        <v>100</v>
      </c>
      <c r="P1416">
        <v>1</v>
      </c>
      <c r="Q1416">
        <v>19.999999999999996</v>
      </c>
      <c r="V1416" t="s">
        <v>535</v>
      </c>
    </row>
    <row r="1417" spans="2:22" x14ac:dyDescent="0.25">
      <c r="B1417" t="s">
        <v>293</v>
      </c>
      <c r="C1417">
        <v>41220788</v>
      </c>
      <c r="D1417">
        <v>1752</v>
      </c>
      <c r="E1417">
        <v>288</v>
      </c>
      <c r="F1417" t="s">
        <v>135</v>
      </c>
      <c r="G1417" t="s">
        <v>140</v>
      </c>
      <c r="H1417" t="s">
        <v>137</v>
      </c>
      <c r="I1417" t="s">
        <v>138</v>
      </c>
      <c r="J1417">
        <v>0</v>
      </c>
      <c r="K1417">
        <v>45421.605219907404</v>
      </c>
      <c r="L1417">
        <v>2880</v>
      </c>
      <c r="O1417">
        <v>144</v>
      </c>
      <c r="P1417">
        <v>2</v>
      </c>
      <c r="Q1417">
        <v>0</v>
      </c>
    </row>
    <row r="1418" spans="2:22" x14ac:dyDescent="0.25">
      <c r="B1418" t="s">
        <v>293</v>
      </c>
      <c r="C1418">
        <v>41219425</v>
      </c>
      <c r="D1418" t="s">
        <v>732</v>
      </c>
      <c r="E1418">
        <v>10000</v>
      </c>
      <c r="F1418" t="s">
        <v>68</v>
      </c>
      <c r="G1418" t="s">
        <v>123</v>
      </c>
      <c r="H1418" t="s">
        <v>124</v>
      </c>
      <c r="I1418" t="s">
        <v>105</v>
      </c>
      <c r="J1418">
        <v>0</v>
      </c>
      <c r="K1418">
        <v>45421.605231481481</v>
      </c>
      <c r="L1418">
        <v>56400</v>
      </c>
      <c r="O1418">
        <v>2400</v>
      </c>
      <c r="P1418">
        <v>4</v>
      </c>
      <c r="Q1418">
        <v>400.00000000000068</v>
      </c>
    </row>
    <row r="1419" spans="2:22" x14ac:dyDescent="0.25">
      <c r="B1419" t="s">
        <v>293</v>
      </c>
      <c r="C1419">
        <v>41219425</v>
      </c>
      <c r="D1419">
        <v>1753</v>
      </c>
      <c r="E1419">
        <v>82</v>
      </c>
      <c r="F1419" t="s">
        <v>68</v>
      </c>
      <c r="G1419" t="s">
        <v>109</v>
      </c>
      <c r="H1419" t="s">
        <v>162</v>
      </c>
      <c r="J1419">
        <v>0</v>
      </c>
      <c r="K1419">
        <v>45421.605231481481</v>
      </c>
      <c r="L1419">
        <v>638</v>
      </c>
      <c r="O1419">
        <v>96</v>
      </c>
      <c r="P1419">
        <v>0</v>
      </c>
      <c r="Q1419">
        <v>82</v>
      </c>
    </row>
    <row r="1420" spans="2:22" x14ac:dyDescent="0.25">
      <c r="B1420" t="s">
        <v>293</v>
      </c>
      <c r="C1420">
        <v>41219425</v>
      </c>
      <c r="D1420">
        <v>1753</v>
      </c>
      <c r="E1420">
        <v>220</v>
      </c>
      <c r="F1420" t="s">
        <v>68</v>
      </c>
      <c r="G1420" t="s">
        <v>201</v>
      </c>
      <c r="H1420" t="s">
        <v>202</v>
      </c>
      <c r="I1420" t="s">
        <v>144</v>
      </c>
      <c r="J1420">
        <v>0</v>
      </c>
      <c r="K1420">
        <v>45421.605243055557</v>
      </c>
      <c r="L1420">
        <v>1840</v>
      </c>
      <c r="O1420">
        <v>100</v>
      </c>
      <c r="P1420">
        <v>2</v>
      </c>
      <c r="Q1420">
        <v>20.000000000000018</v>
      </c>
    </row>
    <row r="1421" spans="2:22" x14ac:dyDescent="0.25">
      <c r="B1421" t="s">
        <v>293</v>
      </c>
      <c r="C1421">
        <v>41219252</v>
      </c>
      <c r="D1421" t="s">
        <v>733</v>
      </c>
      <c r="E1421">
        <v>700</v>
      </c>
      <c r="F1421" t="s">
        <v>68</v>
      </c>
      <c r="G1421" t="s">
        <v>155</v>
      </c>
      <c r="H1421" t="s">
        <v>156</v>
      </c>
      <c r="J1421">
        <v>0</v>
      </c>
      <c r="K1421">
        <v>45421.605254629627</v>
      </c>
      <c r="L1421">
        <v>2466</v>
      </c>
      <c r="O1421">
        <v>24</v>
      </c>
      <c r="P1421">
        <v>29</v>
      </c>
      <c r="Q1421">
        <v>4.0000000000000284</v>
      </c>
    </row>
    <row r="1422" spans="2:22" x14ac:dyDescent="0.25">
      <c r="B1422" t="s">
        <v>293</v>
      </c>
      <c r="C1422">
        <v>41220789</v>
      </c>
      <c r="D1422" t="s">
        <v>734</v>
      </c>
      <c r="E1422">
        <v>12000</v>
      </c>
      <c r="F1422" t="s">
        <v>68</v>
      </c>
      <c r="G1422" t="s">
        <v>103</v>
      </c>
      <c r="H1422" t="s">
        <v>104</v>
      </c>
      <c r="I1422" t="s">
        <v>105</v>
      </c>
      <c r="J1422">
        <v>0</v>
      </c>
      <c r="K1422">
        <v>45421.605266203704</v>
      </c>
      <c r="L1422">
        <v>28000</v>
      </c>
      <c r="O1422">
        <v>2400</v>
      </c>
      <c r="P1422">
        <v>5</v>
      </c>
      <c r="Q1422">
        <v>0</v>
      </c>
    </row>
    <row r="1423" spans="2:22" x14ac:dyDescent="0.25">
      <c r="B1423" t="s">
        <v>293</v>
      </c>
      <c r="C1423">
        <v>41220789</v>
      </c>
      <c r="D1423">
        <v>1755</v>
      </c>
      <c r="E1423">
        <v>12000</v>
      </c>
      <c r="F1423" t="s">
        <v>68</v>
      </c>
      <c r="G1423" t="s">
        <v>107</v>
      </c>
      <c r="H1423" t="s">
        <v>108</v>
      </c>
      <c r="I1423" t="s">
        <v>105</v>
      </c>
      <c r="J1423">
        <v>0</v>
      </c>
      <c r="K1423">
        <v>45421.605266203704</v>
      </c>
      <c r="L1423">
        <v>74000</v>
      </c>
      <c r="O1423">
        <v>1200</v>
      </c>
      <c r="P1423">
        <v>10</v>
      </c>
      <c r="Q1423">
        <v>0</v>
      </c>
    </row>
    <row r="1424" spans="2:22" x14ac:dyDescent="0.25">
      <c r="B1424" t="s">
        <v>293</v>
      </c>
      <c r="C1424">
        <v>41220347</v>
      </c>
      <c r="D1424" t="s">
        <v>735</v>
      </c>
      <c r="E1424">
        <v>1000</v>
      </c>
      <c r="F1424" t="s">
        <v>68</v>
      </c>
      <c r="G1424" t="s">
        <v>121</v>
      </c>
      <c r="H1424" t="s">
        <v>122</v>
      </c>
      <c r="I1424" t="s">
        <v>105</v>
      </c>
      <c r="J1424">
        <v>0</v>
      </c>
      <c r="K1424">
        <v>45421.60527777778</v>
      </c>
      <c r="L1424">
        <v>28500</v>
      </c>
      <c r="O1424">
        <v>3000</v>
      </c>
      <c r="P1424">
        <v>0</v>
      </c>
      <c r="Q1424">
        <v>1000</v>
      </c>
    </row>
    <row r="1425" spans="2:22" x14ac:dyDescent="0.25">
      <c r="B1425" t="s">
        <v>293</v>
      </c>
      <c r="C1425">
        <v>41220347</v>
      </c>
      <c r="D1425">
        <v>1756</v>
      </c>
      <c r="E1425">
        <v>500</v>
      </c>
      <c r="F1425" t="s">
        <v>68</v>
      </c>
      <c r="G1425" t="s">
        <v>115</v>
      </c>
      <c r="H1425" t="s">
        <v>116</v>
      </c>
      <c r="I1425" t="s">
        <v>105</v>
      </c>
      <c r="J1425">
        <v>0</v>
      </c>
      <c r="K1425">
        <v>45421.60528935185</v>
      </c>
      <c r="L1425">
        <v>3650</v>
      </c>
      <c r="O1425">
        <v>1200</v>
      </c>
      <c r="P1425">
        <v>0</v>
      </c>
      <c r="Q1425">
        <v>500</v>
      </c>
    </row>
    <row r="1426" spans="2:22" x14ac:dyDescent="0.25">
      <c r="B1426" t="s">
        <v>293</v>
      </c>
      <c r="C1426">
        <v>41220347</v>
      </c>
      <c r="D1426">
        <v>1756</v>
      </c>
      <c r="E1426">
        <v>100</v>
      </c>
      <c r="F1426" t="s">
        <v>68</v>
      </c>
      <c r="G1426" t="s">
        <v>151</v>
      </c>
      <c r="H1426" t="s">
        <v>152</v>
      </c>
      <c r="I1426" t="s">
        <v>105</v>
      </c>
      <c r="J1426">
        <v>0</v>
      </c>
      <c r="K1426">
        <v>45421.60528935185</v>
      </c>
      <c r="L1426">
        <v>1296</v>
      </c>
      <c r="O1426">
        <v>200</v>
      </c>
      <c r="P1426">
        <v>0</v>
      </c>
      <c r="Q1426">
        <v>100</v>
      </c>
    </row>
    <row r="1427" spans="2:22" x14ac:dyDescent="0.25">
      <c r="B1427" t="s">
        <v>293</v>
      </c>
      <c r="C1427">
        <v>41220938</v>
      </c>
      <c r="D1427" t="s">
        <v>736</v>
      </c>
      <c r="E1427">
        <v>24</v>
      </c>
      <c r="F1427" t="s">
        <v>68</v>
      </c>
      <c r="G1427" t="s">
        <v>552</v>
      </c>
      <c r="H1427" t="s">
        <v>692</v>
      </c>
      <c r="I1427" t="s">
        <v>693</v>
      </c>
      <c r="J1427">
        <v>0</v>
      </c>
      <c r="K1427">
        <v>45421.605300925927</v>
      </c>
      <c r="L1427">
        <v>84</v>
      </c>
      <c r="O1427">
        <v>12</v>
      </c>
      <c r="P1427">
        <v>2</v>
      </c>
      <c r="Q1427">
        <v>0</v>
      </c>
      <c r="V1427" t="s">
        <v>695</v>
      </c>
    </row>
    <row r="1428" spans="2:22" x14ac:dyDescent="0.25">
      <c r="B1428" t="s">
        <v>293</v>
      </c>
      <c r="C1428">
        <v>41219951</v>
      </c>
      <c r="D1428" t="s">
        <v>737</v>
      </c>
      <c r="E1428">
        <v>200</v>
      </c>
      <c r="F1428" t="s">
        <v>68</v>
      </c>
      <c r="G1428" t="s">
        <v>153</v>
      </c>
      <c r="H1428" t="s">
        <v>154</v>
      </c>
      <c r="I1428" t="s">
        <v>105</v>
      </c>
      <c r="J1428">
        <v>0</v>
      </c>
      <c r="K1428">
        <v>45421.605312500003</v>
      </c>
      <c r="L1428">
        <v>800</v>
      </c>
      <c r="O1428">
        <v>100</v>
      </c>
      <c r="P1428">
        <v>2</v>
      </c>
      <c r="Q1428">
        <v>0</v>
      </c>
    </row>
    <row r="1429" spans="2:22" x14ac:dyDescent="0.25">
      <c r="B1429" t="s">
        <v>738</v>
      </c>
      <c r="E1429">
        <v>60000</v>
      </c>
      <c r="F1429" t="s">
        <v>68</v>
      </c>
      <c r="G1429" t="s">
        <v>103</v>
      </c>
      <c r="H1429" t="s">
        <v>104</v>
      </c>
      <c r="I1429" t="s">
        <v>105</v>
      </c>
      <c r="J1429">
        <v>1</v>
      </c>
      <c r="K1429">
        <v>45421.619803240741</v>
      </c>
      <c r="L1429">
        <v>88000</v>
      </c>
      <c r="M1429" t="s">
        <v>739</v>
      </c>
      <c r="O1429">
        <v>2400</v>
      </c>
      <c r="P1429">
        <v>25</v>
      </c>
      <c r="Q1429">
        <v>0</v>
      </c>
    </row>
    <row r="1430" spans="2:22" x14ac:dyDescent="0.25">
      <c r="B1430" t="s">
        <v>738</v>
      </c>
      <c r="E1430">
        <v>50000</v>
      </c>
      <c r="F1430" t="s">
        <v>68</v>
      </c>
      <c r="G1430" t="s">
        <v>107</v>
      </c>
      <c r="H1430" t="s">
        <v>108</v>
      </c>
      <c r="I1430" t="s">
        <v>105</v>
      </c>
      <c r="J1430">
        <v>1</v>
      </c>
      <c r="K1430">
        <v>45421.619826388887</v>
      </c>
      <c r="L1430">
        <v>124000</v>
      </c>
      <c r="M1430" t="s">
        <v>739</v>
      </c>
      <c r="O1430">
        <v>1200</v>
      </c>
      <c r="P1430">
        <v>41</v>
      </c>
      <c r="Q1430">
        <v>799.99999999999716</v>
      </c>
    </row>
    <row r="1431" spans="2:22" x14ac:dyDescent="0.25">
      <c r="B1431" t="s">
        <v>738</v>
      </c>
      <c r="E1431">
        <v>60000</v>
      </c>
      <c r="F1431" t="s">
        <v>68</v>
      </c>
      <c r="G1431" t="s">
        <v>123</v>
      </c>
      <c r="H1431" t="s">
        <v>124</v>
      </c>
      <c r="I1431" t="s">
        <v>105</v>
      </c>
      <c r="J1431">
        <v>1</v>
      </c>
      <c r="K1431">
        <v>45421.619849537034</v>
      </c>
      <c r="L1431">
        <v>116400</v>
      </c>
      <c r="M1431" t="s">
        <v>739</v>
      </c>
      <c r="O1431">
        <v>2400</v>
      </c>
      <c r="P1431">
        <v>25</v>
      </c>
      <c r="Q1431">
        <v>0</v>
      </c>
    </row>
    <row r="1432" spans="2:22" x14ac:dyDescent="0.25">
      <c r="B1432" t="s">
        <v>738</v>
      </c>
      <c r="E1432">
        <v>1400</v>
      </c>
      <c r="F1432" t="s">
        <v>68</v>
      </c>
      <c r="G1432" t="s">
        <v>274</v>
      </c>
      <c r="H1432" t="s">
        <v>275</v>
      </c>
      <c r="I1432" t="s">
        <v>105</v>
      </c>
      <c r="J1432">
        <v>1</v>
      </c>
      <c r="K1432">
        <v>45421.619872685187</v>
      </c>
      <c r="L1432">
        <v>1400</v>
      </c>
      <c r="M1432" t="s">
        <v>739</v>
      </c>
      <c r="O1432">
        <v>1</v>
      </c>
      <c r="P1432">
        <v>1400</v>
      </c>
      <c r="Q1432">
        <v>0</v>
      </c>
    </row>
    <row r="1433" spans="2:22" x14ac:dyDescent="0.25">
      <c r="B1433" t="s">
        <v>738</v>
      </c>
      <c r="E1433">
        <v>4000</v>
      </c>
      <c r="F1433" t="s">
        <v>68</v>
      </c>
      <c r="G1433" t="s">
        <v>115</v>
      </c>
      <c r="H1433" t="s">
        <v>116</v>
      </c>
      <c r="I1433" t="s">
        <v>105</v>
      </c>
      <c r="J1433">
        <v>1</v>
      </c>
      <c r="K1433">
        <v>45421.619895833333</v>
      </c>
      <c r="L1433">
        <v>7650</v>
      </c>
      <c r="M1433" t="s">
        <v>739</v>
      </c>
      <c r="O1433">
        <v>1200</v>
      </c>
      <c r="P1433">
        <v>3</v>
      </c>
      <c r="Q1433">
        <v>400.00000000000017</v>
      </c>
    </row>
    <row r="1434" spans="2:22" x14ac:dyDescent="0.25">
      <c r="B1434" t="s">
        <v>740</v>
      </c>
      <c r="E1434">
        <v>160</v>
      </c>
      <c r="F1434" t="s">
        <v>127</v>
      </c>
      <c r="G1434" t="s">
        <v>133</v>
      </c>
      <c r="H1434" t="s">
        <v>134</v>
      </c>
      <c r="I1434" t="s">
        <v>130</v>
      </c>
      <c r="J1434">
        <v>1</v>
      </c>
      <c r="K1434">
        <v>45421.619942129626</v>
      </c>
      <c r="L1434">
        <v>2180</v>
      </c>
      <c r="M1434">
        <v>45418</v>
      </c>
      <c r="O1434">
        <v>10</v>
      </c>
      <c r="P1434">
        <v>16</v>
      </c>
      <c r="Q1434">
        <v>0</v>
      </c>
      <c r="V1434" t="s">
        <v>554</v>
      </c>
    </row>
    <row r="1435" spans="2:22" x14ac:dyDescent="0.25">
      <c r="B1435" t="s">
        <v>158</v>
      </c>
      <c r="C1435">
        <v>41220007</v>
      </c>
      <c r="D1435" t="s">
        <v>700</v>
      </c>
      <c r="E1435">
        <v>40</v>
      </c>
      <c r="F1435" t="s">
        <v>127</v>
      </c>
      <c r="G1435" t="s">
        <v>131</v>
      </c>
      <c r="H1435" t="s">
        <v>132</v>
      </c>
      <c r="I1435" t="s">
        <v>130</v>
      </c>
      <c r="J1435">
        <v>0</v>
      </c>
      <c r="K1435">
        <v>45421.630983796298</v>
      </c>
      <c r="L1435">
        <v>4230</v>
      </c>
      <c r="M1435">
        <v>45418</v>
      </c>
      <c r="O1435">
        <v>10</v>
      </c>
      <c r="P1435">
        <v>4</v>
      </c>
      <c r="Q1435">
        <v>0</v>
      </c>
      <c r="V1435" t="s">
        <v>554</v>
      </c>
    </row>
    <row r="1436" spans="2:22" x14ac:dyDescent="0.25">
      <c r="B1436" t="s">
        <v>158</v>
      </c>
      <c r="C1436">
        <v>41220007</v>
      </c>
      <c r="D1436">
        <v>1759</v>
      </c>
      <c r="E1436">
        <v>20</v>
      </c>
      <c r="F1436" t="s">
        <v>127</v>
      </c>
      <c r="G1436" t="s">
        <v>133</v>
      </c>
      <c r="H1436" t="s">
        <v>134</v>
      </c>
      <c r="I1436" t="s">
        <v>130</v>
      </c>
      <c r="J1436">
        <v>0</v>
      </c>
      <c r="K1436">
        <v>45421.631064814814</v>
      </c>
      <c r="L1436">
        <v>2160</v>
      </c>
      <c r="O1436">
        <v>10</v>
      </c>
      <c r="P1436">
        <v>2</v>
      </c>
      <c r="Q1436">
        <v>0</v>
      </c>
      <c r="V1436" t="s">
        <v>554</v>
      </c>
    </row>
    <row r="1437" spans="2:22" x14ac:dyDescent="0.25">
      <c r="B1437" t="s">
        <v>158</v>
      </c>
      <c r="C1437">
        <v>41219377</v>
      </c>
      <c r="D1437" t="s">
        <v>701</v>
      </c>
      <c r="E1437">
        <v>800</v>
      </c>
      <c r="F1437" t="s">
        <v>68</v>
      </c>
      <c r="G1437" t="s">
        <v>123</v>
      </c>
      <c r="H1437" t="s">
        <v>124</v>
      </c>
      <c r="I1437" t="s">
        <v>105</v>
      </c>
      <c r="J1437">
        <v>0</v>
      </c>
      <c r="K1437">
        <v>45421.631064814814</v>
      </c>
      <c r="L1437">
        <v>115600</v>
      </c>
      <c r="O1437">
        <v>2400</v>
      </c>
      <c r="P1437">
        <v>0</v>
      </c>
      <c r="Q1437">
        <v>800</v>
      </c>
    </row>
    <row r="1438" spans="2:22" x14ac:dyDescent="0.25">
      <c r="B1438" t="s">
        <v>158</v>
      </c>
      <c r="C1438">
        <v>41219377</v>
      </c>
      <c r="D1438">
        <v>1760</v>
      </c>
      <c r="E1438">
        <v>800</v>
      </c>
      <c r="F1438" t="s">
        <v>135</v>
      </c>
      <c r="G1438" t="s">
        <v>139</v>
      </c>
      <c r="H1438" t="s">
        <v>137</v>
      </c>
      <c r="I1438" t="s">
        <v>138</v>
      </c>
      <c r="J1438">
        <v>0</v>
      </c>
      <c r="K1438">
        <v>45421.631076388891</v>
      </c>
      <c r="L1438">
        <v>4192</v>
      </c>
      <c r="O1438">
        <v>144</v>
      </c>
      <c r="P1438">
        <v>5</v>
      </c>
      <c r="Q1438">
        <v>79.999999999999972</v>
      </c>
    </row>
    <row r="1439" spans="2:22" x14ac:dyDescent="0.25">
      <c r="B1439" t="s">
        <v>158</v>
      </c>
      <c r="C1439">
        <v>41219377</v>
      </c>
      <c r="D1439">
        <v>1760</v>
      </c>
      <c r="E1439">
        <v>800</v>
      </c>
      <c r="F1439" t="s">
        <v>135</v>
      </c>
      <c r="G1439" t="s">
        <v>140</v>
      </c>
      <c r="H1439" t="s">
        <v>137</v>
      </c>
      <c r="I1439" t="s">
        <v>138</v>
      </c>
      <c r="J1439">
        <v>0</v>
      </c>
      <c r="K1439">
        <v>45421.63108796296</v>
      </c>
      <c r="L1439">
        <v>2080</v>
      </c>
      <c r="O1439">
        <v>144</v>
      </c>
      <c r="P1439">
        <v>5</v>
      </c>
      <c r="Q1439">
        <v>79.999999999999972</v>
      </c>
    </row>
    <row r="1440" spans="2:22" x14ac:dyDescent="0.25">
      <c r="B1440" t="s">
        <v>741</v>
      </c>
      <c r="E1440">
        <v>800</v>
      </c>
      <c r="F1440" t="s">
        <v>127</v>
      </c>
      <c r="G1440" t="s">
        <v>128</v>
      </c>
      <c r="H1440" t="s">
        <v>129</v>
      </c>
      <c r="I1440" t="s">
        <v>130</v>
      </c>
      <c r="J1440">
        <v>1</v>
      </c>
      <c r="K1440">
        <v>45425.670254629629</v>
      </c>
      <c r="L1440">
        <v>4160</v>
      </c>
      <c r="M1440">
        <v>45421</v>
      </c>
      <c r="O1440">
        <v>10</v>
      </c>
      <c r="P1440">
        <v>80</v>
      </c>
      <c r="Q1440">
        <v>0</v>
      </c>
      <c r="V1440" t="s">
        <v>554</v>
      </c>
    </row>
    <row r="1441" spans="2:22" x14ac:dyDescent="0.25">
      <c r="B1441">
        <v>89227</v>
      </c>
      <c r="E1441">
        <v>120</v>
      </c>
      <c r="F1441" t="s">
        <v>68</v>
      </c>
      <c r="G1441" t="s">
        <v>482</v>
      </c>
      <c r="H1441" t="s">
        <v>148</v>
      </c>
      <c r="I1441" t="s">
        <v>144</v>
      </c>
      <c r="J1441">
        <v>1</v>
      </c>
      <c r="K1441">
        <v>45425.670335648145</v>
      </c>
      <c r="L1441">
        <v>203</v>
      </c>
      <c r="M1441" t="s">
        <v>742</v>
      </c>
      <c r="O1441">
        <v>24</v>
      </c>
      <c r="P1441">
        <v>5</v>
      </c>
      <c r="Q1441">
        <v>0</v>
      </c>
    </row>
    <row r="1442" spans="2:22" x14ac:dyDescent="0.25">
      <c r="B1442">
        <v>89226</v>
      </c>
      <c r="E1442">
        <v>120</v>
      </c>
      <c r="F1442" t="s">
        <v>68</v>
      </c>
      <c r="G1442" t="s">
        <v>482</v>
      </c>
      <c r="H1442" t="s">
        <v>148</v>
      </c>
      <c r="I1442" t="s">
        <v>144</v>
      </c>
      <c r="J1442">
        <v>1</v>
      </c>
      <c r="K1442">
        <v>45425.670393518521</v>
      </c>
      <c r="L1442">
        <v>323</v>
      </c>
      <c r="M1442" t="s">
        <v>743</v>
      </c>
      <c r="O1442">
        <v>24</v>
      </c>
      <c r="P1442">
        <v>5</v>
      </c>
      <c r="Q1442">
        <v>0</v>
      </c>
    </row>
    <row r="1443" spans="2:22" x14ac:dyDescent="0.25">
      <c r="B1443">
        <v>10284</v>
      </c>
      <c r="E1443">
        <v>600</v>
      </c>
      <c r="F1443" t="s">
        <v>68</v>
      </c>
      <c r="G1443" t="s">
        <v>166</v>
      </c>
      <c r="H1443" t="s">
        <v>744</v>
      </c>
      <c r="J1443">
        <v>1</v>
      </c>
      <c r="K1443">
        <v>45426.353043981479</v>
      </c>
      <c r="L1443">
        <v>1024</v>
      </c>
      <c r="M1443">
        <v>45421</v>
      </c>
      <c r="O1443">
        <v>4</v>
      </c>
      <c r="P1443">
        <v>150</v>
      </c>
      <c r="Q1443">
        <v>0</v>
      </c>
    </row>
    <row r="1444" spans="2:22" x14ac:dyDescent="0.25">
      <c r="B1444" t="s">
        <v>158</v>
      </c>
      <c r="C1444">
        <v>41219432</v>
      </c>
      <c r="D1444" t="s">
        <v>703</v>
      </c>
      <c r="E1444">
        <v>1000</v>
      </c>
      <c r="F1444" t="s">
        <v>68</v>
      </c>
      <c r="G1444" t="s">
        <v>278</v>
      </c>
      <c r="H1444" t="s">
        <v>279</v>
      </c>
      <c r="I1444" t="s">
        <v>105</v>
      </c>
      <c r="J1444">
        <v>0</v>
      </c>
      <c r="K1444">
        <v>45426.52003472222</v>
      </c>
      <c r="L1444">
        <v>28000</v>
      </c>
      <c r="O1444">
        <v>2400</v>
      </c>
      <c r="P1444">
        <v>0</v>
      </c>
      <c r="Q1444">
        <v>1000</v>
      </c>
    </row>
    <row r="1445" spans="2:22" x14ac:dyDescent="0.25">
      <c r="B1445" t="s">
        <v>158</v>
      </c>
      <c r="C1445">
        <v>41220007</v>
      </c>
      <c r="D1445" t="s">
        <v>704</v>
      </c>
      <c r="E1445">
        <v>40</v>
      </c>
      <c r="F1445" t="s">
        <v>127</v>
      </c>
      <c r="G1445" t="s">
        <v>131</v>
      </c>
      <c r="H1445" t="s">
        <v>132</v>
      </c>
      <c r="I1445" t="s">
        <v>130</v>
      </c>
      <c r="J1445">
        <v>0</v>
      </c>
      <c r="K1445">
        <v>45426.520046296297</v>
      </c>
      <c r="L1445">
        <v>4190</v>
      </c>
      <c r="O1445">
        <v>10</v>
      </c>
      <c r="P1445">
        <v>4</v>
      </c>
      <c r="Q1445">
        <v>0</v>
      </c>
      <c r="V1445" t="s">
        <v>554</v>
      </c>
    </row>
    <row r="1446" spans="2:22" x14ac:dyDescent="0.25">
      <c r="B1446" t="s">
        <v>158</v>
      </c>
      <c r="C1446">
        <v>41221115</v>
      </c>
      <c r="D1446" t="s">
        <v>705</v>
      </c>
      <c r="E1446">
        <v>5000</v>
      </c>
      <c r="F1446" t="s">
        <v>68</v>
      </c>
      <c r="G1446" t="s">
        <v>110</v>
      </c>
      <c r="H1446" t="s">
        <v>111</v>
      </c>
      <c r="I1446" t="s">
        <v>105</v>
      </c>
      <c r="J1446">
        <v>0</v>
      </c>
      <c r="K1446">
        <v>45426.520046296297</v>
      </c>
      <c r="L1446">
        <v>2200</v>
      </c>
      <c r="O1446">
        <v>2400</v>
      </c>
      <c r="P1446">
        <v>2</v>
      </c>
      <c r="Q1446">
        <v>200.00000000000034</v>
      </c>
    </row>
    <row r="1447" spans="2:22" x14ac:dyDescent="0.25">
      <c r="B1447" t="s">
        <v>158</v>
      </c>
      <c r="C1447">
        <v>41221115</v>
      </c>
      <c r="D1447">
        <v>1764</v>
      </c>
      <c r="E1447">
        <v>5500</v>
      </c>
      <c r="F1447" t="s">
        <v>68</v>
      </c>
      <c r="G1447" t="s">
        <v>121</v>
      </c>
      <c r="H1447" t="s">
        <v>122</v>
      </c>
      <c r="I1447" t="s">
        <v>105</v>
      </c>
      <c r="J1447">
        <v>0</v>
      </c>
      <c r="K1447">
        <v>45426.520057870373</v>
      </c>
      <c r="L1447">
        <v>23000</v>
      </c>
      <c r="O1447">
        <v>3000</v>
      </c>
      <c r="P1447">
        <v>1</v>
      </c>
      <c r="Q1447">
        <v>2500</v>
      </c>
    </row>
    <row r="1448" spans="2:22" x14ac:dyDescent="0.25">
      <c r="B1448" t="s">
        <v>158</v>
      </c>
      <c r="C1448">
        <v>41219432</v>
      </c>
      <c r="D1448" t="s">
        <v>707</v>
      </c>
      <c r="E1448">
        <v>1000</v>
      </c>
      <c r="F1448" t="s">
        <v>68</v>
      </c>
      <c r="G1448" t="s">
        <v>278</v>
      </c>
      <c r="H1448" t="s">
        <v>279</v>
      </c>
      <c r="I1448" t="s">
        <v>105</v>
      </c>
      <c r="J1448">
        <v>0</v>
      </c>
      <c r="K1448">
        <v>45426.520057870373</v>
      </c>
      <c r="L1448">
        <v>27000</v>
      </c>
      <c r="O1448">
        <v>2400</v>
      </c>
      <c r="P1448">
        <v>0</v>
      </c>
      <c r="Q1448">
        <v>1000</v>
      </c>
    </row>
    <row r="1449" spans="2:22" x14ac:dyDescent="0.25">
      <c r="B1449" t="s">
        <v>158</v>
      </c>
      <c r="C1449">
        <v>41218317</v>
      </c>
      <c r="D1449" t="s">
        <v>708</v>
      </c>
      <c r="E1449">
        <v>1000</v>
      </c>
      <c r="F1449" t="s">
        <v>68</v>
      </c>
      <c r="G1449" t="s">
        <v>119</v>
      </c>
      <c r="H1449" t="s">
        <v>120</v>
      </c>
      <c r="I1449" t="s">
        <v>105</v>
      </c>
      <c r="J1449">
        <v>0</v>
      </c>
      <c r="K1449">
        <v>45426.520069444443</v>
      </c>
      <c r="L1449">
        <v>20400</v>
      </c>
      <c r="O1449">
        <v>2400</v>
      </c>
      <c r="P1449">
        <v>0</v>
      </c>
      <c r="Q1449">
        <v>1000</v>
      </c>
    </row>
    <row r="1450" spans="2:22" x14ac:dyDescent="0.25">
      <c r="B1450" t="s">
        <v>158</v>
      </c>
      <c r="C1450">
        <v>41218317</v>
      </c>
      <c r="D1450">
        <v>1766</v>
      </c>
      <c r="E1450">
        <v>400</v>
      </c>
      <c r="F1450" t="s">
        <v>68</v>
      </c>
      <c r="G1450" t="s">
        <v>113</v>
      </c>
      <c r="H1450" t="s">
        <v>114</v>
      </c>
      <c r="I1450" t="s">
        <v>105</v>
      </c>
      <c r="J1450">
        <v>0</v>
      </c>
      <c r="K1450">
        <v>45426.52008101852</v>
      </c>
      <c r="L1450">
        <v>2600</v>
      </c>
      <c r="O1450">
        <v>3000</v>
      </c>
      <c r="P1450">
        <v>0</v>
      </c>
      <c r="Q1450">
        <v>400</v>
      </c>
    </row>
    <row r="1451" spans="2:22" x14ac:dyDescent="0.25">
      <c r="B1451" t="s">
        <v>293</v>
      </c>
      <c r="C1451">
        <v>41220789</v>
      </c>
      <c r="D1451" t="s">
        <v>799</v>
      </c>
      <c r="E1451">
        <v>12000</v>
      </c>
      <c r="F1451" t="s">
        <v>68</v>
      </c>
      <c r="G1451" t="s">
        <v>103</v>
      </c>
      <c r="H1451" t="s">
        <v>104</v>
      </c>
      <c r="I1451" t="s">
        <v>105</v>
      </c>
      <c r="J1451">
        <v>0</v>
      </c>
      <c r="K1451">
        <v>45427.619293981479</v>
      </c>
      <c r="L1451">
        <v>76000</v>
      </c>
      <c r="O1451">
        <v>2400</v>
      </c>
      <c r="P1451">
        <v>5</v>
      </c>
      <c r="Q1451">
        <v>0</v>
      </c>
    </row>
    <row r="1452" spans="2:22" x14ac:dyDescent="0.25">
      <c r="B1452" t="s">
        <v>293</v>
      </c>
      <c r="C1452">
        <v>41220789</v>
      </c>
      <c r="D1452">
        <v>1779</v>
      </c>
      <c r="E1452">
        <v>12000</v>
      </c>
      <c r="F1452" t="s">
        <v>68</v>
      </c>
      <c r="G1452" t="s">
        <v>107</v>
      </c>
      <c r="H1452" t="s">
        <v>108</v>
      </c>
      <c r="I1452" t="s">
        <v>105</v>
      </c>
      <c r="J1452">
        <v>0</v>
      </c>
      <c r="K1452">
        <v>45427.619305555556</v>
      </c>
      <c r="L1452">
        <v>112000</v>
      </c>
      <c r="O1452">
        <v>1200</v>
      </c>
      <c r="P1452">
        <v>10</v>
      </c>
      <c r="Q1452">
        <v>0</v>
      </c>
    </row>
    <row r="1453" spans="2:22" x14ac:dyDescent="0.25">
      <c r="B1453" t="s">
        <v>293</v>
      </c>
      <c r="C1453">
        <v>41220788</v>
      </c>
      <c r="D1453" t="s">
        <v>800</v>
      </c>
      <c r="E1453">
        <v>120</v>
      </c>
      <c r="F1453" t="s">
        <v>68</v>
      </c>
      <c r="G1453" t="s">
        <v>485</v>
      </c>
      <c r="H1453" t="s">
        <v>178</v>
      </c>
      <c r="I1453" t="s">
        <v>144</v>
      </c>
      <c r="J1453">
        <v>0</v>
      </c>
      <c r="K1453">
        <v>45427.619317129633</v>
      </c>
      <c r="L1453">
        <v>3320</v>
      </c>
      <c r="O1453">
        <v>100</v>
      </c>
      <c r="P1453">
        <v>1</v>
      </c>
      <c r="Q1453">
        <v>19.999999999999996</v>
      </c>
      <c r="V1453" t="s">
        <v>535</v>
      </c>
    </row>
    <row r="1454" spans="2:22" x14ac:dyDescent="0.25">
      <c r="B1454" t="s">
        <v>293</v>
      </c>
      <c r="C1454">
        <v>41220788</v>
      </c>
      <c r="D1454">
        <v>1776</v>
      </c>
      <c r="E1454">
        <v>288</v>
      </c>
      <c r="F1454" t="s">
        <v>135</v>
      </c>
      <c r="G1454" t="s">
        <v>140</v>
      </c>
      <c r="H1454" t="s">
        <v>137</v>
      </c>
      <c r="I1454" t="s">
        <v>138</v>
      </c>
      <c r="J1454">
        <v>0</v>
      </c>
      <c r="K1454">
        <v>45427.619328703702</v>
      </c>
      <c r="L1454">
        <v>1792</v>
      </c>
      <c r="O1454">
        <v>144</v>
      </c>
      <c r="P1454">
        <v>2</v>
      </c>
      <c r="Q1454">
        <v>0</v>
      </c>
    </row>
    <row r="1455" spans="2:22" x14ac:dyDescent="0.25">
      <c r="B1455" t="s">
        <v>293</v>
      </c>
      <c r="C1455">
        <v>41220317</v>
      </c>
      <c r="D1455" t="s">
        <v>801</v>
      </c>
      <c r="E1455">
        <v>12</v>
      </c>
      <c r="F1455" t="s">
        <v>68</v>
      </c>
      <c r="G1455" t="s">
        <v>166</v>
      </c>
      <c r="H1455" t="s">
        <v>709</v>
      </c>
      <c r="J1455">
        <v>0</v>
      </c>
      <c r="K1455">
        <v>45427.619328703702</v>
      </c>
      <c r="L1455">
        <v>1012</v>
      </c>
      <c r="O1455">
        <v>4</v>
      </c>
      <c r="P1455">
        <v>3</v>
      </c>
      <c r="Q1455">
        <v>0</v>
      </c>
    </row>
    <row r="1456" spans="2:22" x14ac:dyDescent="0.25">
      <c r="B1456" t="s">
        <v>293</v>
      </c>
      <c r="C1456">
        <v>41220908</v>
      </c>
      <c r="D1456" t="s">
        <v>802</v>
      </c>
      <c r="E1456">
        <v>5</v>
      </c>
      <c r="F1456" t="s">
        <v>68</v>
      </c>
      <c r="G1456" t="s">
        <v>182</v>
      </c>
      <c r="H1456" t="s">
        <v>183</v>
      </c>
      <c r="J1456">
        <v>0</v>
      </c>
      <c r="K1456">
        <v>45427.619340277779</v>
      </c>
      <c r="L1456">
        <v>56</v>
      </c>
      <c r="O1456">
        <v>36</v>
      </c>
      <c r="P1456">
        <v>0</v>
      </c>
      <c r="Q1456">
        <v>5</v>
      </c>
    </row>
    <row r="1457" spans="2:22" x14ac:dyDescent="0.25">
      <c r="B1457" t="s">
        <v>293</v>
      </c>
      <c r="C1457">
        <v>41220335</v>
      </c>
      <c r="D1457" t="s">
        <v>803</v>
      </c>
      <c r="E1457">
        <v>240</v>
      </c>
      <c r="F1457" t="s">
        <v>68</v>
      </c>
      <c r="G1457" t="s">
        <v>159</v>
      </c>
      <c r="H1457" t="s">
        <v>556</v>
      </c>
      <c r="I1457" t="s">
        <v>161</v>
      </c>
      <c r="J1457">
        <v>0</v>
      </c>
      <c r="K1457">
        <v>45427.619351851848</v>
      </c>
      <c r="L1457">
        <v>3708</v>
      </c>
      <c r="O1457">
        <v>36</v>
      </c>
      <c r="P1457">
        <v>6</v>
      </c>
      <c r="Q1457">
        <v>24.000000000000011</v>
      </c>
    </row>
    <row r="1458" spans="2:22" x14ac:dyDescent="0.25">
      <c r="B1458" t="s">
        <v>293</v>
      </c>
      <c r="C1458">
        <v>41220338</v>
      </c>
      <c r="D1458" t="s">
        <v>804</v>
      </c>
      <c r="E1458">
        <v>300</v>
      </c>
      <c r="F1458" t="s">
        <v>68</v>
      </c>
      <c r="G1458" t="s">
        <v>163</v>
      </c>
      <c r="H1458" t="s">
        <v>164</v>
      </c>
      <c r="I1458" t="s">
        <v>165</v>
      </c>
      <c r="J1458">
        <v>0</v>
      </c>
      <c r="K1458">
        <v>45427.619363425925</v>
      </c>
      <c r="L1458">
        <v>3562</v>
      </c>
      <c r="O1458">
        <v>12</v>
      </c>
      <c r="P1458">
        <v>25</v>
      </c>
      <c r="Q1458">
        <v>0</v>
      </c>
    </row>
    <row r="1459" spans="2:22" x14ac:dyDescent="0.25">
      <c r="B1459" t="s">
        <v>293</v>
      </c>
      <c r="C1459">
        <v>41220910</v>
      </c>
      <c r="D1459" t="s">
        <v>805</v>
      </c>
      <c r="E1459">
        <v>12</v>
      </c>
      <c r="F1459" t="s">
        <v>68</v>
      </c>
      <c r="G1459" t="s">
        <v>483</v>
      </c>
      <c r="H1459" t="s">
        <v>150</v>
      </c>
      <c r="I1459" t="s">
        <v>144</v>
      </c>
      <c r="J1459">
        <v>0</v>
      </c>
      <c r="K1459">
        <v>45427.619375000002</v>
      </c>
      <c r="L1459">
        <v>306</v>
      </c>
      <c r="O1459">
        <v>4</v>
      </c>
      <c r="P1459">
        <v>3</v>
      </c>
      <c r="Q1459">
        <v>0</v>
      </c>
    </row>
    <row r="1460" spans="2:22" x14ac:dyDescent="0.25">
      <c r="B1460" t="s">
        <v>293</v>
      </c>
      <c r="C1460">
        <v>41220883</v>
      </c>
      <c r="D1460" t="s">
        <v>806</v>
      </c>
      <c r="E1460">
        <v>3</v>
      </c>
      <c r="F1460" t="s">
        <v>68</v>
      </c>
      <c r="G1460" t="s">
        <v>482</v>
      </c>
      <c r="H1460" t="s">
        <v>148</v>
      </c>
      <c r="I1460" t="s">
        <v>144</v>
      </c>
      <c r="J1460">
        <v>0</v>
      </c>
      <c r="K1460">
        <v>45427.619375000002</v>
      </c>
      <c r="L1460">
        <v>320</v>
      </c>
      <c r="O1460">
        <v>24</v>
      </c>
      <c r="P1460">
        <v>0</v>
      </c>
      <c r="Q1460">
        <v>3</v>
      </c>
    </row>
    <row r="1461" spans="2:22" x14ac:dyDescent="0.25">
      <c r="B1461" t="s">
        <v>293</v>
      </c>
      <c r="C1461">
        <v>41219252</v>
      </c>
      <c r="D1461" t="s">
        <v>807</v>
      </c>
      <c r="E1461">
        <v>700</v>
      </c>
      <c r="F1461" t="s">
        <v>68</v>
      </c>
      <c r="G1461" t="s">
        <v>155</v>
      </c>
      <c r="H1461" t="s">
        <v>156</v>
      </c>
      <c r="J1461">
        <v>0</v>
      </c>
      <c r="K1461">
        <v>45427.619386574072</v>
      </c>
      <c r="L1461">
        <v>1766</v>
      </c>
      <c r="O1461">
        <v>24</v>
      </c>
      <c r="P1461">
        <v>29</v>
      </c>
      <c r="Q1461">
        <v>4.0000000000000284</v>
      </c>
    </row>
    <row r="1462" spans="2:22" x14ac:dyDescent="0.25">
      <c r="B1462" t="s">
        <v>293</v>
      </c>
      <c r="C1462">
        <v>41219951</v>
      </c>
      <c r="D1462" t="s">
        <v>808</v>
      </c>
      <c r="E1462">
        <v>200</v>
      </c>
      <c r="F1462" t="s">
        <v>68</v>
      </c>
      <c r="G1462" t="s">
        <v>153</v>
      </c>
      <c r="H1462" t="s">
        <v>154</v>
      </c>
      <c r="I1462" t="s">
        <v>105</v>
      </c>
      <c r="J1462">
        <v>0</v>
      </c>
      <c r="K1462">
        <v>45427.619398148148</v>
      </c>
      <c r="L1462">
        <v>600</v>
      </c>
      <c r="O1462">
        <v>100</v>
      </c>
      <c r="P1462">
        <v>2</v>
      </c>
      <c r="Q1462">
        <v>0</v>
      </c>
    </row>
    <row r="1463" spans="2:22" x14ac:dyDescent="0.25">
      <c r="B1463" t="s">
        <v>293</v>
      </c>
      <c r="C1463">
        <v>41219425</v>
      </c>
      <c r="D1463" t="s">
        <v>809</v>
      </c>
      <c r="E1463">
        <v>10000</v>
      </c>
      <c r="F1463" t="s">
        <v>68</v>
      </c>
      <c r="G1463" t="s">
        <v>123</v>
      </c>
      <c r="H1463" t="s">
        <v>124</v>
      </c>
      <c r="I1463" t="s">
        <v>105</v>
      </c>
      <c r="J1463">
        <v>0</v>
      </c>
      <c r="K1463">
        <v>45427.619409722225</v>
      </c>
      <c r="L1463">
        <v>105600</v>
      </c>
      <c r="O1463">
        <v>2400</v>
      </c>
      <c r="P1463">
        <v>4</v>
      </c>
      <c r="Q1463">
        <v>400.00000000000068</v>
      </c>
    </row>
    <row r="1464" spans="2:22" x14ac:dyDescent="0.25">
      <c r="B1464" t="s">
        <v>293</v>
      </c>
      <c r="C1464">
        <v>41219425</v>
      </c>
      <c r="D1464">
        <v>1780</v>
      </c>
      <c r="E1464">
        <v>10</v>
      </c>
      <c r="F1464" t="s">
        <v>68</v>
      </c>
      <c r="G1464" t="s">
        <v>357</v>
      </c>
      <c r="H1464" t="s">
        <v>181</v>
      </c>
      <c r="J1464">
        <v>0</v>
      </c>
      <c r="K1464">
        <v>45427.619409722225</v>
      </c>
      <c r="L1464">
        <v>58</v>
      </c>
      <c r="O1464">
        <v>40</v>
      </c>
      <c r="P1464">
        <v>0</v>
      </c>
      <c r="Q1464">
        <v>10</v>
      </c>
    </row>
    <row r="1465" spans="2:22" x14ac:dyDescent="0.25">
      <c r="B1465" t="s">
        <v>293</v>
      </c>
      <c r="C1465">
        <v>41220347</v>
      </c>
      <c r="D1465" t="s">
        <v>810</v>
      </c>
      <c r="E1465">
        <v>100</v>
      </c>
      <c r="F1465" t="s">
        <v>68</v>
      </c>
      <c r="G1465" t="s">
        <v>151</v>
      </c>
      <c r="H1465" t="s">
        <v>152</v>
      </c>
      <c r="I1465" t="s">
        <v>105</v>
      </c>
      <c r="J1465">
        <v>0</v>
      </c>
      <c r="K1465">
        <v>45427.619432870371</v>
      </c>
      <c r="L1465">
        <v>1196</v>
      </c>
      <c r="O1465">
        <v>200</v>
      </c>
      <c r="P1465">
        <v>0</v>
      </c>
      <c r="Q1465">
        <v>100</v>
      </c>
      <c r="V1465" t="s">
        <v>811</v>
      </c>
    </row>
    <row r="1466" spans="2:22" x14ac:dyDescent="0.25">
      <c r="B1466" t="s">
        <v>293</v>
      </c>
      <c r="C1466">
        <v>41220007</v>
      </c>
      <c r="D1466" t="s">
        <v>778</v>
      </c>
      <c r="E1466">
        <v>40</v>
      </c>
      <c r="F1466" t="s">
        <v>127</v>
      </c>
      <c r="G1466" t="s">
        <v>131</v>
      </c>
      <c r="H1466" t="s">
        <v>132</v>
      </c>
      <c r="I1466" t="s">
        <v>130</v>
      </c>
      <c r="J1466">
        <v>0</v>
      </c>
      <c r="K1466">
        <v>45427.659502314818</v>
      </c>
      <c r="L1466">
        <v>4150</v>
      </c>
      <c r="O1466">
        <v>10</v>
      </c>
      <c r="P1466">
        <v>4</v>
      </c>
      <c r="Q1466">
        <v>0</v>
      </c>
      <c r="V1466" t="s">
        <v>554</v>
      </c>
    </row>
    <row r="1467" spans="2:22" x14ac:dyDescent="0.25">
      <c r="B1467" t="s">
        <v>158</v>
      </c>
      <c r="C1467">
        <v>41221106</v>
      </c>
      <c r="D1467" t="s">
        <v>781</v>
      </c>
      <c r="E1467">
        <v>100</v>
      </c>
      <c r="F1467" t="s">
        <v>68</v>
      </c>
      <c r="G1467" t="s">
        <v>110</v>
      </c>
      <c r="H1467" t="s">
        <v>111</v>
      </c>
      <c r="I1467" t="s">
        <v>105</v>
      </c>
      <c r="J1467">
        <v>0</v>
      </c>
      <c r="K1467">
        <v>45427.659537037034</v>
      </c>
      <c r="L1467">
        <v>2100</v>
      </c>
      <c r="O1467">
        <v>2400</v>
      </c>
      <c r="P1467">
        <v>0</v>
      </c>
      <c r="Q1467">
        <v>100</v>
      </c>
    </row>
    <row r="1468" spans="2:22" x14ac:dyDescent="0.25">
      <c r="B1468" t="s">
        <v>158</v>
      </c>
      <c r="C1468">
        <v>41221115</v>
      </c>
      <c r="D1468" t="s">
        <v>784</v>
      </c>
      <c r="E1468">
        <v>5600</v>
      </c>
      <c r="F1468" t="s">
        <v>68</v>
      </c>
      <c r="G1468" t="s">
        <v>123</v>
      </c>
      <c r="H1468" t="s">
        <v>124</v>
      </c>
      <c r="I1468" t="s">
        <v>105</v>
      </c>
      <c r="J1468">
        <v>0</v>
      </c>
      <c r="K1468">
        <v>45427.659571759257</v>
      </c>
      <c r="L1468">
        <v>100000</v>
      </c>
      <c r="O1468">
        <v>2400</v>
      </c>
      <c r="P1468">
        <v>2</v>
      </c>
      <c r="Q1468">
        <v>800.00000000000034</v>
      </c>
    </row>
    <row r="1469" spans="2:22" x14ac:dyDescent="0.25">
      <c r="B1469" t="s">
        <v>158</v>
      </c>
      <c r="C1469">
        <v>41219432</v>
      </c>
      <c r="D1469" t="s">
        <v>787</v>
      </c>
      <c r="E1469">
        <v>5000</v>
      </c>
      <c r="F1469" t="s">
        <v>68</v>
      </c>
      <c r="G1469" t="s">
        <v>107</v>
      </c>
      <c r="H1469" t="s">
        <v>108</v>
      </c>
      <c r="I1469" t="s">
        <v>105</v>
      </c>
      <c r="J1469">
        <v>0</v>
      </c>
      <c r="K1469">
        <v>45427.65960648148</v>
      </c>
      <c r="L1469">
        <v>107000</v>
      </c>
      <c r="O1469">
        <v>1200</v>
      </c>
      <c r="P1469">
        <v>4</v>
      </c>
      <c r="Q1469">
        <v>200.00000000000034</v>
      </c>
    </row>
    <row r="1470" spans="2:22" x14ac:dyDescent="0.25">
      <c r="B1470" t="s">
        <v>158</v>
      </c>
      <c r="C1470">
        <v>41219444</v>
      </c>
      <c r="D1470" t="s">
        <v>790</v>
      </c>
      <c r="E1470">
        <v>2900</v>
      </c>
      <c r="F1470" t="s">
        <v>68</v>
      </c>
      <c r="G1470" t="s">
        <v>125</v>
      </c>
      <c r="H1470" t="s">
        <v>126</v>
      </c>
      <c r="I1470" t="s">
        <v>105</v>
      </c>
      <c r="J1470">
        <v>0</v>
      </c>
      <c r="K1470">
        <v>45427.65965277778</v>
      </c>
      <c r="L1470">
        <v>1200</v>
      </c>
      <c r="O1470">
        <v>2400</v>
      </c>
      <c r="P1470">
        <v>1</v>
      </c>
      <c r="Q1470">
        <v>499.99999999999983</v>
      </c>
    </row>
    <row r="1471" spans="2:22" x14ac:dyDescent="0.25">
      <c r="B1471" t="s">
        <v>158</v>
      </c>
      <c r="C1471">
        <v>41221001</v>
      </c>
      <c r="D1471" t="s">
        <v>812</v>
      </c>
      <c r="E1471">
        <v>5000</v>
      </c>
      <c r="F1471" t="s">
        <v>68</v>
      </c>
      <c r="G1471" t="s">
        <v>170</v>
      </c>
      <c r="H1471" t="s">
        <v>171</v>
      </c>
      <c r="I1471" t="s">
        <v>105</v>
      </c>
      <c r="J1471">
        <v>0</v>
      </c>
      <c r="K1471">
        <v>45428.534722222219</v>
      </c>
      <c r="L1471">
        <v>5400</v>
      </c>
      <c r="O1471">
        <v>2400</v>
      </c>
      <c r="P1471">
        <v>2</v>
      </c>
      <c r="Q1471">
        <v>200.00000000000034</v>
      </c>
    </row>
    <row r="1472" spans="2:22" x14ac:dyDescent="0.25">
      <c r="B1472" t="s">
        <v>158</v>
      </c>
      <c r="C1472">
        <v>41220007</v>
      </c>
      <c r="D1472" t="s">
        <v>813</v>
      </c>
      <c r="E1472">
        <v>40</v>
      </c>
      <c r="F1472" t="s">
        <v>127</v>
      </c>
      <c r="G1472" t="s">
        <v>131</v>
      </c>
      <c r="H1472" t="s">
        <v>132</v>
      </c>
      <c r="I1472" t="s">
        <v>130</v>
      </c>
      <c r="J1472">
        <v>0</v>
      </c>
      <c r="K1472">
        <v>45428.534768518519</v>
      </c>
      <c r="L1472">
        <v>4110</v>
      </c>
      <c r="O1472">
        <v>10</v>
      </c>
      <c r="P1472">
        <v>4</v>
      </c>
      <c r="Q1472">
        <v>0</v>
      </c>
      <c r="V1472" t="s">
        <v>554</v>
      </c>
    </row>
    <row r="1473" spans="2:22" x14ac:dyDescent="0.25">
      <c r="B1473" t="s">
        <v>158</v>
      </c>
      <c r="C1473">
        <v>41219386</v>
      </c>
      <c r="D1473" t="s">
        <v>814</v>
      </c>
      <c r="E1473">
        <v>1000</v>
      </c>
      <c r="F1473" t="s">
        <v>68</v>
      </c>
      <c r="G1473" t="s">
        <v>119</v>
      </c>
      <c r="H1473" t="s">
        <v>120</v>
      </c>
      <c r="I1473" t="s">
        <v>105</v>
      </c>
      <c r="J1473">
        <v>0</v>
      </c>
      <c r="K1473">
        <v>45428.534803240742</v>
      </c>
      <c r="L1473">
        <v>19400</v>
      </c>
      <c r="O1473">
        <v>2400</v>
      </c>
      <c r="P1473">
        <v>0</v>
      </c>
      <c r="Q1473">
        <v>1000</v>
      </c>
    </row>
    <row r="1474" spans="2:22" x14ac:dyDescent="0.25">
      <c r="B1474" t="s">
        <v>158</v>
      </c>
      <c r="C1474" t="s">
        <v>721</v>
      </c>
      <c r="D1474" t="s">
        <v>815</v>
      </c>
      <c r="E1474">
        <v>5000</v>
      </c>
      <c r="F1474" t="s">
        <v>68</v>
      </c>
      <c r="G1474" t="s">
        <v>103</v>
      </c>
      <c r="H1474" t="s">
        <v>104</v>
      </c>
      <c r="I1474" t="s">
        <v>105</v>
      </c>
      <c r="J1474">
        <v>0</v>
      </c>
      <c r="K1474">
        <v>45429.387453703705</v>
      </c>
      <c r="L1474">
        <v>71000</v>
      </c>
      <c r="O1474">
        <v>2400</v>
      </c>
      <c r="P1474">
        <v>2</v>
      </c>
      <c r="Q1474">
        <v>200.00000000000034</v>
      </c>
    </row>
    <row r="1475" spans="2:22" x14ac:dyDescent="0.25">
      <c r="B1475" t="s">
        <v>158</v>
      </c>
      <c r="C1475">
        <v>41221172</v>
      </c>
      <c r="D1475" t="s">
        <v>816</v>
      </c>
      <c r="E1475">
        <v>1200</v>
      </c>
      <c r="F1475" t="s">
        <v>68</v>
      </c>
      <c r="G1475" t="s">
        <v>163</v>
      </c>
      <c r="H1475" t="s">
        <v>164</v>
      </c>
      <c r="I1475" t="s">
        <v>165</v>
      </c>
      <c r="J1475">
        <v>0</v>
      </c>
      <c r="K1475">
        <v>45432.350428240738</v>
      </c>
      <c r="L1475">
        <v>2362</v>
      </c>
      <c r="O1475">
        <v>12</v>
      </c>
      <c r="P1475">
        <v>100</v>
      </c>
      <c r="Q1475">
        <v>0</v>
      </c>
    </row>
    <row r="1476" spans="2:22" x14ac:dyDescent="0.25">
      <c r="B1476" t="s">
        <v>158</v>
      </c>
      <c r="C1476">
        <v>41221172</v>
      </c>
      <c r="D1476">
        <v>649</v>
      </c>
      <c r="E1476">
        <v>10000</v>
      </c>
      <c r="F1476" t="s">
        <v>68</v>
      </c>
      <c r="G1476" t="s">
        <v>103</v>
      </c>
      <c r="H1476" t="s">
        <v>104</v>
      </c>
      <c r="I1476" t="s">
        <v>105</v>
      </c>
      <c r="J1476">
        <v>0</v>
      </c>
      <c r="K1476">
        <v>45432.350462962961</v>
      </c>
      <c r="L1476">
        <v>61000</v>
      </c>
      <c r="O1476">
        <v>2400</v>
      </c>
      <c r="P1476">
        <v>4</v>
      </c>
      <c r="Q1476">
        <v>400.00000000000068</v>
      </c>
      <c r="V1476" t="s">
        <v>811</v>
      </c>
    </row>
    <row r="1477" spans="2:22" x14ac:dyDescent="0.25">
      <c r="B1477" t="s">
        <v>158</v>
      </c>
      <c r="C1477">
        <v>41221172</v>
      </c>
      <c r="D1477">
        <v>649</v>
      </c>
      <c r="E1477">
        <v>120</v>
      </c>
      <c r="F1477" t="s">
        <v>68</v>
      </c>
      <c r="G1477" t="s">
        <v>151</v>
      </c>
      <c r="H1477" t="s">
        <v>152</v>
      </c>
      <c r="I1477" t="s">
        <v>105</v>
      </c>
      <c r="J1477">
        <v>0</v>
      </c>
      <c r="K1477">
        <v>45432.350497685184</v>
      </c>
      <c r="L1477">
        <v>1076</v>
      </c>
      <c r="O1477">
        <v>200</v>
      </c>
      <c r="P1477">
        <v>0</v>
      </c>
      <c r="Q1477">
        <v>120</v>
      </c>
      <c r="V1477" t="s">
        <v>811</v>
      </c>
    </row>
    <row r="1478" spans="2:22" x14ac:dyDescent="0.25">
      <c r="B1478">
        <v>91650</v>
      </c>
      <c r="E1478">
        <v>2016</v>
      </c>
      <c r="F1478" t="s">
        <v>68</v>
      </c>
      <c r="G1478" t="s">
        <v>142</v>
      </c>
      <c r="H1478" t="s">
        <v>817</v>
      </c>
      <c r="J1478">
        <v>1</v>
      </c>
      <c r="K1478">
        <v>45432.671770833331</v>
      </c>
      <c r="L1478">
        <v>2568</v>
      </c>
      <c r="M1478" t="s">
        <v>818</v>
      </c>
      <c r="O1478">
        <v>24</v>
      </c>
      <c r="P1478">
        <v>84</v>
      </c>
      <c r="Q1478">
        <v>0</v>
      </c>
    </row>
    <row r="1479" spans="2:22" x14ac:dyDescent="0.25">
      <c r="B1479" t="s">
        <v>819</v>
      </c>
      <c r="E1479">
        <v>1200</v>
      </c>
      <c r="F1479" t="s">
        <v>127</v>
      </c>
      <c r="G1479" t="s">
        <v>128</v>
      </c>
      <c r="H1479" t="s">
        <v>129</v>
      </c>
      <c r="I1479" t="s">
        <v>130</v>
      </c>
      <c r="J1479">
        <v>1</v>
      </c>
      <c r="K1479">
        <v>45432.672280092593</v>
      </c>
      <c r="L1479">
        <v>5360</v>
      </c>
      <c r="M1479">
        <v>45428</v>
      </c>
      <c r="O1479">
        <v>10</v>
      </c>
      <c r="P1479">
        <v>120</v>
      </c>
      <c r="Q1479">
        <v>0</v>
      </c>
      <c r="V1479" t="s">
        <v>554</v>
      </c>
    </row>
    <row r="1480" spans="2:22" x14ac:dyDescent="0.25">
      <c r="B1480" t="s">
        <v>819</v>
      </c>
      <c r="E1480">
        <v>320</v>
      </c>
      <c r="F1480" t="s">
        <v>127</v>
      </c>
      <c r="G1480" t="s">
        <v>133</v>
      </c>
      <c r="H1480" t="s">
        <v>134</v>
      </c>
      <c r="I1480" t="s">
        <v>130</v>
      </c>
      <c r="J1480">
        <v>1</v>
      </c>
      <c r="K1480">
        <v>45432.672314814816</v>
      </c>
      <c r="L1480">
        <v>2480</v>
      </c>
      <c r="M1480">
        <v>45428</v>
      </c>
      <c r="O1480">
        <v>10</v>
      </c>
      <c r="P1480">
        <v>32</v>
      </c>
      <c r="Q1480">
        <v>0</v>
      </c>
      <c r="V1480" t="s">
        <v>554</v>
      </c>
    </row>
    <row r="1481" spans="2:22" x14ac:dyDescent="0.25">
      <c r="B1481" t="s">
        <v>293</v>
      </c>
      <c r="C1481">
        <v>41219425</v>
      </c>
      <c r="D1481" t="s">
        <v>820</v>
      </c>
      <c r="E1481">
        <v>20000</v>
      </c>
      <c r="F1481" t="s">
        <v>68</v>
      </c>
      <c r="G1481" t="s">
        <v>123</v>
      </c>
      <c r="H1481" t="s">
        <v>124</v>
      </c>
      <c r="I1481" t="s">
        <v>105</v>
      </c>
      <c r="J1481">
        <v>0</v>
      </c>
      <c r="K1481">
        <v>45433.516608796293</v>
      </c>
      <c r="L1481">
        <v>80000</v>
      </c>
      <c r="O1481">
        <v>2400</v>
      </c>
      <c r="P1481">
        <v>8</v>
      </c>
      <c r="Q1481">
        <v>800.00000000000136</v>
      </c>
    </row>
    <row r="1482" spans="2:22" x14ac:dyDescent="0.25">
      <c r="B1482" t="s">
        <v>293</v>
      </c>
      <c r="C1482">
        <v>41220883</v>
      </c>
      <c r="D1482" t="s">
        <v>821</v>
      </c>
      <c r="E1482">
        <v>10</v>
      </c>
      <c r="F1482" t="s">
        <v>68</v>
      </c>
      <c r="G1482" t="s">
        <v>482</v>
      </c>
      <c r="H1482" t="s">
        <v>148</v>
      </c>
      <c r="I1482" t="s">
        <v>144</v>
      </c>
      <c r="J1482">
        <v>0</v>
      </c>
      <c r="K1482">
        <v>45433.51666666667</v>
      </c>
      <c r="L1482">
        <v>310</v>
      </c>
      <c r="O1482">
        <v>24</v>
      </c>
      <c r="P1482">
        <v>0</v>
      </c>
      <c r="Q1482">
        <v>10</v>
      </c>
    </row>
    <row r="1483" spans="2:22" x14ac:dyDescent="0.25">
      <c r="B1483" t="s">
        <v>293</v>
      </c>
      <c r="C1483">
        <v>41218405</v>
      </c>
      <c r="D1483" t="s">
        <v>822</v>
      </c>
      <c r="E1483">
        <v>400</v>
      </c>
      <c r="F1483" t="s">
        <v>68</v>
      </c>
      <c r="G1483" t="s">
        <v>355</v>
      </c>
      <c r="H1483" t="s">
        <v>149</v>
      </c>
      <c r="I1483" t="s">
        <v>144</v>
      </c>
      <c r="J1483">
        <v>0</v>
      </c>
      <c r="K1483">
        <v>45434.342291666668</v>
      </c>
      <c r="L1483">
        <v>3886</v>
      </c>
      <c r="O1483">
        <v>60</v>
      </c>
      <c r="P1483">
        <v>6</v>
      </c>
      <c r="Q1483">
        <v>40.000000000000014</v>
      </c>
      <c r="V1483" t="s">
        <v>555</v>
      </c>
    </row>
    <row r="1484" spans="2:22" x14ac:dyDescent="0.25">
      <c r="B1484" t="s">
        <v>293</v>
      </c>
      <c r="C1484">
        <v>41220607</v>
      </c>
      <c r="D1484" t="s">
        <v>823</v>
      </c>
      <c r="E1484">
        <v>35</v>
      </c>
      <c r="F1484" t="s">
        <v>68</v>
      </c>
      <c r="G1484" t="s">
        <v>490</v>
      </c>
      <c r="H1484" t="s">
        <v>233</v>
      </c>
      <c r="I1484" t="s">
        <v>234</v>
      </c>
      <c r="J1484">
        <v>0</v>
      </c>
      <c r="K1484">
        <v>45433.516747685186</v>
      </c>
      <c r="L1484">
        <v>0</v>
      </c>
      <c r="O1484">
        <v>1</v>
      </c>
      <c r="P1484">
        <v>35</v>
      </c>
      <c r="Q1484">
        <v>0</v>
      </c>
    </row>
    <row r="1485" spans="2:22" x14ac:dyDescent="0.25">
      <c r="B1485" t="s">
        <v>293</v>
      </c>
      <c r="C1485">
        <v>41220910</v>
      </c>
      <c r="D1485" t="s">
        <v>824</v>
      </c>
      <c r="E1485">
        <v>12</v>
      </c>
      <c r="F1485" t="s">
        <v>68</v>
      </c>
      <c r="G1485" t="s">
        <v>483</v>
      </c>
      <c r="H1485" t="s">
        <v>150</v>
      </c>
      <c r="I1485" t="s">
        <v>144</v>
      </c>
      <c r="J1485">
        <v>0</v>
      </c>
      <c r="K1485">
        <v>45434.577881944446</v>
      </c>
      <c r="L1485">
        <v>294</v>
      </c>
      <c r="O1485">
        <v>4</v>
      </c>
      <c r="P1485">
        <v>3</v>
      </c>
      <c r="Q1485">
        <v>0</v>
      </c>
    </row>
    <row r="1486" spans="2:22" x14ac:dyDescent="0.25">
      <c r="B1486" t="s">
        <v>293</v>
      </c>
      <c r="C1486">
        <v>41219951</v>
      </c>
      <c r="D1486" t="s">
        <v>825</v>
      </c>
      <c r="E1486">
        <v>300</v>
      </c>
      <c r="F1486" t="s">
        <v>68</v>
      </c>
      <c r="G1486" t="s">
        <v>153</v>
      </c>
      <c r="H1486" t="s">
        <v>154</v>
      </c>
      <c r="I1486" t="s">
        <v>105</v>
      </c>
      <c r="J1486">
        <v>0</v>
      </c>
      <c r="K1486">
        <v>45434.578159722223</v>
      </c>
      <c r="L1486">
        <v>300</v>
      </c>
      <c r="O1486">
        <v>100</v>
      </c>
      <c r="P1486">
        <v>3</v>
      </c>
      <c r="Q1486">
        <v>0</v>
      </c>
    </row>
    <row r="1487" spans="2:22" x14ac:dyDescent="0.25">
      <c r="B1487" t="s">
        <v>293</v>
      </c>
      <c r="C1487">
        <v>41220789</v>
      </c>
      <c r="D1487" t="s">
        <v>826</v>
      </c>
      <c r="E1487">
        <v>15000</v>
      </c>
      <c r="F1487" t="s">
        <v>68</v>
      </c>
      <c r="G1487" t="s">
        <v>103</v>
      </c>
      <c r="H1487" t="s">
        <v>104</v>
      </c>
      <c r="I1487" t="s">
        <v>105</v>
      </c>
      <c r="J1487">
        <v>0</v>
      </c>
      <c r="K1487">
        <v>45434.578182870369</v>
      </c>
      <c r="L1487">
        <v>46000</v>
      </c>
      <c r="O1487">
        <v>2400</v>
      </c>
      <c r="P1487">
        <v>6</v>
      </c>
      <c r="Q1487">
        <v>600</v>
      </c>
    </row>
    <row r="1488" spans="2:22" x14ac:dyDescent="0.25">
      <c r="B1488" t="s">
        <v>293</v>
      </c>
      <c r="C1488">
        <v>41219425</v>
      </c>
      <c r="D1488" t="s">
        <v>827</v>
      </c>
      <c r="E1488">
        <v>16000</v>
      </c>
      <c r="F1488" t="s">
        <v>68</v>
      </c>
      <c r="G1488" t="s">
        <v>123</v>
      </c>
      <c r="H1488" t="s">
        <v>124</v>
      </c>
      <c r="I1488" t="s">
        <v>105</v>
      </c>
      <c r="J1488">
        <v>0</v>
      </c>
      <c r="K1488">
        <v>45434.578206018516</v>
      </c>
      <c r="L1488">
        <v>64000</v>
      </c>
      <c r="O1488">
        <v>2400</v>
      </c>
      <c r="P1488">
        <v>6</v>
      </c>
      <c r="Q1488">
        <v>1600.0000000000007</v>
      </c>
    </row>
    <row r="1489" spans="2:22" x14ac:dyDescent="0.25">
      <c r="B1489" t="s">
        <v>293</v>
      </c>
      <c r="C1489">
        <v>41220788</v>
      </c>
      <c r="D1489" t="s">
        <v>828</v>
      </c>
      <c r="E1489">
        <v>400</v>
      </c>
      <c r="F1489" t="s">
        <v>68</v>
      </c>
      <c r="G1489" t="s">
        <v>485</v>
      </c>
      <c r="H1489" t="s">
        <v>178</v>
      </c>
      <c r="I1489" t="s">
        <v>144</v>
      </c>
      <c r="J1489">
        <v>0</v>
      </c>
      <c r="K1489">
        <v>45434.578217592592</v>
      </c>
      <c r="L1489">
        <v>2920</v>
      </c>
      <c r="O1489">
        <v>100</v>
      </c>
      <c r="P1489">
        <v>4</v>
      </c>
      <c r="Q1489">
        <v>0</v>
      </c>
      <c r="V1489" t="s">
        <v>798</v>
      </c>
    </row>
    <row r="1490" spans="2:22" x14ac:dyDescent="0.25">
      <c r="B1490" t="s">
        <v>293</v>
      </c>
      <c r="C1490">
        <v>41220883</v>
      </c>
      <c r="D1490" t="s">
        <v>829</v>
      </c>
      <c r="E1490">
        <v>11</v>
      </c>
      <c r="F1490" t="s">
        <v>68</v>
      </c>
      <c r="G1490" t="s">
        <v>482</v>
      </c>
      <c r="H1490" t="s">
        <v>148</v>
      </c>
      <c r="I1490" t="s">
        <v>144</v>
      </c>
      <c r="J1490">
        <v>0</v>
      </c>
      <c r="K1490">
        <v>45434.578240740739</v>
      </c>
      <c r="L1490">
        <v>299</v>
      </c>
      <c r="O1490">
        <v>24</v>
      </c>
      <c r="P1490">
        <v>0</v>
      </c>
      <c r="Q1490">
        <v>11</v>
      </c>
    </row>
    <row r="1491" spans="2:22" x14ac:dyDescent="0.25">
      <c r="B1491" t="s">
        <v>158</v>
      </c>
      <c r="C1491">
        <v>41219432</v>
      </c>
      <c r="D1491" t="s">
        <v>830</v>
      </c>
      <c r="E1491">
        <v>7000</v>
      </c>
      <c r="F1491" t="s">
        <v>68</v>
      </c>
      <c r="G1491" t="s">
        <v>107</v>
      </c>
      <c r="H1491" t="s">
        <v>108</v>
      </c>
      <c r="I1491" t="s">
        <v>105</v>
      </c>
      <c r="J1491">
        <v>0</v>
      </c>
      <c r="K1491">
        <v>45434.593090277776</v>
      </c>
      <c r="L1491">
        <v>100000</v>
      </c>
      <c r="O1491">
        <v>1200</v>
      </c>
      <c r="P1491">
        <v>5</v>
      </c>
      <c r="Q1491">
        <v>999.99999999999966</v>
      </c>
    </row>
    <row r="1492" spans="2:22" x14ac:dyDescent="0.25">
      <c r="B1492" t="s">
        <v>158</v>
      </c>
      <c r="C1492">
        <v>41221172</v>
      </c>
      <c r="D1492" t="s">
        <v>831</v>
      </c>
      <c r="E1492">
        <v>100</v>
      </c>
      <c r="F1492" t="s">
        <v>68</v>
      </c>
      <c r="G1492" t="s">
        <v>155</v>
      </c>
      <c r="H1492" t="s">
        <v>156</v>
      </c>
      <c r="J1492">
        <v>0</v>
      </c>
      <c r="K1492">
        <v>45435.357569444444</v>
      </c>
      <c r="L1492">
        <v>1666</v>
      </c>
      <c r="O1492">
        <v>24</v>
      </c>
      <c r="P1492">
        <v>4</v>
      </c>
      <c r="Q1492">
        <v>4.0000000000000071</v>
      </c>
    </row>
    <row r="1493" spans="2:22" x14ac:dyDescent="0.25">
      <c r="B1493" t="s">
        <v>293</v>
      </c>
      <c r="C1493">
        <v>41220789</v>
      </c>
      <c r="D1493" t="s">
        <v>832</v>
      </c>
      <c r="E1493">
        <v>15000</v>
      </c>
      <c r="F1493" t="s">
        <v>68</v>
      </c>
      <c r="G1493" t="s">
        <v>107</v>
      </c>
      <c r="H1493" t="s">
        <v>108</v>
      </c>
      <c r="I1493" t="s">
        <v>105</v>
      </c>
      <c r="J1493">
        <v>0</v>
      </c>
      <c r="K1493">
        <v>45435.484548611108</v>
      </c>
      <c r="L1493">
        <v>85000</v>
      </c>
      <c r="O1493">
        <v>1200</v>
      </c>
      <c r="P1493">
        <v>12</v>
      </c>
      <c r="Q1493">
        <v>600</v>
      </c>
    </row>
    <row r="1494" spans="2:22" x14ac:dyDescent="0.25">
      <c r="B1494" t="s">
        <v>158</v>
      </c>
      <c r="C1494">
        <v>41221001</v>
      </c>
      <c r="D1494" t="s">
        <v>833</v>
      </c>
      <c r="E1494">
        <v>3600</v>
      </c>
      <c r="F1494" t="s">
        <v>68</v>
      </c>
      <c r="G1494" t="s">
        <v>170</v>
      </c>
      <c r="H1494" t="s">
        <v>171</v>
      </c>
      <c r="I1494" t="s">
        <v>105</v>
      </c>
      <c r="J1494">
        <v>1</v>
      </c>
      <c r="K1494">
        <v>45435.759606481479</v>
      </c>
      <c r="L1494">
        <v>5400</v>
      </c>
      <c r="O1494">
        <v>2400</v>
      </c>
      <c r="P1494">
        <v>1</v>
      </c>
      <c r="Q1494">
        <v>1200</v>
      </c>
    </row>
    <row r="1495" spans="2:22" x14ac:dyDescent="0.25">
      <c r="B1495" t="s">
        <v>158</v>
      </c>
      <c r="C1495" t="s">
        <v>723</v>
      </c>
      <c r="D1495" t="s">
        <v>834</v>
      </c>
      <c r="E1495">
        <v>5000</v>
      </c>
      <c r="F1495" t="s">
        <v>68</v>
      </c>
      <c r="G1495" t="s">
        <v>107</v>
      </c>
      <c r="H1495" t="s">
        <v>108</v>
      </c>
      <c r="I1495" t="s">
        <v>105</v>
      </c>
      <c r="J1495">
        <v>0</v>
      </c>
      <c r="K1495">
        <v>45435.606805555559</v>
      </c>
      <c r="L1495">
        <v>80000</v>
      </c>
      <c r="O1495">
        <v>1200</v>
      </c>
      <c r="P1495">
        <v>4</v>
      </c>
      <c r="Q1495">
        <v>200.00000000000034</v>
      </c>
    </row>
    <row r="1496" spans="2:22" x14ac:dyDescent="0.25">
      <c r="B1496" t="s">
        <v>158</v>
      </c>
      <c r="C1496">
        <v>41221001</v>
      </c>
      <c r="D1496" t="s">
        <v>835</v>
      </c>
      <c r="E1496">
        <v>3400</v>
      </c>
      <c r="F1496" t="s">
        <v>68</v>
      </c>
      <c r="G1496" t="s">
        <v>170</v>
      </c>
      <c r="H1496" t="s">
        <v>171</v>
      </c>
      <c r="I1496" t="s">
        <v>105</v>
      </c>
      <c r="J1496">
        <v>0</v>
      </c>
      <c r="K1496">
        <v>45435.761261574073</v>
      </c>
      <c r="L1496">
        <v>2000</v>
      </c>
      <c r="O1496">
        <v>2400</v>
      </c>
      <c r="P1496">
        <v>1</v>
      </c>
      <c r="Q1496">
        <v>1000.0000000000002</v>
      </c>
    </row>
    <row r="1497" spans="2:22" x14ac:dyDescent="0.25">
      <c r="B1497" t="s">
        <v>434</v>
      </c>
      <c r="C1497" t="s">
        <v>511</v>
      </c>
      <c r="D1497">
        <v>98000</v>
      </c>
      <c r="E1497">
        <v>2000</v>
      </c>
      <c r="F1497" t="s">
        <v>68</v>
      </c>
      <c r="G1497" t="s">
        <v>103</v>
      </c>
      <c r="H1497" t="s">
        <v>104</v>
      </c>
      <c r="I1497" t="s">
        <v>105</v>
      </c>
      <c r="J1497">
        <v>1</v>
      </c>
      <c r="K1497">
        <v>45436.469918981478</v>
      </c>
      <c r="L1497">
        <v>48000</v>
      </c>
      <c r="M1497" t="s">
        <v>836</v>
      </c>
      <c r="O1497">
        <v>2400</v>
      </c>
      <c r="P1497">
        <v>0</v>
      </c>
      <c r="Q1497">
        <v>2000</v>
      </c>
    </row>
    <row r="1498" spans="2:22" x14ac:dyDescent="0.25">
      <c r="B1498" t="s">
        <v>434</v>
      </c>
      <c r="C1498" t="s">
        <v>67</v>
      </c>
      <c r="D1498" t="s">
        <v>67</v>
      </c>
      <c r="E1498">
        <v>2100</v>
      </c>
      <c r="F1498" t="s">
        <v>68</v>
      </c>
      <c r="G1498" t="s">
        <v>110</v>
      </c>
      <c r="H1498" t="s">
        <v>111</v>
      </c>
      <c r="I1498" t="s">
        <v>105</v>
      </c>
      <c r="J1498">
        <v>0</v>
      </c>
      <c r="K1498">
        <v>45436.472604166665</v>
      </c>
      <c r="L1498">
        <v>0</v>
      </c>
      <c r="O1498">
        <v>2400</v>
      </c>
      <c r="P1498">
        <v>0</v>
      </c>
      <c r="Q1498">
        <v>2100</v>
      </c>
    </row>
    <row r="1499" spans="2:22" x14ac:dyDescent="0.25">
      <c r="B1499" t="s">
        <v>434</v>
      </c>
      <c r="C1499" t="s">
        <v>67</v>
      </c>
      <c r="D1499" t="s">
        <v>67</v>
      </c>
      <c r="E1499">
        <v>900</v>
      </c>
      <c r="F1499" t="s">
        <v>68</v>
      </c>
      <c r="G1499" t="s">
        <v>117</v>
      </c>
      <c r="H1499" t="s">
        <v>118</v>
      </c>
      <c r="I1499" t="s">
        <v>105</v>
      </c>
      <c r="J1499">
        <v>1</v>
      </c>
      <c r="K1499">
        <v>45436.532719907409</v>
      </c>
      <c r="L1499">
        <v>900</v>
      </c>
      <c r="O1499">
        <v>3000</v>
      </c>
      <c r="P1499">
        <v>0</v>
      </c>
      <c r="Q1499">
        <v>900</v>
      </c>
    </row>
    <row r="1500" spans="2:22" x14ac:dyDescent="0.25">
      <c r="B1500" t="s">
        <v>434</v>
      </c>
      <c r="C1500" t="s">
        <v>67</v>
      </c>
      <c r="D1500" t="s">
        <v>67</v>
      </c>
      <c r="E1500">
        <v>150</v>
      </c>
      <c r="F1500" t="s">
        <v>127</v>
      </c>
      <c r="G1500" t="s">
        <v>128</v>
      </c>
      <c r="H1500" t="s">
        <v>129</v>
      </c>
      <c r="I1500" t="s">
        <v>130</v>
      </c>
      <c r="J1500">
        <v>1</v>
      </c>
      <c r="K1500">
        <v>45436.490381944444</v>
      </c>
      <c r="L1500">
        <v>5510</v>
      </c>
      <c r="O1500">
        <v>10</v>
      </c>
      <c r="P1500">
        <v>15</v>
      </c>
      <c r="Q1500">
        <v>0</v>
      </c>
      <c r="V1500" t="s">
        <v>554</v>
      </c>
    </row>
    <row r="1501" spans="2:22" x14ac:dyDescent="0.25">
      <c r="B1501" t="s">
        <v>434</v>
      </c>
      <c r="C1501" t="s">
        <v>67</v>
      </c>
      <c r="D1501" t="s">
        <v>67</v>
      </c>
      <c r="E1501">
        <v>12</v>
      </c>
      <c r="F1501" t="s">
        <v>135</v>
      </c>
      <c r="G1501" t="s">
        <v>140</v>
      </c>
      <c r="H1501" t="s">
        <v>137</v>
      </c>
      <c r="I1501" t="s">
        <v>138</v>
      </c>
      <c r="J1501">
        <v>1</v>
      </c>
      <c r="K1501">
        <v>45436.500416666669</v>
      </c>
      <c r="L1501">
        <v>1804</v>
      </c>
      <c r="O1501">
        <v>144</v>
      </c>
      <c r="P1501">
        <v>0</v>
      </c>
      <c r="Q1501">
        <v>12</v>
      </c>
    </row>
    <row r="1502" spans="2:22" x14ac:dyDescent="0.25">
      <c r="B1502" t="s">
        <v>434</v>
      </c>
      <c r="C1502" t="s">
        <v>67</v>
      </c>
      <c r="D1502" t="s">
        <v>67</v>
      </c>
      <c r="E1502">
        <v>2</v>
      </c>
      <c r="F1502" t="s">
        <v>68</v>
      </c>
      <c r="G1502" t="s">
        <v>109</v>
      </c>
      <c r="H1502" t="s">
        <v>162</v>
      </c>
      <c r="J1502">
        <v>0</v>
      </c>
      <c r="K1502">
        <v>45436.518900462965</v>
      </c>
      <c r="L1502">
        <v>636</v>
      </c>
      <c r="O1502">
        <v>96</v>
      </c>
      <c r="P1502">
        <v>0</v>
      </c>
      <c r="Q1502">
        <v>2</v>
      </c>
      <c r="V1502" t="s">
        <v>797</v>
      </c>
    </row>
    <row r="1503" spans="2:22" x14ac:dyDescent="0.25">
      <c r="B1503" t="s">
        <v>434</v>
      </c>
      <c r="C1503" t="s">
        <v>67</v>
      </c>
      <c r="D1503" t="s">
        <v>67</v>
      </c>
      <c r="E1503">
        <v>2000</v>
      </c>
      <c r="F1503" t="s">
        <v>68</v>
      </c>
      <c r="G1503" t="s">
        <v>170</v>
      </c>
      <c r="H1503" t="s">
        <v>171</v>
      </c>
      <c r="I1503" t="s">
        <v>105</v>
      </c>
      <c r="J1503">
        <v>0</v>
      </c>
      <c r="K1503">
        <v>45436.526932870373</v>
      </c>
      <c r="L1503">
        <v>0</v>
      </c>
      <c r="O1503">
        <v>2400</v>
      </c>
      <c r="P1503">
        <v>0</v>
      </c>
      <c r="Q1503">
        <v>2000</v>
      </c>
    </row>
    <row r="1504" spans="2:22" x14ac:dyDescent="0.25">
      <c r="B1504" t="s">
        <v>434</v>
      </c>
      <c r="C1504" t="s">
        <v>67</v>
      </c>
      <c r="D1504" t="s">
        <v>67</v>
      </c>
      <c r="E1504">
        <v>2</v>
      </c>
      <c r="F1504" t="s">
        <v>68</v>
      </c>
      <c r="G1504" t="s">
        <v>182</v>
      </c>
      <c r="H1504" t="s">
        <v>183</v>
      </c>
      <c r="J1504">
        <v>0</v>
      </c>
      <c r="K1504">
        <v>45436.537870370368</v>
      </c>
      <c r="L1504">
        <v>54</v>
      </c>
      <c r="O1504">
        <v>36</v>
      </c>
      <c r="P1504">
        <v>0</v>
      </c>
      <c r="Q1504">
        <v>2</v>
      </c>
    </row>
    <row r="1505" spans="2:22" x14ac:dyDescent="0.25">
      <c r="B1505" t="s">
        <v>837</v>
      </c>
      <c r="E1505">
        <v>15000</v>
      </c>
      <c r="F1505" t="s">
        <v>68</v>
      </c>
      <c r="G1505" t="s">
        <v>110</v>
      </c>
      <c r="H1505" t="s">
        <v>111</v>
      </c>
      <c r="I1505" t="s">
        <v>105</v>
      </c>
      <c r="J1505">
        <v>1</v>
      </c>
      <c r="K1505">
        <v>45436.62462962963</v>
      </c>
      <c r="L1505">
        <v>15000</v>
      </c>
      <c r="M1505" t="s">
        <v>838</v>
      </c>
      <c r="O1505">
        <v>2400</v>
      </c>
      <c r="P1505">
        <v>6</v>
      </c>
      <c r="Q1505">
        <v>600</v>
      </c>
    </row>
    <row r="1506" spans="2:22" x14ac:dyDescent="0.25">
      <c r="B1506" t="s">
        <v>837</v>
      </c>
      <c r="E1506">
        <v>10000</v>
      </c>
      <c r="F1506" t="s">
        <v>68</v>
      </c>
      <c r="G1506" t="s">
        <v>125</v>
      </c>
      <c r="H1506" t="s">
        <v>126</v>
      </c>
      <c r="I1506" t="s">
        <v>105</v>
      </c>
      <c r="J1506">
        <v>1</v>
      </c>
      <c r="K1506">
        <v>45436.624976851854</v>
      </c>
      <c r="L1506">
        <v>11200</v>
      </c>
      <c r="M1506" t="s">
        <v>838</v>
      </c>
      <c r="O1506">
        <v>2400</v>
      </c>
      <c r="P1506">
        <v>4</v>
      </c>
      <c r="Q1506">
        <v>400.00000000000068</v>
      </c>
    </row>
    <row r="1507" spans="2:22" x14ac:dyDescent="0.25">
      <c r="B1507" t="s">
        <v>839</v>
      </c>
      <c r="E1507">
        <v>3900</v>
      </c>
      <c r="F1507" t="s">
        <v>68</v>
      </c>
      <c r="G1507" t="s">
        <v>163</v>
      </c>
      <c r="H1507" t="s">
        <v>164</v>
      </c>
      <c r="I1507" t="s">
        <v>165</v>
      </c>
      <c r="J1507">
        <v>1</v>
      </c>
      <c r="K1507">
        <v>45440.4221875</v>
      </c>
      <c r="L1507">
        <v>6262</v>
      </c>
      <c r="M1507" t="s">
        <v>840</v>
      </c>
      <c r="O1507">
        <v>12</v>
      </c>
      <c r="P1507">
        <v>325</v>
      </c>
      <c r="Q1507">
        <v>0</v>
      </c>
    </row>
    <row r="1508" spans="2:22" x14ac:dyDescent="0.25">
      <c r="B1508" t="s">
        <v>841</v>
      </c>
      <c r="E1508">
        <v>680</v>
      </c>
      <c r="F1508" t="s">
        <v>127</v>
      </c>
      <c r="G1508" t="s">
        <v>133</v>
      </c>
      <c r="H1508" t="s">
        <v>134</v>
      </c>
      <c r="I1508" t="s">
        <v>130</v>
      </c>
      <c r="J1508">
        <v>1</v>
      </c>
      <c r="K1508">
        <v>45440.422222222223</v>
      </c>
      <c r="L1508">
        <v>3160</v>
      </c>
      <c r="M1508">
        <v>45434</v>
      </c>
      <c r="O1508">
        <v>10</v>
      </c>
      <c r="P1508">
        <v>68</v>
      </c>
      <c r="Q1508">
        <v>0</v>
      </c>
      <c r="V1508" t="s">
        <v>554</v>
      </c>
    </row>
    <row r="1509" spans="2:22" x14ac:dyDescent="0.25">
      <c r="B1509" t="s">
        <v>842</v>
      </c>
      <c r="E1509">
        <v>816</v>
      </c>
      <c r="F1509" t="s">
        <v>68</v>
      </c>
      <c r="G1509" t="s">
        <v>142</v>
      </c>
      <c r="H1509" t="s">
        <v>143</v>
      </c>
      <c r="I1509" t="s">
        <v>144</v>
      </c>
      <c r="J1509">
        <v>1</v>
      </c>
      <c r="K1509">
        <v>45440.68204861111</v>
      </c>
      <c r="L1509">
        <v>3384</v>
      </c>
      <c r="M1509" t="s">
        <v>843</v>
      </c>
      <c r="O1509">
        <v>24</v>
      </c>
      <c r="P1509">
        <v>34</v>
      </c>
      <c r="Q1509">
        <v>0</v>
      </c>
    </row>
    <row r="1510" spans="2:22" x14ac:dyDescent="0.25">
      <c r="B1510" t="s">
        <v>842</v>
      </c>
      <c r="E1510">
        <v>300</v>
      </c>
      <c r="F1510" t="s">
        <v>68</v>
      </c>
      <c r="G1510" t="s">
        <v>484</v>
      </c>
      <c r="H1510" t="s">
        <v>169</v>
      </c>
      <c r="I1510" t="s">
        <v>144</v>
      </c>
      <c r="J1510">
        <v>1</v>
      </c>
      <c r="K1510">
        <v>45440.68209490741</v>
      </c>
      <c r="L1510">
        <v>850</v>
      </c>
      <c r="M1510" t="s">
        <v>843</v>
      </c>
      <c r="O1510">
        <v>25</v>
      </c>
      <c r="P1510">
        <v>12</v>
      </c>
      <c r="Q1510">
        <v>0</v>
      </c>
    </row>
    <row r="1511" spans="2:22" x14ac:dyDescent="0.25">
      <c r="B1511" t="s">
        <v>293</v>
      </c>
      <c r="C1511">
        <v>41220908</v>
      </c>
      <c r="D1511" t="s">
        <v>844</v>
      </c>
      <c r="E1511">
        <v>5</v>
      </c>
      <c r="F1511" t="s">
        <v>68</v>
      </c>
      <c r="G1511" t="s">
        <v>182</v>
      </c>
      <c r="H1511" t="s">
        <v>183</v>
      </c>
      <c r="J1511">
        <v>0</v>
      </c>
      <c r="K1511">
        <v>45441.685590277775</v>
      </c>
      <c r="L1511">
        <v>49</v>
      </c>
      <c r="O1511">
        <v>36</v>
      </c>
      <c r="P1511">
        <v>0</v>
      </c>
      <c r="Q1511">
        <v>5</v>
      </c>
    </row>
    <row r="1512" spans="2:22" x14ac:dyDescent="0.25">
      <c r="B1512" t="s">
        <v>293</v>
      </c>
      <c r="C1512">
        <v>41220883</v>
      </c>
      <c r="D1512" t="s">
        <v>845</v>
      </c>
      <c r="E1512">
        <v>3</v>
      </c>
      <c r="F1512" t="s">
        <v>68</v>
      </c>
      <c r="G1512" t="s">
        <v>482</v>
      </c>
      <c r="H1512" t="s">
        <v>148</v>
      </c>
      <c r="I1512" t="s">
        <v>144</v>
      </c>
      <c r="J1512">
        <v>0</v>
      </c>
      <c r="K1512">
        <v>45441.685613425929</v>
      </c>
      <c r="L1512">
        <v>296</v>
      </c>
      <c r="O1512">
        <v>24</v>
      </c>
      <c r="P1512">
        <v>0</v>
      </c>
      <c r="Q1512">
        <v>3</v>
      </c>
    </row>
    <row r="1513" spans="2:22" x14ac:dyDescent="0.25">
      <c r="B1513" t="s">
        <v>293</v>
      </c>
      <c r="C1513">
        <v>41219949</v>
      </c>
      <c r="D1513" t="s">
        <v>846</v>
      </c>
      <c r="E1513">
        <v>100</v>
      </c>
      <c r="F1513" t="s">
        <v>68</v>
      </c>
      <c r="G1513" t="s">
        <v>484</v>
      </c>
      <c r="H1513" t="s">
        <v>169</v>
      </c>
      <c r="I1513" t="s">
        <v>144</v>
      </c>
      <c r="J1513">
        <v>0</v>
      </c>
      <c r="K1513">
        <v>45441.685613425929</v>
      </c>
      <c r="L1513">
        <v>750</v>
      </c>
      <c r="O1513">
        <v>25</v>
      </c>
      <c r="P1513">
        <v>4</v>
      </c>
      <c r="Q1513">
        <v>0</v>
      </c>
    </row>
    <row r="1514" spans="2:22" x14ac:dyDescent="0.25">
      <c r="B1514" t="s">
        <v>293</v>
      </c>
      <c r="C1514">
        <v>41218405</v>
      </c>
      <c r="D1514" t="s">
        <v>847</v>
      </c>
      <c r="E1514">
        <v>400</v>
      </c>
      <c r="F1514" t="s">
        <v>68</v>
      </c>
      <c r="G1514" t="s">
        <v>355</v>
      </c>
      <c r="H1514" t="s">
        <v>149</v>
      </c>
      <c r="I1514" t="s">
        <v>144</v>
      </c>
      <c r="J1514">
        <v>0</v>
      </c>
      <c r="K1514">
        <v>45441.685624999998</v>
      </c>
      <c r="L1514">
        <v>3486</v>
      </c>
      <c r="O1514">
        <v>60</v>
      </c>
      <c r="P1514">
        <v>6</v>
      </c>
      <c r="Q1514">
        <v>40.000000000000014</v>
      </c>
      <c r="V1514" t="s">
        <v>555</v>
      </c>
    </row>
    <row r="1515" spans="2:22" x14ac:dyDescent="0.25">
      <c r="B1515" t="s">
        <v>293</v>
      </c>
      <c r="C1515">
        <v>41220788</v>
      </c>
      <c r="D1515" t="s">
        <v>848</v>
      </c>
      <c r="E1515">
        <v>120</v>
      </c>
      <c r="F1515" t="s">
        <v>68</v>
      </c>
      <c r="G1515" t="s">
        <v>485</v>
      </c>
      <c r="H1515" t="s">
        <v>178</v>
      </c>
      <c r="I1515" t="s">
        <v>144</v>
      </c>
      <c r="J1515">
        <v>0</v>
      </c>
      <c r="K1515">
        <v>45441.685636574075</v>
      </c>
      <c r="L1515">
        <v>2800</v>
      </c>
      <c r="O1515">
        <v>100</v>
      </c>
      <c r="P1515">
        <v>1</v>
      </c>
      <c r="Q1515">
        <v>19.999999999999996</v>
      </c>
      <c r="V1515" t="s">
        <v>798</v>
      </c>
    </row>
    <row r="1516" spans="2:22" x14ac:dyDescent="0.25">
      <c r="B1516" t="s">
        <v>293</v>
      </c>
      <c r="C1516">
        <v>41220788</v>
      </c>
      <c r="D1516">
        <v>670</v>
      </c>
      <c r="E1516">
        <v>288</v>
      </c>
      <c r="F1516" t="s">
        <v>135</v>
      </c>
      <c r="G1516" t="s">
        <v>140</v>
      </c>
      <c r="H1516" t="s">
        <v>137</v>
      </c>
      <c r="I1516" t="s">
        <v>138</v>
      </c>
      <c r="J1516">
        <v>0</v>
      </c>
      <c r="K1516">
        <v>45441.685636574075</v>
      </c>
      <c r="L1516">
        <v>1516</v>
      </c>
      <c r="O1516">
        <v>144</v>
      </c>
      <c r="P1516">
        <v>2</v>
      </c>
      <c r="Q1516">
        <v>0</v>
      </c>
    </row>
    <row r="1517" spans="2:22" x14ac:dyDescent="0.25">
      <c r="B1517" t="s">
        <v>293</v>
      </c>
      <c r="C1517">
        <v>41219252</v>
      </c>
      <c r="D1517" t="s">
        <v>849</v>
      </c>
      <c r="E1517">
        <v>700</v>
      </c>
      <c r="F1517" t="s">
        <v>68</v>
      </c>
      <c r="G1517" t="s">
        <v>155</v>
      </c>
      <c r="H1517" t="s">
        <v>156</v>
      </c>
      <c r="J1517">
        <v>0</v>
      </c>
      <c r="K1517">
        <v>45441.685648148145</v>
      </c>
      <c r="L1517">
        <v>966</v>
      </c>
      <c r="O1517">
        <v>24</v>
      </c>
      <c r="P1517">
        <v>29</v>
      </c>
      <c r="Q1517">
        <v>4.0000000000000284</v>
      </c>
    </row>
    <row r="1518" spans="2:22" x14ac:dyDescent="0.25">
      <c r="B1518" t="s">
        <v>293</v>
      </c>
      <c r="C1518">
        <v>41220346</v>
      </c>
      <c r="D1518" t="s">
        <v>850</v>
      </c>
      <c r="E1518">
        <v>2000</v>
      </c>
      <c r="F1518" t="s">
        <v>68</v>
      </c>
      <c r="G1518" t="s">
        <v>179</v>
      </c>
      <c r="H1518" t="s">
        <v>180</v>
      </c>
      <c r="I1518" t="s">
        <v>144</v>
      </c>
      <c r="J1518">
        <v>0</v>
      </c>
      <c r="K1518">
        <v>45441.685648148145</v>
      </c>
      <c r="L1518">
        <v>29000</v>
      </c>
      <c r="O1518">
        <v>2000</v>
      </c>
      <c r="P1518">
        <v>1</v>
      </c>
      <c r="Q1518">
        <v>0</v>
      </c>
    </row>
    <row r="1519" spans="2:22" x14ac:dyDescent="0.25">
      <c r="B1519" t="s">
        <v>293</v>
      </c>
      <c r="C1519">
        <v>41219951</v>
      </c>
      <c r="D1519" t="s">
        <v>851</v>
      </c>
      <c r="E1519">
        <v>100</v>
      </c>
      <c r="F1519" t="s">
        <v>68</v>
      </c>
      <c r="G1519" t="s">
        <v>153</v>
      </c>
      <c r="H1519" t="s">
        <v>154</v>
      </c>
      <c r="I1519" t="s">
        <v>105</v>
      </c>
      <c r="J1519">
        <v>0</v>
      </c>
      <c r="K1519">
        <v>45441.685659722221</v>
      </c>
      <c r="L1519">
        <v>200</v>
      </c>
      <c r="O1519">
        <v>100</v>
      </c>
      <c r="P1519">
        <v>1</v>
      </c>
      <c r="Q1519">
        <v>0</v>
      </c>
    </row>
    <row r="1520" spans="2:22" x14ac:dyDescent="0.25">
      <c r="B1520" t="s">
        <v>293</v>
      </c>
      <c r="C1520">
        <v>41220789</v>
      </c>
      <c r="D1520" t="s">
        <v>852</v>
      </c>
      <c r="E1520">
        <v>12000</v>
      </c>
      <c r="F1520" t="s">
        <v>68</v>
      </c>
      <c r="G1520" t="s">
        <v>107</v>
      </c>
      <c r="H1520" t="s">
        <v>108</v>
      </c>
      <c r="I1520" t="s">
        <v>105</v>
      </c>
      <c r="J1520">
        <v>0</v>
      </c>
      <c r="K1520">
        <v>45441.685671296298</v>
      </c>
      <c r="L1520">
        <v>68000</v>
      </c>
      <c r="O1520">
        <v>1200</v>
      </c>
      <c r="P1520">
        <v>10</v>
      </c>
      <c r="Q1520">
        <v>0</v>
      </c>
    </row>
    <row r="1521" spans="2:22" x14ac:dyDescent="0.25">
      <c r="B1521" t="s">
        <v>293</v>
      </c>
      <c r="C1521">
        <v>41220789</v>
      </c>
      <c r="D1521">
        <v>674</v>
      </c>
      <c r="E1521">
        <v>12000</v>
      </c>
      <c r="F1521" t="s">
        <v>68</v>
      </c>
      <c r="G1521" t="s">
        <v>103</v>
      </c>
      <c r="H1521" t="s">
        <v>104</v>
      </c>
      <c r="I1521" t="s">
        <v>105</v>
      </c>
      <c r="J1521">
        <v>0</v>
      </c>
      <c r="K1521">
        <v>45441.685671296298</v>
      </c>
      <c r="L1521">
        <v>36000</v>
      </c>
      <c r="O1521">
        <v>2400</v>
      </c>
      <c r="P1521">
        <v>5</v>
      </c>
      <c r="Q1521">
        <v>0</v>
      </c>
    </row>
    <row r="1522" spans="2:22" x14ac:dyDescent="0.25">
      <c r="B1522" t="s">
        <v>293</v>
      </c>
      <c r="C1522">
        <v>41219425</v>
      </c>
      <c r="D1522" t="s">
        <v>853</v>
      </c>
      <c r="E1522">
        <v>1200</v>
      </c>
      <c r="F1522" t="s">
        <v>68</v>
      </c>
      <c r="G1522" t="s">
        <v>125</v>
      </c>
      <c r="H1522" t="s">
        <v>126</v>
      </c>
      <c r="I1522" t="s">
        <v>105</v>
      </c>
      <c r="J1522">
        <v>0</v>
      </c>
      <c r="K1522">
        <v>45441.685682870368</v>
      </c>
      <c r="L1522">
        <v>10000</v>
      </c>
      <c r="O1522">
        <v>2400</v>
      </c>
      <c r="P1522">
        <v>0</v>
      </c>
      <c r="Q1522">
        <v>1200</v>
      </c>
    </row>
    <row r="1523" spans="2:22" x14ac:dyDescent="0.25">
      <c r="B1523" t="s">
        <v>293</v>
      </c>
      <c r="C1523">
        <v>41219425</v>
      </c>
      <c r="D1523">
        <v>675</v>
      </c>
      <c r="E1523">
        <v>300</v>
      </c>
      <c r="F1523" t="s">
        <v>68</v>
      </c>
      <c r="G1523" t="s">
        <v>201</v>
      </c>
      <c r="H1523" t="s">
        <v>202</v>
      </c>
      <c r="I1523" t="s">
        <v>144</v>
      </c>
      <c r="J1523">
        <v>0</v>
      </c>
      <c r="K1523">
        <v>45441.685694444444</v>
      </c>
      <c r="L1523">
        <v>1540</v>
      </c>
      <c r="O1523">
        <v>100</v>
      </c>
      <c r="P1523">
        <v>3</v>
      </c>
      <c r="Q1523">
        <v>0</v>
      </c>
    </row>
    <row r="1524" spans="2:22" x14ac:dyDescent="0.25">
      <c r="B1524" t="s">
        <v>293</v>
      </c>
      <c r="C1524">
        <v>41221261</v>
      </c>
      <c r="D1524" t="s">
        <v>854</v>
      </c>
      <c r="E1524">
        <v>1500</v>
      </c>
      <c r="F1524" t="s">
        <v>68</v>
      </c>
      <c r="G1524" t="s">
        <v>115</v>
      </c>
      <c r="H1524" t="s">
        <v>116</v>
      </c>
      <c r="I1524" t="s">
        <v>105</v>
      </c>
      <c r="J1524">
        <v>0</v>
      </c>
      <c r="K1524">
        <v>45441.685694444444</v>
      </c>
      <c r="L1524">
        <v>6150</v>
      </c>
      <c r="O1524">
        <v>1200</v>
      </c>
      <c r="P1524">
        <v>1</v>
      </c>
      <c r="Q1524">
        <v>300</v>
      </c>
    </row>
    <row r="1525" spans="2:22" x14ac:dyDescent="0.25">
      <c r="B1525" t="s">
        <v>293</v>
      </c>
      <c r="C1525">
        <v>41221173</v>
      </c>
      <c r="D1525" t="s">
        <v>855</v>
      </c>
      <c r="E1525">
        <v>100</v>
      </c>
      <c r="F1525" t="s">
        <v>68</v>
      </c>
      <c r="G1525" t="s">
        <v>151</v>
      </c>
      <c r="H1525" t="s">
        <v>152</v>
      </c>
      <c r="I1525" t="s">
        <v>105</v>
      </c>
      <c r="J1525">
        <v>0</v>
      </c>
      <c r="K1525">
        <v>45441.685706018521</v>
      </c>
      <c r="L1525">
        <v>976</v>
      </c>
      <c r="O1525">
        <v>200</v>
      </c>
      <c r="P1525">
        <v>0</v>
      </c>
      <c r="Q1525">
        <v>100</v>
      </c>
      <c r="V1525" t="s">
        <v>856</v>
      </c>
    </row>
    <row r="1526" spans="2:22" x14ac:dyDescent="0.25">
      <c r="B1526" t="s">
        <v>293</v>
      </c>
      <c r="C1526">
        <v>41220335</v>
      </c>
      <c r="D1526" t="s">
        <v>857</v>
      </c>
      <c r="E1526">
        <v>240</v>
      </c>
      <c r="F1526" t="s">
        <v>68</v>
      </c>
      <c r="G1526" t="s">
        <v>159</v>
      </c>
      <c r="H1526" t="s">
        <v>556</v>
      </c>
      <c r="I1526" t="s">
        <v>161</v>
      </c>
      <c r="J1526">
        <v>0</v>
      </c>
      <c r="K1526">
        <v>45441.685717592591</v>
      </c>
      <c r="L1526">
        <v>3468</v>
      </c>
      <c r="O1526">
        <v>36</v>
      </c>
      <c r="P1526">
        <v>6</v>
      </c>
      <c r="Q1526">
        <v>24.000000000000011</v>
      </c>
    </row>
    <row r="1527" spans="2:22" x14ac:dyDescent="0.25">
      <c r="B1527" t="s">
        <v>158</v>
      </c>
      <c r="C1527">
        <v>41220007</v>
      </c>
      <c r="D1527" t="s">
        <v>858</v>
      </c>
      <c r="E1527">
        <v>40</v>
      </c>
      <c r="F1527" t="s">
        <v>127</v>
      </c>
      <c r="G1527" t="s">
        <v>131</v>
      </c>
      <c r="H1527" t="s">
        <v>132</v>
      </c>
      <c r="I1527" t="s">
        <v>130</v>
      </c>
      <c r="J1527">
        <v>0</v>
      </c>
      <c r="K1527">
        <v>45448.384965277779</v>
      </c>
      <c r="L1527">
        <v>4070</v>
      </c>
      <c r="O1527">
        <v>10</v>
      </c>
      <c r="P1527">
        <v>4</v>
      </c>
      <c r="Q1527">
        <v>0</v>
      </c>
      <c r="V1527" t="s">
        <v>554</v>
      </c>
    </row>
    <row r="1528" spans="2:22" x14ac:dyDescent="0.25">
      <c r="B1528" t="s">
        <v>158</v>
      </c>
      <c r="C1528">
        <v>41220007</v>
      </c>
      <c r="D1528">
        <v>680</v>
      </c>
      <c r="E1528">
        <v>30</v>
      </c>
      <c r="F1528" t="s">
        <v>127</v>
      </c>
      <c r="G1528" t="s">
        <v>133</v>
      </c>
      <c r="H1528" t="s">
        <v>134</v>
      </c>
      <c r="I1528" t="s">
        <v>130</v>
      </c>
      <c r="J1528">
        <v>0</v>
      </c>
      <c r="K1528">
        <v>45448.385034722225</v>
      </c>
      <c r="L1528">
        <v>3130</v>
      </c>
      <c r="O1528">
        <v>10</v>
      </c>
      <c r="P1528">
        <v>3</v>
      </c>
      <c r="Q1528">
        <v>0</v>
      </c>
      <c r="V1528" t="s">
        <v>554</v>
      </c>
    </row>
    <row r="1529" spans="2:22" x14ac:dyDescent="0.25">
      <c r="B1529" t="s">
        <v>158</v>
      </c>
      <c r="C1529">
        <v>41221106</v>
      </c>
      <c r="D1529" t="s">
        <v>859</v>
      </c>
      <c r="E1529">
        <v>5000</v>
      </c>
      <c r="F1529" t="s">
        <v>68</v>
      </c>
      <c r="G1529" t="s">
        <v>110</v>
      </c>
      <c r="H1529" t="s">
        <v>111</v>
      </c>
      <c r="I1529" t="s">
        <v>105</v>
      </c>
      <c r="J1529">
        <v>0</v>
      </c>
      <c r="K1529">
        <v>45448.385046296295</v>
      </c>
      <c r="L1529">
        <v>10000</v>
      </c>
      <c r="O1529">
        <v>2400</v>
      </c>
      <c r="P1529">
        <v>2</v>
      </c>
      <c r="Q1529">
        <v>200.00000000000034</v>
      </c>
    </row>
    <row r="1530" spans="2:22" x14ac:dyDescent="0.25">
      <c r="B1530" t="s">
        <v>293</v>
      </c>
      <c r="C1530">
        <v>41221268</v>
      </c>
      <c r="D1530" t="s">
        <v>860</v>
      </c>
      <c r="E1530">
        <v>12</v>
      </c>
      <c r="F1530" t="s">
        <v>68</v>
      </c>
      <c r="G1530" t="s">
        <v>483</v>
      </c>
      <c r="H1530" t="s">
        <v>150</v>
      </c>
      <c r="I1530" t="s">
        <v>144</v>
      </c>
      <c r="J1530">
        <v>0</v>
      </c>
      <c r="K1530">
        <v>45448.385069444441</v>
      </c>
      <c r="L1530">
        <v>282</v>
      </c>
      <c r="O1530">
        <v>4</v>
      </c>
      <c r="P1530">
        <v>3</v>
      </c>
      <c r="Q1530">
        <v>0</v>
      </c>
    </row>
    <row r="1531" spans="2:22" x14ac:dyDescent="0.25">
      <c r="B1531" t="s">
        <v>293</v>
      </c>
      <c r="C1531">
        <v>41221311</v>
      </c>
      <c r="D1531" t="s">
        <v>861</v>
      </c>
      <c r="E1531">
        <v>60</v>
      </c>
      <c r="F1531" t="s">
        <v>68</v>
      </c>
      <c r="G1531" t="s">
        <v>157</v>
      </c>
      <c r="H1531" t="s">
        <v>156</v>
      </c>
      <c r="J1531">
        <v>0</v>
      </c>
      <c r="K1531">
        <v>45448.385081018518</v>
      </c>
      <c r="L1531">
        <v>1034</v>
      </c>
      <c r="O1531">
        <v>12</v>
      </c>
      <c r="P1531">
        <v>5</v>
      </c>
      <c r="Q1531">
        <v>0</v>
      </c>
    </row>
    <row r="1532" spans="2:22" x14ac:dyDescent="0.25">
      <c r="B1532" t="s">
        <v>293</v>
      </c>
      <c r="C1532">
        <v>41220938</v>
      </c>
      <c r="D1532" t="s">
        <v>862</v>
      </c>
      <c r="E1532">
        <v>24</v>
      </c>
      <c r="F1532" t="s">
        <v>68</v>
      </c>
      <c r="G1532" t="s">
        <v>552</v>
      </c>
      <c r="H1532" t="s">
        <v>692</v>
      </c>
      <c r="I1532" t="s">
        <v>693</v>
      </c>
      <c r="J1532">
        <v>0</v>
      </c>
      <c r="K1532">
        <v>45448.385138888887</v>
      </c>
      <c r="L1532">
        <v>60</v>
      </c>
      <c r="O1532">
        <v>12</v>
      </c>
      <c r="P1532">
        <v>2</v>
      </c>
      <c r="Q1532">
        <v>0</v>
      </c>
      <c r="V1532" t="s">
        <v>695</v>
      </c>
    </row>
    <row r="1533" spans="2:22" x14ac:dyDescent="0.25">
      <c r="B1533" t="s">
        <v>293</v>
      </c>
      <c r="C1533">
        <v>41220908</v>
      </c>
      <c r="D1533" t="s">
        <v>863</v>
      </c>
      <c r="E1533">
        <v>5</v>
      </c>
      <c r="F1533" t="s">
        <v>68</v>
      </c>
      <c r="G1533" t="s">
        <v>182</v>
      </c>
      <c r="H1533" t="s">
        <v>183</v>
      </c>
      <c r="J1533">
        <v>0</v>
      </c>
      <c r="K1533">
        <v>45448.637673611112</v>
      </c>
      <c r="L1533">
        <v>44</v>
      </c>
      <c r="O1533">
        <v>36</v>
      </c>
      <c r="P1533">
        <v>0</v>
      </c>
      <c r="Q1533">
        <v>5</v>
      </c>
    </row>
    <row r="1534" spans="2:22" x14ac:dyDescent="0.25">
      <c r="B1534" t="s">
        <v>293</v>
      </c>
      <c r="C1534">
        <v>41220335</v>
      </c>
      <c r="D1534" t="s">
        <v>864</v>
      </c>
      <c r="E1534">
        <v>120</v>
      </c>
      <c r="F1534" t="s">
        <v>68</v>
      </c>
      <c r="G1534" t="s">
        <v>159</v>
      </c>
      <c r="H1534" t="s">
        <v>556</v>
      </c>
      <c r="I1534" t="s">
        <v>161</v>
      </c>
      <c r="J1534">
        <v>0</v>
      </c>
      <c r="K1534">
        <v>45448.637766203705</v>
      </c>
      <c r="L1534">
        <v>3348</v>
      </c>
      <c r="O1534">
        <v>36</v>
      </c>
      <c r="P1534">
        <v>3</v>
      </c>
      <c r="Q1534">
        <v>12.000000000000005</v>
      </c>
    </row>
    <row r="1535" spans="2:22" x14ac:dyDescent="0.25">
      <c r="B1535" t="s">
        <v>293</v>
      </c>
      <c r="C1535">
        <v>41221268</v>
      </c>
      <c r="D1535" t="s">
        <v>865</v>
      </c>
      <c r="E1535">
        <v>12</v>
      </c>
      <c r="F1535" t="s">
        <v>68</v>
      </c>
      <c r="G1535" t="s">
        <v>483</v>
      </c>
      <c r="H1535" t="s">
        <v>150</v>
      </c>
      <c r="I1535" t="s">
        <v>144</v>
      </c>
      <c r="J1535">
        <v>0</v>
      </c>
      <c r="K1535">
        <v>45448.637766203705</v>
      </c>
      <c r="L1535">
        <v>270</v>
      </c>
      <c r="O1535">
        <v>4</v>
      </c>
      <c r="P1535">
        <v>3</v>
      </c>
      <c r="Q1535">
        <v>0</v>
      </c>
    </row>
    <row r="1536" spans="2:22" x14ac:dyDescent="0.25">
      <c r="B1536" t="s">
        <v>293</v>
      </c>
      <c r="C1536">
        <v>41220883</v>
      </c>
      <c r="D1536" t="s">
        <v>866</v>
      </c>
      <c r="E1536">
        <v>3</v>
      </c>
      <c r="F1536" t="s">
        <v>68</v>
      </c>
      <c r="G1536" t="s">
        <v>482</v>
      </c>
      <c r="H1536" t="s">
        <v>148</v>
      </c>
      <c r="I1536" t="s">
        <v>144</v>
      </c>
      <c r="J1536">
        <v>0</v>
      </c>
      <c r="K1536">
        <v>45448.637777777774</v>
      </c>
      <c r="L1536">
        <v>293</v>
      </c>
      <c r="O1536">
        <v>24</v>
      </c>
      <c r="P1536">
        <v>0</v>
      </c>
      <c r="Q1536">
        <v>3</v>
      </c>
    </row>
    <row r="1537" spans="2:22" x14ac:dyDescent="0.25">
      <c r="B1537" t="s">
        <v>293</v>
      </c>
      <c r="C1537">
        <v>41219949</v>
      </c>
      <c r="D1537" t="s">
        <v>867</v>
      </c>
      <c r="E1537">
        <v>100</v>
      </c>
      <c r="F1537" t="s">
        <v>68</v>
      </c>
      <c r="G1537" t="s">
        <v>484</v>
      </c>
      <c r="H1537" t="s">
        <v>169</v>
      </c>
      <c r="I1537" t="s">
        <v>144</v>
      </c>
      <c r="J1537">
        <v>0</v>
      </c>
      <c r="K1537">
        <v>45448.637789351851</v>
      </c>
      <c r="L1537">
        <v>650</v>
      </c>
      <c r="O1537">
        <v>25</v>
      </c>
      <c r="P1537">
        <v>4</v>
      </c>
      <c r="Q1537">
        <v>0</v>
      </c>
    </row>
    <row r="1538" spans="2:22" x14ac:dyDescent="0.25">
      <c r="B1538" t="s">
        <v>293</v>
      </c>
      <c r="C1538">
        <v>41218405</v>
      </c>
      <c r="D1538" t="s">
        <v>868</v>
      </c>
      <c r="E1538">
        <v>400</v>
      </c>
      <c r="F1538" t="s">
        <v>68</v>
      </c>
      <c r="G1538" t="s">
        <v>355</v>
      </c>
      <c r="H1538" t="s">
        <v>149</v>
      </c>
      <c r="I1538" t="s">
        <v>144</v>
      </c>
      <c r="J1538">
        <v>0</v>
      </c>
      <c r="K1538">
        <v>45448.637789351851</v>
      </c>
      <c r="L1538">
        <v>3086</v>
      </c>
      <c r="O1538">
        <v>60</v>
      </c>
      <c r="P1538">
        <v>6</v>
      </c>
      <c r="Q1538">
        <v>40.000000000000014</v>
      </c>
      <c r="V1538" t="s">
        <v>555</v>
      </c>
    </row>
    <row r="1539" spans="2:22" x14ac:dyDescent="0.25">
      <c r="B1539" t="s">
        <v>293</v>
      </c>
      <c r="C1539">
        <v>41220788</v>
      </c>
      <c r="D1539" t="s">
        <v>869</v>
      </c>
      <c r="E1539">
        <v>120</v>
      </c>
      <c r="F1539" t="s">
        <v>68</v>
      </c>
      <c r="G1539" t="s">
        <v>485</v>
      </c>
      <c r="H1539" t="s">
        <v>178</v>
      </c>
      <c r="I1539" t="s">
        <v>144</v>
      </c>
      <c r="J1539">
        <v>0</v>
      </c>
      <c r="K1539">
        <v>45448.637800925928</v>
      </c>
      <c r="L1539">
        <v>2680</v>
      </c>
      <c r="O1539">
        <v>100</v>
      </c>
      <c r="P1539">
        <v>1</v>
      </c>
      <c r="Q1539">
        <v>19.999999999999996</v>
      </c>
      <c r="V1539" t="s">
        <v>798</v>
      </c>
    </row>
    <row r="1540" spans="2:22" x14ac:dyDescent="0.25">
      <c r="B1540" t="s">
        <v>293</v>
      </c>
      <c r="C1540">
        <v>41220788</v>
      </c>
      <c r="D1540">
        <v>1835</v>
      </c>
      <c r="E1540">
        <v>288</v>
      </c>
      <c r="F1540" t="s">
        <v>135</v>
      </c>
      <c r="G1540" t="s">
        <v>140</v>
      </c>
      <c r="H1540" t="s">
        <v>137</v>
      </c>
      <c r="I1540" t="s">
        <v>138</v>
      </c>
      <c r="J1540">
        <v>0</v>
      </c>
      <c r="K1540">
        <v>45448.637812499997</v>
      </c>
      <c r="L1540">
        <v>1228</v>
      </c>
      <c r="O1540">
        <v>144</v>
      </c>
      <c r="P1540">
        <v>2</v>
      </c>
      <c r="Q1540">
        <v>0</v>
      </c>
    </row>
    <row r="1541" spans="2:22" x14ac:dyDescent="0.25">
      <c r="B1541" t="s">
        <v>293</v>
      </c>
      <c r="C1541">
        <v>41219425</v>
      </c>
      <c r="D1541" t="s">
        <v>870</v>
      </c>
      <c r="E1541">
        <v>1200</v>
      </c>
      <c r="F1541" t="s">
        <v>68</v>
      </c>
      <c r="G1541" t="s">
        <v>125</v>
      </c>
      <c r="H1541" t="s">
        <v>126</v>
      </c>
      <c r="I1541" t="s">
        <v>105</v>
      </c>
      <c r="J1541">
        <v>0</v>
      </c>
      <c r="K1541">
        <v>45448.637824074074</v>
      </c>
      <c r="L1541">
        <v>8800</v>
      </c>
      <c r="O1541">
        <v>2400</v>
      </c>
      <c r="P1541">
        <v>0</v>
      </c>
      <c r="Q1541">
        <v>1200</v>
      </c>
    </row>
    <row r="1542" spans="2:22" x14ac:dyDescent="0.25">
      <c r="B1542" t="s">
        <v>293</v>
      </c>
      <c r="C1542">
        <v>41219425</v>
      </c>
      <c r="D1542">
        <v>1836</v>
      </c>
      <c r="E1542">
        <v>200</v>
      </c>
      <c r="F1542" t="s">
        <v>68</v>
      </c>
      <c r="G1542" t="s">
        <v>201</v>
      </c>
      <c r="H1542" t="s">
        <v>202</v>
      </c>
      <c r="I1542" t="s">
        <v>144</v>
      </c>
      <c r="J1542">
        <v>0</v>
      </c>
      <c r="K1542">
        <v>45448.637835648151</v>
      </c>
      <c r="L1542">
        <v>1340</v>
      </c>
      <c r="O1542">
        <v>100</v>
      </c>
      <c r="P1542">
        <v>2</v>
      </c>
      <c r="Q1542">
        <v>0</v>
      </c>
    </row>
    <row r="1543" spans="2:22" x14ac:dyDescent="0.25">
      <c r="B1543" t="s">
        <v>293</v>
      </c>
      <c r="C1543">
        <v>41219252</v>
      </c>
      <c r="D1543" t="s">
        <v>871</v>
      </c>
      <c r="E1543">
        <v>700</v>
      </c>
      <c r="F1543" t="s">
        <v>68</v>
      </c>
      <c r="G1543" t="s">
        <v>155</v>
      </c>
      <c r="H1543" t="s">
        <v>156</v>
      </c>
      <c r="J1543">
        <v>0</v>
      </c>
      <c r="K1543">
        <v>45448.63784722222</v>
      </c>
      <c r="L1543">
        <v>266</v>
      </c>
      <c r="O1543">
        <v>24</v>
      </c>
      <c r="P1543">
        <v>29</v>
      </c>
      <c r="Q1543">
        <v>4.0000000000000284</v>
      </c>
    </row>
    <row r="1544" spans="2:22" x14ac:dyDescent="0.25">
      <c r="B1544" t="s">
        <v>293</v>
      </c>
      <c r="C1544">
        <v>41220346</v>
      </c>
      <c r="D1544" t="s">
        <v>872</v>
      </c>
      <c r="E1544">
        <v>1000</v>
      </c>
      <c r="F1544" t="s">
        <v>68</v>
      </c>
      <c r="G1544" t="s">
        <v>179</v>
      </c>
      <c r="H1544" t="s">
        <v>180</v>
      </c>
      <c r="I1544" t="s">
        <v>144</v>
      </c>
      <c r="J1544">
        <v>0</v>
      </c>
      <c r="K1544">
        <v>45448.637858796297</v>
      </c>
      <c r="L1544">
        <v>28000</v>
      </c>
      <c r="O1544">
        <v>2000</v>
      </c>
      <c r="P1544">
        <v>0</v>
      </c>
      <c r="Q1544">
        <v>1000</v>
      </c>
    </row>
    <row r="1545" spans="2:22" x14ac:dyDescent="0.25">
      <c r="B1545" t="s">
        <v>293</v>
      </c>
      <c r="C1545">
        <v>41219951</v>
      </c>
      <c r="D1545" t="s">
        <v>873</v>
      </c>
      <c r="E1545">
        <v>100</v>
      </c>
      <c r="F1545" t="s">
        <v>68</v>
      </c>
      <c r="G1545" t="s">
        <v>153</v>
      </c>
      <c r="H1545" t="s">
        <v>154</v>
      </c>
      <c r="I1545" t="s">
        <v>105</v>
      </c>
      <c r="J1545">
        <v>0</v>
      </c>
      <c r="K1545">
        <v>45448.63789351852</v>
      </c>
      <c r="L1545">
        <v>100</v>
      </c>
      <c r="O1545">
        <v>100</v>
      </c>
      <c r="P1545">
        <v>1</v>
      </c>
      <c r="Q1545">
        <v>0</v>
      </c>
    </row>
    <row r="1546" spans="2:22" x14ac:dyDescent="0.25">
      <c r="B1546" t="s">
        <v>293</v>
      </c>
      <c r="C1546">
        <v>41220789</v>
      </c>
      <c r="D1546" t="s">
        <v>874</v>
      </c>
      <c r="E1546">
        <v>12000</v>
      </c>
      <c r="F1546" t="s">
        <v>68</v>
      </c>
      <c r="G1546" t="s">
        <v>103</v>
      </c>
      <c r="H1546" t="s">
        <v>104</v>
      </c>
      <c r="I1546" t="s">
        <v>105</v>
      </c>
      <c r="J1546">
        <v>0</v>
      </c>
      <c r="K1546">
        <v>45448.637916666667</v>
      </c>
      <c r="L1546">
        <v>24000</v>
      </c>
      <c r="O1546">
        <v>2400</v>
      </c>
      <c r="P1546">
        <v>5</v>
      </c>
      <c r="Q1546">
        <v>0</v>
      </c>
    </row>
    <row r="1547" spans="2:22" x14ac:dyDescent="0.25">
      <c r="B1547" t="s">
        <v>293</v>
      </c>
      <c r="C1547">
        <v>41220789</v>
      </c>
      <c r="D1547">
        <v>1840</v>
      </c>
      <c r="E1547">
        <v>12000</v>
      </c>
      <c r="F1547" t="s">
        <v>68</v>
      </c>
      <c r="G1547" t="s">
        <v>107</v>
      </c>
      <c r="H1547" t="s">
        <v>108</v>
      </c>
      <c r="I1547" t="s">
        <v>105</v>
      </c>
      <c r="J1547">
        <v>0</v>
      </c>
      <c r="K1547">
        <v>45448.637939814813</v>
      </c>
      <c r="L1547">
        <v>56000</v>
      </c>
      <c r="O1547">
        <v>1200</v>
      </c>
      <c r="P1547">
        <v>10</v>
      </c>
      <c r="Q1547">
        <v>0</v>
      </c>
    </row>
    <row r="1548" spans="2:22" x14ac:dyDescent="0.25">
      <c r="B1548">
        <v>97544</v>
      </c>
      <c r="E1548">
        <v>3216</v>
      </c>
      <c r="F1548" t="s">
        <v>68</v>
      </c>
      <c r="G1548" t="s">
        <v>142</v>
      </c>
      <c r="H1548" t="s">
        <v>143</v>
      </c>
      <c r="I1548" t="s">
        <v>144</v>
      </c>
      <c r="J1548">
        <v>1</v>
      </c>
      <c r="K1548">
        <v>45448.708495370367</v>
      </c>
      <c r="L1548">
        <v>6600</v>
      </c>
      <c r="M1548" t="s">
        <v>875</v>
      </c>
      <c r="O1548">
        <v>24</v>
      </c>
      <c r="P1548">
        <v>134</v>
      </c>
      <c r="Q1548">
        <v>0</v>
      </c>
    </row>
    <row r="1549" spans="2:22" x14ac:dyDescent="0.25">
      <c r="B1549">
        <v>97140</v>
      </c>
      <c r="E1549">
        <v>17500</v>
      </c>
      <c r="F1549" t="s">
        <v>68</v>
      </c>
      <c r="G1549" t="s">
        <v>146</v>
      </c>
      <c r="H1549" t="s">
        <v>147</v>
      </c>
      <c r="I1549" t="s">
        <v>144</v>
      </c>
      <c r="J1549">
        <v>1</v>
      </c>
      <c r="K1549">
        <v>45448.70853009259</v>
      </c>
      <c r="L1549">
        <v>17500</v>
      </c>
      <c r="M1549" t="s">
        <v>876</v>
      </c>
      <c r="O1549">
        <v>440</v>
      </c>
      <c r="P1549">
        <v>39</v>
      </c>
      <c r="Q1549">
        <v>340.00000000000028</v>
      </c>
    </row>
    <row r="1550" spans="2:22" x14ac:dyDescent="0.25">
      <c r="B1550" t="s">
        <v>158</v>
      </c>
      <c r="C1550">
        <v>41220007</v>
      </c>
      <c r="D1550" t="s">
        <v>877</v>
      </c>
      <c r="E1550">
        <v>70</v>
      </c>
      <c r="F1550" t="s">
        <v>127</v>
      </c>
      <c r="G1550" t="s">
        <v>128</v>
      </c>
      <c r="H1550" t="s">
        <v>129</v>
      </c>
      <c r="I1550" t="s">
        <v>130</v>
      </c>
      <c r="J1550">
        <v>0</v>
      </c>
      <c r="K1550">
        <v>45449.471041666664</v>
      </c>
      <c r="L1550">
        <v>5440</v>
      </c>
      <c r="O1550">
        <v>10</v>
      </c>
      <c r="P1550">
        <v>7</v>
      </c>
      <c r="Q1550">
        <v>0</v>
      </c>
      <c r="V1550" t="s">
        <v>554</v>
      </c>
    </row>
    <row r="1551" spans="2:22" x14ac:dyDescent="0.25">
      <c r="B1551" t="s">
        <v>158</v>
      </c>
      <c r="C1551">
        <v>41219444</v>
      </c>
      <c r="D1551">
        <v>1843</v>
      </c>
      <c r="E1551">
        <v>100</v>
      </c>
      <c r="F1551" t="s">
        <v>68</v>
      </c>
      <c r="G1551" t="s">
        <v>484</v>
      </c>
      <c r="H1551" t="s">
        <v>169</v>
      </c>
      <c r="I1551" t="s">
        <v>144</v>
      </c>
      <c r="J1551">
        <v>0</v>
      </c>
      <c r="K1551">
        <v>45449.471099537041</v>
      </c>
      <c r="L1551">
        <v>550</v>
      </c>
      <c r="O1551">
        <v>25</v>
      </c>
      <c r="P1551">
        <v>4</v>
      </c>
      <c r="Q1551">
        <v>0</v>
      </c>
    </row>
    <row r="1552" spans="2:22" x14ac:dyDescent="0.25">
      <c r="B1552" t="s">
        <v>158</v>
      </c>
      <c r="C1552">
        <v>41219377</v>
      </c>
      <c r="D1552">
        <v>1844</v>
      </c>
      <c r="E1552">
        <v>600</v>
      </c>
      <c r="F1552" t="s">
        <v>68</v>
      </c>
      <c r="G1552" t="s">
        <v>201</v>
      </c>
      <c r="H1552" t="s">
        <v>202</v>
      </c>
      <c r="I1552" t="s">
        <v>144</v>
      </c>
      <c r="J1552">
        <v>0</v>
      </c>
      <c r="K1552">
        <v>45449.471099537041</v>
      </c>
      <c r="L1552">
        <v>740</v>
      </c>
      <c r="O1552">
        <v>100</v>
      </c>
      <c r="P1552">
        <v>6</v>
      </c>
      <c r="Q1552">
        <v>0</v>
      </c>
    </row>
    <row r="1553" spans="2:22" x14ac:dyDescent="0.25">
      <c r="B1553" t="s">
        <v>158</v>
      </c>
      <c r="C1553">
        <v>41221172</v>
      </c>
      <c r="D1553">
        <v>1845</v>
      </c>
      <c r="E1553">
        <v>100</v>
      </c>
      <c r="F1553" t="s">
        <v>68</v>
      </c>
      <c r="G1553" t="s">
        <v>151</v>
      </c>
      <c r="H1553" t="s">
        <v>152</v>
      </c>
      <c r="I1553" t="s">
        <v>105</v>
      </c>
      <c r="J1553">
        <v>0</v>
      </c>
      <c r="K1553">
        <v>45449.47111111111</v>
      </c>
      <c r="L1553">
        <v>876</v>
      </c>
      <c r="O1553">
        <v>200</v>
      </c>
      <c r="P1553">
        <v>0</v>
      </c>
      <c r="Q1553">
        <v>100</v>
      </c>
      <c r="V1553" t="s">
        <v>856</v>
      </c>
    </row>
    <row r="1554" spans="2:22" x14ac:dyDescent="0.25">
      <c r="B1554" t="s">
        <v>158</v>
      </c>
      <c r="C1554">
        <v>41219386</v>
      </c>
      <c r="D1554">
        <v>1846</v>
      </c>
      <c r="E1554">
        <v>1000</v>
      </c>
      <c r="F1554" t="s">
        <v>68</v>
      </c>
      <c r="G1554" t="s">
        <v>119</v>
      </c>
      <c r="H1554" t="s">
        <v>120</v>
      </c>
      <c r="I1554" t="s">
        <v>105</v>
      </c>
      <c r="J1554">
        <v>0</v>
      </c>
      <c r="K1554">
        <v>45449.471122685187</v>
      </c>
      <c r="L1554">
        <v>18400</v>
      </c>
      <c r="O1554">
        <v>2400</v>
      </c>
      <c r="P1554">
        <v>0</v>
      </c>
      <c r="Q1554">
        <v>1000</v>
      </c>
    </row>
    <row r="1555" spans="2:22" x14ac:dyDescent="0.25">
      <c r="B1555" t="s">
        <v>293</v>
      </c>
      <c r="C1555">
        <v>41221261</v>
      </c>
      <c r="D1555" t="s">
        <v>878</v>
      </c>
      <c r="E1555">
        <v>500</v>
      </c>
      <c r="F1555" t="s">
        <v>68</v>
      </c>
      <c r="G1555" t="s">
        <v>115</v>
      </c>
      <c r="H1555" t="s">
        <v>116</v>
      </c>
      <c r="I1555" t="s">
        <v>105</v>
      </c>
      <c r="J1555">
        <v>0</v>
      </c>
      <c r="K1555">
        <v>45449.711435185185</v>
      </c>
      <c r="L1555">
        <v>5650</v>
      </c>
      <c r="O1555">
        <v>700</v>
      </c>
      <c r="P1555">
        <v>0</v>
      </c>
      <c r="Q1555">
        <v>500</v>
      </c>
    </row>
    <row r="1556" spans="2:22" x14ac:dyDescent="0.25">
      <c r="B1556" t="s">
        <v>434</v>
      </c>
      <c r="C1556" t="s">
        <v>67</v>
      </c>
      <c r="D1556" t="s">
        <v>67</v>
      </c>
      <c r="E1556">
        <v>150</v>
      </c>
      <c r="F1556" t="s">
        <v>127</v>
      </c>
      <c r="G1556" t="s">
        <v>128</v>
      </c>
      <c r="H1556" t="s">
        <v>129</v>
      </c>
      <c r="I1556" t="s">
        <v>130</v>
      </c>
      <c r="J1556">
        <v>0</v>
      </c>
      <c r="K1556">
        <v>45450.572002314817</v>
      </c>
      <c r="L1556">
        <v>5290</v>
      </c>
      <c r="O1556">
        <v>10</v>
      </c>
      <c r="P1556">
        <v>15</v>
      </c>
      <c r="Q1556">
        <v>0</v>
      </c>
      <c r="V1556" t="s">
        <v>554</v>
      </c>
    </row>
    <row r="1557" spans="2:22" x14ac:dyDescent="0.25">
      <c r="B1557" t="s">
        <v>434</v>
      </c>
      <c r="C1557" t="s">
        <v>67</v>
      </c>
      <c r="D1557" t="s">
        <v>67</v>
      </c>
      <c r="E1557">
        <v>20</v>
      </c>
      <c r="F1557" t="s">
        <v>68</v>
      </c>
      <c r="G1557" t="s">
        <v>355</v>
      </c>
      <c r="H1557" t="s">
        <v>149</v>
      </c>
      <c r="I1557" t="s">
        <v>144</v>
      </c>
      <c r="J1557">
        <v>0</v>
      </c>
      <c r="K1557">
        <v>45450.57267361111</v>
      </c>
      <c r="L1557">
        <v>3066</v>
      </c>
      <c r="O1557">
        <v>60</v>
      </c>
      <c r="P1557">
        <v>0</v>
      </c>
      <c r="Q1557">
        <v>20</v>
      </c>
      <c r="V1557" t="s">
        <v>555</v>
      </c>
    </row>
    <row r="1558" spans="2:22" x14ac:dyDescent="0.25">
      <c r="B1558" t="s">
        <v>434</v>
      </c>
      <c r="C1558" t="s">
        <v>511</v>
      </c>
      <c r="D1558">
        <v>98000</v>
      </c>
      <c r="E1558">
        <v>0</v>
      </c>
      <c r="F1558" t="s">
        <v>68</v>
      </c>
      <c r="G1558" t="s">
        <v>103</v>
      </c>
      <c r="H1558" t="s">
        <v>104</v>
      </c>
      <c r="I1558" t="s">
        <v>105</v>
      </c>
      <c r="J1558">
        <v>0</v>
      </c>
      <c r="K1558">
        <v>45450.582592592589</v>
      </c>
      <c r="L1558">
        <v>24000</v>
      </c>
      <c r="O1558">
        <v>2400</v>
      </c>
      <c r="P1558">
        <v>0</v>
      </c>
      <c r="Q1558">
        <v>0</v>
      </c>
    </row>
    <row r="1559" spans="2:22" x14ac:dyDescent="0.25">
      <c r="B1559" t="s">
        <v>434</v>
      </c>
      <c r="C1559" t="s">
        <v>511</v>
      </c>
      <c r="D1559" t="s">
        <v>106</v>
      </c>
      <c r="E1559">
        <v>15000</v>
      </c>
      <c r="F1559" t="s">
        <v>68</v>
      </c>
      <c r="G1559" t="s">
        <v>107</v>
      </c>
      <c r="H1559" t="s">
        <v>108</v>
      </c>
      <c r="I1559" t="s">
        <v>105</v>
      </c>
      <c r="J1559">
        <v>0</v>
      </c>
      <c r="K1559">
        <v>45451.40902777778</v>
      </c>
      <c r="L1559">
        <v>41000</v>
      </c>
      <c r="O1559">
        <v>1200</v>
      </c>
      <c r="P1559">
        <v>12</v>
      </c>
      <c r="Q1559">
        <v>600</v>
      </c>
    </row>
    <row r="1560" spans="2:22" x14ac:dyDescent="0.25">
      <c r="B1560" t="s">
        <v>434</v>
      </c>
      <c r="C1560" t="s">
        <v>106</v>
      </c>
      <c r="D1560" t="s">
        <v>106</v>
      </c>
      <c r="E1560">
        <v>0</v>
      </c>
      <c r="F1560" t="s">
        <v>68</v>
      </c>
      <c r="G1560" t="s">
        <v>110</v>
      </c>
      <c r="H1560" t="s">
        <v>111</v>
      </c>
      <c r="I1560" t="s">
        <v>105</v>
      </c>
      <c r="J1560">
        <v>0</v>
      </c>
      <c r="K1560">
        <v>45450.582638888889</v>
      </c>
      <c r="L1560">
        <v>10000</v>
      </c>
      <c r="O1560">
        <v>2400</v>
      </c>
      <c r="P1560">
        <v>0</v>
      </c>
      <c r="Q1560">
        <v>0</v>
      </c>
    </row>
    <row r="1561" spans="2:22" x14ac:dyDescent="0.25">
      <c r="B1561" t="s">
        <v>434</v>
      </c>
      <c r="C1561" t="s">
        <v>511</v>
      </c>
      <c r="D1561">
        <v>31300</v>
      </c>
      <c r="E1561">
        <v>0</v>
      </c>
      <c r="F1561" t="s">
        <v>68</v>
      </c>
      <c r="G1561" t="s">
        <v>113</v>
      </c>
      <c r="H1561" t="s">
        <v>114</v>
      </c>
      <c r="I1561" t="s">
        <v>105</v>
      </c>
      <c r="J1561">
        <v>0</v>
      </c>
      <c r="K1561">
        <v>45450.582638888889</v>
      </c>
      <c r="L1561">
        <v>2600</v>
      </c>
      <c r="O1561">
        <v>3000</v>
      </c>
      <c r="P1561">
        <v>0</v>
      </c>
      <c r="Q1561">
        <v>0</v>
      </c>
    </row>
    <row r="1562" spans="2:22" x14ac:dyDescent="0.25">
      <c r="B1562" t="s">
        <v>434</v>
      </c>
      <c r="C1562" t="s">
        <v>514</v>
      </c>
      <c r="D1562">
        <v>6650</v>
      </c>
      <c r="E1562">
        <v>0</v>
      </c>
      <c r="F1562" t="s">
        <v>68</v>
      </c>
      <c r="G1562" t="s">
        <v>115</v>
      </c>
      <c r="H1562" t="s">
        <v>116</v>
      </c>
      <c r="I1562" t="s">
        <v>105</v>
      </c>
      <c r="J1562">
        <v>0</v>
      </c>
      <c r="K1562">
        <v>45450.582650462966</v>
      </c>
      <c r="L1562">
        <v>5650</v>
      </c>
      <c r="O1562">
        <v>700</v>
      </c>
      <c r="P1562">
        <v>0</v>
      </c>
      <c r="Q1562">
        <v>0</v>
      </c>
    </row>
    <row r="1563" spans="2:22" x14ac:dyDescent="0.25">
      <c r="B1563" t="s">
        <v>434</v>
      </c>
      <c r="C1563" t="s">
        <v>106</v>
      </c>
      <c r="D1563" t="s">
        <v>106</v>
      </c>
      <c r="E1563">
        <v>0</v>
      </c>
      <c r="F1563" t="s">
        <v>68</v>
      </c>
      <c r="G1563" t="s">
        <v>117</v>
      </c>
      <c r="H1563" t="s">
        <v>118</v>
      </c>
      <c r="I1563" t="s">
        <v>105</v>
      </c>
      <c r="J1563">
        <v>0</v>
      </c>
      <c r="K1563">
        <v>45450.582662037035</v>
      </c>
      <c r="L1563">
        <v>900</v>
      </c>
      <c r="O1563">
        <v>3000</v>
      </c>
      <c r="P1563">
        <v>0</v>
      </c>
      <c r="Q1563">
        <v>0</v>
      </c>
    </row>
    <row r="1564" spans="2:22" x14ac:dyDescent="0.25">
      <c r="B1564" t="s">
        <v>434</v>
      </c>
      <c r="C1564" t="s">
        <v>106</v>
      </c>
      <c r="D1564" t="s">
        <v>66</v>
      </c>
      <c r="E1564">
        <v>0</v>
      </c>
      <c r="F1564" t="s">
        <v>68</v>
      </c>
      <c r="G1564" t="s">
        <v>119</v>
      </c>
      <c r="H1564" t="s">
        <v>120</v>
      </c>
      <c r="I1564" t="s">
        <v>105</v>
      </c>
      <c r="J1564">
        <v>0</v>
      </c>
      <c r="K1564">
        <v>45450.582673611112</v>
      </c>
      <c r="L1564">
        <v>18400</v>
      </c>
      <c r="O1564">
        <v>2400</v>
      </c>
      <c r="P1564">
        <v>0</v>
      </c>
      <c r="Q1564">
        <v>0</v>
      </c>
    </row>
    <row r="1565" spans="2:22" x14ac:dyDescent="0.25">
      <c r="B1565" t="s">
        <v>434</v>
      </c>
      <c r="C1565" t="s">
        <v>511</v>
      </c>
      <c r="D1565">
        <v>27800</v>
      </c>
      <c r="E1565">
        <v>0</v>
      </c>
      <c r="F1565" t="s">
        <v>68</v>
      </c>
      <c r="G1565" t="s">
        <v>121</v>
      </c>
      <c r="H1565" t="s">
        <v>122</v>
      </c>
      <c r="I1565" t="s">
        <v>105</v>
      </c>
      <c r="J1565">
        <v>0</v>
      </c>
      <c r="K1565">
        <v>45450.582685185182</v>
      </c>
      <c r="L1565">
        <v>23000</v>
      </c>
      <c r="O1565">
        <v>3000</v>
      </c>
      <c r="P1565">
        <v>0</v>
      </c>
      <c r="Q1565">
        <v>0</v>
      </c>
    </row>
    <row r="1566" spans="2:22" x14ac:dyDescent="0.25">
      <c r="B1566" t="s">
        <v>434</v>
      </c>
      <c r="C1566" t="s">
        <v>511</v>
      </c>
      <c r="D1566">
        <v>76500</v>
      </c>
      <c r="E1566">
        <v>0</v>
      </c>
      <c r="F1566" t="s">
        <v>68</v>
      </c>
      <c r="G1566" t="s">
        <v>123</v>
      </c>
      <c r="H1566" t="s">
        <v>124</v>
      </c>
      <c r="I1566" t="s">
        <v>105</v>
      </c>
      <c r="J1566">
        <v>0</v>
      </c>
      <c r="K1566">
        <v>45450.582696759258</v>
      </c>
      <c r="L1566">
        <v>64000</v>
      </c>
      <c r="O1566">
        <v>2400</v>
      </c>
      <c r="P1566">
        <v>0</v>
      </c>
      <c r="Q1566">
        <v>0</v>
      </c>
    </row>
    <row r="1567" spans="2:22" x14ac:dyDescent="0.25">
      <c r="B1567" t="s">
        <v>434</v>
      </c>
      <c r="C1567" t="s">
        <v>106</v>
      </c>
      <c r="D1567" t="s">
        <v>106</v>
      </c>
      <c r="E1567">
        <v>0</v>
      </c>
      <c r="F1567" t="s">
        <v>68</v>
      </c>
      <c r="G1567" t="s">
        <v>125</v>
      </c>
      <c r="H1567" t="s">
        <v>126</v>
      </c>
      <c r="I1567" t="s">
        <v>105</v>
      </c>
      <c r="J1567">
        <v>0</v>
      </c>
      <c r="K1567">
        <v>45450.582696759258</v>
      </c>
      <c r="L1567">
        <v>8800</v>
      </c>
      <c r="O1567">
        <v>2400</v>
      </c>
      <c r="P1567">
        <v>0</v>
      </c>
      <c r="Q1567">
        <v>0</v>
      </c>
    </row>
    <row r="1568" spans="2:22" x14ac:dyDescent="0.25">
      <c r="B1568" t="s">
        <v>434</v>
      </c>
      <c r="C1568" t="s">
        <v>511</v>
      </c>
      <c r="D1568" t="s">
        <v>106</v>
      </c>
      <c r="E1568">
        <v>0</v>
      </c>
      <c r="F1568" t="s">
        <v>127</v>
      </c>
      <c r="G1568" t="s">
        <v>128</v>
      </c>
      <c r="H1568" t="s">
        <v>129</v>
      </c>
      <c r="I1568" t="s">
        <v>130</v>
      </c>
      <c r="J1568">
        <v>0</v>
      </c>
      <c r="K1568">
        <v>45450.582708333335</v>
      </c>
      <c r="L1568">
        <v>5290</v>
      </c>
      <c r="O1568">
        <v>10</v>
      </c>
      <c r="P1568">
        <v>0</v>
      </c>
      <c r="Q1568">
        <v>0</v>
      </c>
      <c r="V1568" t="s">
        <v>554</v>
      </c>
    </row>
    <row r="1569" spans="2:22" x14ac:dyDescent="0.25">
      <c r="B1569" t="s">
        <v>434</v>
      </c>
      <c r="C1569" t="s">
        <v>106</v>
      </c>
      <c r="D1569">
        <v>6275</v>
      </c>
      <c r="E1569">
        <v>0</v>
      </c>
      <c r="F1569" t="s">
        <v>127</v>
      </c>
      <c r="G1569" t="s">
        <v>131</v>
      </c>
      <c r="H1569" t="s">
        <v>132</v>
      </c>
      <c r="I1569" t="s">
        <v>130</v>
      </c>
      <c r="J1569">
        <v>0</v>
      </c>
      <c r="K1569">
        <v>45450.582777777781</v>
      </c>
      <c r="L1569">
        <v>4070</v>
      </c>
      <c r="O1569">
        <v>10</v>
      </c>
      <c r="P1569">
        <v>0</v>
      </c>
      <c r="Q1569">
        <v>0</v>
      </c>
      <c r="V1569" t="s">
        <v>554</v>
      </c>
    </row>
    <row r="1570" spans="2:22" x14ac:dyDescent="0.25">
      <c r="B1570" t="s">
        <v>434</v>
      </c>
      <c r="C1570" t="s">
        <v>106</v>
      </c>
      <c r="D1570" t="s">
        <v>106</v>
      </c>
      <c r="E1570">
        <v>0</v>
      </c>
      <c r="F1570" t="s">
        <v>127</v>
      </c>
      <c r="G1570" t="s">
        <v>133</v>
      </c>
      <c r="H1570" t="s">
        <v>134</v>
      </c>
      <c r="I1570" t="s">
        <v>130</v>
      </c>
      <c r="J1570">
        <v>0</v>
      </c>
      <c r="K1570">
        <v>45450.582800925928</v>
      </c>
      <c r="L1570">
        <v>3130</v>
      </c>
      <c r="O1570">
        <v>10</v>
      </c>
      <c r="P1570">
        <v>0</v>
      </c>
      <c r="Q1570">
        <v>0</v>
      </c>
      <c r="V1570" t="s">
        <v>554</v>
      </c>
    </row>
    <row r="1571" spans="2:22" x14ac:dyDescent="0.25">
      <c r="B1571" t="s">
        <v>434</v>
      </c>
      <c r="C1571" t="s">
        <v>515</v>
      </c>
      <c r="D1571" t="s">
        <v>106</v>
      </c>
      <c r="E1571">
        <v>0</v>
      </c>
      <c r="F1571" t="s">
        <v>135</v>
      </c>
      <c r="G1571" t="s">
        <v>136</v>
      </c>
      <c r="H1571" t="s">
        <v>137</v>
      </c>
      <c r="I1571" t="s">
        <v>138</v>
      </c>
      <c r="J1571">
        <v>0</v>
      </c>
      <c r="K1571">
        <v>45450.582800925928</v>
      </c>
      <c r="L1571">
        <v>1246</v>
      </c>
      <c r="O1571">
        <v>144</v>
      </c>
      <c r="P1571">
        <v>0</v>
      </c>
      <c r="Q1571">
        <v>0</v>
      </c>
    </row>
    <row r="1572" spans="2:22" x14ac:dyDescent="0.25">
      <c r="B1572" t="s">
        <v>434</v>
      </c>
      <c r="C1572" t="s">
        <v>515</v>
      </c>
      <c r="D1572">
        <v>5792</v>
      </c>
      <c r="E1572">
        <v>0</v>
      </c>
      <c r="F1572" t="s">
        <v>135</v>
      </c>
      <c r="G1572" t="s">
        <v>139</v>
      </c>
      <c r="H1572" t="s">
        <v>137</v>
      </c>
      <c r="I1572" t="s">
        <v>138</v>
      </c>
      <c r="J1572">
        <v>0</v>
      </c>
      <c r="K1572">
        <v>45450.582812499997</v>
      </c>
      <c r="L1572">
        <v>4192</v>
      </c>
      <c r="O1572">
        <v>144</v>
      </c>
      <c r="P1572">
        <v>0</v>
      </c>
      <c r="Q1572">
        <v>0</v>
      </c>
    </row>
    <row r="1573" spans="2:22" x14ac:dyDescent="0.25">
      <c r="B1573" t="s">
        <v>434</v>
      </c>
      <c r="C1573" t="s">
        <v>515</v>
      </c>
      <c r="D1573" t="s">
        <v>106</v>
      </c>
      <c r="E1573">
        <v>0</v>
      </c>
      <c r="F1573" t="s">
        <v>135</v>
      </c>
      <c r="G1573" t="s">
        <v>140</v>
      </c>
      <c r="H1573" t="s">
        <v>137</v>
      </c>
      <c r="I1573" t="s">
        <v>138</v>
      </c>
      <c r="J1573">
        <v>0</v>
      </c>
      <c r="K1573">
        <v>45450.582824074074</v>
      </c>
      <c r="L1573">
        <v>1228</v>
      </c>
      <c r="O1573">
        <v>144</v>
      </c>
      <c r="P1573">
        <v>0</v>
      </c>
      <c r="Q1573">
        <v>0</v>
      </c>
    </row>
    <row r="1574" spans="2:22" x14ac:dyDescent="0.25">
      <c r="B1574" t="s">
        <v>434</v>
      </c>
      <c r="C1574" t="s">
        <v>515</v>
      </c>
      <c r="D1574" t="s">
        <v>106</v>
      </c>
      <c r="E1574">
        <v>0</v>
      </c>
      <c r="F1574" t="s">
        <v>135</v>
      </c>
      <c r="G1574" t="s">
        <v>141</v>
      </c>
      <c r="H1574" t="s">
        <v>137</v>
      </c>
      <c r="I1574" t="s">
        <v>138</v>
      </c>
      <c r="J1574">
        <v>0</v>
      </c>
      <c r="K1574">
        <v>45450.582835648151</v>
      </c>
      <c r="L1574">
        <v>2884</v>
      </c>
      <c r="O1574">
        <v>144</v>
      </c>
      <c r="P1574">
        <v>0</v>
      </c>
      <c r="Q1574">
        <v>0</v>
      </c>
    </row>
    <row r="1575" spans="2:22" x14ac:dyDescent="0.25">
      <c r="B1575" t="s">
        <v>434</v>
      </c>
      <c r="C1575" t="s">
        <v>106</v>
      </c>
      <c r="D1575">
        <v>9248</v>
      </c>
      <c r="E1575">
        <v>0</v>
      </c>
      <c r="F1575" t="s">
        <v>68</v>
      </c>
      <c r="G1575" t="s">
        <v>142</v>
      </c>
      <c r="H1575" t="s">
        <v>143</v>
      </c>
      <c r="I1575" t="s">
        <v>144</v>
      </c>
      <c r="J1575">
        <v>0</v>
      </c>
      <c r="K1575">
        <v>45450.58284722222</v>
      </c>
      <c r="L1575">
        <v>6600</v>
      </c>
      <c r="O1575">
        <v>24</v>
      </c>
      <c r="P1575">
        <v>0</v>
      </c>
      <c r="Q1575">
        <v>0</v>
      </c>
    </row>
    <row r="1576" spans="2:22" x14ac:dyDescent="0.25">
      <c r="B1576" t="s">
        <v>434</v>
      </c>
      <c r="C1576">
        <v>20618</v>
      </c>
      <c r="D1576">
        <v>15528</v>
      </c>
      <c r="E1576">
        <v>0</v>
      </c>
      <c r="F1576" t="s">
        <v>68</v>
      </c>
      <c r="G1576" t="s">
        <v>146</v>
      </c>
      <c r="H1576" t="s">
        <v>147</v>
      </c>
      <c r="I1576" t="s">
        <v>144</v>
      </c>
      <c r="J1576">
        <v>0</v>
      </c>
      <c r="K1576">
        <v>45450.58284722222</v>
      </c>
      <c r="L1576">
        <v>17500</v>
      </c>
      <c r="O1576">
        <v>440</v>
      </c>
      <c r="P1576">
        <v>0</v>
      </c>
      <c r="Q1576">
        <v>0</v>
      </c>
    </row>
    <row r="1577" spans="2:22" x14ac:dyDescent="0.25">
      <c r="B1577" t="s">
        <v>434</v>
      </c>
      <c r="C1577" t="s">
        <v>106</v>
      </c>
      <c r="D1577" t="s">
        <v>106</v>
      </c>
      <c r="E1577">
        <v>0</v>
      </c>
      <c r="F1577" t="s">
        <v>68</v>
      </c>
      <c r="G1577" t="s">
        <v>482</v>
      </c>
      <c r="H1577" t="s">
        <v>148</v>
      </c>
      <c r="I1577" t="s">
        <v>144</v>
      </c>
      <c r="J1577">
        <v>0</v>
      </c>
      <c r="K1577">
        <v>45450.582858796297</v>
      </c>
      <c r="L1577">
        <v>293</v>
      </c>
      <c r="O1577">
        <v>24</v>
      </c>
      <c r="P1577">
        <v>0</v>
      </c>
      <c r="Q1577">
        <v>0</v>
      </c>
    </row>
    <row r="1578" spans="2:22" x14ac:dyDescent="0.25">
      <c r="B1578" t="s">
        <v>434</v>
      </c>
      <c r="C1578" t="s">
        <v>507</v>
      </c>
      <c r="D1578" t="s">
        <v>106</v>
      </c>
      <c r="E1578">
        <v>0</v>
      </c>
      <c r="F1578" t="s">
        <v>68</v>
      </c>
      <c r="G1578" t="s">
        <v>355</v>
      </c>
      <c r="H1578" t="s">
        <v>149</v>
      </c>
      <c r="I1578" t="s">
        <v>144</v>
      </c>
      <c r="J1578">
        <v>0</v>
      </c>
      <c r="K1578">
        <v>45450.582870370374</v>
      </c>
      <c r="L1578">
        <v>3066</v>
      </c>
      <c r="O1578">
        <v>60</v>
      </c>
      <c r="P1578">
        <v>0</v>
      </c>
      <c r="Q1578">
        <v>0</v>
      </c>
      <c r="V1578" t="s">
        <v>555</v>
      </c>
    </row>
    <row r="1579" spans="2:22" x14ac:dyDescent="0.25">
      <c r="B1579" t="s">
        <v>434</v>
      </c>
      <c r="C1579" t="s">
        <v>106</v>
      </c>
      <c r="D1579" t="s">
        <v>106</v>
      </c>
      <c r="E1579">
        <v>0</v>
      </c>
      <c r="F1579" t="s">
        <v>68</v>
      </c>
      <c r="G1579" t="s">
        <v>483</v>
      </c>
      <c r="H1579" t="s">
        <v>150</v>
      </c>
      <c r="I1579" t="s">
        <v>144</v>
      </c>
      <c r="J1579">
        <v>0</v>
      </c>
      <c r="K1579">
        <v>45450.582916666666</v>
      </c>
      <c r="L1579">
        <v>270</v>
      </c>
      <c r="O1579">
        <v>4</v>
      </c>
      <c r="P1579">
        <v>0</v>
      </c>
      <c r="Q1579">
        <v>0</v>
      </c>
    </row>
    <row r="1580" spans="2:22" x14ac:dyDescent="0.25">
      <c r="B1580" t="s">
        <v>434</v>
      </c>
      <c r="C1580" t="s">
        <v>106</v>
      </c>
      <c r="D1580" t="s">
        <v>106</v>
      </c>
      <c r="E1580">
        <v>0</v>
      </c>
      <c r="F1580" t="s">
        <v>68</v>
      </c>
      <c r="G1580" t="s">
        <v>151</v>
      </c>
      <c r="H1580" t="s">
        <v>152</v>
      </c>
      <c r="I1580" t="s">
        <v>105</v>
      </c>
      <c r="J1580">
        <v>0</v>
      </c>
      <c r="K1580">
        <v>45450.582928240743</v>
      </c>
      <c r="L1580">
        <v>876</v>
      </c>
      <c r="O1580">
        <v>200</v>
      </c>
      <c r="P1580">
        <v>0</v>
      </c>
      <c r="Q1580">
        <v>0</v>
      </c>
      <c r="V1580" t="s">
        <v>856</v>
      </c>
    </row>
    <row r="1581" spans="2:22" x14ac:dyDescent="0.25">
      <c r="B1581" t="s">
        <v>434</v>
      </c>
      <c r="C1581" t="s">
        <v>106</v>
      </c>
      <c r="D1581" t="s">
        <v>106</v>
      </c>
      <c r="E1581">
        <v>0</v>
      </c>
      <c r="F1581" t="s">
        <v>68</v>
      </c>
      <c r="G1581" t="s">
        <v>153</v>
      </c>
      <c r="H1581" t="s">
        <v>154</v>
      </c>
      <c r="I1581" t="s">
        <v>105</v>
      </c>
      <c r="J1581">
        <v>0</v>
      </c>
      <c r="K1581">
        <v>45450.582962962966</v>
      </c>
      <c r="L1581">
        <v>100</v>
      </c>
      <c r="O1581">
        <v>100</v>
      </c>
      <c r="P1581">
        <v>0</v>
      </c>
      <c r="Q1581">
        <v>0</v>
      </c>
    </row>
    <row r="1582" spans="2:22" x14ac:dyDescent="0.25">
      <c r="B1582" t="s">
        <v>434</v>
      </c>
      <c r="C1582" t="s">
        <v>517</v>
      </c>
      <c r="D1582">
        <v>1662</v>
      </c>
      <c r="E1582">
        <v>0</v>
      </c>
      <c r="F1582" t="s">
        <v>68</v>
      </c>
      <c r="G1582" t="s">
        <v>155</v>
      </c>
      <c r="H1582" t="s">
        <v>156</v>
      </c>
      <c r="J1582">
        <v>0</v>
      </c>
      <c r="K1582">
        <v>45450.582974537036</v>
      </c>
      <c r="L1582">
        <v>266</v>
      </c>
      <c r="O1582">
        <v>24</v>
      </c>
      <c r="P1582">
        <v>0</v>
      </c>
      <c r="Q1582">
        <v>0</v>
      </c>
    </row>
    <row r="1583" spans="2:22" x14ac:dyDescent="0.25">
      <c r="B1583" t="s">
        <v>434</v>
      </c>
      <c r="C1583" t="s">
        <v>515</v>
      </c>
      <c r="D1583">
        <v>1216</v>
      </c>
      <c r="E1583">
        <v>0</v>
      </c>
      <c r="F1583" t="s">
        <v>68</v>
      </c>
      <c r="G1583" t="s">
        <v>157</v>
      </c>
      <c r="H1583" t="s">
        <v>156</v>
      </c>
      <c r="J1583">
        <v>0</v>
      </c>
      <c r="K1583">
        <v>45450.582986111112</v>
      </c>
      <c r="L1583">
        <v>1034</v>
      </c>
      <c r="O1583">
        <v>12</v>
      </c>
      <c r="P1583">
        <v>0</v>
      </c>
      <c r="Q1583">
        <v>0</v>
      </c>
    </row>
    <row r="1584" spans="2:22" x14ac:dyDescent="0.25">
      <c r="B1584" t="s">
        <v>434</v>
      </c>
      <c r="C1584" t="s">
        <v>158</v>
      </c>
      <c r="D1584">
        <v>2844</v>
      </c>
      <c r="E1584">
        <v>0</v>
      </c>
      <c r="F1584" t="s">
        <v>68</v>
      </c>
      <c r="G1584" t="s">
        <v>159</v>
      </c>
      <c r="H1584" t="s">
        <v>556</v>
      </c>
      <c r="I1584" t="s">
        <v>161</v>
      </c>
      <c r="J1584">
        <v>0</v>
      </c>
      <c r="K1584">
        <v>45450.582997685182</v>
      </c>
      <c r="L1584">
        <v>3348</v>
      </c>
      <c r="O1584">
        <v>36</v>
      </c>
      <c r="P1584">
        <v>0</v>
      </c>
      <c r="Q1584">
        <v>0</v>
      </c>
    </row>
    <row r="1585" spans="2:22" x14ac:dyDescent="0.25">
      <c r="B1585" t="s">
        <v>434</v>
      </c>
      <c r="C1585" t="s">
        <v>519</v>
      </c>
      <c r="D1585" t="s">
        <v>106</v>
      </c>
      <c r="E1585">
        <v>0</v>
      </c>
      <c r="F1585" t="s">
        <v>68</v>
      </c>
      <c r="G1585" t="s">
        <v>109</v>
      </c>
      <c r="H1585" t="s">
        <v>162</v>
      </c>
      <c r="J1585">
        <v>0</v>
      </c>
      <c r="K1585">
        <v>45450.583009259259</v>
      </c>
      <c r="L1585">
        <v>636</v>
      </c>
      <c r="O1585">
        <v>96</v>
      </c>
      <c r="P1585">
        <v>0</v>
      </c>
      <c r="Q1585">
        <v>0</v>
      </c>
      <c r="V1585" t="s">
        <v>797</v>
      </c>
    </row>
    <row r="1586" spans="2:22" x14ac:dyDescent="0.25">
      <c r="B1586" t="s">
        <v>434</v>
      </c>
      <c r="C1586" t="s">
        <v>515</v>
      </c>
      <c r="D1586" t="s">
        <v>106</v>
      </c>
      <c r="E1586">
        <v>0</v>
      </c>
      <c r="F1586" t="s">
        <v>68</v>
      </c>
      <c r="G1586" t="s">
        <v>163</v>
      </c>
      <c r="H1586" t="s">
        <v>164</v>
      </c>
      <c r="I1586" t="s">
        <v>165</v>
      </c>
      <c r="J1586">
        <v>0</v>
      </c>
      <c r="K1586">
        <v>45450.583055555559</v>
      </c>
      <c r="L1586">
        <v>6262</v>
      </c>
      <c r="O1586">
        <v>12</v>
      </c>
      <c r="P1586">
        <v>0</v>
      </c>
      <c r="Q1586">
        <v>0</v>
      </c>
    </row>
    <row r="1587" spans="2:22" x14ac:dyDescent="0.25">
      <c r="B1587" t="s">
        <v>434</v>
      </c>
      <c r="C1587" t="s">
        <v>106</v>
      </c>
      <c r="D1587">
        <v>590</v>
      </c>
      <c r="E1587">
        <v>0</v>
      </c>
      <c r="F1587" t="s">
        <v>68</v>
      </c>
      <c r="G1587" t="s">
        <v>166</v>
      </c>
      <c r="H1587" t="s">
        <v>709</v>
      </c>
      <c r="J1587">
        <v>0</v>
      </c>
      <c r="K1587">
        <v>45450.583067129628</v>
      </c>
      <c r="L1587">
        <v>1012</v>
      </c>
      <c r="O1587">
        <v>4</v>
      </c>
      <c r="P1587">
        <v>0</v>
      </c>
      <c r="Q1587">
        <v>0</v>
      </c>
    </row>
    <row r="1588" spans="2:22" x14ac:dyDescent="0.25">
      <c r="B1588" t="s">
        <v>434</v>
      </c>
      <c r="C1588" t="s">
        <v>106</v>
      </c>
      <c r="D1588" t="s">
        <v>106</v>
      </c>
      <c r="E1588">
        <v>0</v>
      </c>
      <c r="F1588" t="s">
        <v>68</v>
      </c>
      <c r="G1588" t="s">
        <v>168</v>
      </c>
      <c r="H1588" t="s">
        <v>520</v>
      </c>
      <c r="J1588">
        <v>0</v>
      </c>
      <c r="K1588">
        <v>45450.583078703705</v>
      </c>
      <c r="L1588">
        <v>7328</v>
      </c>
      <c r="O1588">
        <v>500</v>
      </c>
      <c r="P1588">
        <v>0</v>
      </c>
      <c r="Q1588">
        <v>0</v>
      </c>
    </row>
    <row r="1589" spans="2:22" x14ac:dyDescent="0.25">
      <c r="B1589" t="s">
        <v>434</v>
      </c>
      <c r="C1589" t="s">
        <v>521</v>
      </c>
      <c r="D1589" t="s">
        <v>106</v>
      </c>
      <c r="E1589">
        <v>0</v>
      </c>
      <c r="F1589" t="s">
        <v>68</v>
      </c>
      <c r="G1589" t="s">
        <v>484</v>
      </c>
      <c r="H1589" t="s">
        <v>169</v>
      </c>
      <c r="I1589" t="s">
        <v>144</v>
      </c>
      <c r="J1589">
        <v>0</v>
      </c>
      <c r="K1589">
        <v>45450.583101851851</v>
      </c>
      <c r="L1589">
        <v>550</v>
      </c>
      <c r="O1589">
        <v>25</v>
      </c>
      <c r="P1589">
        <v>0</v>
      </c>
      <c r="Q1589">
        <v>0</v>
      </c>
    </row>
    <row r="1590" spans="2:22" x14ac:dyDescent="0.25">
      <c r="B1590" t="s">
        <v>434</v>
      </c>
      <c r="C1590" t="s">
        <v>511</v>
      </c>
      <c r="D1590">
        <v>30000</v>
      </c>
      <c r="E1590">
        <v>0</v>
      </c>
      <c r="F1590" t="s">
        <v>68</v>
      </c>
      <c r="G1590" t="s">
        <v>170</v>
      </c>
      <c r="H1590" t="s">
        <v>171</v>
      </c>
      <c r="I1590" t="s">
        <v>105</v>
      </c>
      <c r="J1590">
        <v>0</v>
      </c>
      <c r="K1590">
        <v>45450.583101851851</v>
      </c>
      <c r="L1590">
        <v>0</v>
      </c>
      <c r="O1590">
        <v>2400</v>
      </c>
      <c r="P1590">
        <v>0</v>
      </c>
      <c r="Q1590">
        <v>0</v>
      </c>
    </row>
    <row r="1591" spans="2:22" x14ac:dyDescent="0.25">
      <c r="B1591" t="s">
        <v>434</v>
      </c>
      <c r="C1591" t="s">
        <v>106</v>
      </c>
      <c r="D1591" t="s">
        <v>106</v>
      </c>
      <c r="E1591">
        <v>0</v>
      </c>
      <c r="F1591" t="s">
        <v>68</v>
      </c>
      <c r="G1591" t="s">
        <v>172</v>
      </c>
      <c r="H1591" t="s">
        <v>173</v>
      </c>
      <c r="I1591" t="s">
        <v>105</v>
      </c>
      <c r="J1591">
        <v>0</v>
      </c>
      <c r="K1591">
        <v>45450.583124999997</v>
      </c>
      <c r="L1591">
        <v>24900</v>
      </c>
      <c r="O1591">
        <v>2400</v>
      </c>
      <c r="P1591">
        <v>0</v>
      </c>
      <c r="Q1591">
        <v>0</v>
      </c>
    </row>
    <row r="1592" spans="2:22" x14ac:dyDescent="0.25">
      <c r="B1592" t="s">
        <v>434</v>
      </c>
      <c r="C1592" t="s">
        <v>106</v>
      </c>
      <c r="D1592" t="s">
        <v>106</v>
      </c>
      <c r="E1592">
        <v>0</v>
      </c>
      <c r="F1592" t="s">
        <v>174</v>
      </c>
      <c r="G1592" t="s">
        <v>175</v>
      </c>
      <c r="H1592" t="s">
        <v>176</v>
      </c>
      <c r="J1592">
        <v>0</v>
      </c>
      <c r="K1592">
        <v>45450.583124999997</v>
      </c>
      <c r="L1592">
        <v>500</v>
      </c>
      <c r="O1592">
        <v>20</v>
      </c>
      <c r="P1592">
        <v>0</v>
      </c>
      <c r="Q1592">
        <v>0</v>
      </c>
    </row>
    <row r="1593" spans="2:22" x14ac:dyDescent="0.25">
      <c r="B1593" t="s">
        <v>434</v>
      </c>
      <c r="C1593" t="s">
        <v>177</v>
      </c>
      <c r="D1593">
        <v>2750</v>
      </c>
      <c r="E1593">
        <v>0</v>
      </c>
      <c r="F1593" t="s">
        <v>68</v>
      </c>
      <c r="G1593" t="s">
        <v>485</v>
      </c>
      <c r="H1593" t="s">
        <v>178</v>
      </c>
      <c r="I1593" t="s">
        <v>144</v>
      </c>
      <c r="J1593">
        <v>0</v>
      </c>
      <c r="K1593">
        <v>45450.583136574074</v>
      </c>
      <c r="L1593">
        <v>2680</v>
      </c>
      <c r="O1593">
        <v>100</v>
      </c>
      <c r="P1593">
        <v>0</v>
      </c>
      <c r="Q1593">
        <v>0</v>
      </c>
      <c r="V1593" t="s">
        <v>798</v>
      </c>
    </row>
    <row r="1594" spans="2:22" x14ac:dyDescent="0.25">
      <c r="B1594" t="s">
        <v>434</v>
      </c>
      <c r="C1594" t="s">
        <v>522</v>
      </c>
      <c r="D1594" t="s">
        <v>106</v>
      </c>
      <c r="E1594">
        <v>0</v>
      </c>
      <c r="F1594" t="s">
        <v>68</v>
      </c>
      <c r="G1594" t="s">
        <v>179</v>
      </c>
      <c r="H1594" t="s">
        <v>180</v>
      </c>
      <c r="I1594" t="s">
        <v>144</v>
      </c>
      <c r="J1594">
        <v>0</v>
      </c>
      <c r="K1594">
        <v>45450.583182870374</v>
      </c>
      <c r="L1594">
        <v>28000</v>
      </c>
      <c r="O1594">
        <v>2000</v>
      </c>
      <c r="P1594">
        <v>0</v>
      </c>
      <c r="Q1594">
        <v>0</v>
      </c>
    </row>
    <row r="1595" spans="2:22" x14ac:dyDescent="0.25">
      <c r="B1595" t="s">
        <v>434</v>
      </c>
      <c r="C1595" t="s">
        <v>106</v>
      </c>
      <c r="D1595" t="s">
        <v>106</v>
      </c>
      <c r="E1595">
        <v>0</v>
      </c>
      <c r="F1595" t="s">
        <v>68</v>
      </c>
      <c r="G1595" t="s">
        <v>357</v>
      </c>
      <c r="H1595" t="s">
        <v>181</v>
      </c>
      <c r="J1595">
        <v>0</v>
      </c>
      <c r="K1595">
        <v>45450.583194444444</v>
      </c>
      <c r="L1595">
        <v>58</v>
      </c>
      <c r="O1595">
        <v>40</v>
      </c>
      <c r="P1595">
        <v>0</v>
      </c>
      <c r="Q1595">
        <v>0</v>
      </c>
    </row>
    <row r="1596" spans="2:22" x14ac:dyDescent="0.25">
      <c r="B1596" t="s">
        <v>434</v>
      </c>
      <c r="C1596" t="s">
        <v>106</v>
      </c>
      <c r="D1596" t="s">
        <v>106</v>
      </c>
      <c r="E1596">
        <v>0</v>
      </c>
      <c r="F1596" t="s">
        <v>68</v>
      </c>
      <c r="G1596" t="s">
        <v>182</v>
      </c>
      <c r="H1596" t="s">
        <v>183</v>
      </c>
      <c r="J1596">
        <v>0</v>
      </c>
      <c r="K1596">
        <v>45450.58320601852</v>
      </c>
      <c r="L1596">
        <v>44</v>
      </c>
      <c r="O1596">
        <v>36</v>
      </c>
      <c r="P1596">
        <v>0</v>
      </c>
      <c r="Q1596">
        <v>0</v>
      </c>
    </row>
    <row r="1597" spans="2:22" x14ac:dyDescent="0.25">
      <c r="B1597" t="s">
        <v>434</v>
      </c>
      <c r="C1597" t="s">
        <v>523</v>
      </c>
      <c r="D1597" t="s">
        <v>106</v>
      </c>
      <c r="E1597">
        <v>0</v>
      </c>
      <c r="F1597" t="s">
        <v>68</v>
      </c>
      <c r="G1597" t="s">
        <v>201</v>
      </c>
      <c r="H1597" t="s">
        <v>202</v>
      </c>
      <c r="I1597" t="s">
        <v>144</v>
      </c>
      <c r="J1597">
        <v>0</v>
      </c>
      <c r="K1597">
        <v>45450.58321759259</v>
      </c>
      <c r="L1597">
        <v>740</v>
      </c>
      <c r="O1597">
        <v>100</v>
      </c>
      <c r="P1597">
        <v>0</v>
      </c>
      <c r="Q1597">
        <v>0</v>
      </c>
    </row>
    <row r="1598" spans="2:22" x14ac:dyDescent="0.25">
      <c r="B1598" t="s">
        <v>434</v>
      </c>
      <c r="C1598" t="s">
        <v>67</v>
      </c>
      <c r="D1598" t="s">
        <v>67</v>
      </c>
      <c r="E1598">
        <v>0</v>
      </c>
      <c r="F1598" t="s">
        <v>135</v>
      </c>
      <c r="G1598" t="s">
        <v>225</v>
      </c>
      <c r="H1598" t="s">
        <v>208</v>
      </c>
      <c r="I1598" t="s">
        <v>209</v>
      </c>
      <c r="J1598">
        <v>0</v>
      </c>
      <c r="K1598">
        <v>45450.583229166667</v>
      </c>
      <c r="L1598">
        <v>9</v>
      </c>
      <c r="O1598">
        <v>1</v>
      </c>
      <c r="P1598">
        <v>0</v>
      </c>
      <c r="Q1598">
        <v>0</v>
      </c>
    </row>
    <row r="1599" spans="2:22" x14ac:dyDescent="0.25">
      <c r="B1599" t="s">
        <v>434</v>
      </c>
      <c r="C1599" t="s">
        <v>67</v>
      </c>
      <c r="D1599" t="s">
        <v>67</v>
      </c>
      <c r="E1599">
        <v>0</v>
      </c>
      <c r="F1599" t="s">
        <v>135</v>
      </c>
      <c r="G1599" t="s">
        <v>226</v>
      </c>
      <c r="H1599" t="s">
        <v>208</v>
      </c>
      <c r="I1599" t="s">
        <v>209</v>
      </c>
      <c r="J1599">
        <v>0</v>
      </c>
      <c r="K1599">
        <v>45450.583240740743</v>
      </c>
      <c r="L1599">
        <v>10</v>
      </c>
      <c r="O1599">
        <v>1</v>
      </c>
      <c r="P1599">
        <v>0</v>
      </c>
      <c r="Q1599">
        <v>0</v>
      </c>
    </row>
    <row r="1600" spans="2:22" x14ac:dyDescent="0.25">
      <c r="B1600" t="s">
        <v>434</v>
      </c>
      <c r="C1600" t="s">
        <v>67</v>
      </c>
      <c r="D1600" t="s">
        <v>67</v>
      </c>
      <c r="E1600">
        <v>0</v>
      </c>
      <c r="F1600" t="s">
        <v>135</v>
      </c>
      <c r="G1600" t="s">
        <v>62</v>
      </c>
      <c r="H1600" t="s">
        <v>208</v>
      </c>
      <c r="I1600" t="s">
        <v>209</v>
      </c>
      <c r="J1600">
        <v>0</v>
      </c>
      <c r="K1600">
        <v>45450.583240740743</v>
      </c>
      <c r="L1600">
        <v>51</v>
      </c>
      <c r="O1600">
        <v>1</v>
      </c>
      <c r="P1600">
        <v>0</v>
      </c>
      <c r="Q1600">
        <v>0</v>
      </c>
    </row>
    <row r="1601" spans="2:17" x14ac:dyDescent="0.25">
      <c r="B1601" t="s">
        <v>434</v>
      </c>
      <c r="C1601" t="s">
        <v>67</v>
      </c>
      <c r="D1601" t="s">
        <v>67</v>
      </c>
      <c r="E1601">
        <v>0</v>
      </c>
      <c r="F1601" t="s">
        <v>135</v>
      </c>
      <c r="G1601" t="s">
        <v>227</v>
      </c>
      <c r="H1601" t="s">
        <v>208</v>
      </c>
      <c r="I1601" t="s">
        <v>209</v>
      </c>
      <c r="J1601">
        <v>0</v>
      </c>
      <c r="K1601">
        <v>45450.583252314813</v>
      </c>
      <c r="L1601">
        <v>34</v>
      </c>
      <c r="O1601">
        <v>1</v>
      </c>
      <c r="P1601">
        <v>0</v>
      </c>
      <c r="Q1601">
        <v>0</v>
      </c>
    </row>
    <row r="1602" spans="2:17" x14ac:dyDescent="0.25">
      <c r="B1602" t="s">
        <v>434</v>
      </c>
      <c r="C1602" t="s">
        <v>67</v>
      </c>
      <c r="D1602" t="s">
        <v>67</v>
      </c>
      <c r="E1602">
        <v>0</v>
      </c>
      <c r="F1602" t="s">
        <v>135</v>
      </c>
      <c r="G1602" t="s">
        <v>63</v>
      </c>
      <c r="H1602" t="s">
        <v>208</v>
      </c>
      <c r="I1602" t="s">
        <v>209</v>
      </c>
      <c r="J1602">
        <v>0</v>
      </c>
      <c r="K1602">
        <v>45450.58326388889</v>
      </c>
      <c r="L1602">
        <v>4</v>
      </c>
      <c r="O1602">
        <v>1</v>
      </c>
      <c r="P1602">
        <v>0</v>
      </c>
      <c r="Q1602">
        <v>0</v>
      </c>
    </row>
    <row r="1603" spans="2:17" x14ac:dyDescent="0.25">
      <c r="B1603" t="s">
        <v>434</v>
      </c>
      <c r="C1603" t="s">
        <v>67</v>
      </c>
      <c r="D1603" t="s">
        <v>67</v>
      </c>
      <c r="E1603">
        <v>0</v>
      </c>
      <c r="F1603" t="s">
        <v>135</v>
      </c>
      <c r="G1603" t="s">
        <v>228</v>
      </c>
      <c r="H1603" t="s">
        <v>208</v>
      </c>
      <c r="I1603" t="s">
        <v>209</v>
      </c>
      <c r="J1603">
        <v>0</v>
      </c>
      <c r="K1603">
        <v>45450.58326388889</v>
      </c>
      <c r="L1603">
        <v>2</v>
      </c>
      <c r="O1603">
        <v>1</v>
      </c>
      <c r="P1603">
        <v>0</v>
      </c>
      <c r="Q1603">
        <v>0</v>
      </c>
    </row>
    <row r="1604" spans="2:17" x14ac:dyDescent="0.25">
      <c r="B1604" t="s">
        <v>434</v>
      </c>
      <c r="C1604" t="s">
        <v>67</v>
      </c>
      <c r="D1604">
        <v>4</v>
      </c>
      <c r="E1604">
        <v>0</v>
      </c>
      <c r="F1604" t="s">
        <v>135</v>
      </c>
      <c r="G1604" t="s">
        <v>229</v>
      </c>
      <c r="H1604" t="s">
        <v>208</v>
      </c>
      <c r="I1604" t="s">
        <v>209</v>
      </c>
      <c r="J1604">
        <v>0</v>
      </c>
      <c r="K1604">
        <v>45450.583275462966</v>
      </c>
      <c r="L1604">
        <v>3</v>
      </c>
      <c r="O1604">
        <v>1</v>
      </c>
      <c r="P1604">
        <v>0</v>
      </c>
      <c r="Q1604">
        <v>0</v>
      </c>
    </row>
    <row r="1605" spans="2:17" x14ac:dyDescent="0.25">
      <c r="B1605" t="s">
        <v>434</v>
      </c>
      <c r="C1605" t="s">
        <v>67</v>
      </c>
      <c r="D1605">
        <v>4</v>
      </c>
      <c r="E1605">
        <v>0</v>
      </c>
      <c r="F1605" t="s">
        <v>135</v>
      </c>
      <c r="G1605" t="s">
        <v>230</v>
      </c>
      <c r="H1605" t="s">
        <v>208</v>
      </c>
      <c r="I1605" t="s">
        <v>209</v>
      </c>
      <c r="J1605">
        <v>0</v>
      </c>
      <c r="K1605">
        <v>45450.583287037036</v>
      </c>
      <c r="L1605">
        <v>5</v>
      </c>
      <c r="O1605">
        <v>1</v>
      </c>
      <c r="P1605">
        <v>0</v>
      </c>
      <c r="Q1605">
        <v>0</v>
      </c>
    </row>
    <row r="1606" spans="2:17" x14ac:dyDescent="0.25">
      <c r="B1606" t="s">
        <v>434</v>
      </c>
      <c r="C1606" t="s">
        <v>67</v>
      </c>
      <c r="D1606">
        <v>56</v>
      </c>
      <c r="E1606">
        <v>0</v>
      </c>
      <c r="F1606" t="s">
        <v>135</v>
      </c>
      <c r="G1606" t="s">
        <v>64</v>
      </c>
      <c r="H1606" t="s">
        <v>208</v>
      </c>
      <c r="I1606" t="s">
        <v>209</v>
      </c>
      <c r="J1606">
        <v>0</v>
      </c>
      <c r="K1606">
        <v>45450.583298611113</v>
      </c>
      <c r="L1606">
        <v>94</v>
      </c>
      <c r="O1606">
        <v>1</v>
      </c>
      <c r="P1606">
        <v>0</v>
      </c>
      <c r="Q1606">
        <v>0</v>
      </c>
    </row>
    <row r="1607" spans="2:17" x14ac:dyDescent="0.25">
      <c r="B1607" t="s">
        <v>434</v>
      </c>
      <c r="C1607" t="s">
        <v>67</v>
      </c>
      <c r="D1607" t="s">
        <v>67</v>
      </c>
      <c r="E1607">
        <v>0</v>
      </c>
      <c r="F1607" t="s">
        <v>135</v>
      </c>
      <c r="G1607" t="s">
        <v>215</v>
      </c>
      <c r="H1607" t="s">
        <v>208</v>
      </c>
      <c r="I1607" t="s">
        <v>209</v>
      </c>
      <c r="J1607">
        <v>0</v>
      </c>
      <c r="K1607">
        <v>45450.583298611113</v>
      </c>
      <c r="L1607">
        <v>14</v>
      </c>
      <c r="O1607">
        <v>1</v>
      </c>
      <c r="P1607">
        <v>0</v>
      </c>
      <c r="Q1607">
        <v>0</v>
      </c>
    </row>
    <row r="1608" spans="2:17" x14ac:dyDescent="0.25">
      <c r="B1608" t="s">
        <v>434</v>
      </c>
      <c r="C1608" t="s">
        <v>67</v>
      </c>
      <c r="D1608" t="s">
        <v>67</v>
      </c>
      <c r="E1608">
        <v>0</v>
      </c>
      <c r="F1608" t="s">
        <v>135</v>
      </c>
      <c r="G1608" t="s">
        <v>216</v>
      </c>
      <c r="H1608" t="s">
        <v>208</v>
      </c>
      <c r="I1608" t="s">
        <v>209</v>
      </c>
      <c r="J1608">
        <v>0</v>
      </c>
      <c r="K1608">
        <v>45450.583310185182</v>
      </c>
      <c r="L1608">
        <v>21</v>
      </c>
      <c r="O1608">
        <v>1</v>
      </c>
      <c r="P1608">
        <v>0</v>
      </c>
      <c r="Q1608">
        <v>0</v>
      </c>
    </row>
    <row r="1609" spans="2:17" x14ac:dyDescent="0.25">
      <c r="B1609" t="s">
        <v>434</v>
      </c>
      <c r="C1609" t="s">
        <v>67</v>
      </c>
      <c r="D1609">
        <v>39</v>
      </c>
      <c r="E1609">
        <v>0</v>
      </c>
      <c r="F1609" t="s">
        <v>135</v>
      </c>
      <c r="G1609" t="s">
        <v>217</v>
      </c>
      <c r="H1609" t="s">
        <v>208</v>
      </c>
      <c r="I1609" t="s">
        <v>209</v>
      </c>
      <c r="J1609">
        <v>0</v>
      </c>
      <c r="K1609">
        <v>45450.583321759259</v>
      </c>
      <c r="L1609">
        <v>22</v>
      </c>
      <c r="O1609">
        <v>1</v>
      </c>
      <c r="P1609">
        <v>0</v>
      </c>
      <c r="Q1609">
        <v>0</v>
      </c>
    </row>
    <row r="1610" spans="2:17" x14ac:dyDescent="0.25">
      <c r="B1610" t="s">
        <v>434</v>
      </c>
      <c r="C1610" t="s">
        <v>67</v>
      </c>
      <c r="D1610" t="s">
        <v>67</v>
      </c>
      <c r="E1610">
        <v>0</v>
      </c>
      <c r="F1610" t="s">
        <v>135</v>
      </c>
      <c r="G1610" t="s">
        <v>218</v>
      </c>
      <c r="H1610" t="s">
        <v>208</v>
      </c>
      <c r="I1610" t="s">
        <v>209</v>
      </c>
      <c r="J1610">
        <v>0</v>
      </c>
      <c r="K1610">
        <v>45450.583321759259</v>
      </c>
      <c r="L1610">
        <v>32</v>
      </c>
      <c r="O1610">
        <v>1</v>
      </c>
      <c r="P1610">
        <v>0</v>
      </c>
      <c r="Q1610">
        <v>0</v>
      </c>
    </row>
    <row r="1611" spans="2:17" x14ac:dyDescent="0.25">
      <c r="B1611" t="s">
        <v>434</v>
      </c>
      <c r="C1611" t="s">
        <v>67</v>
      </c>
      <c r="D1611" t="s">
        <v>67</v>
      </c>
      <c r="E1611">
        <v>0</v>
      </c>
      <c r="F1611" t="s">
        <v>135</v>
      </c>
      <c r="G1611" t="s">
        <v>219</v>
      </c>
      <c r="H1611" t="s">
        <v>208</v>
      </c>
      <c r="I1611" t="s">
        <v>209</v>
      </c>
      <c r="J1611">
        <v>0</v>
      </c>
      <c r="K1611">
        <v>45450.583333333336</v>
      </c>
      <c r="L1611">
        <v>55</v>
      </c>
      <c r="O1611">
        <v>1</v>
      </c>
      <c r="P1611">
        <v>0</v>
      </c>
      <c r="Q1611">
        <v>0</v>
      </c>
    </row>
    <row r="1612" spans="2:17" x14ac:dyDescent="0.25">
      <c r="B1612" t="s">
        <v>434</v>
      </c>
      <c r="C1612" t="s">
        <v>67</v>
      </c>
      <c r="D1612" t="s">
        <v>67</v>
      </c>
      <c r="E1612">
        <v>0</v>
      </c>
      <c r="F1612" t="s">
        <v>135</v>
      </c>
      <c r="G1612" t="s">
        <v>220</v>
      </c>
      <c r="H1612" t="s">
        <v>208</v>
      </c>
      <c r="I1612" t="s">
        <v>209</v>
      </c>
      <c r="J1612">
        <v>0</v>
      </c>
      <c r="K1612">
        <v>45450.583344907405</v>
      </c>
      <c r="L1612">
        <v>4</v>
      </c>
      <c r="O1612">
        <v>1</v>
      </c>
      <c r="P1612">
        <v>0</v>
      </c>
      <c r="Q1612">
        <v>0</v>
      </c>
    </row>
    <row r="1613" spans="2:17" x14ac:dyDescent="0.25">
      <c r="B1613" t="s">
        <v>434</v>
      </c>
      <c r="C1613" t="s">
        <v>465</v>
      </c>
      <c r="D1613" t="s">
        <v>231</v>
      </c>
      <c r="E1613">
        <v>0</v>
      </c>
      <c r="F1613" t="s">
        <v>68</v>
      </c>
      <c r="G1613" t="s">
        <v>490</v>
      </c>
      <c r="H1613" t="s">
        <v>233</v>
      </c>
      <c r="I1613" t="s">
        <v>234</v>
      </c>
      <c r="J1613">
        <v>0</v>
      </c>
      <c r="K1613">
        <v>45450.583356481482</v>
      </c>
      <c r="L1613">
        <v>0</v>
      </c>
      <c r="O1613">
        <v>1</v>
      </c>
      <c r="P1613">
        <v>0</v>
      </c>
      <c r="Q1613">
        <v>0</v>
      </c>
    </row>
    <row r="1614" spans="2:17" x14ac:dyDescent="0.25">
      <c r="B1614" t="s">
        <v>434</v>
      </c>
      <c r="C1614" t="s">
        <v>66</v>
      </c>
      <c r="D1614" t="s">
        <v>66</v>
      </c>
      <c r="E1614">
        <v>0</v>
      </c>
      <c r="F1614" t="s">
        <v>68</v>
      </c>
      <c r="G1614" t="s">
        <v>274</v>
      </c>
      <c r="H1614" t="s">
        <v>275</v>
      </c>
      <c r="I1614" t="s">
        <v>105</v>
      </c>
      <c r="J1614">
        <v>0</v>
      </c>
      <c r="K1614">
        <v>45450.583356481482</v>
      </c>
      <c r="L1614">
        <v>1400</v>
      </c>
      <c r="O1614">
        <v>1</v>
      </c>
      <c r="P1614">
        <v>0</v>
      </c>
      <c r="Q1614">
        <v>0</v>
      </c>
    </row>
    <row r="1615" spans="2:17" x14ac:dyDescent="0.25">
      <c r="B1615" t="s">
        <v>434</v>
      </c>
      <c r="C1615" t="s">
        <v>66</v>
      </c>
      <c r="D1615">
        <v>31200</v>
      </c>
      <c r="E1615">
        <v>0</v>
      </c>
      <c r="F1615" t="s">
        <v>68</v>
      </c>
      <c r="G1615" t="s">
        <v>278</v>
      </c>
      <c r="H1615" t="s">
        <v>279</v>
      </c>
      <c r="I1615" t="s">
        <v>105</v>
      </c>
      <c r="J1615">
        <v>0</v>
      </c>
      <c r="K1615">
        <v>45450.583368055559</v>
      </c>
      <c r="L1615">
        <v>27000</v>
      </c>
      <c r="O1615">
        <v>2400</v>
      </c>
      <c r="P1615">
        <v>0</v>
      </c>
      <c r="Q1615">
        <v>0</v>
      </c>
    </row>
    <row r="1616" spans="2:17" x14ac:dyDescent="0.25">
      <c r="B1616" t="s">
        <v>434</v>
      </c>
      <c r="C1616" t="s">
        <v>67</v>
      </c>
      <c r="D1616" t="s">
        <v>67</v>
      </c>
      <c r="E1616">
        <v>0</v>
      </c>
      <c r="F1616" t="s">
        <v>68</v>
      </c>
      <c r="G1616" t="s">
        <v>112</v>
      </c>
      <c r="H1616" t="s">
        <v>323</v>
      </c>
      <c r="I1616" t="s">
        <v>66</v>
      </c>
      <c r="J1616">
        <v>0</v>
      </c>
      <c r="K1616">
        <v>45450.583379629628</v>
      </c>
      <c r="L1616">
        <v>9994</v>
      </c>
      <c r="O1616">
        <v>100</v>
      </c>
      <c r="P1616">
        <v>0</v>
      </c>
      <c r="Q1616">
        <v>0</v>
      </c>
    </row>
    <row r="1617" spans="2:22" x14ac:dyDescent="0.25">
      <c r="B1617" t="s">
        <v>434</v>
      </c>
      <c r="C1617" t="s">
        <v>330</v>
      </c>
      <c r="D1617" t="s">
        <v>66</v>
      </c>
      <c r="E1617">
        <v>0</v>
      </c>
      <c r="F1617" t="s">
        <v>135</v>
      </c>
      <c r="G1617" t="s">
        <v>331</v>
      </c>
      <c r="H1617" t="s">
        <v>208</v>
      </c>
      <c r="I1617" t="s">
        <v>209</v>
      </c>
      <c r="J1617">
        <v>0</v>
      </c>
      <c r="K1617">
        <v>45450.583391203705</v>
      </c>
      <c r="L1617">
        <v>44</v>
      </c>
      <c r="O1617">
        <v>1</v>
      </c>
      <c r="P1617">
        <v>0</v>
      </c>
      <c r="Q1617">
        <v>0</v>
      </c>
    </row>
    <row r="1618" spans="2:22" x14ac:dyDescent="0.25">
      <c r="B1618" t="s">
        <v>434</v>
      </c>
      <c r="C1618" t="s">
        <v>330</v>
      </c>
      <c r="D1618">
        <v>21</v>
      </c>
      <c r="E1618">
        <v>0</v>
      </c>
      <c r="F1618" t="s">
        <v>135</v>
      </c>
      <c r="G1618" t="s">
        <v>332</v>
      </c>
      <c r="H1618" t="s">
        <v>208</v>
      </c>
      <c r="I1618" t="s">
        <v>209</v>
      </c>
      <c r="J1618">
        <v>0</v>
      </c>
      <c r="K1618">
        <v>45450.583402777775</v>
      </c>
      <c r="L1618">
        <v>32</v>
      </c>
      <c r="O1618">
        <v>1</v>
      </c>
      <c r="P1618">
        <v>0</v>
      </c>
      <c r="Q1618">
        <v>0</v>
      </c>
    </row>
    <row r="1619" spans="2:22" x14ac:dyDescent="0.25">
      <c r="B1619" t="s">
        <v>434</v>
      </c>
      <c r="C1619" t="s">
        <v>330</v>
      </c>
      <c r="D1619" t="s">
        <v>66</v>
      </c>
      <c r="E1619">
        <v>0</v>
      </c>
      <c r="F1619" t="s">
        <v>135</v>
      </c>
      <c r="G1619" t="s">
        <v>65</v>
      </c>
      <c r="H1619" t="s">
        <v>208</v>
      </c>
      <c r="I1619" t="s">
        <v>209</v>
      </c>
      <c r="J1619">
        <v>0</v>
      </c>
      <c r="K1619">
        <v>45450.583402777775</v>
      </c>
      <c r="L1619">
        <v>29</v>
      </c>
      <c r="O1619">
        <v>1</v>
      </c>
      <c r="P1619">
        <v>0</v>
      </c>
      <c r="Q1619">
        <v>0</v>
      </c>
    </row>
    <row r="1620" spans="2:22" x14ac:dyDescent="0.25">
      <c r="B1620" t="s">
        <v>434</v>
      </c>
      <c r="C1620" t="s">
        <v>330</v>
      </c>
      <c r="D1620">
        <v>43</v>
      </c>
      <c r="E1620">
        <v>0</v>
      </c>
      <c r="F1620" t="s">
        <v>135</v>
      </c>
      <c r="G1620" t="s">
        <v>333</v>
      </c>
      <c r="H1620" t="s">
        <v>208</v>
      </c>
      <c r="I1620" t="s">
        <v>209</v>
      </c>
      <c r="J1620">
        <v>0</v>
      </c>
      <c r="K1620">
        <v>45450.583414351851</v>
      </c>
      <c r="L1620">
        <v>32</v>
      </c>
      <c r="O1620">
        <v>1</v>
      </c>
      <c r="P1620">
        <v>0</v>
      </c>
      <c r="Q1620">
        <v>0</v>
      </c>
    </row>
    <row r="1621" spans="2:22" x14ac:dyDescent="0.25">
      <c r="B1621" t="s">
        <v>434</v>
      </c>
      <c r="C1621" t="s">
        <v>330</v>
      </c>
      <c r="D1621" t="s">
        <v>66</v>
      </c>
      <c r="E1621">
        <v>0</v>
      </c>
      <c r="F1621" t="s">
        <v>135</v>
      </c>
      <c r="G1621" t="s">
        <v>334</v>
      </c>
      <c r="H1621" t="s">
        <v>208</v>
      </c>
      <c r="I1621" t="s">
        <v>209</v>
      </c>
      <c r="J1621">
        <v>0</v>
      </c>
      <c r="K1621">
        <v>45450.583425925928</v>
      </c>
      <c r="L1621">
        <v>24</v>
      </c>
      <c r="O1621">
        <v>1</v>
      </c>
      <c r="P1621">
        <v>0</v>
      </c>
      <c r="Q1621">
        <v>0</v>
      </c>
    </row>
    <row r="1622" spans="2:22" x14ac:dyDescent="0.25">
      <c r="B1622" t="s">
        <v>434</v>
      </c>
      <c r="C1622" t="s">
        <v>347</v>
      </c>
      <c r="D1622">
        <v>42</v>
      </c>
      <c r="E1622">
        <v>0</v>
      </c>
      <c r="F1622" t="s">
        <v>135</v>
      </c>
      <c r="G1622" t="s">
        <v>350</v>
      </c>
      <c r="H1622" t="s">
        <v>208</v>
      </c>
      <c r="I1622" t="s">
        <v>209</v>
      </c>
      <c r="J1622">
        <v>0</v>
      </c>
      <c r="K1622">
        <v>45450.583437499998</v>
      </c>
      <c r="L1622">
        <v>8</v>
      </c>
      <c r="O1622">
        <v>1</v>
      </c>
      <c r="P1622">
        <v>0</v>
      </c>
      <c r="Q1622">
        <v>0</v>
      </c>
    </row>
    <row r="1623" spans="2:22" x14ac:dyDescent="0.25">
      <c r="B1623" t="s">
        <v>434</v>
      </c>
      <c r="C1623">
        <v>38856</v>
      </c>
      <c r="D1623" t="s">
        <v>66</v>
      </c>
      <c r="E1623">
        <v>0</v>
      </c>
      <c r="F1623" t="s">
        <v>68</v>
      </c>
      <c r="G1623" t="s">
        <v>552</v>
      </c>
      <c r="H1623" t="s">
        <v>692</v>
      </c>
      <c r="I1623" t="s">
        <v>693</v>
      </c>
      <c r="J1623">
        <v>0</v>
      </c>
      <c r="K1623">
        <v>45450.583449074074</v>
      </c>
      <c r="L1623">
        <v>60</v>
      </c>
      <c r="O1623">
        <v>12</v>
      </c>
      <c r="P1623">
        <v>0</v>
      </c>
      <c r="Q1623">
        <v>0</v>
      </c>
      <c r="V1623" t="s">
        <v>695</v>
      </c>
    </row>
    <row r="1624" spans="2:22" x14ac:dyDescent="0.25">
      <c r="B1624" t="s">
        <v>293</v>
      </c>
      <c r="C1624">
        <v>41221324</v>
      </c>
      <c r="D1624" t="s">
        <v>879</v>
      </c>
      <c r="E1624">
        <v>20000</v>
      </c>
      <c r="F1624" t="s">
        <v>68</v>
      </c>
      <c r="G1624" t="s">
        <v>123</v>
      </c>
      <c r="H1624" t="s">
        <v>124</v>
      </c>
      <c r="I1624" t="s">
        <v>105</v>
      </c>
      <c r="J1624">
        <v>0</v>
      </c>
      <c r="K1624">
        <v>45453.439259259256</v>
      </c>
      <c r="L1624">
        <v>44000</v>
      </c>
      <c r="O1624">
        <v>2400</v>
      </c>
      <c r="P1624">
        <v>8</v>
      </c>
      <c r="Q1624">
        <v>800.00000000000136</v>
      </c>
    </row>
    <row r="1625" spans="2:22" x14ac:dyDescent="0.25">
      <c r="B1625" t="s">
        <v>293</v>
      </c>
      <c r="C1625">
        <v>41221325</v>
      </c>
      <c r="D1625" t="s">
        <v>880</v>
      </c>
      <c r="E1625">
        <v>2000</v>
      </c>
      <c r="F1625" t="s">
        <v>68</v>
      </c>
      <c r="G1625" t="s">
        <v>121</v>
      </c>
      <c r="H1625" t="s">
        <v>122</v>
      </c>
      <c r="I1625" t="s">
        <v>105</v>
      </c>
      <c r="J1625">
        <v>0</v>
      </c>
      <c r="K1625">
        <v>45453.535798611112</v>
      </c>
      <c r="L1625">
        <v>21000</v>
      </c>
      <c r="O1625">
        <v>3000</v>
      </c>
      <c r="P1625">
        <v>0</v>
      </c>
      <c r="Q1625">
        <v>2000</v>
      </c>
    </row>
    <row r="1626" spans="2:22" x14ac:dyDescent="0.25">
      <c r="B1626" t="s">
        <v>881</v>
      </c>
      <c r="E1626">
        <v>120</v>
      </c>
      <c r="F1626" t="s">
        <v>68</v>
      </c>
      <c r="G1626" t="s">
        <v>483</v>
      </c>
      <c r="H1626" t="s">
        <v>150</v>
      </c>
      <c r="I1626" t="s">
        <v>144</v>
      </c>
      <c r="J1626">
        <v>1</v>
      </c>
      <c r="K1626">
        <v>45453.566145833334</v>
      </c>
      <c r="L1626">
        <v>390</v>
      </c>
      <c r="M1626" t="s">
        <v>882</v>
      </c>
      <c r="O1626">
        <v>4</v>
      </c>
      <c r="P1626">
        <v>30</v>
      </c>
      <c r="Q1626">
        <v>0</v>
      </c>
    </row>
    <row r="1627" spans="2:22" x14ac:dyDescent="0.25">
      <c r="B1627" t="s">
        <v>881</v>
      </c>
      <c r="E1627">
        <v>1500</v>
      </c>
      <c r="F1627" t="s">
        <v>68</v>
      </c>
      <c r="G1627" t="s">
        <v>201</v>
      </c>
      <c r="H1627" t="s">
        <v>202</v>
      </c>
      <c r="I1627" t="s">
        <v>144</v>
      </c>
      <c r="J1627">
        <v>1</v>
      </c>
      <c r="K1627">
        <v>45453.56622685185</v>
      </c>
      <c r="L1627">
        <v>2240</v>
      </c>
      <c r="M1627" t="s">
        <v>882</v>
      </c>
      <c r="O1627">
        <v>100</v>
      </c>
      <c r="P1627">
        <v>15</v>
      </c>
      <c r="Q1627">
        <v>0</v>
      </c>
    </row>
    <row r="1628" spans="2:22" x14ac:dyDescent="0.25">
      <c r="B1628">
        <v>2244</v>
      </c>
      <c r="E1628">
        <v>24</v>
      </c>
      <c r="F1628" t="s">
        <v>135</v>
      </c>
      <c r="G1628" t="s">
        <v>227</v>
      </c>
      <c r="H1628" t="s">
        <v>208</v>
      </c>
      <c r="I1628" t="s">
        <v>209</v>
      </c>
      <c r="J1628">
        <v>1</v>
      </c>
      <c r="K1628">
        <v>45454.586875000001</v>
      </c>
      <c r="L1628">
        <v>58</v>
      </c>
      <c r="M1628" t="s">
        <v>883</v>
      </c>
      <c r="O1628">
        <v>1</v>
      </c>
      <c r="P1628">
        <v>24</v>
      </c>
      <c r="Q1628">
        <v>0</v>
      </c>
    </row>
    <row r="1629" spans="2:22" x14ac:dyDescent="0.25">
      <c r="B1629">
        <v>2244</v>
      </c>
      <c r="E1629">
        <v>24</v>
      </c>
      <c r="F1629" t="s">
        <v>135</v>
      </c>
      <c r="G1629" t="s">
        <v>216</v>
      </c>
      <c r="H1629" t="s">
        <v>208</v>
      </c>
      <c r="I1629" t="s">
        <v>209</v>
      </c>
      <c r="J1629">
        <v>1</v>
      </c>
      <c r="K1629">
        <v>45454.586921296293</v>
      </c>
      <c r="L1629">
        <v>45</v>
      </c>
      <c r="M1629" t="s">
        <v>883</v>
      </c>
      <c r="O1629">
        <v>1</v>
      </c>
      <c r="P1629">
        <v>24</v>
      </c>
      <c r="Q1629">
        <v>0</v>
      </c>
    </row>
    <row r="1630" spans="2:22" x14ac:dyDescent="0.25">
      <c r="B1630">
        <v>2244</v>
      </c>
      <c r="E1630">
        <v>36</v>
      </c>
      <c r="F1630" t="s">
        <v>135</v>
      </c>
      <c r="G1630" t="s">
        <v>350</v>
      </c>
      <c r="H1630" t="s">
        <v>208</v>
      </c>
      <c r="I1630" t="s">
        <v>209</v>
      </c>
      <c r="J1630">
        <v>1</v>
      </c>
      <c r="K1630">
        <v>45454.586956018517</v>
      </c>
      <c r="L1630">
        <v>44</v>
      </c>
      <c r="M1630" t="s">
        <v>883</v>
      </c>
      <c r="O1630">
        <v>1</v>
      </c>
      <c r="P1630">
        <v>36</v>
      </c>
      <c r="Q1630">
        <v>0</v>
      </c>
    </row>
    <row r="1631" spans="2:22" x14ac:dyDescent="0.25">
      <c r="B1631">
        <v>2244</v>
      </c>
      <c r="E1631">
        <v>24</v>
      </c>
      <c r="F1631" t="s">
        <v>135</v>
      </c>
      <c r="G1631" t="s">
        <v>217</v>
      </c>
      <c r="H1631" t="s">
        <v>208</v>
      </c>
      <c r="I1631" t="s">
        <v>209</v>
      </c>
      <c r="J1631">
        <v>1</v>
      </c>
      <c r="K1631">
        <v>45454.586967592593</v>
      </c>
      <c r="L1631">
        <v>46</v>
      </c>
      <c r="M1631" t="s">
        <v>883</v>
      </c>
      <c r="O1631">
        <v>1</v>
      </c>
      <c r="P1631">
        <v>24</v>
      </c>
      <c r="Q1631">
        <v>0</v>
      </c>
    </row>
    <row r="1632" spans="2:22" x14ac:dyDescent="0.25">
      <c r="B1632">
        <v>2244</v>
      </c>
      <c r="E1632">
        <v>24</v>
      </c>
      <c r="F1632" t="s">
        <v>135</v>
      </c>
      <c r="G1632" t="s">
        <v>331</v>
      </c>
      <c r="H1632" t="s">
        <v>208</v>
      </c>
      <c r="I1632" t="s">
        <v>209</v>
      </c>
      <c r="J1632">
        <v>1</v>
      </c>
      <c r="K1632">
        <v>45454.58697916667</v>
      </c>
      <c r="L1632">
        <v>68</v>
      </c>
      <c r="M1632" t="s">
        <v>883</v>
      </c>
      <c r="O1632">
        <v>1</v>
      </c>
      <c r="P1632">
        <v>24</v>
      </c>
      <c r="Q1632">
        <v>0</v>
      </c>
    </row>
    <row r="1633" spans="2:22" x14ac:dyDescent="0.25">
      <c r="B1633">
        <v>2244</v>
      </c>
      <c r="E1633">
        <v>24</v>
      </c>
      <c r="F1633" t="s">
        <v>135</v>
      </c>
      <c r="G1633" t="s">
        <v>218</v>
      </c>
      <c r="H1633" t="s">
        <v>208</v>
      </c>
      <c r="I1633" t="s">
        <v>209</v>
      </c>
      <c r="J1633">
        <v>1</v>
      </c>
      <c r="K1633">
        <v>45454.587002314816</v>
      </c>
      <c r="L1633">
        <v>56</v>
      </c>
      <c r="M1633" t="s">
        <v>883</v>
      </c>
      <c r="O1633">
        <v>1</v>
      </c>
      <c r="P1633">
        <v>24</v>
      </c>
      <c r="Q1633">
        <v>0</v>
      </c>
    </row>
    <row r="1634" spans="2:22" x14ac:dyDescent="0.25">
      <c r="B1634">
        <v>2244</v>
      </c>
      <c r="E1634">
        <v>24</v>
      </c>
      <c r="F1634" t="s">
        <v>135</v>
      </c>
      <c r="G1634" t="s">
        <v>65</v>
      </c>
      <c r="H1634" t="s">
        <v>208</v>
      </c>
      <c r="I1634" t="s">
        <v>209</v>
      </c>
      <c r="J1634">
        <v>1</v>
      </c>
      <c r="K1634">
        <v>45454.587013888886</v>
      </c>
      <c r="L1634">
        <v>53</v>
      </c>
      <c r="M1634" t="s">
        <v>883</v>
      </c>
      <c r="O1634">
        <v>1</v>
      </c>
      <c r="P1634">
        <v>24</v>
      </c>
      <c r="Q1634">
        <v>0</v>
      </c>
    </row>
    <row r="1635" spans="2:22" x14ac:dyDescent="0.25">
      <c r="B1635" t="s">
        <v>293</v>
      </c>
      <c r="C1635">
        <v>41221320</v>
      </c>
      <c r="D1635" t="s">
        <v>884</v>
      </c>
      <c r="E1635">
        <v>36</v>
      </c>
      <c r="F1635" t="s">
        <v>68</v>
      </c>
      <c r="G1635" t="s">
        <v>166</v>
      </c>
      <c r="H1635" t="s">
        <v>709</v>
      </c>
      <c r="J1635">
        <v>0</v>
      </c>
      <c r="K1635">
        <v>45456.616249999999</v>
      </c>
      <c r="L1635">
        <v>976</v>
      </c>
      <c r="O1635">
        <v>4</v>
      </c>
      <c r="P1635">
        <v>9</v>
      </c>
      <c r="Q1635">
        <v>0</v>
      </c>
    </row>
    <row r="1636" spans="2:22" x14ac:dyDescent="0.25">
      <c r="B1636" t="s">
        <v>293</v>
      </c>
      <c r="C1636">
        <v>41220909</v>
      </c>
      <c r="D1636" t="s">
        <v>885</v>
      </c>
      <c r="E1636">
        <v>2000</v>
      </c>
      <c r="F1636" t="s">
        <v>68</v>
      </c>
      <c r="G1636" t="s">
        <v>146</v>
      </c>
      <c r="H1636" t="s">
        <v>147</v>
      </c>
      <c r="I1636" t="s">
        <v>144</v>
      </c>
      <c r="J1636">
        <v>0</v>
      </c>
      <c r="K1636">
        <v>45456.616979166669</v>
      </c>
      <c r="L1636">
        <v>15500</v>
      </c>
      <c r="O1636">
        <v>440</v>
      </c>
      <c r="P1636">
        <v>4</v>
      </c>
      <c r="Q1636">
        <v>240.00000000000017</v>
      </c>
    </row>
    <row r="1637" spans="2:22" x14ac:dyDescent="0.25">
      <c r="B1637" t="s">
        <v>293</v>
      </c>
      <c r="C1637">
        <v>41221322</v>
      </c>
      <c r="D1637">
        <v>1859</v>
      </c>
      <c r="E1637">
        <v>300</v>
      </c>
      <c r="F1637" t="s">
        <v>68</v>
      </c>
      <c r="G1637" t="s">
        <v>163</v>
      </c>
      <c r="H1637" t="s">
        <v>164</v>
      </c>
      <c r="I1637" t="s">
        <v>165</v>
      </c>
      <c r="J1637">
        <v>0</v>
      </c>
      <c r="K1637">
        <v>45456.617013888892</v>
      </c>
      <c r="L1637">
        <v>5962</v>
      </c>
      <c r="O1637">
        <v>12</v>
      </c>
      <c r="P1637">
        <v>25</v>
      </c>
      <c r="Q1637">
        <v>0</v>
      </c>
    </row>
    <row r="1638" spans="2:22" x14ac:dyDescent="0.25">
      <c r="B1638" t="s">
        <v>293</v>
      </c>
      <c r="C1638">
        <v>41221268</v>
      </c>
      <c r="D1638">
        <v>1860</v>
      </c>
      <c r="E1638">
        <v>12</v>
      </c>
      <c r="F1638" t="s">
        <v>68</v>
      </c>
      <c r="G1638" t="s">
        <v>483</v>
      </c>
      <c r="H1638" t="s">
        <v>150</v>
      </c>
      <c r="I1638" t="s">
        <v>144</v>
      </c>
      <c r="J1638">
        <v>0</v>
      </c>
      <c r="K1638">
        <v>45456.617037037038</v>
      </c>
      <c r="L1638">
        <v>378</v>
      </c>
      <c r="O1638">
        <v>4</v>
      </c>
      <c r="P1638">
        <v>3</v>
      </c>
      <c r="Q1638">
        <v>0</v>
      </c>
    </row>
    <row r="1639" spans="2:22" x14ac:dyDescent="0.25">
      <c r="B1639" t="s">
        <v>293</v>
      </c>
      <c r="C1639">
        <v>41220883</v>
      </c>
      <c r="D1639">
        <v>1861</v>
      </c>
      <c r="E1639">
        <v>4</v>
      </c>
      <c r="F1639" t="s">
        <v>68</v>
      </c>
      <c r="G1639" t="s">
        <v>482</v>
      </c>
      <c r="H1639" t="s">
        <v>148</v>
      </c>
      <c r="I1639" t="s">
        <v>144</v>
      </c>
      <c r="J1639">
        <v>0</v>
      </c>
      <c r="K1639">
        <v>45456.617048611108</v>
      </c>
      <c r="L1639">
        <v>289</v>
      </c>
      <c r="O1639">
        <v>24</v>
      </c>
      <c r="P1639">
        <v>0</v>
      </c>
      <c r="Q1639">
        <v>4</v>
      </c>
    </row>
    <row r="1640" spans="2:22" x14ac:dyDescent="0.25">
      <c r="B1640" t="s">
        <v>293</v>
      </c>
      <c r="C1640">
        <v>41220788</v>
      </c>
      <c r="D1640">
        <v>1862</v>
      </c>
      <c r="E1640">
        <v>120</v>
      </c>
      <c r="F1640" t="s">
        <v>68</v>
      </c>
      <c r="G1640" t="s">
        <v>485</v>
      </c>
      <c r="H1640" t="s">
        <v>178</v>
      </c>
      <c r="I1640" t="s">
        <v>144</v>
      </c>
      <c r="J1640">
        <v>0</v>
      </c>
      <c r="K1640">
        <v>45456.617048611108</v>
      </c>
      <c r="L1640">
        <v>2560</v>
      </c>
      <c r="O1640">
        <v>100</v>
      </c>
      <c r="P1640">
        <v>1</v>
      </c>
      <c r="Q1640">
        <v>19.999999999999996</v>
      </c>
      <c r="V1640" t="s">
        <v>798</v>
      </c>
    </row>
    <row r="1641" spans="2:22" x14ac:dyDescent="0.25">
      <c r="B1641" t="s">
        <v>293</v>
      </c>
      <c r="C1641">
        <v>41220788</v>
      </c>
      <c r="D1641">
        <v>1862</v>
      </c>
      <c r="E1641">
        <v>288</v>
      </c>
      <c r="F1641" t="s">
        <v>135</v>
      </c>
      <c r="G1641" t="s">
        <v>140</v>
      </c>
      <c r="H1641" t="s">
        <v>137</v>
      </c>
      <c r="I1641" t="s">
        <v>138</v>
      </c>
      <c r="J1641">
        <v>0</v>
      </c>
      <c r="K1641">
        <v>45456.617060185185</v>
      </c>
      <c r="L1641">
        <v>940</v>
      </c>
      <c r="O1641">
        <v>144</v>
      </c>
      <c r="P1641">
        <v>2</v>
      </c>
      <c r="Q1641">
        <v>0</v>
      </c>
    </row>
    <row r="1642" spans="2:22" x14ac:dyDescent="0.25">
      <c r="B1642" t="s">
        <v>293</v>
      </c>
      <c r="C1642">
        <v>41219425</v>
      </c>
      <c r="D1642">
        <v>1863</v>
      </c>
      <c r="E1642">
        <v>200</v>
      </c>
      <c r="F1642" t="s">
        <v>68</v>
      </c>
      <c r="G1642" t="s">
        <v>201</v>
      </c>
      <c r="H1642" t="s">
        <v>202</v>
      </c>
      <c r="I1642" t="s">
        <v>144</v>
      </c>
      <c r="J1642">
        <v>0</v>
      </c>
      <c r="K1642">
        <v>45456.617071759261</v>
      </c>
      <c r="L1642">
        <v>2040</v>
      </c>
      <c r="O1642">
        <v>100</v>
      </c>
      <c r="P1642">
        <v>2</v>
      </c>
      <c r="Q1642">
        <v>0</v>
      </c>
    </row>
    <row r="1643" spans="2:22" x14ac:dyDescent="0.25">
      <c r="B1643" t="s">
        <v>293</v>
      </c>
      <c r="C1643">
        <v>41219252</v>
      </c>
      <c r="D1643">
        <v>1864</v>
      </c>
      <c r="E1643">
        <v>184</v>
      </c>
      <c r="F1643" t="s">
        <v>68</v>
      </c>
      <c r="G1643" t="s">
        <v>155</v>
      </c>
      <c r="H1643" t="s">
        <v>156</v>
      </c>
      <c r="J1643">
        <v>0</v>
      </c>
      <c r="K1643">
        <v>45456.617094907408</v>
      </c>
      <c r="L1643">
        <v>82</v>
      </c>
      <c r="O1643">
        <v>24</v>
      </c>
      <c r="P1643">
        <v>7</v>
      </c>
      <c r="Q1643">
        <v>16.000000000000007</v>
      </c>
    </row>
    <row r="1644" spans="2:22" x14ac:dyDescent="0.25">
      <c r="B1644" t="s">
        <v>293</v>
      </c>
      <c r="C1644">
        <v>41219951</v>
      </c>
      <c r="D1644">
        <v>1865</v>
      </c>
      <c r="E1644">
        <v>100</v>
      </c>
      <c r="F1644" t="s">
        <v>68</v>
      </c>
      <c r="G1644" t="s">
        <v>153</v>
      </c>
      <c r="H1644" t="s">
        <v>154</v>
      </c>
      <c r="I1644" t="s">
        <v>105</v>
      </c>
      <c r="J1644">
        <v>0</v>
      </c>
      <c r="K1644">
        <v>45456.617106481484</v>
      </c>
      <c r="L1644">
        <v>0</v>
      </c>
      <c r="O1644">
        <v>100</v>
      </c>
      <c r="P1644">
        <v>1</v>
      </c>
      <c r="Q1644">
        <v>0</v>
      </c>
    </row>
    <row r="1645" spans="2:22" x14ac:dyDescent="0.25">
      <c r="B1645" t="s">
        <v>293</v>
      </c>
      <c r="C1645">
        <v>41220789</v>
      </c>
      <c r="D1645">
        <v>1866</v>
      </c>
      <c r="E1645">
        <v>12000</v>
      </c>
      <c r="F1645" t="s">
        <v>68</v>
      </c>
      <c r="G1645" t="s">
        <v>103</v>
      </c>
      <c r="H1645" t="s">
        <v>104</v>
      </c>
      <c r="I1645" t="s">
        <v>105</v>
      </c>
      <c r="J1645">
        <v>0</v>
      </c>
      <c r="K1645">
        <v>45456.617118055554</v>
      </c>
      <c r="L1645">
        <v>12000</v>
      </c>
      <c r="O1645">
        <v>2400</v>
      </c>
      <c r="P1645">
        <v>5</v>
      </c>
      <c r="Q1645">
        <v>0</v>
      </c>
    </row>
    <row r="1646" spans="2:22" x14ac:dyDescent="0.25">
      <c r="B1646" t="s">
        <v>293</v>
      </c>
      <c r="C1646">
        <v>41220789</v>
      </c>
      <c r="D1646">
        <v>1866</v>
      </c>
      <c r="E1646">
        <v>12000</v>
      </c>
      <c r="F1646" t="s">
        <v>68</v>
      </c>
      <c r="G1646" t="s">
        <v>107</v>
      </c>
      <c r="H1646" t="s">
        <v>108</v>
      </c>
      <c r="I1646" t="s">
        <v>105</v>
      </c>
      <c r="J1646">
        <v>0</v>
      </c>
      <c r="K1646">
        <v>45456.617152777777</v>
      </c>
      <c r="L1646">
        <v>29000</v>
      </c>
      <c r="O1646">
        <v>1200</v>
      </c>
      <c r="P1646">
        <v>10</v>
      </c>
      <c r="Q1646">
        <v>0</v>
      </c>
    </row>
    <row r="1647" spans="2:22" x14ac:dyDescent="0.25">
      <c r="B1647" t="s">
        <v>293</v>
      </c>
      <c r="C1647">
        <v>41221324</v>
      </c>
      <c r="D1647">
        <v>1867</v>
      </c>
      <c r="E1647">
        <v>10000</v>
      </c>
      <c r="F1647" t="s">
        <v>68</v>
      </c>
      <c r="G1647" t="s">
        <v>123</v>
      </c>
      <c r="H1647" t="s">
        <v>124</v>
      </c>
      <c r="I1647" t="s">
        <v>105</v>
      </c>
      <c r="J1647">
        <v>0</v>
      </c>
      <c r="K1647">
        <v>45456.617175925923</v>
      </c>
      <c r="L1647">
        <v>34000</v>
      </c>
      <c r="O1647">
        <v>2400</v>
      </c>
      <c r="P1647">
        <v>4</v>
      </c>
      <c r="Q1647">
        <v>400.00000000000068</v>
      </c>
    </row>
    <row r="1648" spans="2:22" x14ac:dyDescent="0.25">
      <c r="B1648" t="s">
        <v>293</v>
      </c>
      <c r="C1648">
        <v>41221325</v>
      </c>
      <c r="D1648">
        <v>1868</v>
      </c>
      <c r="E1648">
        <v>1000</v>
      </c>
      <c r="F1648" t="s">
        <v>68</v>
      </c>
      <c r="G1648" t="s">
        <v>121</v>
      </c>
      <c r="H1648" t="s">
        <v>122</v>
      </c>
      <c r="I1648" t="s">
        <v>105</v>
      </c>
      <c r="J1648">
        <v>0</v>
      </c>
      <c r="K1648">
        <v>45456.6171875</v>
      </c>
      <c r="L1648">
        <v>20000</v>
      </c>
      <c r="O1648">
        <v>3000</v>
      </c>
      <c r="P1648">
        <v>0</v>
      </c>
      <c r="Q1648">
        <v>1000</v>
      </c>
    </row>
    <row r="1649" spans="2:22" x14ac:dyDescent="0.25">
      <c r="B1649" t="s">
        <v>293</v>
      </c>
      <c r="C1649">
        <v>41221261</v>
      </c>
      <c r="D1649">
        <v>1869</v>
      </c>
      <c r="E1649">
        <v>500</v>
      </c>
      <c r="F1649" t="s">
        <v>68</v>
      </c>
      <c r="G1649" t="s">
        <v>115</v>
      </c>
      <c r="H1649" t="s">
        <v>116</v>
      </c>
      <c r="I1649" t="s">
        <v>105</v>
      </c>
      <c r="J1649">
        <v>0</v>
      </c>
      <c r="K1649">
        <v>45456.617199074077</v>
      </c>
      <c r="L1649">
        <v>5150</v>
      </c>
      <c r="O1649">
        <v>700</v>
      </c>
      <c r="P1649">
        <v>0</v>
      </c>
      <c r="Q1649">
        <v>500</v>
      </c>
    </row>
    <row r="1650" spans="2:22" x14ac:dyDescent="0.25">
      <c r="B1650" t="s">
        <v>293</v>
      </c>
      <c r="C1650">
        <v>41221326</v>
      </c>
      <c r="D1650">
        <v>1870</v>
      </c>
      <c r="E1650">
        <v>100</v>
      </c>
      <c r="F1650" t="s">
        <v>68</v>
      </c>
      <c r="G1650" t="s">
        <v>151</v>
      </c>
      <c r="H1650" t="s">
        <v>152</v>
      </c>
      <c r="I1650" t="s">
        <v>105</v>
      </c>
      <c r="J1650">
        <v>0</v>
      </c>
      <c r="K1650">
        <v>45456.617210648146</v>
      </c>
      <c r="L1650">
        <v>776</v>
      </c>
      <c r="O1650">
        <v>200</v>
      </c>
      <c r="P1650">
        <v>0</v>
      </c>
      <c r="Q1650">
        <v>100</v>
      </c>
      <c r="V1650" t="s">
        <v>856</v>
      </c>
    </row>
    <row r="1651" spans="2:22" x14ac:dyDescent="0.25">
      <c r="B1651" t="s">
        <v>293</v>
      </c>
      <c r="C1651">
        <v>41221389</v>
      </c>
      <c r="D1651">
        <v>1871</v>
      </c>
      <c r="E1651">
        <v>240</v>
      </c>
      <c r="F1651" t="s">
        <v>68</v>
      </c>
      <c r="G1651" t="s">
        <v>159</v>
      </c>
      <c r="H1651" t="s">
        <v>556</v>
      </c>
      <c r="I1651" t="s">
        <v>161</v>
      </c>
      <c r="J1651">
        <v>0</v>
      </c>
      <c r="K1651">
        <v>45456.617222222223</v>
      </c>
      <c r="L1651">
        <v>3108</v>
      </c>
      <c r="O1651">
        <v>36</v>
      </c>
      <c r="P1651">
        <v>6</v>
      </c>
      <c r="Q1651">
        <v>24.000000000000011</v>
      </c>
    </row>
    <row r="1652" spans="2:22" x14ac:dyDescent="0.25">
      <c r="B1652">
        <v>10331</v>
      </c>
      <c r="E1652">
        <v>2304</v>
      </c>
      <c r="F1652" t="s">
        <v>68</v>
      </c>
      <c r="G1652" t="s">
        <v>155</v>
      </c>
      <c r="H1652" t="s">
        <v>156</v>
      </c>
      <c r="J1652">
        <v>1</v>
      </c>
      <c r="K1652">
        <v>45456.624895833331</v>
      </c>
      <c r="L1652">
        <v>2386</v>
      </c>
      <c r="M1652">
        <v>45571</v>
      </c>
      <c r="O1652">
        <v>24</v>
      </c>
      <c r="P1652">
        <v>96</v>
      </c>
      <c r="Q1652">
        <v>0</v>
      </c>
    </row>
    <row r="1653" spans="2:22" x14ac:dyDescent="0.25">
      <c r="B1653">
        <v>10300</v>
      </c>
      <c r="E1653">
        <v>70</v>
      </c>
      <c r="F1653" t="s">
        <v>68</v>
      </c>
      <c r="G1653" t="s">
        <v>490</v>
      </c>
      <c r="H1653" t="s">
        <v>233</v>
      </c>
      <c r="I1653" t="s">
        <v>234</v>
      </c>
      <c r="J1653">
        <v>1</v>
      </c>
      <c r="K1653">
        <v>45456.624930555554</v>
      </c>
      <c r="L1653">
        <v>70</v>
      </c>
      <c r="M1653">
        <v>45418</v>
      </c>
      <c r="O1653">
        <v>1</v>
      </c>
      <c r="P1653">
        <v>70</v>
      </c>
      <c r="Q1653">
        <v>0</v>
      </c>
    </row>
    <row r="1654" spans="2:22" x14ac:dyDescent="0.25">
      <c r="B1654" t="s">
        <v>293</v>
      </c>
      <c r="C1654">
        <v>41220938</v>
      </c>
      <c r="D1654" t="s">
        <v>886</v>
      </c>
      <c r="E1654">
        <v>36</v>
      </c>
      <c r="F1654" t="s">
        <v>68</v>
      </c>
      <c r="G1654" t="s">
        <v>552</v>
      </c>
      <c r="H1654" t="s">
        <v>692</v>
      </c>
      <c r="I1654" t="s">
        <v>693</v>
      </c>
      <c r="J1654">
        <v>0</v>
      </c>
      <c r="K1654">
        <v>45457.375925925924</v>
      </c>
      <c r="L1654">
        <v>24</v>
      </c>
      <c r="O1654">
        <v>12</v>
      </c>
      <c r="P1654">
        <v>3</v>
      </c>
      <c r="Q1654">
        <v>0</v>
      </c>
      <c r="V1654" t="s">
        <v>695</v>
      </c>
    </row>
    <row r="1655" spans="2:22" x14ac:dyDescent="0.25">
      <c r="B1655" t="s">
        <v>887</v>
      </c>
      <c r="E1655">
        <v>21500</v>
      </c>
      <c r="F1655" t="s">
        <v>68</v>
      </c>
      <c r="G1655" t="s">
        <v>146</v>
      </c>
      <c r="H1655" t="s">
        <v>147</v>
      </c>
      <c r="I1655" t="s">
        <v>144</v>
      </c>
      <c r="J1655">
        <v>1</v>
      </c>
      <c r="K1655">
        <v>45460.650381944448</v>
      </c>
      <c r="L1655">
        <v>37000</v>
      </c>
      <c r="M1655" t="s">
        <v>888</v>
      </c>
      <c r="O1655">
        <v>440</v>
      </c>
      <c r="P1655">
        <v>48</v>
      </c>
      <c r="Q1655">
        <v>380.00000000000142</v>
      </c>
    </row>
    <row r="1656" spans="2:22" x14ac:dyDescent="0.25">
      <c r="B1656" t="s">
        <v>889</v>
      </c>
      <c r="E1656">
        <v>2000</v>
      </c>
      <c r="F1656" t="s">
        <v>68</v>
      </c>
      <c r="G1656" t="s">
        <v>153</v>
      </c>
      <c r="H1656" t="s">
        <v>154</v>
      </c>
      <c r="I1656" t="s">
        <v>105</v>
      </c>
      <c r="J1656">
        <v>1</v>
      </c>
      <c r="K1656">
        <v>45460.650416666664</v>
      </c>
      <c r="L1656">
        <v>2000</v>
      </c>
      <c r="M1656">
        <v>45454</v>
      </c>
      <c r="O1656">
        <v>100</v>
      </c>
      <c r="P1656">
        <v>20</v>
      </c>
      <c r="Q1656">
        <v>0</v>
      </c>
    </row>
    <row r="1657" spans="2:22" x14ac:dyDescent="0.25">
      <c r="B1657" t="s">
        <v>293</v>
      </c>
      <c r="C1657">
        <v>41220883</v>
      </c>
      <c r="D1657" t="s">
        <v>890</v>
      </c>
      <c r="E1657">
        <v>40</v>
      </c>
      <c r="F1657" t="s">
        <v>68</v>
      </c>
      <c r="G1657" t="s">
        <v>482</v>
      </c>
      <c r="H1657" t="s">
        <v>148</v>
      </c>
      <c r="I1657" t="s">
        <v>144</v>
      </c>
      <c r="J1657">
        <v>0</v>
      </c>
      <c r="K1657">
        <v>45461.449895833335</v>
      </c>
      <c r="L1657">
        <v>249</v>
      </c>
      <c r="O1657">
        <v>24</v>
      </c>
      <c r="P1657">
        <v>1</v>
      </c>
      <c r="Q1657">
        <v>16</v>
      </c>
    </row>
    <row r="1658" spans="2:22" x14ac:dyDescent="0.25">
      <c r="B1658" t="s">
        <v>293</v>
      </c>
      <c r="C1658">
        <v>41221323</v>
      </c>
      <c r="D1658" t="s">
        <v>891</v>
      </c>
      <c r="E1658">
        <v>500</v>
      </c>
      <c r="F1658" t="s">
        <v>68</v>
      </c>
      <c r="G1658" t="s">
        <v>153</v>
      </c>
      <c r="H1658" t="s">
        <v>154</v>
      </c>
      <c r="I1658" t="s">
        <v>105</v>
      </c>
      <c r="J1658">
        <v>0</v>
      </c>
      <c r="K1658">
        <v>45461.449918981481</v>
      </c>
      <c r="L1658">
        <v>1500</v>
      </c>
      <c r="O1658">
        <v>100</v>
      </c>
      <c r="P1658">
        <v>5</v>
      </c>
      <c r="Q1658">
        <v>0</v>
      </c>
    </row>
    <row r="1659" spans="2:22" x14ac:dyDescent="0.25">
      <c r="B1659" t="s">
        <v>293</v>
      </c>
      <c r="C1659">
        <v>41220789</v>
      </c>
      <c r="D1659" t="s">
        <v>892</v>
      </c>
      <c r="E1659">
        <v>12000</v>
      </c>
      <c r="F1659" t="s">
        <v>68</v>
      </c>
      <c r="G1659" t="s">
        <v>107</v>
      </c>
      <c r="H1659" t="s">
        <v>108</v>
      </c>
      <c r="I1659" t="s">
        <v>105</v>
      </c>
      <c r="J1659">
        <v>0</v>
      </c>
      <c r="K1659">
        <v>45461.449918981481</v>
      </c>
      <c r="L1659">
        <v>17000</v>
      </c>
      <c r="O1659">
        <v>1200</v>
      </c>
      <c r="P1659">
        <v>10</v>
      </c>
      <c r="Q1659">
        <v>0</v>
      </c>
    </row>
    <row r="1660" spans="2:22" x14ac:dyDescent="0.25">
      <c r="B1660" t="s">
        <v>293</v>
      </c>
      <c r="C1660">
        <v>41221325</v>
      </c>
      <c r="D1660" t="s">
        <v>893</v>
      </c>
      <c r="E1660">
        <v>1000</v>
      </c>
      <c r="F1660" t="s">
        <v>68</v>
      </c>
      <c r="G1660" t="s">
        <v>121</v>
      </c>
      <c r="H1660" t="s">
        <v>122</v>
      </c>
      <c r="I1660" t="s">
        <v>105</v>
      </c>
      <c r="J1660">
        <v>0</v>
      </c>
      <c r="K1660">
        <v>45461.449930555558</v>
      </c>
      <c r="L1660">
        <v>19000</v>
      </c>
      <c r="O1660">
        <v>3000</v>
      </c>
      <c r="P1660">
        <v>0</v>
      </c>
      <c r="Q1660">
        <v>1000</v>
      </c>
    </row>
    <row r="1661" spans="2:22" x14ac:dyDescent="0.25">
      <c r="B1661" t="s">
        <v>293</v>
      </c>
      <c r="C1661">
        <v>41219425</v>
      </c>
      <c r="D1661" t="s">
        <v>894</v>
      </c>
      <c r="E1661">
        <v>1900</v>
      </c>
      <c r="F1661" t="s">
        <v>68</v>
      </c>
      <c r="G1661" t="s">
        <v>125</v>
      </c>
      <c r="H1661" t="s">
        <v>126</v>
      </c>
      <c r="I1661" t="s">
        <v>105</v>
      </c>
      <c r="J1661">
        <v>0</v>
      </c>
      <c r="K1661">
        <v>45461.449930555558</v>
      </c>
      <c r="L1661">
        <v>6900</v>
      </c>
      <c r="O1661">
        <v>2400</v>
      </c>
      <c r="P1661">
        <v>0</v>
      </c>
      <c r="Q1661">
        <v>1900</v>
      </c>
    </row>
    <row r="1662" spans="2:22" x14ac:dyDescent="0.25">
      <c r="B1662" t="s">
        <v>293</v>
      </c>
      <c r="C1662">
        <v>41221268</v>
      </c>
      <c r="D1662" t="s">
        <v>895</v>
      </c>
      <c r="E1662">
        <v>20</v>
      </c>
      <c r="F1662" t="s">
        <v>68</v>
      </c>
      <c r="G1662" t="s">
        <v>483</v>
      </c>
      <c r="H1662" t="s">
        <v>150</v>
      </c>
      <c r="I1662" t="s">
        <v>144</v>
      </c>
      <c r="J1662">
        <v>0</v>
      </c>
      <c r="K1662">
        <v>45461.449930555558</v>
      </c>
      <c r="L1662">
        <v>358</v>
      </c>
      <c r="O1662">
        <v>4</v>
      </c>
      <c r="P1662">
        <v>5</v>
      </c>
      <c r="Q1662">
        <v>0</v>
      </c>
    </row>
    <row r="1663" spans="2:22" x14ac:dyDescent="0.25">
      <c r="B1663" t="s">
        <v>293</v>
      </c>
      <c r="C1663">
        <v>41221322</v>
      </c>
      <c r="D1663" t="s">
        <v>896</v>
      </c>
      <c r="E1663">
        <v>300</v>
      </c>
      <c r="F1663" t="s">
        <v>68</v>
      </c>
      <c r="G1663" t="s">
        <v>163</v>
      </c>
      <c r="H1663" t="s">
        <v>164</v>
      </c>
      <c r="I1663" t="s">
        <v>165</v>
      </c>
      <c r="J1663">
        <v>0</v>
      </c>
      <c r="K1663">
        <v>45461.449942129628</v>
      </c>
      <c r="L1663">
        <v>5662</v>
      </c>
      <c r="O1663">
        <v>12</v>
      </c>
      <c r="P1663">
        <v>25</v>
      </c>
      <c r="Q1663">
        <v>0</v>
      </c>
    </row>
    <row r="1664" spans="2:22" x14ac:dyDescent="0.25">
      <c r="B1664" t="s">
        <v>293</v>
      </c>
      <c r="C1664">
        <v>41220883</v>
      </c>
      <c r="D1664" t="s">
        <v>897</v>
      </c>
      <c r="E1664">
        <v>20</v>
      </c>
      <c r="F1664" t="s">
        <v>68</v>
      </c>
      <c r="G1664" t="s">
        <v>482</v>
      </c>
      <c r="H1664" t="s">
        <v>148</v>
      </c>
      <c r="I1664" t="s">
        <v>144</v>
      </c>
      <c r="J1664">
        <v>0</v>
      </c>
      <c r="K1664">
        <v>45461.449942129628</v>
      </c>
      <c r="L1664">
        <v>229</v>
      </c>
      <c r="O1664">
        <v>24</v>
      </c>
      <c r="P1664">
        <v>0</v>
      </c>
      <c r="Q1664">
        <v>20</v>
      </c>
    </row>
    <row r="1665" spans="2:22" x14ac:dyDescent="0.25">
      <c r="B1665" t="s">
        <v>293</v>
      </c>
      <c r="C1665">
        <v>41221325</v>
      </c>
      <c r="D1665" t="s">
        <v>898</v>
      </c>
      <c r="E1665">
        <v>1000</v>
      </c>
      <c r="F1665" t="s">
        <v>68</v>
      </c>
      <c r="G1665" t="s">
        <v>121</v>
      </c>
      <c r="H1665" t="s">
        <v>122</v>
      </c>
      <c r="I1665" t="s">
        <v>105</v>
      </c>
      <c r="J1665">
        <v>0</v>
      </c>
      <c r="K1665">
        <v>45463.387430555558</v>
      </c>
      <c r="L1665">
        <v>18000</v>
      </c>
      <c r="O1665">
        <v>3000</v>
      </c>
      <c r="P1665">
        <v>0</v>
      </c>
      <c r="Q1665">
        <v>1000</v>
      </c>
    </row>
    <row r="1666" spans="2:22" x14ac:dyDescent="0.25">
      <c r="B1666" t="s">
        <v>293</v>
      </c>
      <c r="C1666">
        <v>41221261</v>
      </c>
      <c r="D1666" t="s">
        <v>899</v>
      </c>
      <c r="E1666">
        <v>500</v>
      </c>
      <c r="F1666" t="s">
        <v>68</v>
      </c>
      <c r="G1666" t="s">
        <v>115</v>
      </c>
      <c r="H1666" t="s">
        <v>116</v>
      </c>
      <c r="I1666" t="s">
        <v>105</v>
      </c>
      <c r="J1666">
        <v>0</v>
      </c>
      <c r="K1666">
        <v>45463.387442129628</v>
      </c>
      <c r="L1666">
        <v>4650</v>
      </c>
      <c r="O1666">
        <v>700</v>
      </c>
      <c r="P1666">
        <v>0</v>
      </c>
      <c r="Q1666">
        <v>500</v>
      </c>
    </row>
    <row r="1667" spans="2:22" x14ac:dyDescent="0.25">
      <c r="B1667" t="s">
        <v>293</v>
      </c>
      <c r="C1667">
        <v>41221326</v>
      </c>
      <c r="D1667" t="s">
        <v>900</v>
      </c>
      <c r="E1667">
        <v>100</v>
      </c>
      <c r="F1667" t="s">
        <v>68</v>
      </c>
      <c r="G1667" t="s">
        <v>151</v>
      </c>
      <c r="H1667" t="s">
        <v>152</v>
      </c>
      <c r="I1667" t="s">
        <v>105</v>
      </c>
      <c r="J1667">
        <v>0</v>
      </c>
      <c r="K1667">
        <v>45463.387453703705</v>
      </c>
      <c r="L1667">
        <v>676</v>
      </c>
      <c r="O1667">
        <v>200</v>
      </c>
      <c r="P1667">
        <v>0</v>
      </c>
      <c r="Q1667">
        <v>100</v>
      </c>
      <c r="V1667" t="s">
        <v>856</v>
      </c>
    </row>
    <row r="1668" spans="2:22" x14ac:dyDescent="0.25">
      <c r="B1668" t="s">
        <v>293</v>
      </c>
      <c r="C1668">
        <v>41220607</v>
      </c>
      <c r="D1668" t="s">
        <v>901</v>
      </c>
      <c r="E1668">
        <v>10</v>
      </c>
      <c r="F1668" t="s">
        <v>68</v>
      </c>
      <c r="G1668" t="s">
        <v>490</v>
      </c>
      <c r="H1668" t="s">
        <v>233</v>
      </c>
      <c r="I1668" t="s">
        <v>234</v>
      </c>
      <c r="J1668">
        <v>0</v>
      </c>
      <c r="K1668">
        <v>45463.387465277781</v>
      </c>
      <c r="L1668">
        <v>60</v>
      </c>
      <c r="O1668">
        <v>1</v>
      </c>
      <c r="P1668">
        <v>10</v>
      </c>
      <c r="Q1668">
        <v>0</v>
      </c>
    </row>
    <row r="1669" spans="2:22" x14ac:dyDescent="0.25">
      <c r="B1669" t="s">
        <v>293</v>
      </c>
      <c r="C1669">
        <v>41221320</v>
      </c>
      <c r="D1669" t="s">
        <v>902</v>
      </c>
      <c r="E1669">
        <v>36</v>
      </c>
      <c r="F1669" t="s">
        <v>68</v>
      </c>
      <c r="G1669" t="s">
        <v>166</v>
      </c>
      <c r="H1669" t="s">
        <v>709</v>
      </c>
      <c r="J1669">
        <v>0</v>
      </c>
      <c r="K1669">
        <v>45463.387465277781</v>
      </c>
      <c r="L1669">
        <v>940</v>
      </c>
      <c r="O1669">
        <v>4</v>
      </c>
      <c r="P1669">
        <v>9</v>
      </c>
      <c r="Q1669">
        <v>0</v>
      </c>
    </row>
    <row r="1670" spans="2:22" x14ac:dyDescent="0.25">
      <c r="B1670" t="s">
        <v>293</v>
      </c>
      <c r="C1670">
        <v>41221389</v>
      </c>
      <c r="D1670" t="s">
        <v>903</v>
      </c>
      <c r="E1670">
        <v>240</v>
      </c>
      <c r="F1670" t="s">
        <v>68</v>
      </c>
      <c r="G1670" t="s">
        <v>159</v>
      </c>
      <c r="H1670" t="s">
        <v>556</v>
      </c>
      <c r="I1670" t="s">
        <v>161</v>
      </c>
      <c r="J1670">
        <v>0</v>
      </c>
      <c r="K1670">
        <v>45463.387476851851</v>
      </c>
      <c r="L1670">
        <v>2868</v>
      </c>
      <c r="O1670">
        <v>36</v>
      </c>
      <c r="P1670">
        <v>6</v>
      </c>
      <c r="Q1670">
        <v>24.000000000000011</v>
      </c>
    </row>
    <row r="1671" spans="2:22" x14ac:dyDescent="0.25">
      <c r="B1671" t="s">
        <v>293</v>
      </c>
      <c r="C1671">
        <v>41220909</v>
      </c>
      <c r="D1671" t="s">
        <v>904</v>
      </c>
      <c r="E1671">
        <v>2000</v>
      </c>
      <c r="F1671" t="s">
        <v>68</v>
      </c>
      <c r="G1671" t="s">
        <v>146</v>
      </c>
      <c r="H1671" t="s">
        <v>147</v>
      </c>
      <c r="I1671" t="s">
        <v>144</v>
      </c>
      <c r="J1671">
        <v>0</v>
      </c>
      <c r="K1671">
        <v>45463.387476851851</v>
      </c>
      <c r="L1671">
        <v>35000</v>
      </c>
      <c r="O1671">
        <v>440</v>
      </c>
      <c r="P1671">
        <v>4</v>
      </c>
      <c r="Q1671">
        <v>240.00000000000017</v>
      </c>
    </row>
    <row r="1672" spans="2:22" x14ac:dyDescent="0.25">
      <c r="B1672" t="s">
        <v>293</v>
      </c>
      <c r="C1672">
        <v>41221322</v>
      </c>
      <c r="D1672" t="s">
        <v>905</v>
      </c>
      <c r="E1672">
        <v>300</v>
      </c>
      <c r="F1672" t="s">
        <v>68</v>
      </c>
      <c r="G1672" t="s">
        <v>163</v>
      </c>
      <c r="H1672" t="s">
        <v>164</v>
      </c>
      <c r="I1672" t="s">
        <v>165</v>
      </c>
      <c r="J1672">
        <v>0</v>
      </c>
      <c r="K1672">
        <v>45463.387488425928</v>
      </c>
      <c r="L1672">
        <v>5362</v>
      </c>
      <c r="O1672">
        <v>12</v>
      </c>
      <c r="P1672">
        <v>25</v>
      </c>
      <c r="Q1672">
        <v>0</v>
      </c>
    </row>
    <row r="1673" spans="2:22" x14ac:dyDescent="0.25">
      <c r="B1673" t="s">
        <v>293</v>
      </c>
      <c r="C1673">
        <v>41221268</v>
      </c>
      <c r="D1673" t="s">
        <v>906</v>
      </c>
      <c r="E1673">
        <v>12</v>
      </c>
      <c r="F1673" t="s">
        <v>68</v>
      </c>
      <c r="G1673" t="s">
        <v>483</v>
      </c>
      <c r="H1673" t="s">
        <v>150</v>
      </c>
      <c r="I1673" t="s">
        <v>144</v>
      </c>
      <c r="J1673">
        <v>0</v>
      </c>
      <c r="K1673">
        <v>45463.387488425928</v>
      </c>
      <c r="L1673">
        <v>346</v>
      </c>
      <c r="O1673">
        <v>4</v>
      </c>
      <c r="P1673">
        <v>3</v>
      </c>
      <c r="Q1673">
        <v>0</v>
      </c>
    </row>
    <row r="1674" spans="2:22" x14ac:dyDescent="0.25">
      <c r="B1674" t="s">
        <v>293</v>
      </c>
      <c r="C1674">
        <v>41220883</v>
      </c>
      <c r="D1674" t="s">
        <v>907</v>
      </c>
      <c r="E1674">
        <v>3</v>
      </c>
      <c r="F1674" t="s">
        <v>68</v>
      </c>
      <c r="G1674" t="s">
        <v>482</v>
      </c>
      <c r="H1674" t="s">
        <v>148</v>
      </c>
      <c r="I1674" t="s">
        <v>144</v>
      </c>
      <c r="J1674">
        <v>0</v>
      </c>
      <c r="K1674">
        <v>45463.387499999997</v>
      </c>
      <c r="L1674">
        <v>226</v>
      </c>
      <c r="O1674">
        <v>24</v>
      </c>
      <c r="P1674">
        <v>0</v>
      </c>
      <c r="Q1674">
        <v>3</v>
      </c>
    </row>
    <row r="1675" spans="2:22" x14ac:dyDescent="0.25">
      <c r="B1675" t="s">
        <v>293</v>
      </c>
      <c r="C1675">
        <v>41220788</v>
      </c>
      <c r="D1675" t="s">
        <v>908</v>
      </c>
      <c r="E1675">
        <v>120</v>
      </c>
      <c r="F1675" t="s">
        <v>68</v>
      </c>
      <c r="G1675" t="s">
        <v>485</v>
      </c>
      <c r="H1675" t="s">
        <v>178</v>
      </c>
      <c r="I1675" t="s">
        <v>144</v>
      </c>
      <c r="J1675">
        <v>0</v>
      </c>
      <c r="K1675">
        <v>45463.387511574074</v>
      </c>
      <c r="L1675">
        <v>2440</v>
      </c>
      <c r="O1675">
        <v>100</v>
      </c>
      <c r="P1675">
        <v>1</v>
      </c>
      <c r="Q1675">
        <v>19.999999999999996</v>
      </c>
      <c r="V1675" t="s">
        <v>798</v>
      </c>
    </row>
    <row r="1676" spans="2:22" x14ac:dyDescent="0.25">
      <c r="B1676" t="s">
        <v>293</v>
      </c>
      <c r="C1676">
        <v>41220788</v>
      </c>
      <c r="D1676">
        <v>701</v>
      </c>
      <c r="E1676">
        <v>288</v>
      </c>
      <c r="F1676" t="s">
        <v>135</v>
      </c>
      <c r="G1676" t="s">
        <v>140</v>
      </c>
      <c r="H1676" t="s">
        <v>137</v>
      </c>
      <c r="I1676" t="s">
        <v>138</v>
      </c>
      <c r="J1676">
        <v>0</v>
      </c>
      <c r="K1676">
        <v>45463.387511574074</v>
      </c>
      <c r="L1676">
        <v>652</v>
      </c>
      <c r="O1676">
        <v>144</v>
      </c>
      <c r="P1676">
        <v>2</v>
      </c>
      <c r="Q1676">
        <v>0</v>
      </c>
    </row>
    <row r="1677" spans="2:22" x14ac:dyDescent="0.25">
      <c r="B1677" t="s">
        <v>293</v>
      </c>
      <c r="C1677">
        <v>41219425</v>
      </c>
      <c r="D1677" t="s">
        <v>909</v>
      </c>
      <c r="E1677">
        <v>400</v>
      </c>
      <c r="F1677" t="s">
        <v>68</v>
      </c>
      <c r="G1677" t="s">
        <v>201</v>
      </c>
      <c r="H1677" t="s">
        <v>202</v>
      </c>
      <c r="I1677" t="s">
        <v>144</v>
      </c>
      <c r="J1677">
        <v>0</v>
      </c>
      <c r="K1677">
        <v>45463.387523148151</v>
      </c>
      <c r="L1677">
        <v>1640</v>
      </c>
      <c r="O1677">
        <v>100</v>
      </c>
      <c r="P1677">
        <v>4</v>
      </c>
      <c r="Q1677">
        <v>0</v>
      </c>
    </row>
    <row r="1678" spans="2:22" x14ac:dyDescent="0.25">
      <c r="B1678" t="s">
        <v>293</v>
      </c>
      <c r="C1678">
        <v>41219252</v>
      </c>
      <c r="D1678" t="s">
        <v>910</v>
      </c>
      <c r="E1678">
        <v>240</v>
      </c>
      <c r="F1678" t="s">
        <v>68</v>
      </c>
      <c r="G1678" t="s">
        <v>155</v>
      </c>
      <c r="H1678" t="s">
        <v>156</v>
      </c>
      <c r="J1678">
        <v>0</v>
      </c>
      <c r="K1678">
        <v>45463.387523148151</v>
      </c>
      <c r="L1678">
        <v>2146</v>
      </c>
      <c r="O1678">
        <v>24</v>
      </c>
      <c r="P1678">
        <v>10</v>
      </c>
      <c r="Q1678">
        <v>0</v>
      </c>
    </row>
    <row r="1679" spans="2:22" x14ac:dyDescent="0.25">
      <c r="B1679" t="s">
        <v>293</v>
      </c>
      <c r="C1679">
        <v>41221323</v>
      </c>
      <c r="D1679" t="s">
        <v>911</v>
      </c>
      <c r="E1679">
        <v>100</v>
      </c>
      <c r="F1679" t="s">
        <v>68</v>
      </c>
      <c r="G1679" t="s">
        <v>153</v>
      </c>
      <c r="H1679" t="s">
        <v>154</v>
      </c>
      <c r="I1679" t="s">
        <v>105</v>
      </c>
      <c r="J1679">
        <v>0</v>
      </c>
      <c r="K1679">
        <v>45463.38753472222</v>
      </c>
      <c r="L1679">
        <v>1400</v>
      </c>
      <c r="O1679">
        <v>100</v>
      </c>
      <c r="P1679">
        <v>1</v>
      </c>
      <c r="Q1679">
        <v>0</v>
      </c>
    </row>
    <row r="1680" spans="2:22" x14ac:dyDescent="0.25">
      <c r="B1680" t="s">
        <v>293</v>
      </c>
      <c r="C1680">
        <v>41220789</v>
      </c>
      <c r="D1680">
        <v>707</v>
      </c>
      <c r="E1680">
        <v>14000</v>
      </c>
      <c r="F1680" t="s">
        <v>68</v>
      </c>
      <c r="G1680" t="s">
        <v>107</v>
      </c>
      <c r="H1680" t="s">
        <v>108</v>
      </c>
      <c r="I1680" t="s">
        <v>105</v>
      </c>
      <c r="J1680">
        <v>0</v>
      </c>
      <c r="K1680">
        <v>45463.38753472222</v>
      </c>
      <c r="L1680">
        <v>3000</v>
      </c>
      <c r="O1680">
        <v>1200</v>
      </c>
      <c r="P1680">
        <v>11</v>
      </c>
      <c r="Q1680">
        <v>799.99999999999932</v>
      </c>
    </row>
    <row r="1681" spans="2:22" x14ac:dyDescent="0.25">
      <c r="B1681" t="s">
        <v>293</v>
      </c>
      <c r="C1681">
        <v>41220789</v>
      </c>
      <c r="D1681">
        <v>707</v>
      </c>
      <c r="E1681">
        <v>12000</v>
      </c>
      <c r="F1681" t="s">
        <v>68</v>
      </c>
      <c r="G1681" t="s">
        <v>103</v>
      </c>
      <c r="H1681" t="s">
        <v>104</v>
      </c>
      <c r="I1681" t="s">
        <v>105</v>
      </c>
      <c r="J1681">
        <v>0</v>
      </c>
      <c r="K1681">
        <v>45463.387546296297</v>
      </c>
      <c r="L1681">
        <v>0</v>
      </c>
      <c r="O1681">
        <v>2400</v>
      </c>
      <c r="P1681">
        <v>5</v>
      </c>
      <c r="Q1681">
        <v>600</v>
      </c>
    </row>
    <row r="1682" spans="2:22" x14ac:dyDescent="0.25">
      <c r="B1682" t="s">
        <v>293</v>
      </c>
      <c r="C1682">
        <v>41221324</v>
      </c>
      <c r="D1682" t="s">
        <v>912</v>
      </c>
      <c r="E1682">
        <v>10000</v>
      </c>
      <c r="F1682" t="s">
        <v>68</v>
      </c>
      <c r="G1682" t="s">
        <v>123</v>
      </c>
      <c r="H1682" t="s">
        <v>124</v>
      </c>
      <c r="I1682" t="s">
        <v>105</v>
      </c>
      <c r="J1682">
        <v>0</v>
      </c>
      <c r="K1682">
        <v>45463.387557870374</v>
      </c>
      <c r="L1682">
        <v>24000</v>
      </c>
      <c r="O1682">
        <v>2400</v>
      </c>
      <c r="P1682">
        <v>4</v>
      </c>
      <c r="Q1682">
        <v>400.00000000000068</v>
      </c>
    </row>
    <row r="1683" spans="2:22" x14ac:dyDescent="0.25">
      <c r="B1683" t="s">
        <v>158</v>
      </c>
      <c r="C1683">
        <v>41221115</v>
      </c>
      <c r="D1683" t="s">
        <v>913</v>
      </c>
      <c r="E1683">
        <v>600</v>
      </c>
      <c r="F1683" t="s">
        <v>68</v>
      </c>
      <c r="G1683" t="s">
        <v>123</v>
      </c>
      <c r="H1683" t="s">
        <v>124</v>
      </c>
      <c r="I1683" t="s">
        <v>105</v>
      </c>
      <c r="J1683">
        <v>0</v>
      </c>
      <c r="K1683">
        <v>45467.661435185182</v>
      </c>
      <c r="L1683">
        <v>23400</v>
      </c>
      <c r="O1683">
        <v>2400</v>
      </c>
      <c r="P1683">
        <v>0</v>
      </c>
      <c r="Q1683">
        <v>600</v>
      </c>
    </row>
    <row r="1684" spans="2:22" x14ac:dyDescent="0.25">
      <c r="B1684" t="s">
        <v>293</v>
      </c>
      <c r="C1684">
        <v>41220938</v>
      </c>
      <c r="D1684" t="s">
        <v>914</v>
      </c>
      <c r="E1684">
        <v>24</v>
      </c>
      <c r="F1684" t="s">
        <v>68</v>
      </c>
      <c r="G1684" t="s">
        <v>552</v>
      </c>
      <c r="H1684" t="s">
        <v>692</v>
      </c>
      <c r="I1684" t="s">
        <v>693</v>
      </c>
      <c r="J1684">
        <v>0</v>
      </c>
      <c r="K1684">
        <v>45467.661469907405</v>
      </c>
      <c r="L1684">
        <v>0</v>
      </c>
      <c r="O1684">
        <v>12</v>
      </c>
      <c r="P1684">
        <v>2</v>
      </c>
      <c r="Q1684">
        <v>0</v>
      </c>
      <c r="V1684" t="s">
        <v>695</v>
      </c>
    </row>
    <row r="1685" spans="2:22" x14ac:dyDescent="0.25">
      <c r="B1685" t="s">
        <v>293</v>
      </c>
      <c r="C1685">
        <v>41220607</v>
      </c>
      <c r="D1685" t="s">
        <v>915</v>
      </c>
      <c r="E1685">
        <v>10</v>
      </c>
      <c r="F1685" t="s">
        <v>68</v>
      </c>
      <c r="G1685" t="s">
        <v>490</v>
      </c>
      <c r="H1685" t="s">
        <v>233</v>
      </c>
      <c r="I1685" t="s">
        <v>234</v>
      </c>
      <c r="J1685">
        <v>0</v>
      </c>
      <c r="K1685">
        <v>45469.643842592595</v>
      </c>
      <c r="L1685">
        <v>50</v>
      </c>
      <c r="O1685">
        <v>1</v>
      </c>
      <c r="P1685">
        <v>10</v>
      </c>
      <c r="Q1685">
        <v>0</v>
      </c>
    </row>
    <row r="1686" spans="2:22" x14ac:dyDescent="0.25">
      <c r="B1686" t="s">
        <v>293</v>
      </c>
      <c r="C1686">
        <v>41221326</v>
      </c>
      <c r="D1686" t="s">
        <v>916</v>
      </c>
      <c r="E1686">
        <v>100</v>
      </c>
      <c r="F1686" t="s">
        <v>68</v>
      </c>
      <c r="G1686" t="s">
        <v>151</v>
      </c>
      <c r="H1686" t="s">
        <v>152</v>
      </c>
      <c r="I1686" t="s">
        <v>105</v>
      </c>
      <c r="J1686">
        <v>0</v>
      </c>
      <c r="K1686">
        <v>45469.643854166665</v>
      </c>
      <c r="L1686">
        <v>576</v>
      </c>
      <c r="O1686">
        <v>200</v>
      </c>
      <c r="P1686">
        <v>0</v>
      </c>
      <c r="Q1686">
        <v>100</v>
      </c>
      <c r="V1686" t="s">
        <v>856</v>
      </c>
    </row>
    <row r="1687" spans="2:22" x14ac:dyDescent="0.25">
      <c r="B1687" t="s">
        <v>293</v>
      </c>
      <c r="C1687">
        <v>41219425</v>
      </c>
      <c r="D1687" t="s">
        <v>917</v>
      </c>
      <c r="E1687">
        <v>200</v>
      </c>
      <c r="F1687" t="s">
        <v>68</v>
      </c>
      <c r="G1687" t="s">
        <v>201</v>
      </c>
      <c r="H1687" t="s">
        <v>202</v>
      </c>
      <c r="I1687" t="s">
        <v>144</v>
      </c>
      <c r="J1687">
        <v>0</v>
      </c>
      <c r="K1687">
        <v>45469.643854166665</v>
      </c>
      <c r="L1687">
        <v>1440</v>
      </c>
      <c r="O1687">
        <v>100</v>
      </c>
      <c r="P1687">
        <v>2</v>
      </c>
      <c r="Q1687">
        <v>0</v>
      </c>
    </row>
    <row r="1688" spans="2:22" x14ac:dyDescent="0.25">
      <c r="B1688" t="s">
        <v>293</v>
      </c>
      <c r="C1688">
        <v>41219425</v>
      </c>
      <c r="D1688">
        <v>712</v>
      </c>
      <c r="E1688">
        <v>10000</v>
      </c>
      <c r="F1688" t="s">
        <v>68</v>
      </c>
      <c r="G1688" t="s">
        <v>123</v>
      </c>
      <c r="H1688" t="s">
        <v>124</v>
      </c>
      <c r="I1688" t="s">
        <v>105</v>
      </c>
      <c r="J1688">
        <v>0</v>
      </c>
      <c r="K1688">
        <v>45469.643865740742</v>
      </c>
      <c r="L1688">
        <v>13400</v>
      </c>
      <c r="O1688">
        <v>2400</v>
      </c>
      <c r="P1688">
        <v>4</v>
      </c>
      <c r="Q1688">
        <v>400.00000000000068</v>
      </c>
    </row>
    <row r="1689" spans="2:22" x14ac:dyDescent="0.25">
      <c r="B1689" t="s">
        <v>293</v>
      </c>
      <c r="C1689">
        <v>41221325</v>
      </c>
      <c r="D1689" t="s">
        <v>918</v>
      </c>
      <c r="E1689">
        <v>1000</v>
      </c>
      <c r="F1689" t="s">
        <v>68</v>
      </c>
      <c r="G1689" t="s">
        <v>121</v>
      </c>
      <c r="H1689" t="s">
        <v>122</v>
      </c>
      <c r="I1689" t="s">
        <v>105</v>
      </c>
      <c r="J1689">
        <v>0</v>
      </c>
      <c r="K1689">
        <v>45469.643865740742</v>
      </c>
      <c r="L1689">
        <v>17000</v>
      </c>
      <c r="O1689">
        <v>3000</v>
      </c>
      <c r="P1689">
        <v>0</v>
      </c>
      <c r="Q1689">
        <v>1000</v>
      </c>
    </row>
    <row r="1690" spans="2:22" x14ac:dyDescent="0.25">
      <c r="B1690" t="s">
        <v>293</v>
      </c>
      <c r="C1690">
        <v>41221261</v>
      </c>
      <c r="D1690">
        <v>714</v>
      </c>
      <c r="E1690">
        <v>500</v>
      </c>
      <c r="F1690" t="s">
        <v>68</v>
      </c>
      <c r="G1690" t="s">
        <v>115</v>
      </c>
      <c r="H1690" t="s">
        <v>116</v>
      </c>
      <c r="I1690" t="s">
        <v>105</v>
      </c>
      <c r="J1690">
        <v>0</v>
      </c>
      <c r="K1690">
        <v>45469.643877314818</v>
      </c>
      <c r="L1690">
        <v>4150</v>
      </c>
      <c r="O1690">
        <v>700</v>
      </c>
      <c r="P1690">
        <v>0</v>
      </c>
      <c r="Q1690">
        <v>500</v>
      </c>
    </row>
    <row r="1691" spans="2:22" x14ac:dyDescent="0.25">
      <c r="B1691" t="s">
        <v>293</v>
      </c>
      <c r="C1691">
        <v>41221268</v>
      </c>
      <c r="D1691">
        <v>715</v>
      </c>
      <c r="E1691">
        <v>12</v>
      </c>
      <c r="F1691" t="s">
        <v>68</v>
      </c>
      <c r="G1691" t="s">
        <v>483</v>
      </c>
      <c r="H1691" t="s">
        <v>150</v>
      </c>
      <c r="I1691" t="s">
        <v>144</v>
      </c>
      <c r="J1691">
        <v>0</v>
      </c>
      <c r="K1691">
        <v>45469.643877314818</v>
      </c>
      <c r="L1691">
        <v>334</v>
      </c>
      <c r="O1691">
        <v>4</v>
      </c>
      <c r="P1691">
        <v>3</v>
      </c>
      <c r="Q1691">
        <v>0</v>
      </c>
    </row>
    <row r="1692" spans="2:22" x14ac:dyDescent="0.25">
      <c r="B1692" t="s">
        <v>293</v>
      </c>
      <c r="C1692">
        <v>41221322</v>
      </c>
      <c r="D1692">
        <v>716</v>
      </c>
      <c r="E1692">
        <v>300</v>
      </c>
      <c r="F1692" t="s">
        <v>68</v>
      </c>
      <c r="G1692" t="s">
        <v>163</v>
      </c>
      <c r="H1692" t="s">
        <v>164</v>
      </c>
      <c r="I1692" t="s">
        <v>165</v>
      </c>
      <c r="J1692">
        <v>0</v>
      </c>
      <c r="K1692">
        <v>45469.643888888888</v>
      </c>
      <c r="L1692">
        <v>5062</v>
      </c>
      <c r="O1692">
        <v>12</v>
      </c>
      <c r="P1692">
        <v>25</v>
      </c>
      <c r="Q1692">
        <v>0</v>
      </c>
    </row>
    <row r="1693" spans="2:22" x14ac:dyDescent="0.25">
      <c r="B1693" t="s">
        <v>293</v>
      </c>
      <c r="C1693">
        <v>41220883</v>
      </c>
      <c r="D1693">
        <v>717</v>
      </c>
      <c r="E1693">
        <v>3</v>
      </c>
      <c r="F1693" t="s">
        <v>68</v>
      </c>
      <c r="G1693" t="s">
        <v>482</v>
      </c>
      <c r="H1693" t="s">
        <v>148</v>
      </c>
      <c r="I1693" t="s">
        <v>144</v>
      </c>
      <c r="J1693">
        <v>0</v>
      </c>
      <c r="K1693">
        <v>45469.643888888888</v>
      </c>
      <c r="L1693">
        <v>223</v>
      </c>
      <c r="O1693">
        <v>24</v>
      </c>
      <c r="P1693">
        <v>0</v>
      </c>
      <c r="Q1693">
        <v>3</v>
      </c>
    </row>
    <row r="1694" spans="2:22" x14ac:dyDescent="0.25">
      <c r="B1694" t="s">
        <v>293</v>
      </c>
      <c r="C1694">
        <v>41220788</v>
      </c>
      <c r="D1694">
        <v>718</v>
      </c>
      <c r="E1694">
        <v>120</v>
      </c>
      <c r="F1694" t="s">
        <v>68</v>
      </c>
      <c r="G1694" t="s">
        <v>485</v>
      </c>
      <c r="H1694" t="s">
        <v>178</v>
      </c>
      <c r="I1694" t="s">
        <v>144</v>
      </c>
      <c r="J1694">
        <v>0</v>
      </c>
      <c r="K1694">
        <v>45469.643900462965</v>
      </c>
      <c r="L1694">
        <v>2320</v>
      </c>
      <c r="O1694">
        <v>100</v>
      </c>
      <c r="P1694">
        <v>1</v>
      </c>
      <c r="Q1694">
        <v>19.999999999999996</v>
      </c>
      <c r="V1694" t="s">
        <v>798</v>
      </c>
    </row>
    <row r="1695" spans="2:22" x14ac:dyDescent="0.25">
      <c r="B1695" t="s">
        <v>293</v>
      </c>
      <c r="C1695">
        <v>41220788</v>
      </c>
      <c r="D1695">
        <v>718</v>
      </c>
      <c r="E1695">
        <v>288</v>
      </c>
      <c r="F1695" t="s">
        <v>135</v>
      </c>
      <c r="G1695" t="s">
        <v>141</v>
      </c>
      <c r="H1695" t="s">
        <v>137</v>
      </c>
      <c r="I1695" t="s">
        <v>138</v>
      </c>
      <c r="J1695">
        <v>0</v>
      </c>
      <c r="K1695">
        <v>45469.643900462965</v>
      </c>
      <c r="L1695">
        <v>2596</v>
      </c>
      <c r="O1695">
        <v>144</v>
      </c>
      <c r="P1695">
        <v>2</v>
      </c>
      <c r="Q1695">
        <v>0</v>
      </c>
    </row>
    <row r="1696" spans="2:22" x14ac:dyDescent="0.25">
      <c r="B1696" t="s">
        <v>293</v>
      </c>
      <c r="C1696">
        <v>41219252</v>
      </c>
      <c r="D1696">
        <v>719</v>
      </c>
      <c r="E1696">
        <v>240</v>
      </c>
      <c r="F1696" t="s">
        <v>68</v>
      </c>
      <c r="G1696" t="s">
        <v>155</v>
      </c>
      <c r="H1696" t="s">
        <v>156</v>
      </c>
      <c r="J1696">
        <v>0</v>
      </c>
      <c r="K1696">
        <v>45469.643912037034</v>
      </c>
      <c r="L1696">
        <v>1906</v>
      </c>
      <c r="O1696">
        <v>24</v>
      </c>
      <c r="P1696">
        <v>10</v>
      </c>
      <c r="Q1696">
        <v>0</v>
      </c>
    </row>
    <row r="1697" spans="2:22" x14ac:dyDescent="0.25">
      <c r="B1697" t="s">
        <v>293</v>
      </c>
      <c r="C1697">
        <v>41221323</v>
      </c>
      <c r="D1697">
        <v>720</v>
      </c>
      <c r="E1697">
        <v>100</v>
      </c>
      <c r="F1697" t="s">
        <v>68</v>
      </c>
      <c r="G1697" t="s">
        <v>153</v>
      </c>
      <c r="H1697" t="s">
        <v>154</v>
      </c>
      <c r="I1697" t="s">
        <v>105</v>
      </c>
      <c r="J1697">
        <v>0</v>
      </c>
      <c r="K1697">
        <v>45469.643923611111</v>
      </c>
      <c r="L1697">
        <v>1300</v>
      </c>
      <c r="O1697">
        <v>100</v>
      </c>
      <c r="P1697">
        <v>1</v>
      </c>
      <c r="Q1697">
        <v>0</v>
      </c>
    </row>
    <row r="1698" spans="2:22" x14ac:dyDescent="0.25">
      <c r="B1698" t="s">
        <v>293</v>
      </c>
      <c r="C1698">
        <v>41220909</v>
      </c>
      <c r="D1698">
        <v>721</v>
      </c>
      <c r="E1698">
        <v>2000</v>
      </c>
      <c r="F1698" t="s">
        <v>68</v>
      </c>
      <c r="G1698" t="s">
        <v>146</v>
      </c>
      <c r="H1698" t="s">
        <v>147</v>
      </c>
      <c r="I1698" t="s">
        <v>144</v>
      </c>
      <c r="J1698">
        <v>0</v>
      </c>
      <c r="K1698">
        <v>45469.643923611111</v>
      </c>
      <c r="L1698">
        <v>33000</v>
      </c>
      <c r="O1698">
        <v>440</v>
      </c>
      <c r="P1698">
        <v>4</v>
      </c>
      <c r="Q1698">
        <v>240.00000000000017</v>
      </c>
    </row>
    <row r="1699" spans="2:22" x14ac:dyDescent="0.25">
      <c r="B1699" t="s">
        <v>293</v>
      </c>
      <c r="C1699">
        <v>41221389</v>
      </c>
      <c r="D1699">
        <v>722</v>
      </c>
      <c r="E1699">
        <v>240</v>
      </c>
      <c r="F1699" t="s">
        <v>68</v>
      </c>
      <c r="G1699" t="s">
        <v>159</v>
      </c>
      <c r="H1699" t="s">
        <v>556</v>
      </c>
      <c r="I1699" t="s">
        <v>161</v>
      </c>
      <c r="J1699">
        <v>0</v>
      </c>
      <c r="K1699">
        <v>45469.643935185188</v>
      </c>
      <c r="L1699">
        <v>2628</v>
      </c>
      <c r="O1699">
        <v>36</v>
      </c>
      <c r="P1699">
        <v>6</v>
      </c>
      <c r="Q1699">
        <v>24.000000000000011</v>
      </c>
    </row>
    <row r="1700" spans="2:22" x14ac:dyDescent="0.25">
      <c r="B1700" t="s">
        <v>293</v>
      </c>
      <c r="C1700">
        <v>41220908</v>
      </c>
      <c r="D1700">
        <v>723</v>
      </c>
      <c r="E1700">
        <v>10</v>
      </c>
      <c r="F1700" t="s">
        <v>68</v>
      </c>
      <c r="G1700" t="s">
        <v>182</v>
      </c>
      <c r="H1700" t="s">
        <v>183</v>
      </c>
      <c r="J1700">
        <v>0</v>
      </c>
      <c r="K1700">
        <v>45469.643935185188</v>
      </c>
      <c r="L1700">
        <v>34</v>
      </c>
      <c r="O1700">
        <v>36</v>
      </c>
      <c r="P1700">
        <v>0</v>
      </c>
      <c r="Q1700">
        <v>10</v>
      </c>
    </row>
    <row r="1701" spans="2:22" x14ac:dyDescent="0.25">
      <c r="B1701" t="s">
        <v>293</v>
      </c>
      <c r="C1701">
        <v>41221320</v>
      </c>
      <c r="D1701">
        <v>724</v>
      </c>
      <c r="E1701">
        <v>36</v>
      </c>
      <c r="F1701" t="s">
        <v>68</v>
      </c>
      <c r="G1701" t="s">
        <v>166</v>
      </c>
      <c r="H1701" t="s">
        <v>709</v>
      </c>
      <c r="J1701">
        <v>0</v>
      </c>
      <c r="K1701">
        <v>45469.643946759257</v>
      </c>
      <c r="L1701">
        <v>904</v>
      </c>
      <c r="O1701">
        <v>4</v>
      </c>
      <c r="P1701">
        <v>9</v>
      </c>
      <c r="Q1701">
        <v>0</v>
      </c>
    </row>
    <row r="1702" spans="2:22" x14ac:dyDescent="0.25">
      <c r="B1702" t="s">
        <v>919</v>
      </c>
      <c r="E1702">
        <v>2880</v>
      </c>
      <c r="F1702" t="s">
        <v>135</v>
      </c>
      <c r="G1702" t="s">
        <v>140</v>
      </c>
      <c r="H1702" t="s">
        <v>137</v>
      </c>
      <c r="I1702" t="s">
        <v>138</v>
      </c>
      <c r="J1702">
        <v>1</v>
      </c>
      <c r="K1702">
        <v>45469.656956018516</v>
      </c>
      <c r="L1702">
        <v>3532</v>
      </c>
      <c r="M1702">
        <v>45464</v>
      </c>
      <c r="O1702">
        <v>144</v>
      </c>
      <c r="P1702">
        <v>20</v>
      </c>
      <c r="Q1702">
        <v>0</v>
      </c>
    </row>
    <row r="1703" spans="2:22" x14ac:dyDescent="0.25">
      <c r="B1703" t="s">
        <v>920</v>
      </c>
      <c r="E1703">
        <v>80000</v>
      </c>
      <c r="F1703" t="s">
        <v>68</v>
      </c>
      <c r="G1703" t="s">
        <v>107</v>
      </c>
      <c r="H1703" t="s">
        <v>108</v>
      </c>
      <c r="I1703" t="s">
        <v>105</v>
      </c>
      <c r="J1703">
        <v>1</v>
      </c>
      <c r="K1703">
        <v>45469.656967592593</v>
      </c>
      <c r="L1703">
        <v>83000</v>
      </c>
      <c r="M1703" t="s">
        <v>921</v>
      </c>
      <c r="O1703">
        <v>1200</v>
      </c>
      <c r="P1703">
        <v>66</v>
      </c>
      <c r="Q1703">
        <v>800.00000000000568</v>
      </c>
    </row>
    <row r="1704" spans="2:22" x14ac:dyDescent="0.25">
      <c r="B1704" t="s">
        <v>920</v>
      </c>
      <c r="E1704">
        <v>80000</v>
      </c>
      <c r="F1704" t="s">
        <v>68</v>
      </c>
      <c r="G1704" t="s">
        <v>103</v>
      </c>
      <c r="H1704" t="s">
        <v>104</v>
      </c>
      <c r="I1704" t="s">
        <v>105</v>
      </c>
      <c r="J1704">
        <v>1</v>
      </c>
      <c r="K1704">
        <v>45469.65697916667</v>
      </c>
      <c r="L1704">
        <v>79400</v>
      </c>
      <c r="M1704" t="s">
        <v>921</v>
      </c>
      <c r="O1704">
        <v>2400</v>
      </c>
      <c r="P1704">
        <v>33</v>
      </c>
      <c r="Q1704">
        <v>800.00000000000568</v>
      </c>
    </row>
    <row r="1705" spans="2:22" x14ac:dyDescent="0.25">
      <c r="B1705" t="s">
        <v>920</v>
      </c>
      <c r="E1705">
        <v>8000</v>
      </c>
      <c r="F1705" t="s">
        <v>68</v>
      </c>
      <c r="G1705" t="s">
        <v>170</v>
      </c>
      <c r="H1705" t="s">
        <v>171</v>
      </c>
      <c r="I1705" t="s">
        <v>105</v>
      </c>
      <c r="J1705">
        <v>1</v>
      </c>
      <c r="K1705">
        <v>45469.656990740739</v>
      </c>
      <c r="L1705">
        <v>8000</v>
      </c>
      <c r="M1705" t="s">
        <v>921</v>
      </c>
      <c r="O1705">
        <v>2400</v>
      </c>
      <c r="P1705">
        <v>3</v>
      </c>
      <c r="Q1705">
        <v>800.00000000000034</v>
      </c>
    </row>
    <row r="1706" spans="2:22" x14ac:dyDescent="0.25">
      <c r="B1706" t="s">
        <v>920</v>
      </c>
      <c r="E1706">
        <v>10000</v>
      </c>
      <c r="F1706" t="s">
        <v>68</v>
      </c>
      <c r="G1706" t="s">
        <v>125</v>
      </c>
      <c r="H1706" t="s">
        <v>126</v>
      </c>
      <c r="I1706" t="s">
        <v>105</v>
      </c>
      <c r="J1706">
        <v>1</v>
      </c>
      <c r="K1706">
        <v>45469.657002314816</v>
      </c>
      <c r="L1706">
        <v>16900</v>
      </c>
      <c r="M1706" t="s">
        <v>921</v>
      </c>
      <c r="O1706">
        <v>2400</v>
      </c>
      <c r="P1706">
        <v>4</v>
      </c>
      <c r="Q1706">
        <v>400.00000000000068</v>
      </c>
    </row>
    <row r="1707" spans="2:22" x14ac:dyDescent="0.25">
      <c r="B1707" t="s">
        <v>922</v>
      </c>
      <c r="E1707">
        <v>400</v>
      </c>
      <c r="F1707" t="s">
        <v>68</v>
      </c>
      <c r="G1707" t="s">
        <v>151</v>
      </c>
      <c r="H1707" t="s">
        <v>152</v>
      </c>
      <c r="I1707" t="s">
        <v>105</v>
      </c>
      <c r="J1707">
        <v>1</v>
      </c>
      <c r="K1707">
        <v>45469.657013888886</v>
      </c>
      <c r="L1707">
        <v>976</v>
      </c>
      <c r="M1707" t="s">
        <v>923</v>
      </c>
      <c r="O1707">
        <v>200</v>
      </c>
      <c r="P1707">
        <v>2</v>
      </c>
      <c r="Q1707">
        <v>0</v>
      </c>
      <c r="V1707" t="s">
        <v>856</v>
      </c>
    </row>
    <row r="1708" spans="2:22" x14ac:dyDescent="0.25">
      <c r="B1708" t="s">
        <v>293</v>
      </c>
      <c r="C1708">
        <v>41221516</v>
      </c>
      <c r="D1708" t="s">
        <v>924</v>
      </c>
      <c r="E1708">
        <v>12000</v>
      </c>
      <c r="F1708" t="s">
        <v>68</v>
      </c>
      <c r="G1708" t="s">
        <v>107</v>
      </c>
      <c r="H1708" t="s">
        <v>108</v>
      </c>
      <c r="I1708" t="s">
        <v>105</v>
      </c>
      <c r="J1708">
        <v>0</v>
      </c>
      <c r="K1708">
        <v>45470.502638888887</v>
      </c>
      <c r="L1708">
        <v>71000</v>
      </c>
      <c r="O1708">
        <v>1200</v>
      </c>
      <c r="P1708">
        <v>10</v>
      </c>
      <c r="Q1708">
        <v>0</v>
      </c>
    </row>
    <row r="1709" spans="2:22" x14ac:dyDescent="0.25">
      <c r="B1709" t="s">
        <v>293</v>
      </c>
      <c r="C1709">
        <v>41224183</v>
      </c>
      <c r="D1709" t="s">
        <v>925</v>
      </c>
      <c r="E1709">
        <v>12000</v>
      </c>
      <c r="F1709" t="s">
        <v>68</v>
      </c>
      <c r="G1709" t="s">
        <v>103</v>
      </c>
      <c r="H1709" t="s">
        <v>104</v>
      </c>
      <c r="I1709" t="s">
        <v>105</v>
      </c>
      <c r="J1709">
        <v>0</v>
      </c>
      <c r="K1709">
        <v>45470.502685185187</v>
      </c>
      <c r="L1709">
        <v>67400</v>
      </c>
      <c r="O1709">
        <v>2400</v>
      </c>
      <c r="P1709">
        <v>5</v>
      </c>
      <c r="Q1709">
        <v>0</v>
      </c>
    </row>
    <row r="1710" spans="2:22" x14ac:dyDescent="0.25">
      <c r="B1710" t="s">
        <v>926</v>
      </c>
      <c r="E1710">
        <v>200</v>
      </c>
      <c r="F1710" t="s">
        <v>68</v>
      </c>
      <c r="G1710" t="s">
        <v>483</v>
      </c>
      <c r="H1710" t="s">
        <v>150</v>
      </c>
      <c r="I1710" t="s">
        <v>144</v>
      </c>
      <c r="J1710">
        <v>1</v>
      </c>
      <c r="K1710">
        <v>45470.676296296297</v>
      </c>
      <c r="L1710">
        <v>534</v>
      </c>
      <c r="M1710" t="s">
        <v>927</v>
      </c>
      <c r="O1710">
        <v>4</v>
      </c>
      <c r="P1710">
        <v>50</v>
      </c>
      <c r="Q1710">
        <v>0</v>
      </c>
    </row>
    <row r="1711" spans="2:22" x14ac:dyDescent="0.25">
      <c r="B1711" t="s">
        <v>928</v>
      </c>
      <c r="C1711" t="s">
        <v>929</v>
      </c>
      <c r="D1711" t="s">
        <v>930</v>
      </c>
      <c r="E1711">
        <v>18000</v>
      </c>
      <c r="F1711" t="s">
        <v>68</v>
      </c>
      <c r="G1711" t="s">
        <v>146</v>
      </c>
      <c r="H1711" t="s">
        <v>147</v>
      </c>
      <c r="I1711" t="s">
        <v>144</v>
      </c>
      <c r="J1711">
        <v>0</v>
      </c>
      <c r="K1711">
        <v>45471.507453703707</v>
      </c>
      <c r="L1711">
        <v>15000</v>
      </c>
      <c r="O1711">
        <v>440</v>
      </c>
      <c r="P1711">
        <v>40</v>
      </c>
      <c r="Q1711">
        <v>399.99999999999886</v>
      </c>
    </row>
    <row r="1712" spans="2:22" x14ac:dyDescent="0.25">
      <c r="B1712" t="s">
        <v>931</v>
      </c>
      <c r="E1712">
        <v>1000</v>
      </c>
      <c r="F1712" t="s">
        <v>68</v>
      </c>
      <c r="G1712" t="s">
        <v>485</v>
      </c>
      <c r="H1712" t="s">
        <v>178</v>
      </c>
      <c r="I1712" t="s">
        <v>144</v>
      </c>
      <c r="J1712">
        <v>1</v>
      </c>
      <c r="K1712">
        <v>45474.665219907409</v>
      </c>
      <c r="L1712">
        <v>3320</v>
      </c>
      <c r="M1712" t="s">
        <v>932</v>
      </c>
      <c r="O1712">
        <v>100</v>
      </c>
      <c r="P1712">
        <v>10</v>
      </c>
      <c r="Q1712">
        <v>0</v>
      </c>
      <c r="V1712" t="s">
        <v>798</v>
      </c>
    </row>
    <row r="1713" spans="2:22" x14ac:dyDescent="0.25">
      <c r="B1713" t="s">
        <v>933</v>
      </c>
      <c r="E1713">
        <v>10000</v>
      </c>
      <c r="F1713" t="s">
        <v>68</v>
      </c>
      <c r="G1713" t="s">
        <v>110</v>
      </c>
      <c r="H1713" t="s">
        <v>111</v>
      </c>
      <c r="I1713" t="s">
        <v>105</v>
      </c>
      <c r="J1713">
        <v>1</v>
      </c>
      <c r="K1713">
        <v>45474.665231481478</v>
      </c>
      <c r="L1713">
        <v>20000</v>
      </c>
      <c r="M1713" t="s">
        <v>934</v>
      </c>
      <c r="O1713">
        <v>2400</v>
      </c>
      <c r="P1713">
        <v>4</v>
      </c>
      <c r="Q1713">
        <v>400.00000000000068</v>
      </c>
    </row>
    <row r="1714" spans="2:22" x14ac:dyDescent="0.25">
      <c r="B1714" t="s">
        <v>933</v>
      </c>
      <c r="E1714">
        <v>1000</v>
      </c>
      <c r="F1714" t="s">
        <v>68</v>
      </c>
      <c r="G1714" t="s">
        <v>117</v>
      </c>
      <c r="H1714" t="s">
        <v>118</v>
      </c>
      <c r="I1714" t="s">
        <v>105</v>
      </c>
      <c r="J1714">
        <v>1</v>
      </c>
      <c r="K1714">
        <v>45474.665243055555</v>
      </c>
      <c r="L1714">
        <v>1900</v>
      </c>
      <c r="M1714" t="s">
        <v>934</v>
      </c>
      <c r="O1714">
        <v>3000</v>
      </c>
      <c r="P1714">
        <v>0</v>
      </c>
      <c r="Q1714">
        <v>1000</v>
      </c>
    </row>
    <row r="1715" spans="2:22" x14ac:dyDescent="0.25">
      <c r="B1715" t="s">
        <v>933</v>
      </c>
      <c r="E1715">
        <v>60000</v>
      </c>
      <c r="F1715" t="s">
        <v>68</v>
      </c>
      <c r="G1715" t="s">
        <v>123</v>
      </c>
      <c r="H1715" t="s">
        <v>124</v>
      </c>
      <c r="I1715" t="s">
        <v>105</v>
      </c>
      <c r="J1715">
        <v>1</v>
      </c>
      <c r="K1715">
        <v>45474.665254629632</v>
      </c>
      <c r="L1715">
        <v>73400</v>
      </c>
      <c r="M1715" t="s">
        <v>934</v>
      </c>
      <c r="O1715">
        <v>2400</v>
      </c>
      <c r="P1715">
        <v>25</v>
      </c>
      <c r="Q1715">
        <v>0</v>
      </c>
    </row>
    <row r="1716" spans="2:22" x14ac:dyDescent="0.25">
      <c r="B1716" t="s">
        <v>293</v>
      </c>
      <c r="C1716">
        <v>41221320</v>
      </c>
      <c r="D1716" t="s">
        <v>935</v>
      </c>
      <c r="E1716">
        <v>36</v>
      </c>
      <c r="F1716" t="s">
        <v>68</v>
      </c>
      <c r="G1716" t="s">
        <v>166</v>
      </c>
      <c r="H1716" t="s">
        <v>709</v>
      </c>
      <c r="J1716">
        <v>0</v>
      </c>
      <c r="K1716">
        <v>45476.649016203701</v>
      </c>
      <c r="L1716">
        <v>868</v>
      </c>
      <c r="O1716">
        <v>4</v>
      </c>
      <c r="P1716">
        <v>9</v>
      </c>
      <c r="Q1716">
        <v>0</v>
      </c>
    </row>
    <row r="1717" spans="2:22" x14ac:dyDescent="0.25">
      <c r="B1717" t="s">
        <v>293</v>
      </c>
      <c r="C1717">
        <v>41220908</v>
      </c>
      <c r="D1717" t="s">
        <v>936</v>
      </c>
      <c r="E1717">
        <v>10</v>
      </c>
      <c r="F1717" t="s">
        <v>68</v>
      </c>
      <c r="G1717" t="s">
        <v>182</v>
      </c>
      <c r="H1717" t="s">
        <v>183</v>
      </c>
      <c r="J1717">
        <v>0</v>
      </c>
      <c r="K1717">
        <v>45476.649016203701</v>
      </c>
      <c r="L1717">
        <v>24</v>
      </c>
      <c r="O1717">
        <v>36</v>
      </c>
      <c r="P1717">
        <v>0</v>
      </c>
      <c r="Q1717">
        <v>10</v>
      </c>
    </row>
    <row r="1718" spans="2:22" x14ac:dyDescent="0.25">
      <c r="B1718" t="s">
        <v>293</v>
      </c>
      <c r="C1718">
        <v>41221389</v>
      </c>
      <c r="D1718" t="s">
        <v>937</v>
      </c>
      <c r="E1718">
        <v>240</v>
      </c>
      <c r="F1718" t="s">
        <v>68</v>
      </c>
      <c r="G1718" t="s">
        <v>159</v>
      </c>
      <c r="H1718" t="s">
        <v>556</v>
      </c>
      <c r="I1718" t="s">
        <v>161</v>
      </c>
      <c r="J1718">
        <v>0</v>
      </c>
      <c r="K1718">
        <v>45476.649027777778</v>
      </c>
      <c r="L1718">
        <v>2388</v>
      </c>
      <c r="O1718">
        <v>36</v>
      </c>
      <c r="P1718">
        <v>6</v>
      </c>
      <c r="Q1718">
        <v>24.000000000000011</v>
      </c>
    </row>
    <row r="1719" spans="2:22" x14ac:dyDescent="0.25">
      <c r="B1719" t="s">
        <v>293</v>
      </c>
      <c r="C1719">
        <v>41220909</v>
      </c>
      <c r="D1719" t="s">
        <v>938</v>
      </c>
      <c r="E1719">
        <v>2000</v>
      </c>
      <c r="F1719" t="s">
        <v>68</v>
      </c>
      <c r="G1719" t="s">
        <v>146</v>
      </c>
      <c r="H1719" t="s">
        <v>147</v>
      </c>
      <c r="I1719" t="s">
        <v>144</v>
      </c>
      <c r="J1719">
        <v>0</v>
      </c>
      <c r="K1719">
        <v>45476.649039351854</v>
      </c>
      <c r="L1719">
        <v>13000</v>
      </c>
      <c r="O1719">
        <v>440</v>
      </c>
      <c r="P1719">
        <v>4</v>
      </c>
      <c r="Q1719">
        <v>240.00000000000017</v>
      </c>
    </row>
    <row r="1720" spans="2:22" x14ac:dyDescent="0.25">
      <c r="B1720" t="s">
        <v>293</v>
      </c>
      <c r="C1720">
        <v>41221322</v>
      </c>
      <c r="D1720">
        <v>1923</v>
      </c>
      <c r="E1720">
        <v>300</v>
      </c>
      <c r="F1720" t="s">
        <v>68</v>
      </c>
      <c r="G1720" t="s">
        <v>163</v>
      </c>
      <c r="H1720" t="s">
        <v>164</v>
      </c>
      <c r="I1720" t="s">
        <v>165</v>
      </c>
      <c r="J1720">
        <v>0</v>
      </c>
      <c r="K1720">
        <v>45476.649050925924</v>
      </c>
      <c r="L1720">
        <v>4762</v>
      </c>
      <c r="O1720">
        <v>12</v>
      </c>
      <c r="P1720">
        <v>25</v>
      </c>
      <c r="Q1720">
        <v>0</v>
      </c>
    </row>
    <row r="1721" spans="2:22" x14ac:dyDescent="0.25">
      <c r="B1721" t="s">
        <v>293</v>
      </c>
      <c r="C1721">
        <v>41221268</v>
      </c>
      <c r="D1721">
        <v>1924</v>
      </c>
      <c r="E1721">
        <v>12</v>
      </c>
      <c r="F1721" t="s">
        <v>68</v>
      </c>
      <c r="G1721" t="s">
        <v>483</v>
      </c>
      <c r="H1721" t="s">
        <v>150</v>
      </c>
      <c r="I1721" t="s">
        <v>144</v>
      </c>
      <c r="J1721">
        <v>0</v>
      </c>
      <c r="K1721">
        <v>45476.649050925924</v>
      </c>
      <c r="L1721">
        <v>522</v>
      </c>
      <c r="O1721">
        <v>4</v>
      </c>
      <c r="P1721">
        <v>3</v>
      </c>
      <c r="Q1721">
        <v>0</v>
      </c>
    </row>
    <row r="1722" spans="2:22" x14ac:dyDescent="0.25">
      <c r="B1722" t="s">
        <v>293</v>
      </c>
      <c r="C1722">
        <v>41220883</v>
      </c>
      <c r="D1722">
        <v>1925</v>
      </c>
      <c r="E1722">
        <v>3</v>
      </c>
      <c r="F1722" t="s">
        <v>68</v>
      </c>
      <c r="G1722" t="s">
        <v>482</v>
      </c>
      <c r="H1722" t="s">
        <v>148</v>
      </c>
      <c r="I1722" t="s">
        <v>144</v>
      </c>
      <c r="J1722">
        <v>0</v>
      </c>
      <c r="K1722">
        <v>45476.649062500001</v>
      </c>
      <c r="L1722">
        <v>220</v>
      </c>
      <c r="O1722">
        <v>24</v>
      </c>
      <c r="P1722">
        <v>0</v>
      </c>
      <c r="Q1722">
        <v>3</v>
      </c>
    </row>
    <row r="1723" spans="2:22" x14ac:dyDescent="0.25">
      <c r="B1723" t="s">
        <v>293</v>
      </c>
      <c r="C1723">
        <v>41220788</v>
      </c>
      <c r="D1723">
        <v>1926</v>
      </c>
      <c r="E1723">
        <v>120</v>
      </c>
      <c r="F1723" t="s">
        <v>68</v>
      </c>
      <c r="G1723" t="s">
        <v>485</v>
      </c>
      <c r="H1723" t="s">
        <v>178</v>
      </c>
      <c r="I1723" t="s">
        <v>144</v>
      </c>
      <c r="J1723">
        <v>0</v>
      </c>
      <c r="K1723">
        <v>45476.649074074077</v>
      </c>
      <c r="L1723">
        <v>3200</v>
      </c>
      <c r="O1723">
        <v>100</v>
      </c>
      <c r="P1723">
        <v>1</v>
      </c>
      <c r="Q1723">
        <v>19.999999999999996</v>
      </c>
      <c r="V1723" t="s">
        <v>798</v>
      </c>
    </row>
    <row r="1724" spans="2:22" x14ac:dyDescent="0.25">
      <c r="B1724" t="s">
        <v>293</v>
      </c>
      <c r="C1724">
        <v>41220788</v>
      </c>
      <c r="D1724">
        <v>1926</v>
      </c>
      <c r="E1724">
        <v>298</v>
      </c>
      <c r="F1724" t="s">
        <v>135</v>
      </c>
      <c r="G1724" t="s">
        <v>140</v>
      </c>
      <c r="H1724" t="s">
        <v>137</v>
      </c>
      <c r="I1724" t="s">
        <v>138</v>
      </c>
      <c r="J1724">
        <v>0</v>
      </c>
      <c r="K1724">
        <v>45476.649074074077</v>
      </c>
      <c r="L1724">
        <v>3234</v>
      </c>
      <c r="O1724">
        <v>144</v>
      </c>
      <c r="P1724">
        <v>2</v>
      </c>
      <c r="Q1724">
        <v>10.000000000000028</v>
      </c>
    </row>
    <row r="1725" spans="2:22" x14ac:dyDescent="0.25">
      <c r="B1725" t="s">
        <v>293</v>
      </c>
      <c r="C1725">
        <v>41219425</v>
      </c>
      <c r="D1725">
        <v>1927</v>
      </c>
      <c r="E1725">
        <v>10000</v>
      </c>
      <c r="F1725" t="s">
        <v>68</v>
      </c>
      <c r="G1725" t="s">
        <v>123</v>
      </c>
      <c r="H1725" t="s">
        <v>124</v>
      </c>
      <c r="I1725" t="s">
        <v>105</v>
      </c>
      <c r="J1725">
        <v>0</v>
      </c>
      <c r="K1725">
        <v>45476.649085648147</v>
      </c>
      <c r="L1725">
        <v>63400</v>
      </c>
      <c r="O1725">
        <v>2400</v>
      </c>
      <c r="P1725">
        <v>4</v>
      </c>
      <c r="Q1725">
        <v>400.00000000000068</v>
      </c>
    </row>
    <row r="1726" spans="2:22" x14ac:dyDescent="0.25">
      <c r="B1726" t="s">
        <v>293</v>
      </c>
      <c r="C1726">
        <v>41219425</v>
      </c>
      <c r="D1726">
        <v>1927</v>
      </c>
      <c r="E1726">
        <v>200</v>
      </c>
      <c r="F1726" t="s">
        <v>68</v>
      </c>
      <c r="G1726" t="s">
        <v>201</v>
      </c>
      <c r="H1726" t="s">
        <v>202</v>
      </c>
      <c r="I1726" t="s">
        <v>144</v>
      </c>
      <c r="J1726">
        <v>0</v>
      </c>
      <c r="K1726">
        <v>45476.649085648147</v>
      </c>
      <c r="L1726">
        <v>1240</v>
      </c>
      <c r="O1726">
        <v>100</v>
      </c>
      <c r="P1726">
        <v>2</v>
      </c>
      <c r="Q1726">
        <v>0</v>
      </c>
    </row>
    <row r="1727" spans="2:22" x14ac:dyDescent="0.25">
      <c r="B1727" t="s">
        <v>293</v>
      </c>
      <c r="C1727">
        <v>41219252</v>
      </c>
      <c r="D1727">
        <v>1928</v>
      </c>
      <c r="E1727">
        <v>240</v>
      </c>
      <c r="F1727" t="s">
        <v>68</v>
      </c>
      <c r="G1727" t="s">
        <v>155</v>
      </c>
      <c r="H1727" t="s">
        <v>156</v>
      </c>
      <c r="J1727">
        <v>0</v>
      </c>
      <c r="K1727">
        <v>45476.649097222224</v>
      </c>
      <c r="L1727">
        <v>1666</v>
      </c>
      <c r="O1727">
        <v>24</v>
      </c>
      <c r="P1727">
        <v>10</v>
      </c>
      <c r="Q1727">
        <v>0</v>
      </c>
    </row>
    <row r="1728" spans="2:22" x14ac:dyDescent="0.25">
      <c r="B1728" t="s">
        <v>293</v>
      </c>
      <c r="C1728">
        <v>41221323</v>
      </c>
      <c r="D1728">
        <v>1929</v>
      </c>
      <c r="E1728">
        <v>100</v>
      </c>
      <c r="F1728" t="s">
        <v>68</v>
      </c>
      <c r="G1728" t="s">
        <v>153</v>
      </c>
      <c r="H1728" t="s">
        <v>154</v>
      </c>
      <c r="I1728" t="s">
        <v>105</v>
      </c>
      <c r="J1728">
        <v>0</v>
      </c>
      <c r="K1728">
        <v>45476.649097222224</v>
      </c>
      <c r="L1728">
        <v>1200</v>
      </c>
      <c r="O1728">
        <v>100</v>
      </c>
      <c r="P1728">
        <v>1</v>
      </c>
      <c r="Q1728">
        <v>0</v>
      </c>
    </row>
    <row r="1729" spans="2:22" x14ac:dyDescent="0.25">
      <c r="B1729" t="s">
        <v>293</v>
      </c>
      <c r="C1729">
        <v>41221516</v>
      </c>
      <c r="D1729">
        <v>1930</v>
      </c>
      <c r="E1729">
        <v>12000</v>
      </c>
      <c r="F1729" t="s">
        <v>68</v>
      </c>
      <c r="G1729" t="s">
        <v>107</v>
      </c>
      <c r="H1729" t="s">
        <v>108</v>
      </c>
      <c r="I1729" t="s">
        <v>105</v>
      </c>
      <c r="J1729">
        <v>0</v>
      </c>
      <c r="K1729">
        <v>45476.649108796293</v>
      </c>
      <c r="L1729">
        <v>59000</v>
      </c>
      <c r="O1729">
        <v>1200</v>
      </c>
      <c r="P1729">
        <v>10</v>
      </c>
      <c r="Q1729">
        <v>0</v>
      </c>
    </row>
    <row r="1730" spans="2:22" x14ac:dyDescent="0.25">
      <c r="B1730" t="s">
        <v>293</v>
      </c>
      <c r="C1730">
        <v>41221483</v>
      </c>
      <c r="D1730">
        <v>1931</v>
      </c>
      <c r="E1730">
        <v>12000</v>
      </c>
      <c r="F1730" t="s">
        <v>68</v>
      </c>
      <c r="G1730" t="s">
        <v>103</v>
      </c>
      <c r="H1730" t="s">
        <v>104</v>
      </c>
      <c r="I1730" t="s">
        <v>105</v>
      </c>
      <c r="J1730">
        <v>0</v>
      </c>
      <c r="K1730">
        <v>45476.64912037037</v>
      </c>
      <c r="L1730">
        <v>55400</v>
      </c>
      <c r="O1730">
        <v>2400</v>
      </c>
      <c r="P1730">
        <v>5</v>
      </c>
      <c r="Q1730">
        <v>0</v>
      </c>
    </row>
    <row r="1731" spans="2:22" x14ac:dyDescent="0.25">
      <c r="B1731" t="s">
        <v>293</v>
      </c>
      <c r="C1731">
        <v>41221325</v>
      </c>
      <c r="D1731">
        <v>1932</v>
      </c>
      <c r="E1731">
        <v>1000</v>
      </c>
      <c r="F1731" t="s">
        <v>68</v>
      </c>
      <c r="G1731" t="s">
        <v>121</v>
      </c>
      <c r="H1731" t="s">
        <v>122</v>
      </c>
      <c r="I1731" t="s">
        <v>105</v>
      </c>
      <c r="J1731">
        <v>0</v>
      </c>
      <c r="K1731">
        <v>45476.64912037037</v>
      </c>
      <c r="L1731">
        <v>16000</v>
      </c>
      <c r="O1731">
        <v>3000</v>
      </c>
      <c r="P1731">
        <v>0</v>
      </c>
      <c r="Q1731">
        <v>1000</v>
      </c>
    </row>
    <row r="1732" spans="2:22" x14ac:dyDescent="0.25">
      <c r="B1732" t="s">
        <v>293</v>
      </c>
      <c r="C1732">
        <v>41221261</v>
      </c>
      <c r="D1732">
        <v>1933</v>
      </c>
      <c r="E1732">
        <v>500</v>
      </c>
      <c r="F1732" t="s">
        <v>68</v>
      </c>
      <c r="G1732" t="s">
        <v>115</v>
      </c>
      <c r="H1732" t="s">
        <v>116</v>
      </c>
      <c r="I1732" t="s">
        <v>105</v>
      </c>
      <c r="J1732">
        <v>0</v>
      </c>
      <c r="K1732">
        <v>45476.649131944447</v>
      </c>
      <c r="L1732">
        <v>3650</v>
      </c>
      <c r="O1732">
        <v>700</v>
      </c>
      <c r="P1732">
        <v>0</v>
      </c>
      <c r="Q1732">
        <v>500</v>
      </c>
    </row>
    <row r="1733" spans="2:22" x14ac:dyDescent="0.25">
      <c r="B1733" t="s">
        <v>293</v>
      </c>
      <c r="C1733">
        <v>41221326</v>
      </c>
      <c r="D1733">
        <v>1934</v>
      </c>
      <c r="E1733">
        <v>100</v>
      </c>
      <c r="F1733" t="s">
        <v>68</v>
      </c>
      <c r="G1733" t="s">
        <v>151</v>
      </c>
      <c r="H1733" t="s">
        <v>152</v>
      </c>
      <c r="I1733" t="s">
        <v>105</v>
      </c>
      <c r="J1733">
        <v>0</v>
      </c>
      <c r="K1733">
        <v>45476.649131944447</v>
      </c>
      <c r="L1733">
        <v>876</v>
      </c>
      <c r="O1733">
        <v>200</v>
      </c>
      <c r="P1733">
        <v>0</v>
      </c>
      <c r="Q1733">
        <v>100</v>
      </c>
      <c r="V1733" t="s">
        <v>856</v>
      </c>
    </row>
    <row r="1734" spans="2:22" x14ac:dyDescent="0.25">
      <c r="B1734" t="s">
        <v>293</v>
      </c>
      <c r="C1734">
        <v>41220607</v>
      </c>
      <c r="D1734">
        <v>1935</v>
      </c>
      <c r="E1734">
        <v>10</v>
      </c>
      <c r="F1734" t="s">
        <v>68</v>
      </c>
      <c r="G1734" t="s">
        <v>490</v>
      </c>
      <c r="H1734" t="s">
        <v>233</v>
      </c>
      <c r="I1734" t="s">
        <v>234</v>
      </c>
      <c r="J1734">
        <v>0</v>
      </c>
      <c r="K1734">
        <v>45476.649143518516</v>
      </c>
      <c r="L1734">
        <v>40</v>
      </c>
      <c r="O1734">
        <v>1</v>
      </c>
      <c r="P1734">
        <v>10</v>
      </c>
      <c r="Q1734">
        <v>0</v>
      </c>
    </row>
    <row r="1735" spans="2:22" x14ac:dyDescent="0.25">
      <c r="B1735" t="s">
        <v>293</v>
      </c>
      <c r="C1735">
        <v>41219425</v>
      </c>
      <c r="D1735" t="s">
        <v>939</v>
      </c>
      <c r="E1735">
        <v>2000</v>
      </c>
      <c r="F1735" t="s">
        <v>68</v>
      </c>
      <c r="G1735" t="s">
        <v>125</v>
      </c>
      <c r="H1735" t="s">
        <v>126</v>
      </c>
      <c r="I1735" t="s">
        <v>105</v>
      </c>
      <c r="J1735">
        <v>0</v>
      </c>
      <c r="K1735">
        <v>45477.544386574074</v>
      </c>
      <c r="L1735">
        <v>14900</v>
      </c>
      <c r="O1735">
        <v>2400</v>
      </c>
      <c r="P1735">
        <v>0</v>
      </c>
      <c r="Q1735">
        <v>2000</v>
      </c>
    </row>
    <row r="1736" spans="2:22" x14ac:dyDescent="0.25">
      <c r="B1736" t="s">
        <v>293</v>
      </c>
      <c r="C1736">
        <v>41220346</v>
      </c>
      <c r="D1736" t="s">
        <v>940</v>
      </c>
      <c r="E1736">
        <v>4000</v>
      </c>
      <c r="F1736" t="s">
        <v>68</v>
      </c>
      <c r="G1736" t="s">
        <v>179</v>
      </c>
      <c r="H1736" t="s">
        <v>180</v>
      </c>
      <c r="I1736" t="s">
        <v>144</v>
      </c>
      <c r="J1736">
        <v>0</v>
      </c>
      <c r="K1736">
        <v>45478.574907407405</v>
      </c>
      <c r="L1736">
        <v>24000</v>
      </c>
      <c r="O1736">
        <v>2000</v>
      </c>
      <c r="P1736">
        <v>2</v>
      </c>
      <c r="Q1736">
        <v>0</v>
      </c>
    </row>
    <row r="1737" spans="2:22" x14ac:dyDescent="0.25">
      <c r="B1737" t="s">
        <v>293</v>
      </c>
      <c r="C1737">
        <v>41221320</v>
      </c>
      <c r="D1737">
        <v>1938</v>
      </c>
      <c r="E1737">
        <v>100</v>
      </c>
      <c r="F1737" t="s">
        <v>68</v>
      </c>
      <c r="G1737" t="s">
        <v>166</v>
      </c>
      <c r="H1737" t="s">
        <v>709</v>
      </c>
      <c r="J1737">
        <v>0</v>
      </c>
      <c r="K1737">
        <v>45478.574942129628</v>
      </c>
      <c r="L1737">
        <v>768</v>
      </c>
      <c r="O1737">
        <v>4</v>
      </c>
      <c r="P1737">
        <v>25</v>
      </c>
      <c r="Q1737">
        <v>0</v>
      </c>
    </row>
    <row r="1738" spans="2:22" x14ac:dyDescent="0.25">
      <c r="B1738" t="s">
        <v>293</v>
      </c>
      <c r="C1738">
        <v>41221268</v>
      </c>
      <c r="D1738" t="s">
        <v>941</v>
      </c>
      <c r="E1738">
        <v>20</v>
      </c>
      <c r="F1738" t="s">
        <v>68</v>
      </c>
      <c r="G1738" t="s">
        <v>483</v>
      </c>
      <c r="H1738" t="s">
        <v>150</v>
      </c>
      <c r="I1738" t="s">
        <v>144</v>
      </c>
      <c r="J1738">
        <v>0</v>
      </c>
      <c r="K1738">
        <v>45483.488819444443</v>
      </c>
      <c r="L1738">
        <v>502</v>
      </c>
      <c r="O1738">
        <v>4</v>
      </c>
      <c r="P1738">
        <v>5</v>
      </c>
      <c r="Q1738">
        <v>0</v>
      </c>
    </row>
    <row r="1739" spans="2:22" x14ac:dyDescent="0.25">
      <c r="B1739" t="s">
        <v>293</v>
      </c>
      <c r="C1739">
        <v>41221323</v>
      </c>
      <c r="D1739" t="s">
        <v>942</v>
      </c>
      <c r="E1739">
        <v>100</v>
      </c>
      <c r="F1739" t="s">
        <v>68</v>
      </c>
      <c r="G1739" t="s">
        <v>153</v>
      </c>
      <c r="H1739" t="s">
        <v>154</v>
      </c>
      <c r="I1739" t="s">
        <v>105</v>
      </c>
      <c r="J1739">
        <v>0</v>
      </c>
      <c r="K1739">
        <v>45483.629976851851</v>
      </c>
      <c r="L1739">
        <v>1100</v>
      </c>
      <c r="O1739">
        <v>100</v>
      </c>
      <c r="P1739">
        <v>1</v>
      </c>
      <c r="Q1739">
        <v>0</v>
      </c>
    </row>
    <row r="1740" spans="2:22" x14ac:dyDescent="0.25">
      <c r="B1740" t="s">
        <v>293</v>
      </c>
      <c r="C1740">
        <v>41221516</v>
      </c>
      <c r="D1740">
        <v>1941</v>
      </c>
      <c r="E1740">
        <v>6000</v>
      </c>
      <c r="F1740" t="s">
        <v>68</v>
      </c>
      <c r="G1740" t="s">
        <v>107</v>
      </c>
      <c r="H1740" t="s">
        <v>108</v>
      </c>
      <c r="I1740" t="s">
        <v>105</v>
      </c>
      <c r="J1740">
        <v>0</v>
      </c>
      <c r="K1740">
        <v>45483.63008101852</v>
      </c>
      <c r="L1740">
        <v>53000</v>
      </c>
      <c r="O1740">
        <v>1200</v>
      </c>
      <c r="P1740">
        <v>5</v>
      </c>
      <c r="Q1740">
        <v>0</v>
      </c>
    </row>
    <row r="1741" spans="2:22" x14ac:dyDescent="0.25">
      <c r="B1741" t="s">
        <v>293</v>
      </c>
      <c r="C1741">
        <v>41221483</v>
      </c>
      <c r="D1741">
        <v>1942</v>
      </c>
      <c r="E1741">
        <v>12000</v>
      </c>
      <c r="F1741" t="s">
        <v>68</v>
      </c>
      <c r="G1741" t="s">
        <v>103</v>
      </c>
      <c r="H1741" t="s">
        <v>104</v>
      </c>
      <c r="I1741" t="s">
        <v>105</v>
      </c>
      <c r="J1741">
        <v>0</v>
      </c>
      <c r="K1741">
        <v>45483.630104166667</v>
      </c>
      <c r="L1741">
        <v>43400</v>
      </c>
      <c r="O1741">
        <v>2400</v>
      </c>
      <c r="P1741">
        <v>5</v>
      </c>
      <c r="Q1741">
        <v>0</v>
      </c>
    </row>
    <row r="1742" spans="2:22" x14ac:dyDescent="0.25">
      <c r="B1742" t="s">
        <v>293</v>
      </c>
      <c r="C1742">
        <v>41221325</v>
      </c>
      <c r="D1742">
        <v>1943</v>
      </c>
      <c r="E1742">
        <v>1000</v>
      </c>
      <c r="F1742" t="s">
        <v>68</v>
      </c>
      <c r="G1742" t="s">
        <v>121</v>
      </c>
      <c r="H1742" t="s">
        <v>122</v>
      </c>
      <c r="I1742" t="s">
        <v>105</v>
      </c>
      <c r="J1742">
        <v>0</v>
      </c>
      <c r="K1742">
        <v>45483.630115740743</v>
      </c>
      <c r="L1742">
        <v>15000</v>
      </c>
      <c r="O1742">
        <v>3000</v>
      </c>
      <c r="P1742">
        <v>0</v>
      </c>
      <c r="Q1742">
        <v>1000</v>
      </c>
    </row>
    <row r="1743" spans="2:22" x14ac:dyDescent="0.25">
      <c r="B1743" t="s">
        <v>293</v>
      </c>
      <c r="C1743">
        <v>41221261</v>
      </c>
      <c r="D1743">
        <v>1944</v>
      </c>
      <c r="E1743">
        <v>500</v>
      </c>
      <c r="F1743" t="s">
        <v>68</v>
      </c>
      <c r="G1743" t="s">
        <v>115</v>
      </c>
      <c r="H1743" t="s">
        <v>116</v>
      </c>
      <c r="I1743" t="s">
        <v>105</v>
      </c>
      <c r="J1743">
        <v>0</v>
      </c>
      <c r="K1743">
        <v>45483.630115740743</v>
      </c>
      <c r="L1743">
        <v>3150</v>
      </c>
      <c r="O1743">
        <v>700</v>
      </c>
      <c r="P1743">
        <v>0</v>
      </c>
      <c r="Q1743">
        <v>500</v>
      </c>
    </row>
    <row r="1744" spans="2:22" x14ac:dyDescent="0.25">
      <c r="B1744" t="s">
        <v>293</v>
      </c>
      <c r="C1744">
        <v>41221326</v>
      </c>
      <c r="D1744">
        <v>1945</v>
      </c>
      <c r="E1744">
        <v>100</v>
      </c>
      <c r="F1744" t="s">
        <v>68</v>
      </c>
      <c r="G1744" t="s">
        <v>151</v>
      </c>
      <c r="H1744" t="s">
        <v>152</v>
      </c>
      <c r="I1744" t="s">
        <v>105</v>
      </c>
      <c r="J1744">
        <v>0</v>
      </c>
      <c r="K1744">
        <v>45483.630127314813</v>
      </c>
      <c r="L1744">
        <v>776</v>
      </c>
      <c r="O1744">
        <v>200</v>
      </c>
      <c r="P1744">
        <v>0</v>
      </c>
      <c r="Q1744">
        <v>100</v>
      </c>
      <c r="V1744" t="s">
        <v>856</v>
      </c>
    </row>
    <row r="1745" spans="2:22" x14ac:dyDescent="0.25">
      <c r="B1745" t="s">
        <v>293</v>
      </c>
      <c r="C1745">
        <v>41220607</v>
      </c>
      <c r="D1745">
        <v>1946</v>
      </c>
      <c r="E1745">
        <v>10</v>
      </c>
      <c r="F1745" t="s">
        <v>68</v>
      </c>
      <c r="G1745" t="s">
        <v>490</v>
      </c>
      <c r="H1745" t="s">
        <v>233</v>
      </c>
      <c r="I1745" t="s">
        <v>234</v>
      </c>
      <c r="J1745">
        <v>0</v>
      </c>
      <c r="K1745">
        <v>45483.63013888889</v>
      </c>
      <c r="L1745">
        <v>30</v>
      </c>
      <c r="O1745">
        <v>1</v>
      </c>
      <c r="P1745">
        <v>10</v>
      </c>
      <c r="Q1745">
        <v>0</v>
      </c>
    </row>
    <row r="1746" spans="2:22" x14ac:dyDescent="0.25">
      <c r="B1746" t="s">
        <v>293</v>
      </c>
      <c r="C1746">
        <v>41221320</v>
      </c>
      <c r="D1746">
        <v>1947</v>
      </c>
      <c r="E1746">
        <v>36</v>
      </c>
      <c r="F1746" t="s">
        <v>68</v>
      </c>
      <c r="G1746" t="s">
        <v>166</v>
      </c>
      <c r="H1746" t="s">
        <v>709</v>
      </c>
      <c r="J1746">
        <v>0</v>
      </c>
      <c r="K1746">
        <v>45483.63013888889</v>
      </c>
      <c r="L1746">
        <v>732</v>
      </c>
      <c r="O1746">
        <v>4</v>
      </c>
      <c r="P1746">
        <v>9</v>
      </c>
      <c r="Q1746">
        <v>0</v>
      </c>
    </row>
    <row r="1747" spans="2:22" x14ac:dyDescent="0.25">
      <c r="B1747" t="s">
        <v>293</v>
      </c>
      <c r="C1747">
        <v>41220908</v>
      </c>
      <c r="D1747">
        <v>1948</v>
      </c>
      <c r="E1747">
        <v>5</v>
      </c>
      <c r="F1747" t="s">
        <v>68</v>
      </c>
      <c r="G1747" t="s">
        <v>182</v>
      </c>
      <c r="H1747" t="s">
        <v>183</v>
      </c>
      <c r="J1747">
        <v>0</v>
      </c>
      <c r="K1747">
        <v>45483.630150462966</v>
      </c>
      <c r="L1747">
        <v>19</v>
      </c>
      <c r="O1747">
        <v>36</v>
      </c>
      <c r="P1747">
        <v>0</v>
      </c>
      <c r="Q1747">
        <v>5</v>
      </c>
    </row>
    <row r="1748" spans="2:22" x14ac:dyDescent="0.25">
      <c r="B1748" t="s">
        <v>293</v>
      </c>
      <c r="C1748">
        <v>41221389</v>
      </c>
      <c r="D1748">
        <v>1949</v>
      </c>
      <c r="E1748">
        <v>240</v>
      </c>
      <c r="F1748" t="s">
        <v>68</v>
      </c>
      <c r="G1748" t="s">
        <v>159</v>
      </c>
      <c r="H1748" t="s">
        <v>556</v>
      </c>
      <c r="I1748" t="s">
        <v>161</v>
      </c>
      <c r="J1748">
        <v>0</v>
      </c>
      <c r="K1748">
        <v>45483.630150462966</v>
      </c>
      <c r="L1748">
        <v>2148</v>
      </c>
      <c r="O1748">
        <v>36</v>
      </c>
      <c r="P1748">
        <v>6</v>
      </c>
      <c r="Q1748">
        <v>24.000000000000011</v>
      </c>
    </row>
    <row r="1749" spans="2:22" x14ac:dyDescent="0.25">
      <c r="B1749" t="s">
        <v>293</v>
      </c>
      <c r="C1749">
        <v>41220909</v>
      </c>
      <c r="D1749">
        <v>1950</v>
      </c>
      <c r="E1749">
        <v>2000</v>
      </c>
      <c r="F1749" t="s">
        <v>68</v>
      </c>
      <c r="G1749" t="s">
        <v>146</v>
      </c>
      <c r="H1749" t="s">
        <v>147</v>
      </c>
      <c r="I1749" t="s">
        <v>144</v>
      </c>
      <c r="J1749">
        <v>0</v>
      </c>
      <c r="K1749">
        <v>45483.630162037036</v>
      </c>
      <c r="L1749">
        <v>11000</v>
      </c>
      <c r="O1749">
        <v>440</v>
      </c>
      <c r="P1749">
        <v>4</v>
      </c>
      <c r="Q1749">
        <v>240.00000000000017</v>
      </c>
    </row>
    <row r="1750" spans="2:22" x14ac:dyDescent="0.25">
      <c r="B1750" t="s">
        <v>293</v>
      </c>
      <c r="C1750">
        <v>41221322</v>
      </c>
      <c r="D1750">
        <v>1951</v>
      </c>
      <c r="E1750">
        <v>300</v>
      </c>
      <c r="F1750" t="s">
        <v>68</v>
      </c>
      <c r="G1750" t="s">
        <v>163</v>
      </c>
      <c r="H1750" t="s">
        <v>164</v>
      </c>
      <c r="I1750" t="s">
        <v>165</v>
      </c>
      <c r="J1750">
        <v>0</v>
      </c>
      <c r="K1750">
        <v>45483.630173611113</v>
      </c>
      <c r="L1750">
        <v>4462</v>
      </c>
      <c r="O1750">
        <v>12</v>
      </c>
      <c r="P1750">
        <v>25</v>
      </c>
      <c r="Q1750">
        <v>0</v>
      </c>
    </row>
    <row r="1751" spans="2:22" x14ac:dyDescent="0.25">
      <c r="B1751" t="s">
        <v>293</v>
      </c>
      <c r="C1751">
        <v>41220883</v>
      </c>
      <c r="D1751">
        <v>1952</v>
      </c>
      <c r="E1751">
        <v>3</v>
      </c>
      <c r="F1751" t="s">
        <v>68</v>
      </c>
      <c r="G1751" t="s">
        <v>482</v>
      </c>
      <c r="H1751" t="s">
        <v>148</v>
      </c>
      <c r="I1751" t="s">
        <v>144</v>
      </c>
      <c r="J1751">
        <v>0</v>
      </c>
      <c r="K1751">
        <v>45483.630173611113</v>
      </c>
      <c r="L1751">
        <v>217</v>
      </c>
      <c r="O1751">
        <v>24</v>
      </c>
      <c r="P1751">
        <v>0</v>
      </c>
      <c r="Q1751">
        <v>3</v>
      </c>
    </row>
    <row r="1752" spans="2:22" x14ac:dyDescent="0.25">
      <c r="B1752" t="s">
        <v>293</v>
      </c>
      <c r="C1752">
        <v>41220788</v>
      </c>
      <c r="D1752">
        <v>1953</v>
      </c>
      <c r="E1752">
        <v>100</v>
      </c>
      <c r="F1752" t="s">
        <v>68</v>
      </c>
      <c r="G1752" t="s">
        <v>485</v>
      </c>
      <c r="H1752" t="s">
        <v>178</v>
      </c>
      <c r="I1752" t="s">
        <v>144</v>
      </c>
      <c r="J1752">
        <v>0</v>
      </c>
      <c r="K1752">
        <v>45483.630185185182</v>
      </c>
      <c r="L1752">
        <v>3100</v>
      </c>
      <c r="O1752">
        <v>100</v>
      </c>
      <c r="P1752">
        <v>1</v>
      </c>
      <c r="Q1752">
        <v>0</v>
      </c>
      <c r="V1752" t="s">
        <v>798</v>
      </c>
    </row>
    <row r="1753" spans="2:22" x14ac:dyDescent="0.25">
      <c r="B1753" t="s">
        <v>293</v>
      </c>
      <c r="C1753">
        <v>41219425</v>
      </c>
      <c r="D1753">
        <v>1954</v>
      </c>
      <c r="E1753">
        <v>2320</v>
      </c>
      <c r="F1753" t="s">
        <v>68</v>
      </c>
      <c r="G1753" t="s">
        <v>125</v>
      </c>
      <c r="H1753" t="s">
        <v>126</v>
      </c>
      <c r="I1753" t="s">
        <v>105</v>
      </c>
      <c r="J1753">
        <v>0</v>
      </c>
      <c r="K1753">
        <v>45483.630185185182</v>
      </c>
      <c r="L1753">
        <v>12580</v>
      </c>
      <c r="O1753">
        <v>2400</v>
      </c>
      <c r="P1753">
        <v>0</v>
      </c>
      <c r="Q1753">
        <v>2320</v>
      </c>
    </row>
    <row r="1754" spans="2:22" x14ac:dyDescent="0.25">
      <c r="B1754" t="s">
        <v>293</v>
      </c>
      <c r="C1754">
        <v>41219425</v>
      </c>
      <c r="D1754">
        <v>1954</v>
      </c>
      <c r="E1754">
        <v>10000</v>
      </c>
      <c r="F1754" t="s">
        <v>68</v>
      </c>
      <c r="G1754" t="s">
        <v>123</v>
      </c>
      <c r="H1754" t="s">
        <v>124</v>
      </c>
      <c r="I1754" t="s">
        <v>105</v>
      </c>
      <c r="J1754">
        <v>0</v>
      </c>
      <c r="K1754">
        <v>45483.630196759259</v>
      </c>
      <c r="L1754">
        <v>53400</v>
      </c>
      <c r="O1754">
        <v>2400</v>
      </c>
      <c r="P1754">
        <v>4</v>
      </c>
      <c r="Q1754">
        <v>400.00000000000068</v>
      </c>
    </row>
    <row r="1755" spans="2:22" x14ac:dyDescent="0.25">
      <c r="B1755" t="s">
        <v>293</v>
      </c>
      <c r="C1755">
        <v>41219425</v>
      </c>
      <c r="D1755">
        <v>1954</v>
      </c>
      <c r="E1755">
        <v>200</v>
      </c>
      <c r="F1755" t="s">
        <v>68</v>
      </c>
      <c r="G1755" t="s">
        <v>201</v>
      </c>
      <c r="H1755" t="s">
        <v>202</v>
      </c>
      <c r="I1755" t="s">
        <v>144</v>
      </c>
      <c r="J1755">
        <v>0</v>
      </c>
      <c r="K1755">
        <v>45483.630196759259</v>
      </c>
      <c r="L1755">
        <v>1040</v>
      </c>
      <c r="O1755">
        <v>100</v>
      </c>
      <c r="P1755">
        <v>2</v>
      </c>
      <c r="Q1755">
        <v>0</v>
      </c>
    </row>
    <row r="1756" spans="2:22" x14ac:dyDescent="0.25">
      <c r="B1756" t="s">
        <v>293</v>
      </c>
      <c r="C1756">
        <v>41219252</v>
      </c>
      <c r="D1756">
        <v>1955</v>
      </c>
      <c r="E1756">
        <v>240</v>
      </c>
      <c r="F1756" t="s">
        <v>68</v>
      </c>
      <c r="G1756" t="s">
        <v>155</v>
      </c>
      <c r="H1756" t="s">
        <v>156</v>
      </c>
      <c r="J1756">
        <v>0</v>
      </c>
      <c r="K1756">
        <v>45483.630208333336</v>
      </c>
      <c r="L1756">
        <v>1426</v>
      </c>
      <c r="O1756">
        <v>24</v>
      </c>
      <c r="P1756">
        <v>10</v>
      </c>
      <c r="Q1756">
        <v>0</v>
      </c>
    </row>
    <row r="1757" spans="2:22" x14ac:dyDescent="0.25">
      <c r="B1757" t="s">
        <v>943</v>
      </c>
      <c r="E1757">
        <v>600</v>
      </c>
      <c r="F1757" t="s">
        <v>68</v>
      </c>
      <c r="G1757" t="s">
        <v>484</v>
      </c>
      <c r="H1757" t="s">
        <v>169</v>
      </c>
      <c r="I1757" t="s">
        <v>144</v>
      </c>
      <c r="J1757">
        <v>1</v>
      </c>
      <c r="K1757">
        <v>45483.705347222225</v>
      </c>
      <c r="L1757">
        <v>1150</v>
      </c>
      <c r="M1757" t="s">
        <v>944</v>
      </c>
      <c r="O1757">
        <v>25</v>
      </c>
      <c r="P1757">
        <v>24</v>
      </c>
      <c r="Q1757">
        <v>0</v>
      </c>
    </row>
    <row r="1758" spans="2:22" x14ac:dyDescent="0.25">
      <c r="B1758" t="s">
        <v>945</v>
      </c>
      <c r="E1758">
        <v>2000</v>
      </c>
      <c r="F1758" t="s">
        <v>68</v>
      </c>
      <c r="G1758" t="s">
        <v>201</v>
      </c>
      <c r="H1758" t="s">
        <v>202</v>
      </c>
      <c r="I1758" t="s">
        <v>144</v>
      </c>
      <c r="J1758">
        <v>1</v>
      </c>
      <c r="K1758">
        <v>45483.705393518518</v>
      </c>
      <c r="L1758">
        <v>3040</v>
      </c>
      <c r="M1758" t="s">
        <v>946</v>
      </c>
      <c r="O1758">
        <v>100</v>
      </c>
      <c r="P1758">
        <v>20</v>
      </c>
      <c r="Q1758">
        <v>0</v>
      </c>
    </row>
    <row r="1759" spans="2:22" x14ac:dyDescent="0.25">
      <c r="B1759" t="s">
        <v>293</v>
      </c>
      <c r="C1759">
        <v>41221320</v>
      </c>
      <c r="D1759" t="s">
        <v>947</v>
      </c>
      <c r="E1759">
        <v>36</v>
      </c>
      <c r="F1759" t="s">
        <v>68</v>
      </c>
      <c r="G1759" t="s">
        <v>166</v>
      </c>
      <c r="H1759" t="s">
        <v>709</v>
      </c>
      <c r="J1759">
        <v>0</v>
      </c>
      <c r="K1759">
        <v>45488.6090625</v>
      </c>
      <c r="L1759">
        <v>696</v>
      </c>
      <c r="O1759">
        <v>4</v>
      </c>
      <c r="P1759">
        <v>9</v>
      </c>
      <c r="Q1759">
        <v>0</v>
      </c>
    </row>
    <row r="1760" spans="2:22" x14ac:dyDescent="0.25">
      <c r="B1760" t="s">
        <v>293</v>
      </c>
      <c r="C1760">
        <v>41220908</v>
      </c>
      <c r="D1760" t="s">
        <v>948</v>
      </c>
      <c r="E1760">
        <v>5</v>
      </c>
      <c r="F1760" t="s">
        <v>68</v>
      </c>
      <c r="G1760" t="s">
        <v>182</v>
      </c>
      <c r="H1760" t="s">
        <v>183</v>
      </c>
      <c r="J1760">
        <v>0</v>
      </c>
      <c r="K1760">
        <v>45488.609120370369</v>
      </c>
      <c r="L1760">
        <v>14</v>
      </c>
      <c r="O1760">
        <v>36</v>
      </c>
      <c r="P1760">
        <v>0</v>
      </c>
      <c r="Q1760">
        <v>5</v>
      </c>
    </row>
    <row r="1761" spans="2:22" x14ac:dyDescent="0.25">
      <c r="B1761" t="s">
        <v>293</v>
      </c>
      <c r="C1761">
        <v>41221389</v>
      </c>
      <c r="D1761" t="s">
        <v>949</v>
      </c>
      <c r="E1761">
        <v>240</v>
      </c>
      <c r="F1761" t="s">
        <v>68</v>
      </c>
      <c r="G1761" t="s">
        <v>159</v>
      </c>
      <c r="H1761" t="s">
        <v>556</v>
      </c>
      <c r="I1761" t="s">
        <v>161</v>
      </c>
      <c r="J1761">
        <v>0</v>
      </c>
      <c r="K1761">
        <v>45488.609131944446</v>
      </c>
      <c r="L1761">
        <v>1908</v>
      </c>
      <c r="O1761">
        <v>36</v>
      </c>
      <c r="P1761">
        <v>6</v>
      </c>
      <c r="Q1761">
        <v>24.000000000000011</v>
      </c>
    </row>
    <row r="1762" spans="2:22" x14ac:dyDescent="0.25">
      <c r="B1762" t="s">
        <v>293</v>
      </c>
      <c r="C1762">
        <v>41220909</v>
      </c>
      <c r="D1762" t="s">
        <v>950</v>
      </c>
      <c r="E1762">
        <v>1882</v>
      </c>
      <c r="F1762" t="s">
        <v>68</v>
      </c>
      <c r="G1762" t="s">
        <v>146</v>
      </c>
      <c r="H1762" t="s">
        <v>147</v>
      </c>
      <c r="I1762" t="s">
        <v>144</v>
      </c>
      <c r="J1762">
        <v>0</v>
      </c>
      <c r="K1762">
        <v>45488.609143518515</v>
      </c>
      <c r="L1762">
        <v>9118</v>
      </c>
      <c r="O1762">
        <v>440</v>
      </c>
      <c r="P1762">
        <v>4</v>
      </c>
      <c r="Q1762">
        <v>122.00000000000003</v>
      </c>
    </row>
    <row r="1763" spans="2:22" x14ac:dyDescent="0.25">
      <c r="B1763" t="s">
        <v>293</v>
      </c>
      <c r="C1763">
        <v>41221322</v>
      </c>
      <c r="D1763" t="s">
        <v>951</v>
      </c>
      <c r="E1763">
        <v>300</v>
      </c>
      <c r="F1763" t="s">
        <v>68</v>
      </c>
      <c r="G1763" t="s">
        <v>163</v>
      </c>
      <c r="H1763" t="s">
        <v>164</v>
      </c>
      <c r="I1763" t="s">
        <v>165</v>
      </c>
      <c r="J1763">
        <v>0</v>
      </c>
      <c r="K1763">
        <v>45488.609143518515</v>
      </c>
      <c r="L1763">
        <v>4162</v>
      </c>
      <c r="O1763">
        <v>12</v>
      </c>
      <c r="P1763">
        <v>25</v>
      </c>
      <c r="Q1763">
        <v>0</v>
      </c>
    </row>
    <row r="1764" spans="2:22" x14ac:dyDescent="0.25">
      <c r="B1764" t="s">
        <v>293</v>
      </c>
      <c r="C1764">
        <v>41221572</v>
      </c>
      <c r="D1764">
        <v>1961</v>
      </c>
      <c r="E1764">
        <v>12</v>
      </c>
      <c r="F1764" t="s">
        <v>68</v>
      </c>
      <c r="G1764" t="s">
        <v>483</v>
      </c>
      <c r="H1764" t="s">
        <v>150</v>
      </c>
      <c r="I1764" t="s">
        <v>144</v>
      </c>
      <c r="J1764">
        <v>0</v>
      </c>
      <c r="K1764">
        <v>45488.609155092592</v>
      </c>
      <c r="L1764">
        <v>490</v>
      </c>
      <c r="O1764">
        <v>4</v>
      </c>
      <c r="P1764">
        <v>3</v>
      </c>
      <c r="Q1764">
        <v>0</v>
      </c>
    </row>
    <row r="1765" spans="2:22" x14ac:dyDescent="0.25">
      <c r="B1765" t="s">
        <v>293</v>
      </c>
      <c r="C1765">
        <v>41220883</v>
      </c>
      <c r="D1765">
        <v>1962</v>
      </c>
      <c r="E1765">
        <v>3</v>
      </c>
      <c r="F1765" t="s">
        <v>68</v>
      </c>
      <c r="G1765" t="s">
        <v>482</v>
      </c>
      <c r="H1765" t="s">
        <v>148</v>
      </c>
      <c r="I1765" t="s">
        <v>144</v>
      </c>
      <c r="J1765">
        <v>0</v>
      </c>
      <c r="K1765">
        <v>45488.609155092592</v>
      </c>
      <c r="L1765">
        <v>214</v>
      </c>
      <c r="O1765">
        <v>24</v>
      </c>
      <c r="P1765">
        <v>0</v>
      </c>
      <c r="Q1765">
        <v>3</v>
      </c>
    </row>
    <row r="1766" spans="2:22" x14ac:dyDescent="0.25">
      <c r="B1766" t="s">
        <v>293</v>
      </c>
      <c r="C1766">
        <v>41220788</v>
      </c>
      <c r="D1766">
        <v>1963</v>
      </c>
      <c r="E1766">
        <v>100</v>
      </c>
      <c r="F1766" t="s">
        <v>68</v>
      </c>
      <c r="G1766" t="s">
        <v>485</v>
      </c>
      <c r="H1766" t="s">
        <v>178</v>
      </c>
      <c r="I1766" t="s">
        <v>144</v>
      </c>
      <c r="J1766">
        <v>0</v>
      </c>
      <c r="K1766">
        <v>45488.609166666669</v>
      </c>
      <c r="L1766">
        <v>3000</v>
      </c>
      <c r="O1766">
        <v>100</v>
      </c>
      <c r="P1766">
        <v>1</v>
      </c>
      <c r="Q1766">
        <v>0</v>
      </c>
      <c r="V1766" t="s">
        <v>798</v>
      </c>
    </row>
    <row r="1767" spans="2:22" x14ac:dyDescent="0.25">
      <c r="B1767" t="s">
        <v>293</v>
      </c>
      <c r="C1767">
        <v>41219425</v>
      </c>
      <c r="D1767">
        <v>1964</v>
      </c>
      <c r="E1767">
        <v>10000</v>
      </c>
      <c r="F1767" t="s">
        <v>68</v>
      </c>
      <c r="G1767" t="s">
        <v>123</v>
      </c>
      <c r="H1767" t="s">
        <v>124</v>
      </c>
      <c r="I1767" t="s">
        <v>105</v>
      </c>
      <c r="J1767">
        <v>0</v>
      </c>
      <c r="K1767">
        <v>45488.609166666669</v>
      </c>
      <c r="L1767">
        <v>43400</v>
      </c>
      <c r="O1767">
        <v>2400</v>
      </c>
      <c r="P1767">
        <v>4</v>
      </c>
      <c r="Q1767">
        <v>400.00000000000068</v>
      </c>
    </row>
    <row r="1768" spans="2:22" x14ac:dyDescent="0.25">
      <c r="B1768" t="s">
        <v>293</v>
      </c>
      <c r="C1768">
        <v>41219425</v>
      </c>
      <c r="D1768">
        <v>1964</v>
      </c>
      <c r="E1768">
        <v>200</v>
      </c>
      <c r="F1768" t="s">
        <v>68</v>
      </c>
      <c r="G1768" t="s">
        <v>201</v>
      </c>
      <c r="H1768" t="s">
        <v>202</v>
      </c>
      <c r="I1768" t="s">
        <v>144</v>
      </c>
      <c r="J1768">
        <v>0</v>
      </c>
      <c r="K1768">
        <v>45488.609178240738</v>
      </c>
      <c r="L1768">
        <v>2840</v>
      </c>
      <c r="O1768">
        <v>100</v>
      </c>
      <c r="P1768">
        <v>2</v>
      </c>
      <c r="Q1768">
        <v>0</v>
      </c>
    </row>
    <row r="1769" spans="2:22" x14ac:dyDescent="0.25">
      <c r="B1769" t="s">
        <v>293</v>
      </c>
      <c r="C1769">
        <v>41221573</v>
      </c>
      <c r="D1769">
        <v>1965</v>
      </c>
      <c r="E1769">
        <v>288</v>
      </c>
      <c r="F1769" t="s">
        <v>135</v>
      </c>
      <c r="G1769" t="s">
        <v>140</v>
      </c>
      <c r="H1769" t="s">
        <v>137</v>
      </c>
      <c r="I1769" t="s">
        <v>138</v>
      </c>
      <c r="J1769">
        <v>0</v>
      </c>
      <c r="K1769">
        <v>45488.609178240738</v>
      </c>
      <c r="L1769">
        <v>2946</v>
      </c>
      <c r="O1769">
        <v>144</v>
      </c>
      <c r="P1769">
        <v>2</v>
      </c>
      <c r="Q1769">
        <v>0</v>
      </c>
    </row>
    <row r="1770" spans="2:22" x14ac:dyDescent="0.25">
      <c r="B1770" t="s">
        <v>293</v>
      </c>
      <c r="C1770">
        <v>41219252</v>
      </c>
      <c r="D1770">
        <v>1966</v>
      </c>
      <c r="E1770">
        <v>240</v>
      </c>
      <c r="F1770" t="s">
        <v>68</v>
      </c>
      <c r="G1770" t="s">
        <v>155</v>
      </c>
      <c r="H1770" t="s">
        <v>156</v>
      </c>
      <c r="J1770">
        <v>0</v>
      </c>
      <c r="K1770">
        <v>45488.609189814815</v>
      </c>
      <c r="L1770">
        <v>1186</v>
      </c>
      <c r="O1770">
        <v>24</v>
      </c>
      <c r="P1770">
        <v>10</v>
      </c>
      <c r="Q1770">
        <v>0</v>
      </c>
    </row>
    <row r="1771" spans="2:22" x14ac:dyDescent="0.25">
      <c r="B1771" t="s">
        <v>293</v>
      </c>
      <c r="C1771">
        <v>41221323</v>
      </c>
      <c r="D1771">
        <v>1967</v>
      </c>
      <c r="E1771">
        <v>100</v>
      </c>
      <c r="F1771" t="s">
        <v>68</v>
      </c>
      <c r="G1771" t="s">
        <v>153</v>
      </c>
      <c r="H1771" t="s">
        <v>154</v>
      </c>
      <c r="I1771" t="s">
        <v>105</v>
      </c>
      <c r="J1771">
        <v>0</v>
      </c>
      <c r="K1771">
        <v>45488.609189814815</v>
      </c>
      <c r="L1771">
        <v>1000</v>
      </c>
      <c r="O1771">
        <v>100</v>
      </c>
      <c r="P1771">
        <v>1</v>
      </c>
      <c r="Q1771">
        <v>0</v>
      </c>
    </row>
    <row r="1772" spans="2:22" x14ac:dyDescent="0.25">
      <c r="B1772" t="s">
        <v>293</v>
      </c>
      <c r="C1772">
        <v>41221483</v>
      </c>
      <c r="D1772">
        <v>1968</v>
      </c>
      <c r="E1772">
        <v>12000</v>
      </c>
      <c r="F1772" t="s">
        <v>68</v>
      </c>
      <c r="G1772" t="s">
        <v>103</v>
      </c>
      <c r="H1772" t="s">
        <v>104</v>
      </c>
      <c r="I1772" t="s">
        <v>105</v>
      </c>
      <c r="J1772">
        <v>0</v>
      </c>
      <c r="K1772">
        <v>45488.609201388892</v>
      </c>
      <c r="L1772">
        <v>31400</v>
      </c>
      <c r="O1772">
        <v>2400</v>
      </c>
      <c r="P1772">
        <v>5</v>
      </c>
      <c r="Q1772">
        <v>0</v>
      </c>
    </row>
    <row r="1773" spans="2:22" x14ac:dyDescent="0.25">
      <c r="B1773" t="s">
        <v>293</v>
      </c>
      <c r="C1773">
        <v>41221325</v>
      </c>
      <c r="D1773">
        <v>1969</v>
      </c>
      <c r="E1773">
        <v>1000</v>
      </c>
      <c r="F1773" t="s">
        <v>68</v>
      </c>
      <c r="G1773" t="s">
        <v>121</v>
      </c>
      <c r="H1773" t="s">
        <v>122</v>
      </c>
      <c r="I1773" t="s">
        <v>105</v>
      </c>
      <c r="J1773">
        <v>0</v>
      </c>
      <c r="K1773">
        <v>45488.609201388892</v>
      </c>
      <c r="L1773">
        <v>14000</v>
      </c>
      <c r="O1773">
        <v>3000</v>
      </c>
      <c r="P1773">
        <v>0</v>
      </c>
      <c r="Q1773">
        <v>1000</v>
      </c>
    </row>
    <row r="1774" spans="2:22" x14ac:dyDescent="0.25">
      <c r="B1774" t="s">
        <v>293</v>
      </c>
      <c r="C1774">
        <v>41221261</v>
      </c>
      <c r="D1774">
        <v>1970</v>
      </c>
      <c r="E1774">
        <v>500</v>
      </c>
      <c r="F1774" t="s">
        <v>68</v>
      </c>
      <c r="G1774" t="s">
        <v>115</v>
      </c>
      <c r="H1774" t="s">
        <v>116</v>
      </c>
      <c r="I1774" t="s">
        <v>105</v>
      </c>
      <c r="J1774">
        <v>0</v>
      </c>
      <c r="K1774">
        <v>45488.609212962961</v>
      </c>
      <c r="L1774">
        <v>2650</v>
      </c>
      <c r="O1774">
        <v>700</v>
      </c>
      <c r="P1774">
        <v>0</v>
      </c>
      <c r="Q1774">
        <v>500</v>
      </c>
    </row>
    <row r="1775" spans="2:22" x14ac:dyDescent="0.25">
      <c r="B1775" t="s">
        <v>293</v>
      </c>
      <c r="C1775">
        <v>41220607</v>
      </c>
      <c r="D1775">
        <v>1971</v>
      </c>
      <c r="E1775">
        <v>10</v>
      </c>
      <c r="F1775" t="s">
        <v>68</v>
      </c>
      <c r="G1775" t="s">
        <v>490</v>
      </c>
      <c r="H1775" t="s">
        <v>233</v>
      </c>
      <c r="I1775" t="s">
        <v>234</v>
      </c>
      <c r="J1775">
        <v>0</v>
      </c>
      <c r="K1775">
        <v>45488.609224537038</v>
      </c>
      <c r="L1775">
        <v>20</v>
      </c>
      <c r="O1775">
        <v>1</v>
      </c>
      <c r="P1775">
        <v>10</v>
      </c>
      <c r="Q1775">
        <v>0</v>
      </c>
    </row>
    <row r="1776" spans="2:22" x14ac:dyDescent="0.25">
      <c r="B1776" t="s">
        <v>293</v>
      </c>
      <c r="C1776">
        <v>41221323</v>
      </c>
      <c r="D1776" t="s">
        <v>952</v>
      </c>
      <c r="E1776">
        <v>500</v>
      </c>
      <c r="F1776" t="s">
        <v>68</v>
      </c>
      <c r="G1776" t="s">
        <v>153</v>
      </c>
      <c r="H1776" t="s">
        <v>154</v>
      </c>
      <c r="I1776" t="s">
        <v>105</v>
      </c>
      <c r="J1776">
        <v>0</v>
      </c>
      <c r="K1776">
        <v>45491.387372685182</v>
      </c>
      <c r="L1776">
        <v>500</v>
      </c>
      <c r="O1776">
        <v>100</v>
      </c>
      <c r="P1776">
        <v>5</v>
      </c>
      <c r="Q1776">
        <v>0</v>
      </c>
    </row>
    <row r="1777" spans="2:17" x14ac:dyDescent="0.25">
      <c r="B1777" t="s">
        <v>293</v>
      </c>
      <c r="C1777">
        <v>41220346</v>
      </c>
      <c r="D1777" t="s">
        <v>953</v>
      </c>
      <c r="E1777">
        <v>4000</v>
      </c>
      <c r="F1777" t="s">
        <v>68</v>
      </c>
      <c r="G1777" t="s">
        <v>179</v>
      </c>
      <c r="H1777" t="s">
        <v>180</v>
      </c>
      <c r="I1777" t="s">
        <v>144</v>
      </c>
      <c r="J1777">
        <v>0</v>
      </c>
      <c r="K1777">
        <v>45491.387442129628</v>
      </c>
      <c r="L1777">
        <v>20000</v>
      </c>
      <c r="O1777">
        <v>2000</v>
      </c>
      <c r="P1777">
        <v>2</v>
      </c>
      <c r="Q1777">
        <v>0</v>
      </c>
    </row>
    <row r="1778" spans="2:17" x14ac:dyDescent="0.25">
      <c r="B1778" t="s">
        <v>293</v>
      </c>
      <c r="C1778">
        <v>41221573</v>
      </c>
      <c r="D1778" t="s">
        <v>954</v>
      </c>
      <c r="E1778">
        <v>432</v>
      </c>
      <c r="F1778" t="s">
        <v>135</v>
      </c>
      <c r="G1778" t="s">
        <v>140</v>
      </c>
      <c r="H1778" t="s">
        <v>137</v>
      </c>
      <c r="I1778" t="s">
        <v>138</v>
      </c>
      <c r="J1778">
        <v>0</v>
      </c>
      <c r="K1778">
        <v>45491.387476851851</v>
      </c>
      <c r="L1778">
        <v>2514</v>
      </c>
      <c r="O1778">
        <v>144</v>
      </c>
      <c r="P1778">
        <v>3</v>
      </c>
      <c r="Q1778">
        <v>0</v>
      </c>
    </row>
    <row r="1779" spans="2:17" x14ac:dyDescent="0.25">
      <c r="B1779" t="s">
        <v>293</v>
      </c>
      <c r="C1779">
        <v>41221325</v>
      </c>
      <c r="D1779" t="s">
        <v>955</v>
      </c>
      <c r="E1779">
        <v>1000</v>
      </c>
      <c r="F1779" t="s">
        <v>68</v>
      </c>
      <c r="G1779" t="s">
        <v>121</v>
      </c>
      <c r="H1779" t="s">
        <v>122</v>
      </c>
      <c r="I1779" t="s">
        <v>105</v>
      </c>
      <c r="J1779">
        <v>0</v>
      </c>
      <c r="K1779">
        <v>45492.415462962963</v>
      </c>
      <c r="L1779">
        <v>13000</v>
      </c>
      <c r="O1779">
        <v>3000</v>
      </c>
      <c r="P1779">
        <v>0</v>
      </c>
      <c r="Q1779">
        <v>1000</v>
      </c>
    </row>
    <row r="1780" spans="2:17" x14ac:dyDescent="0.25">
      <c r="B1780" t="s">
        <v>293</v>
      </c>
      <c r="C1780">
        <v>41221572</v>
      </c>
      <c r="D1780">
        <v>731</v>
      </c>
      <c r="E1780">
        <v>20</v>
      </c>
      <c r="F1780" t="s">
        <v>68</v>
      </c>
      <c r="G1780" t="s">
        <v>483</v>
      </c>
      <c r="H1780" t="s">
        <v>150</v>
      </c>
      <c r="I1780" t="s">
        <v>144</v>
      </c>
      <c r="J1780">
        <v>0</v>
      </c>
      <c r="K1780">
        <v>45492.415509259263</v>
      </c>
      <c r="L1780">
        <v>470</v>
      </c>
      <c r="O1780">
        <v>4</v>
      </c>
      <c r="P1780">
        <v>5</v>
      </c>
      <c r="Q1780">
        <v>0</v>
      </c>
    </row>
    <row r="1781" spans="2:17" x14ac:dyDescent="0.25">
      <c r="B1781" t="s">
        <v>956</v>
      </c>
      <c r="E1781">
        <v>70</v>
      </c>
      <c r="F1781" t="s">
        <v>68</v>
      </c>
      <c r="G1781" t="s">
        <v>490</v>
      </c>
      <c r="H1781" t="s">
        <v>233</v>
      </c>
      <c r="I1781" t="s">
        <v>234</v>
      </c>
      <c r="J1781">
        <v>1</v>
      </c>
      <c r="K1781">
        <v>45495.70208333333</v>
      </c>
      <c r="L1781">
        <v>90</v>
      </c>
      <c r="M1781" t="s">
        <v>957</v>
      </c>
      <c r="O1781">
        <v>1</v>
      </c>
      <c r="P1781">
        <v>70</v>
      </c>
      <c r="Q1781">
        <v>0</v>
      </c>
    </row>
    <row r="1782" spans="2:17" x14ac:dyDescent="0.25">
      <c r="B1782">
        <v>10614</v>
      </c>
      <c r="E1782">
        <v>72</v>
      </c>
      <c r="F1782" t="s">
        <v>68</v>
      </c>
      <c r="G1782" t="s">
        <v>182</v>
      </c>
      <c r="H1782" t="s">
        <v>183</v>
      </c>
      <c r="J1782">
        <v>1</v>
      </c>
      <c r="K1782">
        <v>45495.70212962963</v>
      </c>
      <c r="L1782">
        <v>86</v>
      </c>
      <c r="M1782" t="s">
        <v>957</v>
      </c>
      <c r="O1782">
        <v>36</v>
      </c>
      <c r="P1782">
        <v>2</v>
      </c>
      <c r="Q1782">
        <v>0</v>
      </c>
    </row>
    <row r="1783" spans="2:17" x14ac:dyDescent="0.25">
      <c r="B1783" t="s">
        <v>293</v>
      </c>
      <c r="C1783">
        <v>41221572</v>
      </c>
      <c r="D1783" t="s">
        <v>958</v>
      </c>
      <c r="E1783">
        <v>20</v>
      </c>
      <c r="F1783" t="s">
        <v>68</v>
      </c>
      <c r="G1783" t="s">
        <v>483</v>
      </c>
      <c r="H1783" t="s">
        <v>150</v>
      </c>
      <c r="I1783" t="s">
        <v>144</v>
      </c>
      <c r="J1783">
        <v>0</v>
      </c>
      <c r="K1783">
        <v>45496.448576388888</v>
      </c>
      <c r="L1783">
        <v>450</v>
      </c>
      <c r="O1783">
        <v>4</v>
      </c>
      <c r="P1783">
        <v>5</v>
      </c>
      <c r="Q1783">
        <v>0</v>
      </c>
    </row>
    <row r="1784" spans="2:17" x14ac:dyDescent="0.25">
      <c r="B1784" t="s">
        <v>959</v>
      </c>
      <c r="E1784">
        <v>60000</v>
      </c>
      <c r="F1784" t="s">
        <v>68</v>
      </c>
      <c r="G1784" t="s">
        <v>107</v>
      </c>
      <c r="H1784" t="s">
        <v>108</v>
      </c>
      <c r="I1784" t="s">
        <v>105</v>
      </c>
      <c r="J1784">
        <v>1</v>
      </c>
      <c r="K1784">
        <v>45497.68241898148</v>
      </c>
      <c r="L1784">
        <v>113000</v>
      </c>
      <c r="M1784" t="s">
        <v>960</v>
      </c>
      <c r="O1784">
        <v>1200</v>
      </c>
      <c r="P1784">
        <v>50</v>
      </c>
      <c r="Q1784">
        <v>0</v>
      </c>
    </row>
    <row r="1785" spans="2:17" x14ac:dyDescent="0.25">
      <c r="B1785" t="s">
        <v>959</v>
      </c>
      <c r="E1785">
        <v>80000</v>
      </c>
      <c r="F1785" t="s">
        <v>68</v>
      </c>
      <c r="G1785" t="s">
        <v>103</v>
      </c>
      <c r="H1785" t="s">
        <v>104</v>
      </c>
      <c r="I1785" t="s">
        <v>105</v>
      </c>
      <c r="J1785">
        <v>1</v>
      </c>
      <c r="K1785">
        <v>45497.682488425926</v>
      </c>
      <c r="L1785">
        <v>111400</v>
      </c>
      <c r="M1785" t="s">
        <v>960</v>
      </c>
      <c r="O1785">
        <v>2400</v>
      </c>
      <c r="P1785">
        <v>33</v>
      </c>
      <c r="Q1785">
        <v>800.00000000000568</v>
      </c>
    </row>
    <row r="1786" spans="2:17" x14ac:dyDescent="0.25">
      <c r="B1786" t="s">
        <v>293</v>
      </c>
      <c r="C1786">
        <v>41221320</v>
      </c>
      <c r="D1786" t="s">
        <v>961</v>
      </c>
      <c r="E1786">
        <v>36</v>
      </c>
      <c r="F1786" t="s">
        <v>68</v>
      </c>
      <c r="G1786" t="s">
        <v>166</v>
      </c>
      <c r="H1786" t="s">
        <v>709</v>
      </c>
      <c r="J1786">
        <v>0</v>
      </c>
      <c r="K1786">
        <v>45498.358842592592</v>
      </c>
      <c r="L1786">
        <v>660</v>
      </c>
      <c r="O1786">
        <v>4</v>
      </c>
      <c r="P1786">
        <v>9</v>
      </c>
      <c r="Q1786">
        <v>0</v>
      </c>
    </row>
    <row r="1787" spans="2:17" x14ac:dyDescent="0.25">
      <c r="B1787" t="s">
        <v>293</v>
      </c>
      <c r="C1787">
        <v>41221389</v>
      </c>
      <c r="D1787" t="s">
        <v>962</v>
      </c>
      <c r="E1787">
        <v>240</v>
      </c>
      <c r="F1787" t="s">
        <v>68</v>
      </c>
      <c r="G1787" t="s">
        <v>159</v>
      </c>
      <c r="H1787" t="s">
        <v>556</v>
      </c>
      <c r="I1787" t="s">
        <v>161</v>
      </c>
      <c r="J1787">
        <v>0</v>
      </c>
      <c r="K1787">
        <v>45498.358842592592</v>
      </c>
      <c r="L1787">
        <v>1668</v>
      </c>
      <c r="O1787">
        <v>36</v>
      </c>
      <c r="P1787">
        <v>6</v>
      </c>
      <c r="Q1787">
        <v>24.000000000000011</v>
      </c>
    </row>
    <row r="1788" spans="2:17" x14ac:dyDescent="0.25">
      <c r="B1788" t="s">
        <v>293</v>
      </c>
      <c r="C1788">
        <v>41221322</v>
      </c>
      <c r="D1788" t="s">
        <v>963</v>
      </c>
      <c r="E1788">
        <v>300</v>
      </c>
      <c r="F1788" t="s">
        <v>68</v>
      </c>
      <c r="G1788" t="s">
        <v>163</v>
      </c>
      <c r="H1788" t="s">
        <v>164</v>
      </c>
      <c r="I1788" t="s">
        <v>165</v>
      </c>
      <c r="J1788">
        <v>0</v>
      </c>
      <c r="K1788">
        <v>45498.358854166669</v>
      </c>
      <c r="L1788">
        <v>3862</v>
      </c>
      <c r="O1788">
        <v>12</v>
      </c>
      <c r="P1788">
        <v>25</v>
      </c>
      <c r="Q1788">
        <v>0</v>
      </c>
    </row>
    <row r="1789" spans="2:17" x14ac:dyDescent="0.25">
      <c r="B1789" t="s">
        <v>293</v>
      </c>
      <c r="C1789">
        <v>41221572</v>
      </c>
      <c r="D1789" t="s">
        <v>964</v>
      </c>
      <c r="E1789">
        <v>12</v>
      </c>
      <c r="F1789" t="s">
        <v>68</v>
      </c>
      <c r="G1789" t="s">
        <v>483</v>
      </c>
      <c r="H1789" t="s">
        <v>150</v>
      </c>
      <c r="I1789" t="s">
        <v>144</v>
      </c>
      <c r="J1789">
        <v>0</v>
      </c>
      <c r="K1789">
        <v>45498.358854166669</v>
      </c>
      <c r="L1789">
        <v>438</v>
      </c>
      <c r="O1789">
        <v>4</v>
      </c>
      <c r="P1789">
        <v>3</v>
      </c>
      <c r="Q1789">
        <v>0</v>
      </c>
    </row>
    <row r="1790" spans="2:17" x14ac:dyDescent="0.25">
      <c r="B1790" t="s">
        <v>293</v>
      </c>
      <c r="C1790">
        <v>41220883</v>
      </c>
      <c r="D1790" t="s">
        <v>965</v>
      </c>
      <c r="E1790">
        <v>3</v>
      </c>
      <c r="F1790" t="s">
        <v>68</v>
      </c>
      <c r="G1790" t="s">
        <v>482</v>
      </c>
      <c r="H1790" t="s">
        <v>148</v>
      </c>
      <c r="I1790" t="s">
        <v>144</v>
      </c>
      <c r="J1790">
        <v>0</v>
      </c>
      <c r="K1790">
        <v>45498.358865740738</v>
      </c>
      <c r="L1790">
        <v>211</v>
      </c>
      <c r="O1790">
        <v>24</v>
      </c>
      <c r="P1790">
        <v>0</v>
      </c>
      <c r="Q1790">
        <v>3</v>
      </c>
    </row>
    <row r="1791" spans="2:17" x14ac:dyDescent="0.25">
      <c r="B1791" t="s">
        <v>293</v>
      </c>
      <c r="C1791">
        <v>41219425</v>
      </c>
      <c r="D1791" t="s">
        <v>966</v>
      </c>
      <c r="E1791">
        <v>200</v>
      </c>
      <c r="F1791" t="s">
        <v>68</v>
      </c>
      <c r="G1791" t="s">
        <v>201</v>
      </c>
      <c r="H1791" t="s">
        <v>202</v>
      </c>
      <c r="I1791" t="s">
        <v>144</v>
      </c>
      <c r="J1791">
        <v>0</v>
      </c>
      <c r="K1791">
        <v>45498.358865740738</v>
      </c>
      <c r="L1791">
        <v>2640</v>
      </c>
      <c r="O1791">
        <v>100</v>
      </c>
      <c r="P1791">
        <v>2</v>
      </c>
      <c r="Q1791">
        <v>0</v>
      </c>
    </row>
    <row r="1792" spans="2:17" x14ac:dyDescent="0.25">
      <c r="B1792" t="s">
        <v>293</v>
      </c>
      <c r="C1792">
        <v>41219425</v>
      </c>
      <c r="D1792">
        <v>738</v>
      </c>
      <c r="E1792">
        <v>10100</v>
      </c>
      <c r="F1792" t="s">
        <v>68</v>
      </c>
      <c r="G1792" t="s">
        <v>123</v>
      </c>
      <c r="H1792" t="s">
        <v>124</v>
      </c>
      <c r="I1792" t="s">
        <v>105</v>
      </c>
      <c r="J1792">
        <v>0</v>
      </c>
      <c r="K1792">
        <v>45498.358865740738</v>
      </c>
      <c r="L1792">
        <v>33300</v>
      </c>
      <c r="O1792">
        <v>2400</v>
      </c>
      <c r="P1792">
        <v>4</v>
      </c>
      <c r="Q1792">
        <v>499.99999999999932</v>
      </c>
    </row>
    <row r="1793" spans="2:22" x14ac:dyDescent="0.25">
      <c r="B1793" t="s">
        <v>293</v>
      </c>
      <c r="C1793">
        <v>41221573</v>
      </c>
      <c r="D1793" t="s">
        <v>967</v>
      </c>
      <c r="E1793">
        <v>288</v>
      </c>
      <c r="F1793" t="s">
        <v>135</v>
      </c>
      <c r="G1793" t="s">
        <v>140</v>
      </c>
      <c r="H1793" t="s">
        <v>137</v>
      </c>
      <c r="I1793" t="s">
        <v>138</v>
      </c>
      <c r="J1793">
        <v>0</v>
      </c>
      <c r="K1793">
        <v>45498.358865740738</v>
      </c>
      <c r="L1793">
        <v>2226</v>
      </c>
      <c r="O1793">
        <v>144</v>
      </c>
      <c r="P1793">
        <v>2</v>
      </c>
      <c r="Q1793">
        <v>0</v>
      </c>
    </row>
    <row r="1794" spans="2:22" x14ac:dyDescent="0.25">
      <c r="B1794" t="s">
        <v>293</v>
      </c>
      <c r="C1794">
        <v>41219252</v>
      </c>
      <c r="D1794" t="s">
        <v>968</v>
      </c>
      <c r="E1794">
        <v>240</v>
      </c>
      <c r="F1794" t="s">
        <v>68</v>
      </c>
      <c r="G1794" t="s">
        <v>155</v>
      </c>
      <c r="H1794" t="s">
        <v>156</v>
      </c>
      <c r="J1794">
        <v>0</v>
      </c>
      <c r="K1794">
        <v>45498.358877314815</v>
      </c>
      <c r="L1794">
        <v>946</v>
      </c>
      <c r="O1794">
        <v>24</v>
      </c>
      <c r="P1794">
        <v>10</v>
      </c>
      <c r="Q1794">
        <v>0</v>
      </c>
    </row>
    <row r="1795" spans="2:22" x14ac:dyDescent="0.25">
      <c r="B1795" t="s">
        <v>293</v>
      </c>
      <c r="C1795">
        <v>41221323</v>
      </c>
      <c r="D1795" t="s">
        <v>969</v>
      </c>
      <c r="E1795">
        <v>100</v>
      </c>
      <c r="F1795" t="s">
        <v>68</v>
      </c>
      <c r="G1795" t="s">
        <v>153</v>
      </c>
      <c r="H1795" t="s">
        <v>154</v>
      </c>
      <c r="I1795" t="s">
        <v>105</v>
      </c>
      <c r="J1795">
        <v>0</v>
      </c>
      <c r="K1795">
        <v>45498.358877314815</v>
      </c>
      <c r="L1795">
        <v>400</v>
      </c>
      <c r="O1795">
        <v>100</v>
      </c>
      <c r="P1795">
        <v>1</v>
      </c>
      <c r="Q1795">
        <v>0</v>
      </c>
    </row>
    <row r="1796" spans="2:22" x14ac:dyDescent="0.25">
      <c r="B1796" t="s">
        <v>293</v>
      </c>
      <c r="C1796">
        <v>41221483</v>
      </c>
      <c r="D1796" t="s">
        <v>970</v>
      </c>
      <c r="E1796">
        <v>12000</v>
      </c>
      <c r="F1796" t="s">
        <v>68</v>
      </c>
      <c r="G1796" t="s">
        <v>103</v>
      </c>
      <c r="H1796" t="s">
        <v>104</v>
      </c>
      <c r="I1796" t="s">
        <v>105</v>
      </c>
      <c r="J1796">
        <v>0</v>
      </c>
      <c r="K1796">
        <v>45498.358877314815</v>
      </c>
      <c r="L1796">
        <v>99400</v>
      </c>
      <c r="O1796">
        <v>2400</v>
      </c>
      <c r="P1796">
        <v>5</v>
      </c>
      <c r="Q1796">
        <v>0</v>
      </c>
    </row>
    <row r="1797" spans="2:22" x14ac:dyDescent="0.25">
      <c r="B1797" t="s">
        <v>293</v>
      </c>
      <c r="C1797">
        <v>41221261</v>
      </c>
      <c r="D1797">
        <v>743</v>
      </c>
      <c r="E1797">
        <v>500</v>
      </c>
      <c r="F1797" t="s">
        <v>68</v>
      </c>
      <c r="G1797" t="s">
        <v>115</v>
      </c>
      <c r="H1797" t="s">
        <v>116</v>
      </c>
      <c r="I1797" t="s">
        <v>105</v>
      </c>
      <c r="J1797">
        <v>0</v>
      </c>
      <c r="K1797">
        <v>45498.358888888892</v>
      </c>
      <c r="L1797">
        <v>2150</v>
      </c>
      <c r="O1797">
        <v>700</v>
      </c>
      <c r="P1797">
        <v>0</v>
      </c>
      <c r="Q1797">
        <v>500</v>
      </c>
    </row>
    <row r="1798" spans="2:22" x14ac:dyDescent="0.25">
      <c r="B1798" t="s">
        <v>293</v>
      </c>
      <c r="C1798">
        <v>41220607</v>
      </c>
      <c r="D1798">
        <v>744</v>
      </c>
      <c r="E1798">
        <v>10</v>
      </c>
      <c r="F1798" t="s">
        <v>68</v>
      </c>
      <c r="G1798" t="s">
        <v>490</v>
      </c>
      <c r="H1798" t="s">
        <v>233</v>
      </c>
      <c r="I1798" t="s">
        <v>234</v>
      </c>
      <c r="J1798">
        <v>0</v>
      </c>
      <c r="K1798">
        <v>45498.358888888892</v>
      </c>
      <c r="L1798">
        <v>80</v>
      </c>
      <c r="O1798">
        <v>1</v>
      </c>
      <c r="P1798">
        <v>10</v>
      </c>
      <c r="Q1798">
        <v>0</v>
      </c>
    </row>
    <row r="1799" spans="2:22" x14ac:dyDescent="0.25">
      <c r="B1799" t="s">
        <v>293</v>
      </c>
      <c r="C1799" t="s">
        <v>971</v>
      </c>
      <c r="D1799" t="s">
        <v>972</v>
      </c>
      <c r="E1799">
        <v>500</v>
      </c>
      <c r="F1799" t="s">
        <v>68</v>
      </c>
      <c r="G1799" t="s">
        <v>201</v>
      </c>
      <c r="H1799" t="s">
        <v>202</v>
      </c>
      <c r="I1799" t="s">
        <v>144</v>
      </c>
      <c r="J1799">
        <v>0</v>
      </c>
      <c r="K1799">
        <v>45498.49763888889</v>
      </c>
      <c r="L1799">
        <v>2140</v>
      </c>
      <c r="O1799">
        <v>100</v>
      </c>
      <c r="P1799">
        <v>5</v>
      </c>
      <c r="Q1799">
        <v>0</v>
      </c>
    </row>
    <row r="1800" spans="2:22" x14ac:dyDescent="0.25">
      <c r="B1800" t="s">
        <v>293</v>
      </c>
      <c r="C1800">
        <v>41221389</v>
      </c>
      <c r="D1800" t="s">
        <v>973</v>
      </c>
      <c r="E1800">
        <v>360</v>
      </c>
      <c r="F1800" t="s">
        <v>68</v>
      </c>
      <c r="G1800" t="s">
        <v>159</v>
      </c>
      <c r="H1800" t="s">
        <v>556</v>
      </c>
      <c r="I1800" t="s">
        <v>161</v>
      </c>
      <c r="J1800">
        <v>0</v>
      </c>
      <c r="K1800">
        <v>45498.497673611113</v>
      </c>
      <c r="L1800">
        <v>1308</v>
      </c>
      <c r="O1800">
        <v>36</v>
      </c>
      <c r="P1800">
        <v>10</v>
      </c>
      <c r="Q1800">
        <v>0</v>
      </c>
    </row>
    <row r="1801" spans="2:22" x14ac:dyDescent="0.25">
      <c r="B1801" t="s">
        <v>293</v>
      </c>
      <c r="C1801">
        <v>41221323</v>
      </c>
      <c r="D1801" t="s">
        <v>974</v>
      </c>
      <c r="E1801">
        <v>400</v>
      </c>
      <c r="F1801" t="s">
        <v>68</v>
      </c>
      <c r="G1801" t="s">
        <v>153</v>
      </c>
      <c r="H1801" t="s">
        <v>154</v>
      </c>
      <c r="I1801" t="s">
        <v>105</v>
      </c>
      <c r="J1801">
        <v>0</v>
      </c>
      <c r="K1801">
        <v>45498.497685185182</v>
      </c>
      <c r="L1801">
        <v>0</v>
      </c>
      <c r="O1801">
        <v>100</v>
      </c>
      <c r="P1801">
        <v>4</v>
      </c>
      <c r="Q1801">
        <v>0</v>
      </c>
    </row>
    <row r="1802" spans="2:22" x14ac:dyDescent="0.25">
      <c r="B1802" t="s">
        <v>293</v>
      </c>
      <c r="C1802">
        <v>41221572</v>
      </c>
      <c r="D1802" t="s">
        <v>975</v>
      </c>
      <c r="E1802">
        <v>20</v>
      </c>
      <c r="F1802" t="s">
        <v>68</v>
      </c>
      <c r="G1802" t="s">
        <v>483</v>
      </c>
      <c r="H1802" t="s">
        <v>150</v>
      </c>
      <c r="I1802" t="s">
        <v>144</v>
      </c>
      <c r="J1802">
        <v>0</v>
      </c>
      <c r="K1802">
        <v>45498.497685185182</v>
      </c>
      <c r="L1802">
        <v>418</v>
      </c>
      <c r="O1802">
        <v>4</v>
      </c>
      <c r="P1802">
        <v>5</v>
      </c>
      <c r="Q1802">
        <v>0</v>
      </c>
    </row>
    <row r="1803" spans="2:22" x14ac:dyDescent="0.25">
      <c r="B1803" t="s">
        <v>293</v>
      </c>
      <c r="C1803">
        <v>41221574</v>
      </c>
      <c r="D1803" t="s">
        <v>976</v>
      </c>
      <c r="E1803">
        <v>200</v>
      </c>
      <c r="F1803" t="s">
        <v>68</v>
      </c>
      <c r="G1803" t="s">
        <v>151</v>
      </c>
      <c r="H1803" t="s">
        <v>152</v>
      </c>
      <c r="I1803" t="s">
        <v>105</v>
      </c>
      <c r="J1803">
        <v>0</v>
      </c>
      <c r="K1803">
        <v>45499.664895833332</v>
      </c>
      <c r="L1803">
        <v>576</v>
      </c>
      <c r="N1803" t="s">
        <v>977</v>
      </c>
      <c r="O1803">
        <v>200</v>
      </c>
      <c r="P1803">
        <v>1</v>
      </c>
      <c r="Q1803">
        <v>0</v>
      </c>
      <c r="V1803" t="s">
        <v>856</v>
      </c>
    </row>
    <row r="1804" spans="2:22" x14ac:dyDescent="0.25">
      <c r="B1804" t="s">
        <v>293</v>
      </c>
      <c r="C1804">
        <v>41220338</v>
      </c>
      <c r="D1804" t="s">
        <v>978</v>
      </c>
      <c r="E1804">
        <v>300</v>
      </c>
      <c r="F1804" t="s">
        <v>68</v>
      </c>
      <c r="G1804" t="s">
        <v>163</v>
      </c>
      <c r="H1804" t="s">
        <v>164</v>
      </c>
      <c r="I1804" t="s">
        <v>165</v>
      </c>
      <c r="J1804">
        <v>0</v>
      </c>
      <c r="K1804">
        <v>45499.664918981478</v>
      </c>
      <c r="L1804">
        <v>3562</v>
      </c>
      <c r="O1804">
        <v>12</v>
      </c>
      <c r="P1804">
        <v>25</v>
      </c>
      <c r="Q1804">
        <v>0</v>
      </c>
    </row>
    <row r="1805" spans="2:22" x14ac:dyDescent="0.25">
      <c r="B1805" t="s">
        <v>979</v>
      </c>
      <c r="E1805">
        <v>2000</v>
      </c>
      <c r="F1805" t="s">
        <v>68</v>
      </c>
      <c r="G1805" t="s">
        <v>153</v>
      </c>
      <c r="H1805" t="s">
        <v>154</v>
      </c>
      <c r="I1805" t="s">
        <v>105</v>
      </c>
      <c r="J1805">
        <v>1</v>
      </c>
      <c r="K1805">
        <v>45502.649039351854</v>
      </c>
      <c r="L1805">
        <v>2000</v>
      </c>
      <c r="M1805">
        <v>45491</v>
      </c>
      <c r="O1805">
        <v>100</v>
      </c>
      <c r="P1805">
        <v>20</v>
      </c>
      <c r="Q1805">
        <v>0</v>
      </c>
    </row>
    <row r="1806" spans="2:22" x14ac:dyDescent="0.25">
      <c r="B1806" t="s">
        <v>293</v>
      </c>
      <c r="C1806">
        <v>41221323</v>
      </c>
      <c r="D1806" t="s">
        <v>980</v>
      </c>
      <c r="E1806">
        <v>200</v>
      </c>
      <c r="F1806" t="s">
        <v>68</v>
      </c>
      <c r="G1806" t="s">
        <v>153</v>
      </c>
      <c r="H1806" t="s">
        <v>154</v>
      </c>
      <c r="I1806" t="s">
        <v>105</v>
      </c>
      <c r="J1806">
        <v>0</v>
      </c>
      <c r="K1806">
        <v>45503.662164351852</v>
      </c>
      <c r="L1806">
        <v>1800</v>
      </c>
      <c r="O1806">
        <v>100</v>
      </c>
      <c r="P1806">
        <v>2</v>
      </c>
      <c r="Q1806">
        <v>0</v>
      </c>
    </row>
    <row r="1807" spans="2:22" x14ac:dyDescent="0.25">
      <c r="B1807" t="s">
        <v>293</v>
      </c>
      <c r="C1807">
        <v>41221741</v>
      </c>
      <c r="D1807" t="s">
        <v>981</v>
      </c>
      <c r="E1807">
        <v>1200</v>
      </c>
      <c r="F1807" t="s">
        <v>68</v>
      </c>
      <c r="G1807" t="s">
        <v>179</v>
      </c>
      <c r="H1807" t="s">
        <v>180</v>
      </c>
      <c r="I1807" t="s">
        <v>144</v>
      </c>
      <c r="J1807">
        <v>0</v>
      </c>
      <c r="K1807">
        <v>45503.662187499998</v>
      </c>
      <c r="L1807">
        <v>18800</v>
      </c>
      <c r="O1807">
        <v>2000</v>
      </c>
      <c r="P1807">
        <v>0</v>
      </c>
      <c r="Q1807">
        <v>1200</v>
      </c>
    </row>
    <row r="1808" spans="2:22" x14ac:dyDescent="0.25">
      <c r="B1808" t="s">
        <v>293</v>
      </c>
      <c r="C1808">
        <v>41221573</v>
      </c>
      <c r="D1808" t="s">
        <v>982</v>
      </c>
      <c r="E1808">
        <v>10</v>
      </c>
      <c r="F1808" t="s">
        <v>127</v>
      </c>
      <c r="G1808" t="s">
        <v>131</v>
      </c>
      <c r="H1808" t="s">
        <v>132</v>
      </c>
      <c r="I1808" t="s">
        <v>130</v>
      </c>
      <c r="J1808">
        <v>0</v>
      </c>
      <c r="K1808">
        <v>45503.662210648145</v>
      </c>
      <c r="L1808">
        <v>4060</v>
      </c>
      <c r="O1808">
        <v>10</v>
      </c>
      <c r="P1808">
        <v>1</v>
      </c>
      <c r="Q1808">
        <v>0</v>
      </c>
      <c r="V1808" t="s">
        <v>554</v>
      </c>
    </row>
    <row r="1809" spans="2:22" x14ac:dyDescent="0.25">
      <c r="B1809" t="s">
        <v>293</v>
      </c>
      <c r="C1809">
        <v>41221389</v>
      </c>
      <c r="D1809" t="s">
        <v>983</v>
      </c>
      <c r="E1809">
        <v>240</v>
      </c>
      <c r="F1809" t="s">
        <v>68</v>
      </c>
      <c r="G1809" t="s">
        <v>159</v>
      </c>
      <c r="H1809" t="s">
        <v>556</v>
      </c>
      <c r="I1809" t="s">
        <v>161</v>
      </c>
      <c r="J1809">
        <v>0</v>
      </c>
      <c r="K1809">
        <v>45509.456620370373</v>
      </c>
      <c r="L1809">
        <v>1068</v>
      </c>
      <c r="O1809">
        <v>36</v>
      </c>
      <c r="P1809">
        <v>6</v>
      </c>
      <c r="Q1809">
        <v>24.000000000000011</v>
      </c>
    </row>
    <row r="1810" spans="2:22" x14ac:dyDescent="0.25">
      <c r="B1810" t="s">
        <v>293</v>
      </c>
      <c r="C1810">
        <v>41221322</v>
      </c>
      <c r="D1810" t="s">
        <v>984</v>
      </c>
      <c r="E1810">
        <v>300</v>
      </c>
      <c r="F1810" t="s">
        <v>68</v>
      </c>
      <c r="G1810" t="s">
        <v>163</v>
      </c>
      <c r="H1810" t="s">
        <v>164</v>
      </c>
      <c r="I1810" t="s">
        <v>165</v>
      </c>
      <c r="J1810">
        <v>0</v>
      </c>
      <c r="K1810">
        <v>45509.456620370373</v>
      </c>
      <c r="L1810">
        <v>3262</v>
      </c>
      <c r="O1810">
        <v>12</v>
      </c>
      <c r="P1810">
        <v>25</v>
      </c>
      <c r="Q1810">
        <v>0</v>
      </c>
    </row>
    <row r="1811" spans="2:22" x14ac:dyDescent="0.25">
      <c r="B1811" t="s">
        <v>293</v>
      </c>
      <c r="C1811">
        <v>41221572</v>
      </c>
      <c r="D1811">
        <v>1974</v>
      </c>
      <c r="E1811">
        <v>20</v>
      </c>
      <c r="F1811" t="s">
        <v>68</v>
      </c>
      <c r="G1811" t="s">
        <v>483</v>
      </c>
      <c r="H1811" t="s">
        <v>150</v>
      </c>
      <c r="I1811" t="s">
        <v>144</v>
      </c>
      <c r="J1811">
        <v>0</v>
      </c>
      <c r="K1811">
        <v>45509.456631944442</v>
      </c>
      <c r="L1811">
        <v>398</v>
      </c>
      <c r="O1811">
        <v>4</v>
      </c>
      <c r="P1811">
        <v>5</v>
      </c>
      <c r="Q1811">
        <v>0</v>
      </c>
    </row>
    <row r="1812" spans="2:22" x14ac:dyDescent="0.25">
      <c r="B1812" t="s">
        <v>293</v>
      </c>
      <c r="C1812">
        <v>41220883</v>
      </c>
      <c r="D1812">
        <v>1975</v>
      </c>
      <c r="E1812">
        <v>3</v>
      </c>
      <c r="F1812" t="s">
        <v>68</v>
      </c>
      <c r="G1812" t="s">
        <v>482</v>
      </c>
      <c r="H1812" t="s">
        <v>148</v>
      </c>
      <c r="I1812" t="s">
        <v>144</v>
      </c>
      <c r="J1812">
        <v>0</v>
      </c>
      <c r="K1812">
        <v>45509.456631944442</v>
      </c>
      <c r="L1812">
        <v>208</v>
      </c>
      <c r="O1812">
        <v>24</v>
      </c>
      <c r="P1812">
        <v>0</v>
      </c>
      <c r="Q1812">
        <v>3</v>
      </c>
    </row>
    <row r="1813" spans="2:22" x14ac:dyDescent="0.25">
      <c r="B1813" t="s">
        <v>293</v>
      </c>
      <c r="C1813">
        <v>41221736</v>
      </c>
      <c r="D1813">
        <v>1976</v>
      </c>
      <c r="E1813">
        <v>120</v>
      </c>
      <c r="F1813" t="s">
        <v>68</v>
      </c>
      <c r="G1813" t="s">
        <v>485</v>
      </c>
      <c r="H1813" t="s">
        <v>178</v>
      </c>
      <c r="I1813" t="s">
        <v>144</v>
      </c>
      <c r="J1813">
        <v>0</v>
      </c>
      <c r="K1813">
        <v>45509.456631944442</v>
      </c>
      <c r="L1813">
        <v>2880</v>
      </c>
      <c r="O1813">
        <v>100</v>
      </c>
      <c r="P1813">
        <v>1</v>
      </c>
      <c r="Q1813">
        <v>19.999999999999996</v>
      </c>
      <c r="V1813" t="s">
        <v>798</v>
      </c>
    </row>
    <row r="1814" spans="2:22" x14ac:dyDescent="0.25">
      <c r="B1814" t="s">
        <v>293</v>
      </c>
      <c r="C1814">
        <v>41219425</v>
      </c>
      <c r="D1814">
        <v>1977</v>
      </c>
      <c r="E1814">
        <v>200</v>
      </c>
      <c r="F1814" t="s">
        <v>68</v>
      </c>
      <c r="G1814" t="s">
        <v>201</v>
      </c>
      <c r="H1814" t="s">
        <v>202</v>
      </c>
      <c r="I1814" t="s">
        <v>144</v>
      </c>
      <c r="J1814">
        <v>0</v>
      </c>
      <c r="K1814">
        <v>45509.456643518519</v>
      </c>
      <c r="L1814">
        <v>1940</v>
      </c>
      <c r="O1814">
        <v>100</v>
      </c>
      <c r="P1814">
        <v>2</v>
      </c>
      <c r="Q1814">
        <v>0</v>
      </c>
    </row>
    <row r="1815" spans="2:22" x14ac:dyDescent="0.25">
      <c r="B1815" t="s">
        <v>293</v>
      </c>
      <c r="C1815">
        <v>41221741</v>
      </c>
      <c r="D1815">
        <v>1978</v>
      </c>
      <c r="E1815">
        <v>2000</v>
      </c>
      <c r="F1815" t="s">
        <v>68</v>
      </c>
      <c r="G1815" t="s">
        <v>179</v>
      </c>
      <c r="H1815" t="s">
        <v>180</v>
      </c>
      <c r="I1815" t="s">
        <v>144</v>
      </c>
      <c r="J1815">
        <v>0</v>
      </c>
      <c r="K1815">
        <v>45509.456643518519</v>
      </c>
      <c r="L1815">
        <v>16800</v>
      </c>
      <c r="O1815">
        <v>2000</v>
      </c>
      <c r="P1815">
        <v>1</v>
      </c>
      <c r="Q1815">
        <v>0</v>
      </c>
    </row>
    <row r="1816" spans="2:22" x14ac:dyDescent="0.25">
      <c r="B1816" t="s">
        <v>293</v>
      </c>
      <c r="C1816">
        <v>41221573</v>
      </c>
      <c r="D1816">
        <v>1979</v>
      </c>
      <c r="E1816">
        <v>288</v>
      </c>
      <c r="F1816" t="s">
        <v>135</v>
      </c>
      <c r="G1816" t="s">
        <v>140</v>
      </c>
      <c r="H1816" t="s">
        <v>137</v>
      </c>
      <c r="I1816" t="s">
        <v>138</v>
      </c>
      <c r="J1816">
        <v>0</v>
      </c>
      <c r="K1816">
        <v>45509.456643518519</v>
      </c>
      <c r="L1816">
        <v>1938</v>
      </c>
      <c r="O1816">
        <v>144</v>
      </c>
      <c r="P1816">
        <v>2</v>
      </c>
      <c r="Q1816">
        <v>0</v>
      </c>
    </row>
    <row r="1817" spans="2:22" x14ac:dyDescent="0.25">
      <c r="B1817" t="s">
        <v>293</v>
      </c>
      <c r="C1817">
        <v>41221323</v>
      </c>
      <c r="D1817">
        <v>1980</v>
      </c>
      <c r="E1817">
        <v>200</v>
      </c>
      <c r="F1817" t="s">
        <v>68</v>
      </c>
      <c r="G1817" t="s">
        <v>153</v>
      </c>
      <c r="H1817" t="s">
        <v>154</v>
      </c>
      <c r="I1817" t="s">
        <v>105</v>
      </c>
      <c r="J1817">
        <v>0</v>
      </c>
      <c r="K1817">
        <v>45509.456655092596</v>
      </c>
      <c r="L1817">
        <v>1600</v>
      </c>
      <c r="O1817">
        <v>100</v>
      </c>
      <c r="P1817">
        <v>2</v>
      </c>
      <c r="Q1817">
        <v>0</v>
      </c>
    </row>
    <row r="1818" spans="2:22" x14ac:dyDescent="0.25">
      <c r="B1818" t="s">
        <v>293</v>
      </c>
      <c r="C1818">
        <v>41221483</v>
      </c>
      <c r="D1818">
        <v>1981</v>
      </c>
      <c r="E1818">
        <v>12000</v>
      </c>
      <c r="F1818" t="s">
        <v>68</v>
      </c>
      <c r="G1818" t="s">
        <v>103</v>
      </c>
      <c r="H1818" t="s">
        <v>104</v>
      </c>
      <c r="I1818" t="s">
        <v>105</v>
      </c>
      <c r="J1818">
        <v>0</v>
      </c>
      <c r="K1818">
        <v>45509.456655092596</v>
      </c>
      <c r="L1818">
        <v>87400</v>
      </c>
      <c r="O1818">
        <v>2400</v>
      </c>
      <c r="P1818">
        <v>5</v>
      </c>
      <c r="Q1818">
        <v>0</v>
      </c>
    </row>
    <row r="1819" spans="2:22" x14ac:dyDescent="0.25">
      <c r="B1819" t="s">
        <v>293</v>
      </c>
      <c r="C1819">
        <v>41221698</v>
      </c>
      <c r="D1819">
        <v>1982</v>
      </c>
      <c r="E1819">
        <v>750</v>
      </c>
      <c r="F1819" t="s">
        <v>68</v>
      </c>
      <c r="G1819" t="s">
        <v>125</v>
      </c>
      <c r="H1819" t="s">
        <v>126</v>
      </c>
      <c r="I1819" t="s">
        <v>105</v>
      </c>
      <c r="J1819">
        <v>0</v>
      </c>
      <c r="K1819">
        <v>45509.456655092596</v>
      </c>
      <c r="L1819">
        <v>11830</v>
      </c>
      <c r="O1819">
        <v>2400</v>
      </c>
      <c r="P1819">
        <v>0</v>
      </c>
      <c r="Q1819">
        <v>750</v>
      </c>
    </row>
    <row r="1820" spans="2:22" x14ac:dyDescent="0.25">
      <c r="B1820" t="s">
        <v>293</v>
      </c>
      <c r="C1820">
        <v>41221261</v>
      </c>
      <c r="D1820">
        <v>1983</v>
      </c>
      <c r="E1820">
        <v>500</v>
      </c>
      <c r="F1820" t="s">
        <v>68</v>
      </c>
      <c r="G1820" t="s">
        <v>115</v>
      </c>
      <c r="H1820" t="s">
        <v>116</v>
      </c>
      <c r="I1820" t="s">
        <v>105</v>
      </c>
      <c r="J1820">
        <v>0</v>
      </c>
      <c r="K1820">
        <v>45509.456666666665</v>
      </c>
      <c r="L1820">
        <v>1650</v>
      </c>
      <c r="O1820">
        <v>700</v>
      </c>
      <c r="P1820">
        <v>0</v>
      </c>
      <c r="Q1820">
        <v>500</v>
      </c>
    </row>
    <row r="1821" spans="2:22" x14ac:dyDescent="0.25">
      <c r="B1821" t="s">
        <v>293</v>
      </c>
      <c r="C1821">
        <v>41221743</v>
      </c>
      <c r="D1821">
        <v>1984</v>
      </c>
      <c r="E1821">
        <v>10</v>
      </c>
      <c r="F1821" t="s">
        <v>68</v>
      </c>
      <c r="G1821" t="s">
        <v>490</v>
      </c>
      <c r="H1821" t="s">
        <v>233</v>
      </c>
      <c r="I1821" t="s">
        <v>234</v>
      </c>
      <c r="J1821">
        <v>0</v>
      </c>
      <c r="K1821">
        <v>45509.456666666665</v>
      </c>
      <c r="L1821">
        <v>70</v>
      </c>
      <c r="O1821">
        <v>1</v>
      </c>
      <c r="P1821">
        <v>10</v>
      </c>
      <c r="Q1821">
        <v>0</v>
      </c>
    </row>
    <row r="1822" spans="2:22" x14ac:dyDescent="0.25">
      <c r="B1822" t="s">
        <v>293</v>
      </c>
      <c r="C1822">
        <v>41220908</v>
      </c>
      <c r="D1822">
        <v>1985</v>
      </c>
      <c r="E1822">
        <v>5</v>
      </c>
      <c r="F1822" t="s">
        <v>68</v>
      </c>
      <c r="G1822" t="s">
        <v>182</v>
      </c>
      <c r="H1822" t="s">
        <v>183</v>
      </c>
      <c r="J1822">
        <v>0</v>
      </c>
      <c r="K1822">
        <v>45509.456666666665</v>
      </c>
      <c r="L1822">
        <v>81</v>
      </c>
      <c r="O1822">
        <v>36</v>
      </c>
      <c r="P1822">
        <v>0</v>
      </c>
      <c r="Q1822">
        <v>5</v>
      </c>
    </row>
    <row r="1823" spans="2:22" x14ac:dyDescent="0.25">
      <c r="B1823" t="s">
        <v>293</v>
      </c>
      <c r="C1823">
        <v>41221079</v>
      </c>
      <c r="D1823">
        <v>1986</v>
      </c>
      <c r="E1823">
        <v>240</v>
      </c>
      <c r="F1823" t="s">
        <v>68</v>
      </c>
      <c r="G1823" t="s">
        <v>155</v>
      </c>
      <c r="H1823" t="s">
        <v>156</v>
      </c>
      <c r="J1823">
        <v>0</v>
      </c>
      <c r="K1823">
        <v>45509.456678240742</v>
      </c>
      <c r="L1823">
        <v>706</v>
      </c>
      <c r="O1823">
        <v>24</v>
      </c>
      <c r="P1823">
        <v>10</v>
      </c>
      <c r="Q1823">
        <v>0</v>
      </c>
    </row>
    <row r="1824" spans="2:22" x14ac:dyDescent="0.25">
      <c r="B1824" t="s">
        <v>293</v>
      </c>
      <c r="C1824">
        <v>41221574</v>
      </c>
      <c r="D1824">
        <v>1987</v>
      </c>
      <c r="E1824">
        <v>100</v>
      </c>
      <c r="F1824" t="s">
        <v>68</v>
      </c>
      <c r="G1824" t="s">
        <v>151</v>
      </c>
      <c r="H1824" t="s">
        <v>152</v>
      </c>
      <c r="I1824" t="s">
        <v>105</v>
      </c>
      <c r="J1824">
        <v>0</v>
      </c>
      <c r="K1824">
        <v>45509.456678240742</v>
      </c>
      <c r="L1824">
        <v>476</v>
      </c>
      <c r="O1824">
        <v>200</v>
      </c>
      <c r="P1824">
        <v>0</v>
      </c>
      <c r="Q1824">
        <v>100</v>
      </c>
    </row>
    <row r="1825" spans="2:22" x14ac:dyDescent="0.25">
      <c r="B1825" t="s">
        <v>293</v>
      </c>
      <c r="C1825">
        <v>41221574</v>
      </c>
      <c r="D1825" t="s">
        <v>985</v>
      </c>
      <c r="E1825">
        <v>200</v>
      </c>
      <c r="F1825" t="s">
        <v>68</v>
      </c>
      <c r="G1825" t="s">
        <v>151</v>
      </c>
      <c r="H1825" t="s">
        <v>152</v>
      </c>
      <c r="I1825" t="s">
        <v>105</v>
      </c>
      <c r="J1825">
        <v>0</v>
      </c>
      <c r="K1825">
        <v>45509.456678240742</v>
      </c>
      <c r="L1825">
        <v>276</v>
      </c>
      <c r="O1825">
        <v>200</v>
      </c>
      <c r="P1825">
        <v>1</v>
      </c>
      <c r="Q1825">
        <v>0</v>
      </c>
    </row>
    <row r="1826" spans="2:22" x14ac:dyDescent="0.25">
      <c r="B1826" t="s">
        <v>434</v>
      </c>
      <c r="C1826" t="s">
        <v>67</v>
      </c>
      <c r="D1826" t="s">
        <v>67</v>
      </c>
      <c r="E1826">
        <v>600</v>
      </c>
      <c r="F1826" t="s">
        <v>68</v>
      </c>
      <c r="G1826" t="s">
        <v>103</v>
      </c>
      <c r="H1826" t="s">
        <v>104</v>
      </c>
      <c r="I1826" t="s">
        <v>105</v>
      </c>
      <c r="J1826">
        <v>1</v>
      </c>
      <c r="K1826">
        <v>45509.481354166666</v>
      </c>
      <c r="L1826">
        <v>88000</v>
      </c>
      <c r="O1826">
        <v>2400</v>
      </c>
      <c r="P1826">
        <v>0</v>
      </c>
      <c r="Q1826">
        <v>600</v>
      </c>
    </row>
    <row r="1827" spans="2:22" x14ac:dyDescent="0.25">
      <c r="B1827" t="s">
        <v>434</v>
      </c>
      <c r="C1827" t="s">
        <v>67</v>
      </c>
      <c r="D1827" t="s">
        <v>67</v>
      </c>
      <c r="E1827">
        <v>1200</v>
      </c>
      <c r="F1827" t="s">
        <v>68</v>
      </c>
      <c r="G1827" t="s">
        <v>107</v>
      </c>
      <c r="H1827" t="s">
        <v>108</v>
      </c>
      <c r="I1827" t="s">
        <v>105</v>
      </c>
      <c r="J1827">
        <v>0</v>
      </c>
      <c r="K1827">
        <v>45509.482129629629</v>
      </c>
      <c r="L1827">
        <v>111800</v>
      </c>
      <c r="O1827">
        <v>1200</v>
      </c>
      <c r="P1827">
        <v>1</v>
      </c>
      <c r="Q1827">
        <v>0</v>
      </c>
    </row>
    <row r="1828" spans="2:22" x14ac:dyDescent="0.25">
      <c r="B1828" t="s">
        <v>434</v>
      </c>
      <c r="C1828" t="s">
        <v>67</v>
      </c>
      <c r="D1828" t="s">
        <v>67</v>
      </c>
      <c r="E1828">
        <v>12</v>
      </c>
      <c r="F1828" t="s">
        <v>68</v>
      </c>
      <c r="G1828" t="s">
        <v>166</v>
      </c>
      <c r="H1828" t="s">
        <v>709</v>
      </c>
      <c r="J1828">
        <v>0</v>
      </c>
      <c r="K1828">
        <v>45509.483194444445</v>
      </c>
      <c r="L1828">
        <v>648</v>
      </c>
      <c r="O1828">
        <v>4</v>
      </c>
      <c r="P1828">
        <v>3</v>
      </c>
      <c r="Q1828">
        <v>0</v>
      </c>
    </row>
    <row r="1829" spans="2:22" x14ac:dyDescent="0.25">
      <c r="B1829" t="s">
        <v>434</v>
      </c>
      <c r="C1829" t="s">
        <v>67</v>
      </c>
      <c r="D1829" t="s">
        <v>67</v>
      </c>
      <c r="E1829">
        <v>500</v>
      </c>
      <c r="F1829" t="s">
        <v>68</v>
      </c>
      <c r="G1829" t="s">
        <v>485</v>
      </c>
      <c r="H1829" t="s">
        <v>178</v>
      </c>
      <c r="I1829" t="s">
        <v>144</v>
      </c>
      <c r="J1829">
        <v>0</v>
      </c>
      <c r="K1829">
        <v>45509.483946759261</v>
      </c>
      <c r="L1829">
        <v>2380</v>
      </c>
      <c r="O1829">
        <v>100</v>
      </c>
      <c r="P1829">
        <v>5</v>
      </c>
      <c r="Q1829">
        <v>0</v>
      </c>
      <c r="V1829" t="s">
        <v>798</v>
      </c>
    </row>
    <row r="1830" spans="2:22" x14ac:dyDescent="0.25">
      <c r="B1830" t="s">
        <v>434</v>
      </c>
      <c r="C1830" t="s">
        <v>67</v>
      </c>
      <c r="D1830" t="s">
        <v>67</v>
      </c>
      <c r="E1830">
        <v>2</v>
      </c>
      <c r="F1830" t="s">
        <v>68</v>
      </c>
      <c r="G1830" t="s">
        <v>182</v>
      </c>
      <c r="H1830" t="s">
        <v>183</v>
      </c>
      <c r="J1830">
        <v>0</v>
      </c>
      <c r="K1830">
        <v>45509.484270833331</v>
      </c>
      <c r="L1830">
        <v>79</v>
      </c>
      <c r="O1830">
        <v>36</v>
      </c>
      <c r="P1830">
        <v>0</v>
      </c>
      <c r="Q1830">
        <v>2</v>
      </c>
    </row>
    <row r="1831" spans="2:22" x14ac:dyDescent="0.25">
      <c r="B1831" t="s">
        <v>434</v>
      </c>
      <c r="C1831" t="s">
        <v>67</v>
      </c>
      <c r="D1831" t="s">
        <v>67</v>
      </c>
      <c r="E1831">
        <v>560</v>
      </c>
      <c r="F1831" t="s">
        <v>68</v>
      </c>
      <c r="G1831" t="s">
        <v>201</v>
      </c>
      <c r="H1831" t="s">
        <v>202</v>
      </c>
      <c r="I1831" t="s">
        <v>144</v>
      </c>
      <c r="J1831">
        <v>1</v>
      </c>
      <c r="K1831">
        <v>45509.484872685185</v>
      </c>
      <c r="L1831">
        <v>2500</v>
      </c>
      <c r="O1831">
        <v>100</v>
      </c>
      <c r="P1831">
        <v>5</v>
      </c>
      <c r="Q1831">
        <v>59.999999999999964</v>
      </c>
    </row>
    <row r="1832" spans="2:22" x14ac:dyDescent="0.25">
      <c r="B1832">
        <v>992</v>
      </c>
      <c r="E1832">
        <v>3024</v>
      </c>
      <c r="F1832" t="s">
        <v>68</v>
      </c>
      <c r="G1832" t="s">
        <v>159</v>
      </c>
      <c r="H1832" t="s">
        <v>796</v>
      </c>
      <c r="I1832" t="s">
        <v>161</v>
      </c>
      <c r="J1832">
        <v>1</v>
      </c>
      <c r="K1832">
        <v>45509.514918981484</v>
      </c>
      <c r="L1832">
        <v>4092</v>
      </c>
      <c r="M1832">
        <v>45503</v>
      </c>
      <c r="O1832">
        <v>36</v>
      </c>
      <c r="P1832">
        <v>84</v>
      </c>
      <c r="Q1832">
        <v>0</v>
      </c>
    </row>
    <row r="1833" spans="2:22" x14ac:dyDescent="0.25">
      <c r="B1833" t="s">
        <v>293</v>
      </c>
      <c r="C1833">
        <v>41221573</v>
      </c>
      <c r="D1833" t="s">
        <v>986</v>
      </c>
      <c r="E1833">
        <v>144</v>
      </c>
      <c r="F1833" t="s">
        <v>135</v>
      </c>
      <c r="G1833" t="s">
        <v>139</v>
      </c>
      <c r="H1833" t="s">
        <v>137</v>
      </c>
      <c r="I1833" t="s">
        <v>138</v>
      </c>
      <c r="J1833">
        <v>0</v>
      </c>
      <c r="K1833">
        <v>45509.642812500002</v>
      </c>
      <c r="L1833">
        <v>4048</v>
      </c>
      <c r="O1833">
        <v>144</v>
      </c>
      <c r="P1833">
        <v>1</v>
      </c>
      <c r="Q1833">
        <v>0</v>
      </c>
    </row>
    <row r="1834" spans="2:22" x14ac:dyDescent="0.25">
      <c r="B1834" t="s">
        <v>293</v>
      </c>
      <c r="C1834">
        <v>41221268</v>
      </c>
      <c r="D1834" t="s">
        <v>795</v>
      </c>
      <c r="E1834">
        <v>8</v>
      </c>
      <c r="F1834" t="s">
        <v>68</v>
      </c>
      <c r="G1834" t="s">
        <v>483</v>
      </c>
      <c r="H1834" t="s">
        <v>150</v>
      </c>
      <c r="I1834" t="s">
        <v>144</v>
      </c>
      <c r="J1834">
        <v>0</v>
      </c>
      <c r="K1834">
        <v>45510.527361111112</v>
      </c>
      <c r="L1834">
        <v>390</v>
      </c>
      <c r="O1834">
        <v>4</v>
      </c>
      <c r="P1834">
        <v>2</v>
      </c>
      <c r="Q1834">
        <v>0</v>
      </c>
    </row>
    <row r="1835" spans="2:22" x14ac:dyDescent="0.25">
      <c r="B1835" t="s">
        <v>293</v>
      </c>
      <c r="C1835">
        <v>41221572</v>
      </c>
      <c r="D1835">
        <v>1991</v>
      </c>
      <c r="E1835">
        <v>16</v>
      </c>
      <c r="F1835" t="s">
        <v>68</v>
      </c>
      <c r="G1835" t="s">
        <v>483</v>
      </c>
      <c r="H1835" t="s">
        <v>150</v>
      </c>
      <c r="I1835" t="s">
        <v>144</v>
      </c>
      <c r="J1835">
        <v>0</v>
      </c>
      <c r="K1835">
        <v>45510.527384259258</v>
      </c>
      <c r="L1835">
        <v>374</v>
      </c>
      <c r="O1835">
        <v>4</v>
      </c>
      <c r="P1835">
        <v>4</v>
      </c>
      <c r="Q1835">
        <v>0</v>
      </c>
    </row>
    <row r="1836" spans="2:22" x14ac:dyDescent="0.25">
      <c r="B1836" t="s">
        <v>293</v>
      </c>
      <c r="C1836">
        <v>41221573</v>
      </c>
      <c r="D1836" t="s">
        <v>987</v>
      </c>
      <c r="E1836">
        <v>10</v>
      </c>
      <c r="F1836" t="s">
        <v>127</v>
      </c>
      <c r="G1836" t="s">
        <v>131</v>
      </c>
      <c r="H1836" t="s">
        <v>132</v>
      </c>
      <c r="I1836" t="s">
        <v>130</v>
      </c>
      <c r="J1836">
        <v>1</v>
      </c>
      <c r="K1836">
        <v>45510.542442129627</v>
      </c>
      <c r="L1836">
        <v>4070</v>
      </c>
      <c r="O1836">
        <v>10</v>
      </c>
      <c r="P1836">
        <v>1</v>
      </c>
      <c r="Q1836">
        <v>0</v>
      </c>
      <c r="V1836" t="s">
        <v>554</v>
      </c>
    </row>
    <row r="1837" spans="2:22" x14ac:dyDescent="0.25">
      <c r="B1837" t="s">
        <v>988</v>
      </c>
      <c r="E1837">
        <v>30000</v>
      </c>
      <c r="F1837" t="s">
        <v>68</v>
      </c>
      <c r="G1837" t="s">
        <v>107</v>
      </c>
      <c r="H1837" t="s">
        <v>108</v>
      </c>
      <c r="I1837" t="s">
        <v>105</v>
      </c>
      <c r="J1837">
        <v>1</v>
      </c>
      <c r="K1837">
        <v>45510.612291666665</v>
      </c>
      <c r="L1837">
        <v>141800</v>
      </c>
      <c r="M1837" t="s">
        <v>989</v>
      </c>
      <c r="O1837">
        <v>1200</v>
      </c>
      <c r="P1837">
        <v>25</v>
      </c>
      <c r="Q1837">
        <v>0</v>
      </c>
    </row>
    <row r="1838" spans="2:22" x14ac:dyDescent="0.25">
      <c r="B1838" t="s">
        <v>988</v>
      </c>
      <c r="E1838">
        <v>60000</v>
      </c>
      <c r="F1838" t="s">
        <v>68</v>
      </c>
      <c r="G1838" t="s">
        <v>103</v>
      </c>
      <c r="H1838" t="s">
        <v>104</v>
      </c>
      <c r="I1838" t="s">
        <v>105</v>
      </c>
      <c r="J1838">
        <v>1</v>
      </c>
      <c r="K1838">
        <v>45510.612361111111</v>
      </c>
      <c r="L1838">
        <v>148000</v>
      </c>
      <c r="M1838" t="s">
        <v>989</v>
      </c>
      <c r="O1838">
        <v>2400</v>
      </c>
      <c r="P1838">
        <v>25</v>
      </c>
      <c r="Q1838">
        <v>0</v>
      </c>
    </row>
    <row r="1839" spans="2:22" x14ac:dyDescent="0.25">
      <c r="B1839" t="s">
        <v>988</v>
      </c>
      <c r="E1839">
        <v>40000</v>
      </c>
      <c r="F1839" t="s">
        <v>68</v>
      </c>
      <c r="G1839" t="s">
        <v>123</v>
      </c>
      <c r="H1839" t="s">
        <v>124</v>
      </c>
      <c r="I1839" t="s">
        <v>105</v>
      </c>
      <c r="J1839">
        <v>1</v>
      </c>
      <c r="K1839">
        <v>45510.612395833334</v>
      </c>
      <c r="L1839">
        <v>73300</v>
      </c>
      <c r="M1839" t="s">
        <v>989</v>
      </c>
      <c r="O1839">
        <v>2400</v>
      </c>
      <c r="P1839">
        <v>16</v>
      </c>
      <c r="Q1839">
        <v>1600.0000000000027</v>
      </c>
    </row>
    <row r="1840" spans="2:22" x14ac:dyDescent="0.25">
      <c r="B1840" t="s">
        <v>988</v>
      </c>
      <c r="E1840">
        <v>2000</v>
      </c>
      <c r="F1840" t="s">
        <v>68</v>
      </c>
      <c r="G1840" t="s">
        <v>115</v>
      </c>
      <c r="H1840" t="s">
        <v>116</v>
      </c>
      <c r="I1840" t="s">
        <v>105</v>
      </c>
      <c r="J1840">
        <v>1</v>
      </c>
      <c r="K1840">
        <v>45510.612430555557</v>
      </c>
      <c r="L1840">
        <v>3650</v>
      </c>
      <c r="M1840" t="s">
        <v>989</v>
      </c>
      <c r="O1840">
        <v>700</v>
      </c>
      <c r="P1840">
        <v>2</v>
      </c>
      <c r="Q1840">
        <v>600</v>
      </c>
    </row>
    <row r="1841" spans="2:22" x14ac:dyDescent="0.25">
      <c r="B1841" t="s">
        <v>293</v>
      </c>
      <c r="C1841">
        <v>41220908</v>
      </c>
      <c r="D1841" t="s">
        <v>1002</v>
      </c>
      <c r="E1841">
        <v>5</v>
      </c>
      <c r="F1841" t="s">
        <v>68</v>
      </c>
      <c r="G1841" t="s">
        <v>182</v>
      </c>
      <c r="H1841" t="s">
        <v>183</v>
      </c>
      <c r="J1841">
        <v>0</v>
      </c>
      <c r="K1841">
        <v>45511.697951388887</v>
      </c>
      <c r="L1841">
        <v>74</v>
      </c>
      <c r="O1841">
        <v>36</v>
      </c>
      <c r="P1841">
        <v>0</v>
      </c>
      <c r="Q1841">
        <v>5</v>
      </c>
    </row>
    <row r="1842" spans="2:22" x14ac:dyDescent="0.25">
      <c r="B1842" t="s">
        <v>293</v>
      </c>
      <c r="C1842">
        <v>41221389</v>
      </c>
      <c r="D1842" t="s">
        <v>1003</v>
      </c>
      <c r="E1842">
        <v>240</v>
      </c>
      <c r="F1842" t="s">
        <v>68</v>
      </c>
      <c r="G1842" t="s">
        <v>159</v>
      </c>
      <c r="H1842" t="s">
        <v>796</v>
      </c>
      <c r="I1842" t="s">
        <v>161</v>
      </c>
      <c r="J1842">
        <v>0</v>
      </c>
      <c r="K1842">
        <v>45511.697997685187</v>
      </c>
      <c r="L1842">
        <v>3852</v>
      </c>
      <c r="O1842">
        <v>36</v>
      </c>
      <c r="P1842">
        <v>6</v>
      </c>
      <c r="Q1842">
        <v>24.000000000000011</v>
      </c>
    </row>
    <row r="1843" spans="2:22" x14ac:dyDescent="0.25">
      <c r="B1843" t="s">
        <v>293</v>
      </c>
      <c r="C1843">
        <v>41221322</v>
      </c>
      <c r="D1843" t="s">
        <v>1004</v>
      </c>
      <c r="E1843">
        <v>300</v>
      </c>
      <c r="F1843" t="s">
        <v>68</v>
      </c>
      <c r="G1843" t="s">
        <v>163</v>
      </c>
      <c r="H1843" t="s">
        <v>164</v>
      </c>
      <c r="I1843" t="s">
        <v>165</v>
      </c>
      <c r="J1843">
        <v>0</v>
      </c>
      <c r="K1843">
        <v>45511.698009259257</v>
      </c>
      <c r="L1843">
        <v>2962</v>
      </c>
      <c r="O1843">
        <v>12</v>
      </c>
      <c r="P1843">
        <v>25</v>
      </c>
      <c r="Q1843">
        <v>0</v>
      </c>
    </row>
    <row r="1844" spans="2:22" x14ac:dyDescent="0.25">
      <c r="B1844" t="s">
        <v>293</v>
      </c>
      <c r="C1844">
        <v>41221789</v>
      </c>
      <c r="D1844">
        <v>2021</v>
      </c>
      <c r="E1844">
        <v>20</v>
      </c>
      <c r="F1844" t="s">
        <v>68</v>
      </c>
      <c r="G1844" t="s">
        <v>483</v>
      </c>
      <c r="H1844" t="s">
        <v>150</v>
      </c>
      <c r="I1844" t="s">
        <v>144</v>
      </c>
      <c r="J1844">
        <v>0</v>
      </c>
      <c r="K1844">
        <v>45511.698009259257</v>
      </c>
      <c r="L1844">
        <v>354</v>
      </c>
      <c r="O1844">
        <v>4</v>
      </c>
      <c r="P1844">
        <v>5</v>
      </c>
      <c r="Q1844">
        <v>0</v>
      </c>
    </row>
    <row r="1845" spans="2:22" x14ac:dyDescent="0.25">
      <c r="B1845" t="s">
        <v>293</v>
      </c>
      <c r="C1845">
        <v>41220883</v>
      </c>
      <c r="D1845">
        <v>2022</v>
      </c>
      <c r="E1845">
        <v>3</v>
      </c>
      <c r="F1845" t="s">
        <v>68</v>
      </c>
      <c r="G1845" t="s">
        <v>482</v>
      </c>
      <c r="H1845" t="s">
        <v>148</v>
      </c>
      <c r="I1845" t="s">
        <v>144</v>
      </c>
      <c r="J1845">
        <v>0</v>
      </c>
      <c r="K1845">
        <v>45511.698020833333</v>
      </c>
      <c r="L1845">
        <v>205</v>
      </c>
      <c r="O1845">
        <v>24</v>
      </c>
      <c r="P1845">
        <v>0</v>
      </c>
      <c r="Q1845">
        <v>3</v>
      </c>
    </row>
    <row r="1846" spans="2:22" x14ac:dyDescent="0.25">
      <c r="B1846" t="s">
        <v>293</v>
      </c>
      <c r="C1846">
        <v>41221736</v>
      </c>
      <c r="D1846">
        <v>2023</v>
      </c>
      <c r="E1846">
        <v>120</v>
      </c>
      <c r="F1846" t="s">
        <v>68</v>
      </c>
      <c r="G1846" t="s">
        <v>485</v>
      </c>
      <c r="H1846" t="s">
        <v>178</v>
      </c>
      <c r="I1846" t="s">
        <v>144</v>
      </c>
      <c r="J1846">
        <v>0</v>
      </c>
      <c r="K1846">
        <v>45511.698020833333</v>
      </c>
      <c r="L1846">
        <v>2260</v>
      </c>
      <c r="O1846">
        <v>100</v>
      </c>
      <c r="P1846">
        <v>1</v>
      </c>
      <c r="Q1846">
        <v>19.999999999999996</v>
      </c>
      <c r="V1846" t="s">
        <v>798</v>
      </c>
    </row>
    <row r="1847" spans="2:22" x14ac:dyDescent="0.25">
      <c r="B1847" t="s">
        <v>293</v>
      </c>
      <c r="C1847">
        <v>41221787</v>
      </c>
      <c r="D1847">
        <v>2024</v>
      </c>
      <c r="E1847">
        <v>200</v>
      </c>
      <c r="F1847" t="s">
        <v>68</v>
      </c>
      <c r="G1847" t="s">
        <v>201</v>
      </c>
      <c r="H1847" t="s">
        <v>202</v>
      </c>
      <c r="I1847" t="s">
        <v>144</v>
      </c>
      <c r="J1847">
        <v>0</v>
      </c>
      <c r="K1847">
        <v>45511.69803240741</v>
      </c>
      <c r="L1847">
        <v>2300</v>
      </c>
      <c r="O1847">
        <v>100</v>
      </c>
      <c r="P1847">
        <v>2</v>
      </c>
      <c r="Q1847">
        <v>0</v>
      </c>
    </row>
    <row r="1848" spans="2:22" x14ac:dyDescent="0.25">
      <c r="B1848" t="s">
        <v>293</v>
      </c>
      <c r="C1848">
        <v>41221573</v>
      </c>
      <c r="D1848">
        <v>2025</v>
      </c>
      <c r="E1848">
        <v>288</v>
      </c>
      <c r="F1848" t="s">
        <v>135</v>
      </c>
      <c r="G1848" t="s">
        <v>140</v>
      </c>
      <c r="H1848" t="s">
        <v>137</v>
      </c>
      <c r="I1848" t="s">
        <v>138</v>
      </c>
      <c r="J1848">
        <v>0</v>
      </c>
      <c r="K1848">
        <v>45511.69803240741</v>
      </c>
      <c r="L1848">
        <v>1650</v>
      </c>
      <c r="O1848">
        <v>144</v>
      </c>
      <c r="P1848">
        <v>2</v>
      </c>
      <c r="Q1848">
        <v>0</v>
      </c>
    </row>
    <row r="1849" spans="2:22" x14ac:dyDescent="0.25">
      <c r="B1849" t="s">
        <v>293</v>
      </c>
      <c r="C1849">
        <v>41219252</v>
      </c>
      <c r="D1849">
        <v>2026</v>
      </c>
      <c r="E1849">
        <v>240</v>
      </c>
      <c r="F1849" t="s">
        <v>68</v>
      </c>
      <c r="G1849" t="s">
        <v>155</v>
      </c>
      <c r="H1849" t="s">
        <v>156</v>
      </c>
      <c r="J1849">
        <v>0</v>
      </c>
      <c r="K1849">
        <v>45511.69804398148</v>
      </c>
      <c r="L1849">
        <v>466</v>
      </c>
      <c r="O1849">
        <v>24</v>
      </c>
      <c r="P1849">
        <v>10</v>
      </c>
      <c r="Q1849">
        <v>0</v>
      </c>
    </row>
    <row r="1850" spans="2:22" x14ac:dyDescent="0.25">
      <c r="B1850" t="s">
        <v>293</v>
      </c>
      <c r="C1850">
        <v>41221741</v>
      </c>
      <c r="D1850">
        <v>2027</v>
      </c>
      <c r="E1850">
        <v>2000</v>
      </c>
      <c r="F1850" t="s">
        <v>68</v>
      </c>
      <c r="G1850" t="s">
        <v>179</v>
      </c>
      <c r="H1850" t="s">
        <v>180</v>
      </c>
      <c r="I1850" t="s">
        <v>144</v>
      </c>
      <c r="J1850">
        <v>0</v>
      </c>
      <c r="K1850">
        <v>45511.69804398148</v>
      </c>
      <c r="L1850">
        <v>14800</v>
      </c>
      <c r="O1850">
        <v>2000</v>
      </c>
      <c r="P1850">
        <v>1</v>
      </c>
      <c r="Q1850">
        <v>0</v>
      </c>
    </row>
    <row r="1851" spans="2:22" x14ac:dyDescent="0.25">
      <c r="B1851" t="s">
        <v>293</v>
      </c>
      <c r="C1851">
        <v>41221323</v>
      </c>
      <c r="D1851">
        <v>2028</v>
      </c>
      <c r="E1851">
        <v>200</v>
      </c>
      <c r="F1851" t="s">
        <v>68</v>
      </c>
      <c r="G1851" t="s">
        <v>153</v>
      </c>
      <c r="H1851" t="s">
        <v>154</v>
      </c>
      <c r="I1851" t="s">
        <v>105</v>
      </c>
      <c r="J1851">
        <v>0</v>
      </c>
      <c r="K1851">
        <v>45511.698055555556</v>
      </c>
      <c r="L1851">
        <v>1400</v>
      </c>
      <c r="O1851">
        <v>100</v>
      </c>
      <c r="P1851">
        <v>2</v>
      </c>
      <c r="Q1851">
        <v>0</v>
      </c>
    </row>
    <row r="1852" spans="2:22" x14ac:dyDescent="0.25">
      <c r="B1852" t="s">
        <v>293</v>
      </c>
      <c r="C1852">
        <v>41221483</v>
      </c>
      <c r="D1852">
        <v>2029</v>
      </c>
      <c r="E1852">
        <v>12000</v>
      </c>
      <c r="F1852" t="s">
        <v>68</v>
      </c>
      <c r="G1852" t="s">
        <v>103</v>
      </c>
      <c r="H1852" t="s">
        <v>104</v>
      </c>
      <c r="I1852" t="s">
        <v>105</v>
      </c>
      <c r="J1852">
        <v>0</v>
      </c>
      <c r="K1852">
        <v>45511.698055555556</v>
      </c>
      <c r="L1852">
        <v>136000</v>
      </c>
      <c r="O1852">
        <v>2400</v>
      </c>
      <c r="P1852">
        <v>5</v>
      </c>
      <c r="Q1852">
        <v>0</v>
      </c>
    </row>
    <row r="1853" spans="2:22" x14ac:dyDescent="0.25">
      <c r="B1853" t="s">
        <v>293</v>
      </c>
      <c r="C1853">
        <v>41221698</v>
      </c>
      <c r="D1853">
        <v>2030</v>
      </c>
      <c r="E1853">
        <v>750</v>
      </c>
      <c r="F1853" t="s">
        <v>68</v>
      </c>
      <c r="G1853" t="s">
        <v>125</v>
      </c>
      <c r="H1853" t="s">
        <v>126</v>
      </c>
      <c r="I1853" t="s">
        <v>105</v>
      </c>
      <c r="J1853">
        <v>0</v>
      </c>
      <c r="K1853">
        <v>45511.698067129626</v>
      </c>
      <c r="L1853">
        <v>11080</v>
      </c>
      <c r="O1853">
        <v>2400</v>
      </c>
      <c r="P1853">
        <v>0</v>
      </c>
      <c r="Q1853">
        <v>750</v>
      </c>
    </row>
    <row r="1854" spans="2:22" x14ac:dyDescent="0.25">
      <c r="B1854" t="s">
        <v>293</v>
      </c>
      <c r="C1854">
        <v>41221742</v>
      </c>
      <c r="D1854">
        <v>2031</v>
      </c>
      <c r="E1854">
        <v>500</v>
      </c>
      <c r="F1854" t="s">
        <v>68</v>
      </c>
      <c r="G1854" t="s">
        <v>115</v>
      </c>
      <c r="H1854" t="s">
        <v>116</v>
      </c>
      <c r="I1854" t="s">
        <v>105</v>
      </c>
      <c r="J1854">
        <v>0</v>
      </c>
      <c r="K1854">
        <v>45511.698067129626</v>
      </c>
      <c r="L1854">
        <v>3150</v>
      </c>
      <c r="O1854">
        <v>700</v>
      </c>
      <c r="P1854">
        <v>0</v>
      </c>
      <c r="Q1854">
        <v>500</v>
      </c>
    </row>
    <row r="1855" spans="2:22" x14ac:dyDescent="0.25">
      <c r="B1855" t="s">
        <v>293</v>
      </c>
      <c r="C1855">
        <v>41221574</v>
      </c>
      <c r="D1855">
        <v>2032</v>
      </c>
      <c r="E1855">
        <v>100</v>
      </c>
      <c r="F1855" t="s">
        <v>68</v>
      </c>
      <c r="G1855" t="s">
        <v>151</v>
      </c>
      <c r="H1855" t="s">
        <v>152</v>
      </c>
      <c r="I1855" t="s">
        <v>105</v>
      </c>
      <c r="J1855">
        <v>0</v>
      </c>
      <c r="K1855">
        <v>45511.698078703703</v>
      </c>
      <c r="L1855">
        <v>176</v>
      </c>
      <c r="O1855">
        <v>200</v>
      </c>
      <c r="P1855">
        <v>0</v>
      </c>
      <c r="Q1855">
        <v>100</v>
      </c>
    </row>
    <row r="1856" spans="2:22" x14ac:dyDescent="0.25">
      <c r="B1856" t="s">
        <v>293</v>
      </c>
      <c r="C1856">
        <v>41221742</v>
      </c>
      <c r="D1856" t="s">
        <v>1005</v>
      </c>
      <c r="E1856">
        <v>1100</v>
      </c>
      <c r="F1856" t="s">
        <v>68</v>
      </c>
      <c r="G1856" t="s">
        <v>115</v>
      </c>
      <c r="H1856" t="s">
        <v>116</v>
      </c>
      <c r="I1856" t="s">
        <v>105</v>
      </c>
      <c r="J1856">
        <v>0</v>
      </c>
      <c r="K1856">
        <v>45516.453888888886</v>
      </c>
      <c r="L1856">
        <v>2050</v>
      </c>
      <c r="O1856">
        <v>700</v>
      </c>
      <c r="P1856">
        <v>1</v>
      </c>
      <c r="Q1856">
        <v>400</v>
      </c>
    </row>
    <row r="1857" spans="2:22" x14ac:dyDescent="0.25">
      <c r="B1857" t="s">
        <v>293</v>
      </c>
      <c r="C1857">
        <v>41221323</v>
      </c>
      <c r="D1857">
        <v>2034</v>
      </c>
      <c r="E1857">
        <v>400</v>
      </c>
      <c r="F1857" t="s">
        <v>68</v>
      </c>
      <c r="G1857" t="s">
        <v>153</v>
      </c>
      <c r="H1857" t="s">
        <v>154</v>
      </c>
      <c r="I1857" t="s">
        <v>105</v>
      </c>
      <c r="J1857">
        <v>0</v>
      </c>
      <c r="K1857">
        <v>45516.453912037039</v>
      </c>
      <c r="L1857">
        <v>1000</v>
      </c>
      <c r="O1857">
        <v>100</v>
      </c>
      <c r="P1857">
        <v>4</v>
      </c>
      <c r="Q1857">
        <v>0</v>
      </c>
    </row>
    <row r="1858" spans="2:22" x14ac:dyDescent="0.25">
      <c r="B1858" t="s">
        <v>1006</v>
      </c>
      <c r="E1858">
        <v>144</v>
      </c>
      <c r="F1858" t="s">
        <v>68</v>
      </c>
      <c r="G1858" t="s">
        <v>552</v>
      </c>
      <c r="H1858" t="s">
        <v>692</v>
      </c>
      <c r="I1858" t="s">
        <v>693</v>
      </c>
      <c r="J1858">
        <v>1</v>
      </c>
      <c r="K1858">
        <v>45517.402743055558</v>
      </c>
      <c r="L1858">
        <v>144</v>
      </c>
      <c r="M1858">
        <v>45512</v>
      </c>
      <c r="O1858">
        <v>12</v>
      </c>
      <c r="P1858">
        <v>12</v>
      </c>
      <c r="Q1858">
        <v>0</v>
      </c>
      <c r="V1858" t="s">
        <v>695</v>
      </c>
    </row>
    <row r="1859" spans="2:22" x14ac:dyDescent="0.25">
      <c r="B1859" t="s">
        <v>1007</v>
      </c>
      <c r="E1859">
        <v>400</v>
      </c>
      <c r="F1859" t="s">
        <v>68</v>
      </c>
      <c r="G1859" t="s">
        <v>151</v>
      </c>
      <c r="H1859" t="s">
        <v>152</v>
      </c>
      <c r="I1859" t="s">
        <v>105</v>
      </c>
      <c r="J1859">
        <v>1</v>
      </c>
      <c r="K1859">
        <v>45517.609050925923</v>
      </c>
      <c r="L1859">
        <v>576</v>
      </c>
      <c r="M1859" t="s">
        <v>1008</v>
      </c>
      <c r="O1859">
        <v>200</v>
      </c>
      <c r="P1859">
        <v>2</v>
      </c>
      <c r="Q1859">
        <v>0</v>
      </c>
    </row>
    <row r="1860" spans="2:22" x14ac:dyDescent="0.25">
      <c r="B1860" t="s">
        <v>293</v>
      </c>
      <c r="C1860">
        <v>41220908</v>
      </c>
      <c r="D1860" t="s">
        <v>1009</v>
      </c>
      <c r="E1860">
        <v>5</v>
      </c>
      <c r="F1860" t="s">
        <v>68</v>
      </c>
      <c r="G1860" t="s">
        <v>182</v>
      </c>
      <c r="H1860" t="s">
        <v>183</v>
      </c>
      <c r="J1860">
        <v>0</v>
      </c>
      <c r="K1860">
        <v>45519.472557870373</v>
      </c>
      <c r="L1860">
        <v>69</v>
      </c>
      <c r="O1860">
        <v>36</v>
      </c>
      <c r="P1860">
        <v>0</v>
      </c>
      <c r="Q1860">
        <v>5</v>
      </c>
    </row>
    <row r="1861" spans="2:22" x14ac:dyDescent="0.25">
      <c r="B1861" t="s">
        <v>293</v>
      </c>
      <c r="C1861">
        <v>41221389</v>
      </c>
      <c r="D1861" t="s">
        <v>1010</v>
      </c>
      <c r="E1861">
        <v>180</v>
      </c>
      <c r="F1861" t="s">
        <v>68</v>
      </c>
      <c r="G1861" t="s">
        <v>159</v>
      </c>
      <c r="H1861" t="s">
        <v>796</v>
      </c>
      <c r="I1861" t="s">
        <v>161</v>
      </c>
      <c r="J1861">
        <v>0</v>
      </c>
      <c r="K1861">
        <v>45519.472557870373</v>
      </c>
      <c r="L1861">
        <v>3672</v>
      </c>
      <c r="O1861">
        <v>36</v>
      </c>
      <c r="P1861">
        <v>5</v>
      </c>
      <c r="Q1861">
        <v>0</v>
      </c>
    </row>
    <row r="1862" spans="2:22" x14ac:dyDescent="0.25">
      <c r="B1862" t="s">
        <v>293</v>
      </c>
      <c r="C1862">
        <v>41221796</v>
      </c>
      <c r="D1862" t="s">
        <v>1011</v>
      </c>
      <c r="E1862">
        <v>300</v>
      </c>
      <c r="F1862" t="s">
        <v>68</v>
      </c>
      <c r="G1862" t="s">
        <v>163</v>
      </c>
      <c r="H1862" t="s">
        <v>164</v>
      </c>
      <c r="I1862" t="s">
        <v>165</v>
      </c>
      <c r="J1862">
        <v>0</v>
      </c>
      <c r="K1862">
        <v>45519.472569444442</v>
      </c>
      <c r="L1862">
        <v>2662</v>
      </c>
      <c r="O1862">
        <v>12</v>
      </c>
      <c r="P1862">
        <v>25</v>
      </c>
      <c r="Q1862">
        <v>0</v>
      </c>
    </row>
    <row r="1863" spans="2:22" x14ac:dyDescent="0.25">
      <c r="B1863" t="s">
        <v>293</v>
      </c>
      <c r="C1863">
        <v>41221789</v>
      </c>
      <c r="D1863">
        <v>2038</v>
      </c>
      <c r="E1863">
        <v>20</v>
      </c>
      <c r="F1863" t="s">
        <v>68</v>
      </c>
      <c r="G1863" t="s">
        <v>483</v>
      </c>
      <c r="H1863" t="s">
        <v>150</v>
      </c>
      <c r="I1863" t="s">
        <v>144</v>
      </c>
      <c r="J1863">
        <v>0</v>
      </c>
      <c r="K1863">
        <v>45519.472569444442</v>
      </c>
      <c r="L1863">
        <v>334</v>
      </c>
      <c r="O1863">
        <v>4</v>
      </c>
      <c r="P1863">
        <v>5</v>
      </c>
      <c r="Q1863">
        <v>0</v>
      </c>
    </row>
    <row r="1864" spans="2:22" x14ac:dyDescent="0.25">
      <c r="B1864" t="s">
        <v>293</v>
      </c>
      <c r="C1864">
        <v>41220883</v>
      </c>
      <c r="D1864">
        <v>2039</v>
      </c>
      <c r="E1864">
        <v>3</v>
      </c>
      <c r="F1864" t="s">
        <v>68</v>
      </c>
      <c r="G1864" t="s">
        <v>482</v>
      </c>
      <c r="H1864" t="s">
        <v>148</v>
      </c>
      <c r="I1864" t="s">
        <v>144</v>
      </c>
      <c r="J1864">
        <v>0</v>
      </c>
      <c r="K1864">
        <v>45519.472581018519</v>
      </c>
      <c r="L1864">
        <v>202</v>
      </c>
      <c r="O1864">
        <v>24</v>
      </c>
      <c r="P1864">
        <v>0</v>
      </c>
      <c r="Q1864">
        <v>3</v>
      </c>
    </row>
    <row r="1865" spans="2:22" x14ac:dyDescent="0.25">
      <c r="B1865" t="s">
        <v>293</v>
      </c>
      <c r="C1865">
        <v>41221736</v>
      </c>
      <c r="D1865">
        <v>2040</v>
      </c>
      <c r="E1865">
        <v>120</v>
      </c>
      <c r="F1865" t="s">
        <v>68</v>
      </c>
      <c r="G1865" t="s">
        <v>485</v>
      </c>
      <c r="H1865" t="s">
        <v>178</v>
      </c>
      <c r="I1865" t="s">
        <v>144</v>
      </c>
      <c r="J1865">
        <v>0</v>
      </c>
      <c r="K1865">
        <v>45519.472581018519</v>
      </c>
      <c r="L1865">
        <v>2140</v>
      </c>
      <c r="O1865">
        <v>100</v>
      </c>
      <c r="P1865">
        <v>1</v>
      </c>
      <c r="Q1865">
        <v>19.999999999999996</v>
      </c>
      <c r="V1865" t="s">
        <v>798</v>
      </c>
    </row>
    <row r="1866" spans="2:22" x14ac:dyDescent="0.25">
      <c r="B1866" t="s">
        <v>293</v>
      </c>
      <c r="C1866">
        <v>41221787</v>
      </c>
      <c r="D1866">
        <v>2041</v>
      </c>
      <c r="E1866">
        <v>200</v>
      </c>
      <c r="F1866" t="s">
        <v>68</v>
      </c>
      <c r="G1866" t="s">
        <v>201</v>
      </c>
      <c r="H1866" t="s">
        <v>202</v>
      </c>
      <c r="I1866" t="s">
        <v>144</v>
      </c>
      <c r="J1866">
        <v>0</v>
      </c>
      <c r="K1866">
        <v>45519.472581018519</v>
      </c>
      <c r="L1866">
        <v>2100</v>
      </c>
      <c r="O1866">
        <v>100</v>
      </c>
      <c r="P1866">
        <v>2</v>
      </c>
      <c r="Q1866">
        <v>0</v>
      </c>
    </row>
    <row r="1867" spans="2:22" x14ac:dyDescent="0.25">
      <c r="B1867" t="s">
        <v>293</v>
      </c>
      <c r="C1867">
        <v>41221573</v>
      </c>
      <c r="D1867">
        <v>2042</v>
      </c>
      <c r="E1867">
        <v>288</v>
      </c>
      <c r="F1867" t="s">
        <v>135</v>
      </c>
      <c r="G1867" t="s">
        <v>140</v>
      </c>
      <c r="H1867" t="s">
        <v>137</v>
      </c>
      <c r="I1867" t="s">
        <v>138</v>
      </c>
      <c r="J1867">
        <v>0</v>
      </c>
      <c r="K1867">
        <v>45519.472592592596</v>
      </c>
      <c r="L1867">
        <v>1362</v>
      </c>
      <c r="O1867">
        <v>144</v>
      </c>
      <c r="P1867">
        <v>2</v>
      </c>
      <c r="Q1867">
        <v>0</v>
      </c>
    </row>
    <row r="1868" spans="2:22" x14ac:dyDescent="0.25">
      <c r="B1868" t="s">
        <v>293</v>
      </c>
      <c r="C1868">
        <v>41219252</v>
      </c>
      <c r="D1868">
        <v>2043</v>
      </c>
      <c r="E1868">
        <v>240</v>
      </c>
      <c r="F1868" t="s">
        <v>68</v>
      </c>
      <c r="G1868" t="s">
        <v>155</v>
      </c>
      <c r="H1868" t="s">
        <v>156</v>
      </c>
      <c r="J1868">
        <v>0</v>
      </c>
      <c r="K1868">
        <v>45519.472592592596</v>
      </c>
      <c r="L1868">
        <v>226</v>
      </c>
      <c r="O1868">
        <v>24</v>
      </c>
      <c r="P1868">
        <v>10</v>
      </c>
      <c r="Q1868">
        <v>0</v>
      </c>
    </row>
    <row r="1869" spans="2:22" x14ac:dyDescent="0.25">
      <c r="B1869" t="s">
        <v>293</v>
      </c>
      <c r="C1869">
        <v>41221741</v>
      </c>
      <c r="D1869">
        <v>2044</v>
      </c>
      <c r="E1869">
        <v>2000</v>
      </c>
      <c r="F1869" t="s">
        <v>68</v>
      </c>
      <c r="G1869" t="s">
        <v>179</v>
      </c>
      <c r="H1869" t="s">
        <v>180</v>
      </c>
      <c r="I1869" t="s">
        <v>144</v>
      </c>
      <c r="J1869">
        <v>0</v>
      </c>
      <c r="K1869">
        <v>45519.472604166665</v>
      </c>
      <c r="L1869">
        <v>12800</v>
      </c>
      <c r="O1869">
        <v>2000</v>
      </c>
      <c r="P1869">
        <v>1</v>
      </c>
      <c r="Q1869">
        <v>0</v>
      </c>
    </row>
    <row r="1870" spans="2:22" x14ac:dyDescent="0.25">
      <c r="B1870" t="s">
        <v>293</v>
      </c>
      <c r="C1870">
        <v>41221323</v>
      </c>
      <c r="D1870">
        <v>2045</v>
      </c>
      <c r="E1870">
        <v>200</v>
      </c>
      <c r="F1870" t="s">
        <v>68</v>
      </c>
      <c r="G1870" t="s">
        <v>153</v>
      </c>
      <c r="H1870" t="s">
        <v>154</v>
      </c>
      <c r="I1870" t="s">
        <v>105</v>
      </c>
      <c r="J1870">
        <v>0</v>
      </c>
      <c r="K1870">
        <v>45519.472604166665</v>
      </c>
      <c r="L1870">
        <v>800</v>
      </c>
      <c r="O1870">
        <v>100</v>
      </c>
      <c r="P1870">
        <v>2</v>
      </c>
      <c r="Q1870">
        <v>0</v>
      </c>
    </row>
    <row r="1871" spans="2:22" x14ac:dyDescent="0.25">
      <c r="B1871" t="s">
        <v>293</v>
      </c>
      <c r="C1871">
        <v>41221483</v>
      </c>
      <c r="D1871">
        <v>2046</v>
      </c>
      <c r="E1871">
        <v>12000</v>
      </c>
      <c r="F1871" t="s">
        <v>68</v>
      </c>
      <c r="G1871" t="s">
        <v>103</v>
      </c>
      <c r="H1871" t="s">
        <v>104</v>
      </c>
      <c r="I1871" t="s">
        <v>105</v>
      </c>
      <c r="J1871">
        <v>0</v>
      </c>
      <c r="K1871">
        <v>45519.472615740742</v>
      </c>
      <c r="L1871">
        <v>124000</v>
      </c>
      <c r="O1871">
        <v>2400</v>
      </c>
      <c r="P1871">
        <v>5</v>
      </c>
      <c r="Q1871">
        <v>0</v>
      </c>
    </row>
    <row r="1872" spans="2:22" x14ac:dyDescent="0.25">
      <c r="B1872" t="s">
        <v>293</v>
      </c>
      <c r="C1872">
        <v>41221698</v>
      </c>
      <c r="D1872">
        <v>2047</v>
      </c>
      <c r="E1872">
        <v>750</v>
      </c>
      <c r="F1872" t="s">
        <v>68</v>
      </c>
      <c r="G1872" t="s">
        <v>125</v>
      </c>
      <c r="H1872" t="s">
        <v>126</v>
      </c>
      <c r="I1872" t="s">
        <v>105</v>
      </c>
      <c r="J1872">
        <v>0</v>
      </c>
      <c r="K1872">
        <v>45519.472627314812</v>
      </c>
      <c r="L1872">
        <v>10330</v>
      </c>
      <c r="O1872">
        <v>2400</v>
      </c>
      <c r="P1872">
        <v>0</v>
      </c>
      <c r="Q1872">
        <v>750</v>
      </c>
    </row>
    <row r="1873" spans="2:22" x14ac:dyDescent="0.25">
      <c r="B1873" t="s">
        <v>293</v>
      </c>
      <c r="C1873">
        <v>41221574</v>
      </c>
      <c r="D1873">
        <v>2048</v>
      </c>
      <c r="E1873">
        <v>100</v>
      </c>
      <c r="F1873" t="s">
        <v>68</v>
      </c>
      <c r="G1873" t="s">
        <v>151</v>
      </c>
      <c r="H1873" t="s">
        <v>152</v>
      </c>
      <c r="I1873" t="s">
        <v>105</v>
      </c>
      <c r="J1873">
        <v>0</v>
      </c>
      <c r="K1873">
        <v>45519.472627314812</v>
      </c>
      <c r="L1873">
        <v>476</v>
      </c>
      <c r="O1873">
        <v>200</v>
      </c>
      <c r="P1873">
        <v>0</v>
      </c>
      <c r="Q1873">
        <v>100</v>
      </c>
    </row>
    <row r="1874" spans="2:22" x14ac:dyDescent="0.25">
      <c r="B1874" t="s">
        <v>1012</v>
      </c>
      <c r="C1874" t="s">
        <v>1013</v>
      </c>
      <c r="D1874" t="s">
        <v>1014</v>
      </c>
      <c r="E1874">
        <v>7328</v>
      </c>
      <c r="F1874" t="s">
        <v>68</v>
      </c>
      <c r="G1874" t="s">
        <v>168</v>
      </c>
      <c r="H1874" t="s">
        <v>520</v>
      </c>
      <c r="J1874">
        <v>0</v>
      </c>
      <c r="K1874">
        <v>45525.379884259259</v>
      </c>
      <c r="L1874">
        <v>0</v>
      </c>
      <c r="O1874">
        <v>500</v>
      </c>
      <c r="P1874">
        <v>14</v>
      </c>
      <c r="Q1874">
        <v>328.00000000000028</v>
      </c>
    </row>
    <row r="1875" spans="2:22" x14ac:dyDescent="0.25">
      <c r="B1875" t="s">
        <v>1012</v>
      </c>
      <c r="C1875" t="s">
        <v>1013</v>
      </c>
      <c r="D1875">
        <v>2049</v>
      </c>
      <c r="E1875">
        <v>24900</v>
      </c>
      <c r="F1875" t="s">
        <v>68</v>
      </c>
      <c r="G1875" t="s">
        <v>172</v>
      </c>
      <c r="H1875" t="s">
        <v>173</v>
      </c>
      <c r="I1875" t="s">
        <v>105</v>
      </c>
      <c r="J1875">
        <v>0</v>
      </c>
      <c r="K1875">
        <v>45525.379884259259</v>
      </c>
      <c r="L1875">
        <v>0</v>
      </c>
      <c r="O1875">
        <v>2400</v>
      </c>
      <c r="P1875">
        <v>10</v>
      </c>
      <c r="Q1875">
        <v>900</v>
      </c>
    </row>
    <row r="1876" spans="2:22" x14ac:dyDescent="0.25">
      <c r="B1876" t="s">
        <v>1012</v>
      </c>
      <c r="C1876" t="s">
        <v>1013</v>
      </c>
      <c r="D1876">
        <v>2049</v>
      </c>
      <c r="E1876">
        <v>636</v>
      </c>
      <c r="F1876" t="s">
        <v>68</v>
      </c>
      <c r="G1876" t="s">
        <v>109</v>
      </c>
      <c r="H1876" t="s">
        <v>162</v>
      </c>
      <c r="J1876">
        <v>0</v>
      </c>
      <c r="K1876">
        <v>45525.379895833335</v>
      </c>
      <c r="L1876">
        <v>0</v>
      </c>
      <c r="O1876">
        <v>96</v>
      </c>
      <c r="P1876">
        <v>6</v>
      </c>
      <c r="Q1876">
        <v>60</v>
      </c>
      <c r="V1876" t="s">
        <v>797</v>
      </c>
    </row>
    <row r="1877" spans="2:22" x14ac:dyDescent="0.25">
      <c r="B1877" t="s">
        <v>1012</v>
      </c>
      <c r="C1877" t="s">
        <v>1013</v>
      </c>
      <c r="D1877">
        <v>2049</v>
      </c>
      <c r="E1877">
        <v>58</v>
      </c>
      <c r="F1877" t="s">
        <v>68</v>
      </c>
      <c r="G1877" t="s">
        <v>357</v>
      </c>
      <c r="H1877" t="s">
        <v>181</v>
      </c>
      <c r="J1877">
        <v>0</v>
      </c>
      <c r="K1877">
        <v>45525.379907407405</v>
      </c>
      <c r="L1877">
        <v>0</v>
      </c>
      <c r="O1877">
        <v>40</v>
      </c>
      <c r="P1877">
        <v>1</v>
      </c>
      <c r="Q1877">
        <v>18</v>
      </c>
    </row>
    <row r="1878" spans="2:22" x14ac:dyDescent="0.25">
      <c r="B1878" t="s">
        <v>1012</v>
      </c>
      <c r="C1878" t="s">
        <v>1013</v>
      </c>
      <c r="D1878" t="s">
        <v>1014</v>
      </c>
      <c r="E1878">
        <v>45</v>
      </c>
      <c r="F1878" t="s">
        <v>135</v>
      </c>
      <c r="G1878" t="s">
        <v>216</v>
      </c>
      <c r="H1878" t="s">
        <v>208</v>
      </c>
      <c r="I1878" t="s">
        <v>209</v>
      </c>
      <c r="J1878">
        <v>0</v>
      </c>
      <c r="K1878">
        <v>45525.379918981482</v>
      </c>
      <c r="L1878">
        <v>0</v>
      </c>
      <c r="O1878">
        <v>1</v>
      </c>
      <c r="P1878">
        <v>45</v>
      </c>
      <c r="Q1878">
        <v>0</v>
      </c>
    </row>
    <row r="1879" spans="2:22" x14ac:dyDescent="0.25">
      <c r="B1879" t="s">
        <v>1012</v>
      </c>
      <c r="C1879" t="s">
        <v>1013</v>
      </c>
      <c r="D1879">
        <v>2049</v>
      </c>
      <c r="E1879">
        <v>44</v>
      </c>
      <c r="F1879" t="s">
        <v>135</v>
      </c>
      <c r="G1879" t="s">
        <v>350</v>
      </c>
      <c r="H1879" t="s">
        <v>208</v>
      </c>
      <c r="I1879" t="s">
        <v>209</v>
      </c>
      <c r="J1879">
        <v>0</v>
      </c>
      <c r="K1879">
        <v>45525.379918981482</v>
      </c>
      <c r="L1879">
        <v>0</v>
      </c>
      <c r="O1879">
        <v>1</v>
      </c>
      <c r="P1879">
        <v>44</v>
      </c>
      <c r="Q1879">
        <v>0</v>
      </c>
    </row>
    <row r="1880" spans="2:22" x14ac:dyDescent="0.25">
      <c r="B1880" t="s">
        <v>1012</v>
      </c>
      <c r="C1880" t="s">
        <v>1013</v>
      </c>
      <c r="D1880">
        <v>2049</v>
      </c>
      <c r="E1880">
        <v>94</v>
      </c>
      <c r="F1880" t="s">
        <v>135</v>
      </c>
      <c r="G1880" t="s">
        <v>64</v>
      </c>
      <c r="H1880" t="s">
        <v>208</v>
      </c>
      <c r="I1880" t="s">
        <v>209</v>
      </c>
      <c r="J1880">
        <v>0</v>
      </c>
      <c r="K1880">
        <v>45525.379930555559</v>
      </c>
      <c r="L1880">
        <v>0</v>
      </c>
      <c r="O1880">
        <v>1</v>
      </c>
      <c r="P1880">
        <v>94</v>
      </c>
      <c r="Q1880">
        <v>0</v>
      </c>
    </row>
    <row r="1881" spans="2:22" x14ac:dyDescent="0.25">
      <c r="B1881" t="s">
        <v>1012</v>
      </c>
      <c r="C1881" t="s">
        <v>1013</v>
      </c>
      <c r="D1881">
        <v>2049</v>
      </c>
      <c r="E1881">
        <v>46</v>
      </c>
      <c r="F1881" t="s">
        <v>135</v>
      </c>
      <c r="G1881" t="s">
        <v>217</v>
      </c>
      <c r="H1881" t="s">
        <v>208</v>
      </c>
      <c r="I1881" t="s">
        <v>209</v>
      </c>
      <c r="J1881">
        <v>0</v>
      </c>
      <c r="K1881">
        <v>45525.379942129628</v>
      </c>
      <c r="L1881">
        <v>0</v>
      </c>
      <c r="O1881">
        <v>1</v>
      </c>
      <c r="P1881">
        <v>46</v>
      </c>
      <c r="Q1881">
        <v>0</v>
      </c>
    </row>
    <row r="1882" spans="2:22" x14ac:dyDescent="0.25">
      <c r="B1882" t="s">
        <v>1012</v>
      </c>
      <c r="C1882" t="s">
        <v>1013</v>
      </c>
      <c r="D1882">
        <v>2049</v>
      </c>
      <c r="E1882">
        <v>68</v>
      </c>
      <c r="F1882" t="s">
        <v>135</v>
      </c>
      <c r="G1882" t="s">
        <v>331</v>
      </c>
      <c r="H1882" t="s">
        <v>208</v>
      </c>
      <c r="I1882" t="s">
        <v>209</v>
      </c>
      <c r="J1882">
        <v>0</v>
      </c>
      <c r="K1882">
        <v>45525.379942129628</v>
      </c>
      <c r="L1882">
        <v>0</v>
      </c>
      <c r="O1882">
        <v>1</v>
      </c>
      <c r="P1882">
        <v>68</v>
      </c>
      <c r="Q1882">
        <v>0</v>
      </c>
    </row>
    <row r="1883" spans="2:22" x14ac:dyDescent="0.25">
      <c r="B1883" t="s">
        <v>1012</v>
      </c>
      <c r="C1883" t="s">
        <v>1013</v>
      </c>
      <c r="D1883">
        <v>2049</v>
      </c>
      <c r="E1883">
        <v>56</v>
      </c>
      <c r="F1883" t="s">
        <v>135</v>
      </c>
      <c r="G1883" t="s">
        <v>218</v>
      </c>
      <c r="H1883" t="s">
        <v>208</v>
      </c>
      <c r="I1883" t="s">
        <v>209</v>
      </c>
      <c r="J1883">
        <v>0</v>
      </c>
      <c r="K1883">
        <v>45525.379953703705</v>
      </c>
      <c r="L1883">
        <v>0</v>
      </c>
      <c r="O1883">
        <v>1</v>
      </c>
      <c r="P1883">
        <v>56</v>
      </c>
      <c r="Q1883">
        <v>0</v>
      </c>
    </row>
    <row r="1884" spans="2:22" x14ac:dyDescent="0.25">
      <c r="B1884" t="s">
        <v>1012</v>
      </c>
      <c r="C1884" t="s">
        <v>1013</v>
      </c>
      <c r="D1884" t="s">
        <v>1014</v>
      </c>
      <c r="E1884">
        <v>53</v>
      </c>
      <c r="F1884" t="s">
        <v>135</v>
      </c>
      <c r="G1884" t="s">
        <v>65</v>
      </c>
      <c r="H1884" t="s">
        <v>208</v>
      </c>
      <c r="I1884" t="s">
        <v>209</v>
      </c>
      <c r="J1884">
        <v>0</v>
      </c>
      <c r="K1884">
        <v>45525.379965277774</v>
      </c>
      <c r="L1884">
        <v>0</v>
      </c>
      <c r="O1884">
        <v>1</v>
      </c>
      <c r="P1884">
        <v>53</v>
      </c>
      <c r="Q1884">
        <v>0</v>
      </c>
    </row>
    <row r="1885" spans="2:22" x14ac:dyDescent="0.25">
      <c r="B1885" t="s">
        <v>1012</v>
      </c>
      <c r="C1885" t="s">
        <v>1013</v>
      </c>
      <c r="D1885">
        <v>2049</v>
      </c>
      <c r="E1885">
        <v>4</v>
      </c>
      <c r="F1885" t="s">
        <v>135</v>
      </c>
      <c r="G1885" t="s">
        <v>220</v>
      </c>
      <c r="H1885" t="s">
        <v>208</v>
      </c>
      <c r="I1885" t="s">
        <v>209</v>
      </c>
      <c r="J1885">
        <v>0</v>
      </c>
      <c r="K1885">
        <v>45525.379965277774</v>
      </c>
      <c r="L1885">
        <v>0</v>
      </c>
      <c r="O1885">
        <v>1</v>
      </c>
      <c r="P1885">
        <v>4</v>
      </c>
      <c r="Q1885">
        <v>0</v>
      </c>
    </row>
    <row r="1886" spans="2:22" x14ac:dyDescent="0.25">
      <c r="B1886" t="s">
        <v>1012</v>
      </c>
      <c r="C1886" t="s">
        <v>1013</v>
      </c>
      <c r="D1886">
        <v>2049</v>
      </c>
      <c r="E1886">
        <v>2</v>
      </c>
      <c r="F1886" t="s">
        <v>135</v>
      </c>
      <c r="G1886" t="s">
        <v>228</v>
      </c>
      <c r="H1886" t="s">
        <v>208</v>
      </c>
      <c r="I1886" t="s">
        <v>209</v>
      </c>
      <c r="J1886">
        <v>0</v>
      </c>
      <c r="K1886">
        <v>45525.379976851851</v>
      </c>
      <c r="L1886">
        <v>0</v>
      </c>
      <c r="O1886">
        <v>1</v>
      </c>
      <c r="P1886">
        <v>2</v>
      </c>
      <c r="Q1886">
        <v>0</v>
      </c>
    </row>
    <row r="1887" spans="2:22" x14ac:dyDescent="0.25">
      <c r="B1887" t="s">
        <v>1012</v>
      </c>
      <c r="C1887" t="s">
        <v>1013</v>
      </c>
      <c r="D1887">
        <v>2049</v>
      </c>
      <c r="E1887">
        <v>3</v>
      </c>
      <c r="F1887" t="s">
        <v>135</v>
      </c>
      <c r="G1887" t="s">
        <v>229</v>
      </c>
      <c r="H1887" t="s">
        <v>208</v>
      </c>
      <c r="I1887" t="s">
        <v>209</v>
      </c>
      <c r="J1887">
        <v>0</v>
      </c>
      <c r="K1887">
        <v>45525.379988425928</v>
      </c>
      <c r="L1887">
        <v>0</v>
      </c>
      <c r="O1887">
        <v>1</v>
      </c>
      <c r="P1887">
        <v>3</v>
      </c>
      <c r="Q1887">
        <v>0</v>
      </c>
    </row>
    <row r="1888" spans="2:22" x14ac:dyDescent="0.25">
      <c r="B1888" t="s">
        <v>1012</v>
      </c>
      <c r="C1888" t="s">
        <v>1013</v>
      </c>
      <c r="D1888">
        <v>2049</v>
      </c>
      <c r="E1888">
        <v>5</v>
      </c>
      <c r="F1888" t="s">
        <v>135</v>
      </c>
      <c r="G1888" t="s">
        <v>230</v>
      </c>
      <c r="H1888" t="s">
        <v>208</v>
      </c>
      <c r="I1888" t="s">
        <v>209</v>
      </c>
      <c r="J1888">
        <v>0</v>
      </c>
      <c r="K1888">
        <v>45525.379988425928</v>
      </c>
      <c r="L1888">
        <v>0</v>
      </c>
      <c r="O1888">
        <v>1</v>
      </c>
      <c r="P1888">
        <v>5</v>
      </c>
      <c r="Q1888">
        <v>0</v>
      </c>
    </row>
    <row r="1889" spans="2:22" x14ac:dyDescent="0.25">
      <c r="B1889" t="s">
        <v>1012</v>
      </c>
      <c r="C1889" t="s">
        <v>1013</v>
      </c>
      <c r="D1889">
        <v>2049</v>
      </c>
      <c r="E1889">
        <v>55</v>
      </c>
      <c r="F1889" t="s">
        <v>135</v>
      </c>
      <c r="G1889" t="s">
        <v>219</v>
      </c>
      <c r="H1889" t="s">
        <v>208</v>
      </c>
      <c r="I1889" t="s">
        <v>209</v>
      </c>
      <c r="J1889">
        <v>0</v>
      </c>
      <c r="K1889">
        <v>45525.38</v>
      </c>
      <c r="L1889">
        <v>0</v>
      </c>
      <c r="O1889">
        <v>1</v>
      </c>
      <c r="P1889">
        <v>55</v>
      </c>
      <c r="Q1889">
        <v>0</v>
      </c>
    </row>
    <row r="1890" spans="2:22" x14ac:dyDescent="0.25">
      <c r="B1890" t="s">
        <v>1015</v>
      </c>
      <c r="C1890" t="s">
        <v>67</v>
      </c>
      <c r="D1890" t="s">
        <v>67</v>
      </c>
      <c r="E1890">
        <v>3000</v>
      </c>
      <c r="F1890" t="s">
        <v>68</v>
      </c>
      <c r="G1890" t="s">
        <v>115</v>
      </c>
      <c r="H1890" t="s">
        <v>116</v>
      </c>
      <c r="I1890" t="s">
        <v>105</v>
      </c>
      <c r="J1890">
        <v>1</v>
      </c>
      <c r="K1890">
        <v>45526.628796296296</v>
      </c>
      <c r="L1890">
        <v>5050</v>
      </c>
      <c r="M1890" t="s">
        <v>1016</v>
      </c>
      <c r="O1890">
        <v>700</v>
      </c>
      <c r="P1890">
        <v>4</v>
      </c>
      <c r="Q1890">
        <v>199.99999999999991</v>
      </c>
    </row>
    <row r="1891" spans="2:22" x14ac:dyDescent="0.25">
      <c r="B1891" t="s">
        <v>293</v>
      </c>
      <c r="C1891">
        <v>41221736</v>
      </c>
      <c r="D1891" t="s">
        <v>1017</v>
      </c>
      <c r="E1891">
        <v>120</v>
      </c>
      <c r="F1891" t="s">
        <v>68</v>
      </c>
      <c r="G1891" t="s">
        <v>485</v>
      </c>
      <c r="H1891" t="s">
        <v>178</v>
      </c>
      <c r="I1891" t="s">
        <v>144</v>
      </c>
      <c r="J1891">
        <v>0</v>
      </c>
      <c r="K1891">
        <v>45526.68990740741</v>
      </c>
      <c r="L1891">
        <v>2020</v>
      </c>
      <c r="O1891">
        <v>100</v>
      </c>
      <c r="P1891">
        <v>1</v>
      </c>
      <c r="Q1891">
        <v>19.999999999999996</v>
      </c>
      <c r="V1891" t="s">
        <v>798</v>
      </c>
    </row>
    <row r="1892" spans="2:22" x14ac:dyDescent="0.25">
      <c r="B1892" t="s">
        <v>293</v>
      </c>
      <c r="C1892">
        <v>41221787</v>
      </c>
      <c r="D1892" t="s">
        <v>1018</v>
      </c>
      <c r="E1892">
        <v>200</v>
      </c>
      <c r="F1892" t="s">
        <v>68</v>
      </c>
      <c r="G1892" t="s">
        <v>201</v>
      </c>
      <c r="H1892" t="s">
        <v>202</v>
      </c>
      <c r="I1892" t="s">
        <v>144</v>
      </c>
      <c r="J1892">
        <v>0</v>
      </c>
      <c r="K1892">
        <v>45526.689918981479</v>
      </c>
      <c r="L1892">
        <v>1900</v>
      </c>
      <c r="O1892">
        <v>100</v>
      </c>
      <c r="P1892">
        <v>2</v>
      </c>
      <c r="Q1892">
        <v>0</v>
      </c>
    </row>
    <row r="1893" spans="2:22" x14ac:dyDescent="0.25">
      <c r="B1893" t="s">
        <v>293</v>
      </c>
      <c r="C1893">
        <v>41221573</v>
      </c>
      <c r="D1893" t="s">
        <v>1019</v>
      </c>
      <c r="E1893">
        <v>288</v>
      </c>
      <c r="F1893" t="s">
        <v>135</v>
      </c>
      <c r="G1893" t="s">
        <v>140</v>
      </c>
      <c r="H1893" t="s">
        <v>137</v>
      </c>
      <c r="I1893" t="s">
        <v>138</v>
      </c>
      <c r="J1893">
        <v>0</v>
      </c>
      <c r="K1893">
        <v>45526.689930555556</v>
      </c>
      <c r="L1893">
        <v>1074</v>
      </c>
      <c r="O1893">
        <v>144</v>
      </c>
      <c r="P1893">
        <v>2</v>
      </c>
      <c r="Q1893">
        <v>0</v>
      </c>
    </row>
    <row r="1894" spans="2:22" x14ac:dyDescent="0.25">
      <c r="B1894" t="s">
        <v>293</v>
      </c>
      <c r="C1894">
        <v>41219252</v>
      </c>
      <c r="D1894" t="s">
        <v>1020</v>
      </c>
      <c r="E1894">
        <v>228</v>
      </c>
      <c r="F1894" t="s">
        <v>68</v>
      </c>
      <c r="G1894" t="s">
        <v>155</v>
      </c>
      <c r="H1894" t="s">
        <v>156</v>
      </c>
      <c r="J1894">
        <v>0</v>
      </c>
      <c r="K1894">
        <v>45526.689930555556</v>
      </c>
      <c r="L1894">
        <v>-2</v>
      </c>
      <c r="O1894">
        <v>24</v>
      </c>
      <c r="P1894">
        <v>9</v>
      </c>
      <c r="Q1894">
        <v>12</v>
      </c>
    </row>
    <row r="1895" spans="2:22" x14ac:dyDescent="0.25">
      <c r="B1895" t="s">
        <v>293</v>
      </c>
      <c r="C1895">
        <v>41221741</v>
      </c>
      <c r="D1895" t="s">
        <v>1021</v>
      </c>
      <c r="E1895">
        <v>2000</v>
      </c>
      <c r="F1895" t="s">
        <v>68</v>
      </c>
      <c r="G1895" t="s">
        <v>179</v>
      </c>
      <c r="H1895" t="s">
        <v>180</v>
      </c>
      <c r="I1895" t="s">
        <v>144</v>
      </c>
      <c r="J1895">
        <v>0</v>
      </c>
      <c r="K1895">
        <v>45526.689942129633</v>
      </c>
      <c r="L1895">
        <v>10800</v>
      </c>
      <c r="O1895">
        <v>2000</v>
      </c>
      <c r="P1895">
        <v>1</v>
      </c>
      <c r="Q1895">
        <v>0</v>
      </c>
    </row>
    <row r="1896" spans="2:22" x14ac:dyDescent="0.25">
      <c r="B1896" t="s">
        <v>293</v>
      </c>
      <c r="C1896">
        <v>41221323</v>
      </c>
      <c r="D1896" t="s">
        <v>1022</v>
      </c>
      <c r="E1896">
        <v>300</v>
      </c>
      <c r="F1896" t="s">
        <v>68</v>
      </c>
      <c r="G1896" t="s">
        <v>153</v>
      </c>
      <c r="H1896" t="s">
        <v>154</v>
      </c>
      <c r="I1896" t="s">
        <v>105</v>
      </c>
      <c r="J1896">
        <v>0</v>
      </c>
      <c r="K1896">
        <v>45526.689942129633</v>
      </c>
      <c r="L1896">
        <v>500</v>
      </c>
      <c r="O1896">
        <v>100</v>
      </c>
      <c r="P1896">
        <v>3</v>
      </c>
      <c r="Q1896">
        <v>0</v>
      </c>
    </row>
    <row r="1897" spans="2:22" x14ac:dyDescent="0.25">
      <c r="B1897" t="s">
        <v>293</v>
      </c>
      <c r="C1897">
        <v>41221483</v>
      </c>
      <c r="D1897" t="s">
        <v>1023</v>
      </c>
      <c r="E1897">
        <v>12000</v>
      </c>
      <c r="F1897" t="s">
        <v>68</v>
      </c>
      <c r="G1897" t="s">
        <v>103</v>
      </c>
      <c r="H1897" t="s">
        <v>104</v>
      </c>
      <c r="I1897" t="s">
        <v>105</v>
      </c>
      <c r="J1897">
        <v>0</v>
      </c>
      <c r="K1897">
        <v>45526.689953703702</v>
      </c>
      <c r="L1897">
        <v>112000</v>
      </c>
      <c r="O1897">
        <v>2400</v>
      </c>
      <c r="P1897">
        <v>5</v>
      </c>
      <c r="Q1897">
        <v>0</v>
      </c>
    </row>
    <row r="1898" spans="2:22" x14ac:dyDescent="0.25">
      <c r="B1898" t="s">
        <v>293</v>
      </c>
      <c r="C1898">
        <v>41221698</v>
      </c>
      <c r="D1898" t="s">
        <v>1024</v>
      </c>
      <c r="E1898">
        <v>750</v>
      </c>
      <c r="F1898" t="s">
        <v>68</v>
      </c>
      <c r="G1898" t="s">
        <v>125</v>
      </c>
      <c r="H1898" t="s">
        <v>126</v>
      </c>
      <c r="I1898" t="s">
        <v>105</v>
      </c>
      <c r="J1898">
        <v>0</v>
      </c>
      <c r="K1898">
        <v>45526.689953703702</v>
      </c>
      <c r="L1898">
        <v>9580</v>
      </c>
      <c r="O1898">
        <v>2400</v>
      </c>
      <c r="P1898">
        <v>0</v>
      </c>
      <c r="Q1898">
        <v>750</v>
      </c>
    </row>
    <row r="1899" spans="2:22" x14ac:dyDescent="0.25">
      <c r="B1899" t="s">
        <v>293</v>
      </c>
      <c r="C1899">
        <v>41221574</v>
      </c>
      <c r="D1899" t="s">
        <v>1025</v>
      </c>
      <c r="E1899">
        <v>100</v>
      </c>
      <c r="F1899" t="s">
        <v>68</v>
      </c>
      <c r="G1899" t="s">
        <v>151</v>
      </c>
      <c r="H1899" t="s">
        <v>152</v>
      </c>
      <c r="I1899" t="s">
        <v>105</v>
      </c>
      <c r="J1899">
        <v>0</v>
      </c>
      <c r="K1899">
        <v>45526.689965277779</v>
      </c>
      <c r="L1899">
        <v>376</v>
      </c>
      <c r="O1899">
        <v>200</v>
      </c>
      <c r="P1899">
        <v>0</v>
      </c>
      <c r="Q1899">
        <v>100</v>
      </c>
    </row>
    <row r="1900" spans="2:22" x14ac:dyDescent="0.25">
      <c r="B1900" t="s">
        <v>293</v>
      </c>
      <c r="C1900">
        <v>41220908</v>
      </c>
      <c r="D1900" t="s">
        <v>1026</v>
      </c>
      <c r="E1900">
        <v>5</v>
      </c>
      <c r="F1900" t="s">
        <v>68</v>
      </c>
      <c r="G1900" t="s">
        <v>182</v>
      </c>
      <c r="H1900" t="s">
        <v>183</v>
      </c>
      <c r="J1900">
        <v>0</v>
      </c>
      <c r="K1900">
        <v>45526.689965277779</v>
      </c>
      <c r="L1900">
        <v>64</v>
      </c>
      <c r="O1900">
        <v>36</v>
      </c>
      <c r="P1900">
        <v>0</v>
      </c>
      <c r="Q1900">
        <v>5</v>
      </c>
    </row>
    <row r="1901" spans="2:22" x14ac:dyDescent="0.25">
      <c r="B1901" t="s">
        <v>293</v>
      </c>
      <c r="C1901">
        <v>41221796</v>
      </c>
      <c r="D1901" t="s">
        <v>1027</v>
      </c>
      <c r="E1901">
        <v>300</v>
      </c>
      <c r="F1901" t="s">
        <v>68</v>
      </c>
      <c r="G1901" t="s">
        <v>163</v>
      </c>
      <c r="H1901" t="s">
        <v>164</v>
      </c>
      <c r="I1901" t="s">
        <v>165</v>
      </c>
      <c r="J1901">
        <v>0</v>
      </c>
      <c r="K1901">
        <v>45526.689976851849</v>
      </c>
      <c r="L1901">
        <v>2362</v>
      </c>
      <c r="O1901">
        <v>12</v>
      </c>
      <c r="P1901">
        <v>25</v>
      </c>
      <c r="Q1901">
        <v>0</v>
      </c>
    </row>
    <row r="1902" spans="2:22" x14ac:dyDescent="0.25">
      <c r="B1902" t="s">
        <v>293</v>
      </c>
      <c r="C1902">
        <v>41221789</v>
      </c>
      <c r="D1902" t="s">
        <v>1028</v>
      </c>
      <c r="E1902">
        <v>20</v>
      </c>
      <c r="F1902" t="s">
        <v>68</v>
      </c>
      <c r="G1902" t="s">
        <v>483</v>
      </c>
      <c r="H1902" t="s">
        <v>150</v>
      </c>
      <c r="I1902" t="s">
        <v>144</v>
      </c>
      <c r="J1902">
        <v>0</v>
      </c>
      <c r="K1902">
        <v>45526.689988425926</v>
      </c>
      <c r="L1902">
        <v>314</v>
      </c>
      <c r="O1902">
        <v>4</v>
      </c>
      <c r="P1902">
        <v>5</v>
      </c>
      <c r="Q1902">
        <v>0</v>
      </c>
    </row>
    <row r="1903" spans="2:22" x14ac:dyDescent="0.25">
      <c r="B1903" t="s">
        <v>293</v>
      </c>
      <c r="C1903">
        <v>41220883</v>
      </c>
      <c r="D1903" t="s">
        <v>1029</v>
      </c>
      <c r="E1903">
        <v>3</v>
      </c>
      <c r="F1903" t="s">
        <v>68</v>
      </c>
      <c r="G1903" t="s">
        <v>482</v>
      </c>
      <c r="H1903" t="s">
        <v>148</v>
      </c>
      <c r="I1903" t="s">
        <v>144</v>
      </c>
      <c r="J1903">
        <v>0</v>
      </c>
      <c r="K1903">
        <v>45526.69</v>
      </c>
      <c r="L1903">
        <v>199</v>
      </c>
      <c r="O1903">
        <v>24</v>
      </c>
      <c r="P1903">
        <v>0</v>
      </c>
      <c r="Q1903">
        <v>3</v>
      </c>
    </row>
    <row r="1904" spans="2:22" x14ac:dyDescent="0.25">
      <c r="B1904" t="s">
        <v>293</v>
      </c>
      <c r="C1904">
        <v>41221742</v>
      </c>
      <c r="D1904" t="s">
        <v>1030</v>
      </c>
      <c r="E1904">
        <v>2400</v>
      </c>
      <c r="F1904" t="s">
        <v>68</v>
      </c>
      <c r="G1904" t="s">
        <v>115</v>
      </c>
      <c r="H1904" t="s">
        <v>116</v>
      </c>
      <c r="I1904" t="s">
        <v>105</v>
      </c>
      <c r="J1904">
        <v>0</v>
      </c>
      <c r="K1904">
        <v>45530.46329861111</v>
      </c>
      <c r="L1904">
        <v>2650</v>
      </c>
      <c r="O1904">
        <v>700</v>
      </c>
      <c r="P1904">
        <v>3</v>
      </c>
      <c r="Q1904">
        <v>299.99999999999989</v>
      </c>
    </row>
    <row r="1905" spans="2:22" x14ac:dyDescent="0.25">
      <c r="B1905" t="s">
        <v>293</v>
      </c>
      <c r="C1905">
        <v>41220883</v>
      </c>
      <c r="D1905" t="s">
        <v>1031</v>
      </c>
      <c r="E1905">
        <v>24</v>
      </c>
      <c r="F1905" t="s">
        <v>68</v>
      </c>
      <c r="G1905" t="s">
        <v>482</v>
      </c>
      <c r="H1905" t="s">
        <v>148</v>
      </c>
      <c r="I1905" t="s">
        <v>144</v>
      </c>
      <c r="J1905">
        <v>0</v>
      </c>
      <c r="K1905">
        <v>45530.463333333333</v>
      </c>
      <c r="L1905">
        <v>175</v>
      </c>
      <c r="O1905">
        <v>24</v>
      </c>
      <c r="P1905">
        <v>1</v>
      </c>
      <c r="Q1905">
        <v>0</v>
      </c>
    </row>
    <row r="1906" spans="2:22" x14ac:dyDescent="0.25">
      <c r="B1906" t="s">
        <v>293</v>
      </c>
      <c r="C1906">
        <v>41221817</v>
      </c>
      <c r="D1906" t="s">
        <v>1032</v>
      </c>
      <c r="E1906">
        <v>600</v>
      </c>
      <c r="F1906" t="s">
        <v>68</v>
      </c>
      <c r="G1906" t="s">
        <v>159</v>
      </c>
      <c r="H1906" t="s">
        <v>796</v>
      </c>
      <c r="I1906" t="s">
        <v>161</v>
      </c>
      <c r="J1906">
        <v>0</v>
      </c>
      <c r="K1906">
        <v>45530.463356481479</v>
      </c>
      <c r="L1906">
        <v>3072</v>
      </c>
      <c r="O1906">
        <v>36</v>
      </c>
      <c r="P1906">
        <v>16</v>
      </c>
      <c r="Q1906">
        <v>24.000000000000043</v>
      </c>
    </row>
    <row r="1907" spans="2:22" x14ac:dyDescent="0.25">
      <c r="B1907">
        <v>10891</v>
      </c>
      <c r="C1907" t="s">
        <v>67</v>
      </c>
      <c r="D1907" t="s">
        <v>67</v>
      </c>
      <c r="E1907">
        <v>2304</v>
      </c>
      <c r="F1907" t="s">
        <v>68</v>
      </c>
      <c r="G1907" t="s">
        <v>155</v>
      </c>
      <c r="H1907" t="s">
        <v>156</v>
      </c>
      <c r="J1907">
        <v>1</v>
      </c>
      <c r="K1907">
        <v>45532.683923611112</v>
      </c>
      <c r="L1907">
        <v>2302</v>
      </c>
      <c r="M1907" t="s">
        <v>1033</v>
      </c>
      <c r="O1907">
        <v>24</v>
      </c>
      <c r="P1907">
        <v>96</v>
      </c>
      <c r="Q1907">
        <v>0</v>
      </c>
    </row>
    <row r="1908" spans="2:22" x14ac:dyDescent="0.25">
      <c r="B1908" t="s">
        <v>434</v>
      </c>
      <c r="C1908" t="s">
        <v>511</v>
      </c>
      <c r="D1908">
        <v>98000</v>
      </c>
      <c r="E1908">
        <v>112000</v>
      </c>
      <c r="F1908" t="s">
        <v>68</v>
      </c>
      <c r="G1908" t="s">
        <v>103</v>
      </c>
      <c r="H1908" t="s">
        <v>104</v>
      </c>
      <c r="I1908" t="s">
        <v>105</v>
      </c>
      <c r="J1908">
        <v>1</v>
      </c>
      <c r="K1908">
        <v>45532.683923611112</v>
      </c>
      <c r="L1908">
        <v>124000</v>
      </c>
      <c r="N1908" t="s">
        <v>512</v>
      </c>
      <c r="O1908">
        <v>2400</v>
      </c>
      <c r="P1908">
        <v>46</v>
      </c>
      <c r="Q1908">
        <v>1599.9999999999943</v>
      </c>
    </row>
    <row r="1909" spans="2:22" x14ac:dyDescent="0.25">
      <c r="B1909" t="s">
        <v>434</v>
      </c>
      <c r="C1909" t="s">
        <v>511</v>
      </c>
      <c r="D1909" t="s">
        <v>106</v>
      </c>
      <c r="E1909">
        <v>141800</v>
      </c>
      <c r="F1909" t="s">
        <v>68</v>
      </c>
      <c r="G1909" t="s">
        <v>107</v>
      </c>
      <c r="H1909" t="s">
        <v>108</v>
      </c>
      <c r="I1909" t="s">
        <v>105</v>
      </c>
      <c r="J1909">
        <v>1</v>
      </c>
      <c r="K1909">
        <v>45532</v>
      </c>
      <c r="L1909">
        <v>111800</v>
      </c>
      <c r="O1909">
        <v>1200</v>
      </c>
      <c r="P1909">
        <v>118</v>
      </c>
      <c r="Q1909">
        <v>200.00000000000568</v>
      </c>
    </row>
    <row r="1910" spans="2:22" x14ac:dyDescent="0.25">
      <c r="B1910" t="s">
        <v>434</v>
      </c>
      <c r="C1910" t="s">
        <v>106</v>
      </c>
      <c r="D1910" t="s">
        <v>106</v>
      </c>
      <c r="E1910">
        <v>20000</v>
      </c>
      <c r="F1910" t="s">
        <v>68</v>
      </c>
      <c r="G1910" t="s">
        <v>110</v>
      </c>
      <c r="H1910" t="s">
        <v>111</v>
      </c>
      <c r="I1910" t="s">
        <v>105</v>
      </c>
      <c r="J1910">
        <v>1</v>
      </c>
      <c r="K1910">
        <v>45532</v>
      </c>
      <c r="L1910">
        <v>10000</v>
      </c>
      <c r="O1910">
        <v>2400</v>
      </c>
      <c r="P1910">
        <v>8</v>
      </c>
      <c r="Q1910">
        <v>800.00000000000136</v>
      </c>
    </row>
    <row r="1911" spans="2:22" x14ac:dyDescent="0.25">
      <c r="B1911" t="s">
        <v>434</v>
      </c>
      <c r="C1911" t="s">
        <v>511</v>
      </c>
      <c r="D1911">
        <v>31300</v>
      </c>
      <c r="E1911">
        <v>2600</v>
      </c>
      <c r="F1911" t="s">
        <v>68</v>
      </c>
      <c r="G1911" t="s">
        <v>113</v>
      </c>
      <c r="H1911" t="s">
        <v>114</v>
      </c>
      <c r="I1911" t="s">
        <v>105</v>
      </c>
      <c r="J1911">
        <v>1</v>
      </c>
      <c r="K1911">
        <v>45532</v>
      </c>
      <c r="L1911">
        <v>2600</v>
      </c>
      <c r="N1911" t="s">
        <v>513</v>
      </c>
      <c r="O1911">
        <v>3000</v>
      </c>
      <c r="P1911">
        <v>0</v>
      </c>
      <c r="Q1911">
        <v>2600</v>
      </c>
    </row>
    <row r="1912" spans="2:22" x14ac:dyDescent="0.25">
      <c r="B1912" t="s">
        <v>434</v>
      </c>
      <c r="C1912" t="s">
        <v>514</v>
      </c>
      <c r="D1912">
        <v>6650</v>
      </c>
      <c r="E1912">
        <v>2650</v>
      </c>
      <c r="F1912" t="s">
        <v>68</v>
      </c>
      <c r="G1912" t="s">
        <v>115</v>
      </c>
      <c r="H1912" t="s">
        <v>116</v>
      </c>
      <c r="I1912" t="s">
        <v>105</v>
      </c>
      <c r="J1912">
        <v>1</v>
      </c>
      <c r="K1912">
        <v>45532</v>
      </c>
      <c r="L1912">
        <v>5050</v>
      </c>
      <c r="O1912">
        <v>700</v>
      </c>
      <c r="P1912">
        <v>3</v>
      </c>
      <c r="Q1912">
        <v>549.99999999999989</v>
      </c>
    </row>
    <row r="1913" spans="2:22" x14ac:dyDescent="0.25">
      <c r="B1913" t="s">
        <v>434</v>
      </c>
      <c r="C1913" t="s">
        <v>106</v>
      </c>
      <c r="D1913" t="s">
        <v>106</v>
      </c>
      <c r="E1913">
        <v>1900</v>
      </c>
      <c r="F1913" t="s">
        <v>68</v>
      </c>
      <c r="G1913" t="s">
        <v>117</v>
      </c>
      <c r="H1913" t="s">
        <v>118</v>
      </c>
      <c r="I1913" t="s">
        <v>105</v>
      </c>
      <c r="J1913">
        <v>1</v>
      </c>
      <c r="K1913">
        <v>45532</v>
      </c>
      <c r="L1913">
        <v>900</v>
      </c>
      <c r="O1913">
        <v>3000</v>
      </c>
      <c r="P1913">
        <v>0</v>
      </c>
      <c r="Q1913">
        <v>1900</v>
      </c>
    </row>
    <row r="1914" spans="2:22" x14ac:dyDescent="0.25">
      <c r="B1914" t="s">
        <v>434</v>
      </c>
      <c r="C1914" t="s">
        <v>106</v>
      </c>
      <c r="D1914" t="s">
        <v>66</v>
      </c>
      <c r="E1914">
        <v>18400</v>
      </c>
      <c r="F1914" t="s">
        <v>68</v>
      </c>
      <c r="G1914" t="s">
        <v>119</v>
      </c>
      <c r="H1914" t="s">
        <v>120</v>
      </c>
      <c r="I1914" t="s">
        <v>105</v>
      </c>
      <c r="J1914">
        <v>1</v>
      </c>
      <c r="K1914">
        <v>45532</v>
      </c>
      <c r="L1914">
        <v>18400</v>
      </c>
      <c r="O1914">
        <v>2400</v>
      </c>
      <c r="P1914">
        <v>7</v>
      </c>
      <c r="Q1914">
        <v>1600.0000000000007</v>
      </c>
    </row>
    <row r="1915" spans="2:22" x14ac:dyDescent="0.25">
      <c r="B1915" t="s">
        <v>434</v>
      </c>
      <c r="C1915" t="s">
        <v>511</v>
      </c>
      <c r="D1915">
        <v>27800</v>
      </c>
      <c r="E1915">
        <v>13000</v>
      </c>
      <c r="F1915" t="s">
        <v>68</v>
      </c>
      <c r="G1915" t="s">
        <v>121</v>
      </c>
      <c r="H1915" t="s">
        <v>122</v>
      </c>
      <c r="I1915" t="s">
        <v>105</v>
      </c>
      <c r="J1915">
        <v>1</v>
      </c>
      <c r="K1915">
        <v>45532</v>
      </c>
      <c r="L1915">
        <v>14000</v>
      </c>
      <c r="O1915">
        <v>3000</v>
      </c>
      <c r="P1915">
        <v>4</v>
      </c>
      <c r="Q1915">
        <v>999.99999999999909</v>
      </c>
    </row>
    <row r="1916" spans="2:22" x14ac:dyDescent="0.25">
      <c r="B1916" t="s">
        <v>434</v>
      </c>
      <c r="C1916" t="s">
        <v>511</v>
      </c>
      <c r="D1916">
        <v>76500</v>
      </c>
      <c r="E1916">
        <v>73300</v>
      </c>
      <c r="F1916" t="s">
        <v>68</v>
      </c>
      <c r="G1916" t="s">
        <v>123</v>
      </c>
      <c r="H1916" t="s">
        <v>124</v>
      </c>
      <c r="I1916" t="s">
        <v>105</v>
      </c>
      <c r="J1916">
        <v>1</v>
      </c>
      <c r="K1916">
        <v>45532</v>
      </c>
      <c r="L1916">
        <v>33300</v>
      </c>
      <c r="N1916">
        <v>43700</v>
      </c>
      <c r="O1916">
        <v>2400</v>
      </c>
      <c r="P1916">
        <v>30</v>
      </c>
      <c r="Q1916">
        <v>1300.0000000000027</v>
      </c>
    </row>
    <row r="1917" spans="2:22" x14ac:dyDescent="0.25">
      <c r="B1917" t="s">
        <v>434</v>
      </c>
      <c r="C1917" t="s">
        <v>106</v>
      </c>
      <c r="D1917" t="s">
        <v>106</v>
      </c>
      <c r="E1917">
        <v>9580</v>
      </c>
      <c r="F1917" t="s">
        <v>68</v>
      </c>
      <c r="G1917" t="s">
        <v>125</v>
      </c>
      <c r="H1917" t="s">
        <v>126</v>
      </c>
      <c r="I1917" t="s">
        <v>105</v>
      </c>
      <c r="J1917">
        <v>1</v>
      </c>
      <c r="K1917">
        <v>45532</v>
      </c>
      <c r="L1917">
        <v>10330</v>
      </c>
      <c r="O1917">
        <v>2400</v>
      </c>
      <c r="P1917">
        <v>3</v>
      </c>
      <c r="Q1917">
        <v>2380</v>
      </c>
    </row>
    <row r="1918" spans="2:22" x14ac:dyDescent="0.25">
      <c r="B1918" t="s">
        <v>434</v>
      </c>
      <c r="C1918" t="s">
        <v>511</v>
      </c>
      <c r="D1918" t="s">
        <v>106</v>
      </c>
      <c r="E1918">
        <v>5290</v>
      </c>
      <c r="F1918" t="s">
        <v>127</v>
      </c>
      <c r="G1918" t="s">
        <v>128</v>
      </c>
      <c r="H1918" t="s">
        <v>129</v>
      </c>
      <c r="I1918" t="s">
        <v>130</v>
      </c>
      <c r="J1918">
        <v>1</v>
      </c>
      <c r="K1918">
        <v>45532</v>
      </c>
      <c r="L1918">
        <v>5290</v>
      </c>
      <c r="O1918">
        <v>10</v>
      </c>
      <c r="P1918">
        <v>529</v>
      </c>
      <c r="Q1918">
        <v>0</v>
      </c>
      <c r="V1918" t="s">
        <v>554</v>
      </c>
    </row>
    <row r="1919" spans="2:22" x14ac:dyDescent="0.25">
      <c r="B1919" t="s">
        <v>434</v>
      </c>
      <c r="C1919" t="s">
        <v>106</v>
      </c>
      <c r="D1919">
        <v>6275</v>
      </c>
      <c r="E1919">
        <v>10</v>
      </c>
      <c r="F1919" t="s">
        <v>127</v>
      </c>
      <c r="G1919" t="s">
        <v>131</v>
      </c>
      <c r="H1919" t="s">
        <v>132</v>
      </c>
      <c r="I1919" t="s">
        <v>130</v>
      </c>
      <c r="J1919">
        <v>1</v>
      </c>
      <c r="K1919">
        <v>45532</v>
      </c>
      <c r="L1919">
        <v>4090</v>
      </c>
      <c r="O1919">
        <v>10</v>
      </c>
      <c r="P1919">
        <v>1</v>
      </c>
      <c r="Q1919">
        <v>0</v>
      </c>
      <c r="V1919" t="s">
        <v>554</v>
      </c>
    </row>
    <row r="1920" spans="2:22" x14ac:dyDescent="0.25">
      <c r="B1920" t="s">
        <v>434</v>
      </c>
      <c r="C1920" t="s">
        <v>106</v>
      </c>
      <c r="D1920" t="s">
        <v>106</v>
      </c>
      <c r="E1920">
        <v>3130</v>
      </c>
      <c r="F1920" t="s">
        <v>127</v>
      </c>
      <c r="G1920" t="s">
        <v>133</v>
      </c>
      <c r="H1920" t="s">
        <v>134</v>
      </c>
      <c r="I1920" t="s">
        <v>130</v>
      </c>
      <c r="J1920">
        <v>1</v>
      </c>
      <c r="K1920">
        <v>45532</v>
      </c>
      <c r="L1920">
        <v>3130</v>
      </c>
      <c r="O1920">
        <v>10</v>
      </c>
      <c r="P1920">
        <v>313</v>
      </c>
      <c r="Q1920">
        <v>0</v>
      </c>
      <c r="V1920" t="s">
        <v>554</v>
      </c>
    </row>
    <row r="1921" spans="2:17" x14ac:dyDescent="0.25">
      <c r="B1921" t="s">
        <v>434</v>
      </c>
      <c r="C1921" t="s">
        <v>515</v>
      </c>
      <c r="D1921" t="s">
        <v>106</v>
      </c>
      <c r="E1921">
        <v>1246</v>
      </c>
      <c r="F1921" t="s">
        <v>135</v>
      </c>
      <c r="G1921" t="s">
        <v>136</v>
      </c>
      <c r="H1921" t="s">
        <v>137</v>
      </c>
      <c r="I1921" t="s">
        <v>138</v>
      </c>
      <c r="J1921">
        <v>1</v>
      </c>
      <c r="K1921">
        <v>45532</v>
      </c>
      <c r="L1921">
        <v>1246</v>
      </c>
      <c r="O1921">
        <v>144</v>
      </c>
      <c r="P1921">
        <v>8</v>
      </c>
      <c r="Q1921">
        <v>94.000000000000114</v>
      </c>
    </row>
    <row r="1922" spans="2:17" x14ac:dyDescent="0.25">
      <c r="B1922" t="s">
        <v>434</v>
      </c>
      <c r="C1922" t="s">
        <v>515</v>
      </c>
      <c r="D1922">
        <v>5792</v>
      </c>
      <c r="E1922">
        <v>4048</v>
      </c>
      <c r="F1922" t="s">
        <v>135</v>
      </c>
      <c r="G1922" t="s">
        <v>139</v>
      </c>
      <c r="H1922" t="s">
        <v>137</v>
      </c>
      <c r="I1922" t="s">
        <v>138</v>
      </c>
      <c r="J1922">
        <v>1</v>
      </c>
      <c r="K1922">
        <v>45532</v>
      </c>
      <c r="L1922">
        <v>4192</v>
      </c>
      <c r="N1922" t="s">
        <v>516</v>
      </c>
      <c r="O1922">
        <v>144</v>
      </c>
      <c r="P1922">
        <v>28</v>
      </c>
      <c r="Q1922">
        <v>15.999999999999943</v>
      </c>
    </row>
    <row r="1923" spans="2:17" x14ac:dyDescent="0.25">
      <c r="B1923" t="s">
        <v>434</v>
      </c>
      <c r="C1923" t="s">
        <v>515</v>
      </c>
      <c r="D1923" t="s">
        <v>106</v>
      </c>
      <c r="E1923">
        <v>1074</v>
      </c>
      <c r="F1923" t="s">
        <v>135</v>
      </c>
      <c r="G1923" t="s">
        <v>140</v>
      </c>
      <c r="H1923" t="s">
        <v>137</v>
      </c>
      <c r="I1923" t="s">
        <v>138</v>
      </c>
      <c r="J1923">
        <v>1</v>
      </c>
      <c r="K1923">
        <v>45532</v>
      </c>
      <c r="L1923">
        <v>1362</v>
      </c>
      <c r="O1923">
        <v>144</v>
      </c>
      <c r="P1923">
        <v>7</v>
      </c>
      <c r="Q1923">
        <v>65.999999999999957</v>
      </c>
    </row>
    <row r="1924" spans="2:17" x14ac:dyDescent="0.25">
      <c r="B1924" t="s">
        <v>434</v>
      </c>
      <c r="C1924" t="s">
        <v>515</v>
      </c>
      <c r="D1924" t="s">
        <v>106</v>
      </c>
      <c r="E1924">
        <v>2596</v>
      </c>
      <c r="F1924" t="s">
        <v>135</v>
      </c>
      <c r="G1924" t="s">
        <v>141</v>
      </c>
      <c r="H1924" t="s">
        <v>137</v>
      </c>
      <c r="I1924" t="s">
        <v>138</v>
      </c>
      <c r="J1924">
        <v>1</v>
      </c>
      <c r="K1924">
        <v>45532</v>
      </c>
      <c r="L1924">
        <v>2884</v>
      </c>
      <c r="O1924">
        <v>144</v>
      </c>
      <c r="P1924">
        <v>18</v>
      </c>
      <c r="Q1924">
        <v>4.0000000000001137</v>
      </c>
    </row>
    <row r="1925" spans="2:17" x14ac:dyDescent="0.25">
      <c r="B1925" t="s">
        <v>434</v>
      </c>
      <c r="C1925" t="s">
        <v>106</v>
      </c>
      <c r="D1925">
        <v>9248</v>
      </c>
      <c r="E1925">
        <v>6600</v>
      </c>
      <c r="F1925" t="s">
        <v>68</v>
      </c>
      <c r="G1925" t="s">
        <v>142</v>
      </c>
      <c r="H1925" t="s">
        <v>143</v>
      </c>
      <c r="I1925" t="s">
        <v>144</v>
      </c>
      <c r="J1925">
        <v>1</v>
      </c>
      <c r="K1925">
        <v>45532</v>
      </c>
      <c r="L1925">
        <v>6600</v>
      </c>
      <c r="O1925">
        <v>24</v>
      </c>
      <c r="P1925">
        <v>275</v>
      </c>
      <c r="Q1925">
        <v>0</v>
      </c>
    </row>
    <row r="1926" spans="2:17" x14ac:dyDescent="0.25">
      <c r="B1926" t="s">
        <v>434</v>
      </c>
      <c r="C1926">
        <v>20618</v>
      </c>
      <c r="D1926">
        <v>15528</v>
      </c>
      <c r="E1926">
        <v>9118</v>
      </c>
      <c r="F1926" t="s">
        <v>68</v>
      </c>
      <c r="G1926" t="s">
        <v>146</v>
      </c>
      <c r="H1926" t="s">
        <v>147</v>
      </c>
      <c r="I1926" t="s">
        <v>144</v>
      </c>
      <c r="J1926">
        <v>1</v>
      </c>
      <c r="K1926">
        <v>45532</v>
      </c>
      <c r="L1926">
        <v>11000</v>
      </c>
      <c r="N1926">
        <v>23020</v>
      </c>
      <c r="O1926">
        <v>500</v>
      </c>
      <c r="P1926">
        <v>20</v>
      </c>
      <c r="Q1926">
        <v>318</v>
      </c>
    </row>
    <row r="1927" spans="2:17" x14ac:dyDescent="0.25">
      <c r="B1927" t="s">
        <v>434</v>
      </c>
      <c r="C1927" t="s">
        <v>106</v>
      </c>
      <c r="D1927" t="s">
        <v>106</v>
      </c>
      <c r="E1927">
        <v>175</v>
      </c>
      <c r="F1927" t="s">
        <v>68</v>
      </c>
      <c r="G1927" t="s">
        <v>482</v>
      </c>
      <c r="H1927" t="s">
        <v>148</v>
      </c>
      <c r="I1927" t="s">
        <v>144</v>
      </c>
      <c r="J1927">
        <v>1</v>
      </c>
      <c r="K1927">
        <v>45532</v>
      </c>
      <c r="L1927">
        <v>199</v>
      </c>
      <c r="O1927">
        <v>24</v>
      </c>
      <c r="P1927">
        <v>7</v>
      </c>
      <c r="Q1927">
        <v>7.0000000000000071</v>
      </c>
    </row>
    <row r="1928" spans="2:17" x14ac:dyDescent="0.25">
      <c r="B1928" t="s">
        <v>434</v>
      </c>
      <c r="C1928" t="s">
        <v>507</v>
      </c>
      <c r="D1928" t="s">
        <v>106</v>
      </c>
      <c r="E1928">
        <v>3066</v>
      </c>
      <c r="F1928" t="s">
        <v>68</v>
      </c>
      <c r="G1928" t="s">
        <v>355</v>
      </c>
      <c r="H1928" t="s">
        <v>149</v>
      </c>
      <c r="I1928" t="s">
        <v>144</v>
      </c>
      <c r="J1928">
        <v>1</v>
      </c>
      <c r="K1928">
        <v>45532</v>
      </c>
      <c r="L1928">
        <v>3066</v>
      </c>
      <c r="O1928">
        <v>60</v>
      </c>
      <c r="P1928">
        <v>51</v>
      </c>
      <c r="Q1928">
        <v>6.0000000000000853</v>
      </c>
    </row>
    <row r="1929" spans="2:17" x14ac:dyDescent="0.25">
      <c r="B1929" t="s">
        <v>434</v>
      </c>
      <c r="C1929" t="s">
        <v>106</v>
      </c>
      <c r="D1929" t="s">
        <v>106</v>
      </c>
      <c r="E1929">
        <v>314</v>
      </c>
      <c r="F1929" t="s">
        <v>68</v>
      </c>
      <c r="G1929" t="s">
        <v>483</v>
      </c>
      <c r="H1929" t="s">
        <v>150</v>
      </c>
      <c r="I1929" t="s">
        <v>144</v>
      </c>
      <c r="J1929">
        <v>1</v>
      </c>
      <c r="K1929">
        <v>45532</v>
      </c>
      <c r="L1929">
        <v>334</v>
      </c>
      <c r="O1929">
        <v>4</v>
      </c>
      <c r="P1929">
        <v>78</v>
      </c>
      <c r="Q1929">
        <v>2</v>
      </c>
    </row>
    <row r="1930" spans="2:17" x14ac:dyDescent="0.25">
      <c r="B1930" t="s">
        <v>434</v>
      </c>
      <c r="C1930" t="s">
        <v>106</v>
      </c>
      <c r="D1930" t="s">
        <v>106</v>
      </c>
      <c r="E1930">
        <v>7</v>
      </c>
      <c r="F1930" t="s">
        <v>68</v>
      </c>
      <c r="G1930" t="s">
        <v>151</v>
      </c>
      <c r="H1930" t="s">
        <v>152</v>
      </c>
      <c r="I1930" t="s">
        <v>105</v>
      </c>
      <c r="J1930">
        <v>1</v>
      </c>
      <c r="K1930">
        <v>45532</v>
      </c>
      <c r="L1930">
        <v>390</v>
      </c>
      <c r="O1930">
        <v>200</v>
      </c>
      <c r="P1930">
        <v>0</v>
      </c>
      <c r="Q1930">
        <v>7.0000000000000009</v>
      </c>
    </row>
    <row r="1931" spans="2:17" x14ac:dyDescent="0.25">
      <c r="B1931" t="s">
        <v>434</v>
      </c>
      <c r="C1931" t="s">
        <v>106</v>
      </c>
      <c r="D1931" t="s">
        <v>106</v>
      </c>
      <c r="E1931">
        <v>500</v>
      </c>
      <c r="F1931" t="s">
        <v>68</v>
      </c>
      <c r="G1931" t="s">
        <v>153</v>
      </c>
      <c r="H1931" t="s">
        <v>154</v>
      </c>
      <c r="I1931" t="s">
        <v>105</v>
      </c>
      <c r="J1931">
        <v>1</v>
      </c>
      <c r="K1931">
        <v>45532</v>
      </c>
      <c r="L1931">
        <v>800</v>
      </c>
      <c r="O1931">
        <v>100</v>
      </c>
      <c r="P1931">
        <v>5</v>
      </c>
      <c r="Q1931">
        <v>0</v>
      </c>
    </row>
    <row r="1932" spans="2:17" x14ac:dyDescent="0.25">
      <c r="B1932" t="s">
        <v>434</v>
      </c>
      <c r="C1932" t="s">
        <v>517</v>
      </c>
      <c r="D1932">
        <v>1662</v>
      </c>
      <c r="E1932">
        <v>2302</v>
      </c>
      <c r="F1932" t="s">
        <v>68</v>
      </c>
      <c r="G1932" t="s">
        <v>155</v>
      </c>
      <c r="H1932" t="s">
        <v>156</v>
      </c>
      <c r="J1932">
        <v>1</v>
      </c>
      <c r="K1932">
        <v>45532</v>
      </c>
      <c r="L1932">
        <v>-2</v>
      </c>
      <c r="O1932">
        <v>24</v>
      </c>
      <c r="P1932">
        <v>95</v>
      </c>
      <c r="Q1932">
        <v>22.000000000000114</v>
      </c>
    </row>
    <row r="1933" spans="2:17" x14ac:dyDescent="0.25">
      <c r="B1933" t="s">
        <v>434</v>
      </c>
      <c r="C1933" t="s">
        <v>515</v>
      </c>
      <c r="D1933">
        <v>1216</v>
      </c>
      <c r="E1933">
        <v>1034</v>
      </c>
      <c r="F1933" t="s">
        <v>68</v>
      </c>
      <c r="G1933" t="s">
        <v>157</v>
      </c>
      <c r="H1933" t="s">
        <v>156</v>
      </c>
      <c r="J1933">
        <v>1</v>
      </c>
      <c r="K1933">
        <v>45532</v>
      </c>
      <c r="L1933">
        <v>1034</v>
      </c>
      <c r="O1933">
        <v>12</v>
      </c>
      <c r="P1933">
        <v>86</v>
      </c>
      <c r="Q1933">
        <v>2.0000000000000568</v>
      </c>
    </row>
    <row r="1934" spans="2:17" x14ac:dyDescent="0.25">
      <c r="B1934" t="s">
        <v>434</v>
      </c>
      <c r="C1934" t="s">
        <v>158</v>
      </c>
      <c r="D1934">
        <v>2844</v>
      </c>
      <c r="E1934">
        <v>3072</v>
      </c>
      <c r="F1934" t="s">
        <v>68</v>
      </c>
      <c r="G1934" t="s">
        <v>159</v>
      </c>
      <c r="H1934" t="s">
        <v>796</v>
      </c>
      <c r="I1934" t="s">
        <v>161</v>
      </c>
      <c r="J1934">
        <v>1</v>
      </c>
      <c r="K1934">
        <v>45532</v>
      </c>
      <c r="L1934">
        <v>3672</v>
      </c>
      <c r="N1934" t="s">
        <v>518</v>
      </c>
      <c r="O1934">
        <v>36</v>
      </c>
      <c r="P1934">
        <v>85</v>
      </c>
      <c r="Q1934">
        <v>11.999999999999829</v>
      </c>
    </row>
    <row r="1935" spans="2:17" x14ac:dyDescent="0.25">
      <c r="B1935" t="s">
        <v>434</v>
      </c>
      <c r="C1935" t="s">
        <v>519</v>
      </c>
      <c r="D1935" t="s">
        <v>106</v>
      </c>
      <c r="E1935">
        <v>0</v>
      </c>
      <c r="F1935" t="s">
        <v>68</v>
      </c>
      <c r="G1935" t="s">
        <v>109</v>
      </c>
      <c r="H1935" t="s">
        <v>162</v>
      </c>
      <c r="J1935">
        <v>1</v>
      </c>
      <c r="K1935">
        <v>45532</v>
      </c>
      <c r="L1935">
        <v>636</v>
      </c>
      <c r="O1935">
        <v>96</v>
      </c>
      <c r="P1935">
        <v>0</v>
      </c>
      <c r="Q1935">
        <v>0</v>
      </c>
    </row>
    <row r="1936" spans="2:17" x14ac:dyDescent="0.25">
      <c r="B1936" t="s">
        <v>434</v>
      </c>
      <c r="C1936" t="s">
        <v>515</v>
      </c>
      <c r="D1936" t="s">
        <v>106</v>
      </c>
      <c r="E1936">
        <v>2362</v>
      </c>
      <c r="F1936" t="s">
        <v>68</v>
      </c>
      <c r="G1936" t="s">
        <v>163</v>
      </c>
      <c r="H1936" t="s">
        <v>164</v>
      </c>
      <c r="I1936" t="s">
        <v>165</v>
      </c>
      <c r="J1936">
        <v>1</v>
      </c>
      <c r="K1936">
        <v>45532</v>
      </c>
      <c r="L1936">
        <v>2662</v>
      </c>
      <c r="O1936">
        <v>12</v>
      </c>
      <c r="P1936">
        <v>196</v>
      </c>
      <c r="Q1936">
        <v>10.000000000000114</v>
      </c>
    </row>
    <row r="1937" spans="2:22" x14ac:dyDescent="0.25">
      <c r="B1937" t="s">
        <v>434</v>
      </c>
      <c r="C1937" t="s">
        <v>106</v>
      </c>
      <c r="D1937">
        <v>590</v>
      </c>
      <c r="E1937">
        <v>648</v>
      </c>
      <c r="F1937" t="s">
        <v>68</v>
      </c>
      <c r="G1937" t="s">
        <v>166</v>
      </c>
      <c r="H1937" t="s">
        <v>709</v>
      </c>
      <c r="J1937">
        <v>1</v>
      </c>
      <c r="K1937">
        <v>45532</v>
      </c>
      <c r="L1937">
        <v>660</v>
      </c>
      <c r="N1937">
        <v>534</v>
      </c>
      <c r="O1937">
        <v>4</v>
      </c>
      <c r="P1937">
        <v>162</v>
      </c>
      <c r="Q1937">
        <v>0</v>
      </c>
    </row>
    <row r="1938" spans="2:22" x14ac:dyDescent="0.25">
      <c r="B1938" t="s">
        <v>434</v>
      </c>
      <c r="C1938" t="s">
        <v>106</v>
      </c>
      <c r="D1938" t="s">
        <v>106</v>
      </c>
      <c r="E1938">
        <v>0</v>
      </c>
      <c r="F1938" t="s">
        <v>68</v>
      </c>
      <c r="G1938" t="s">
        <v>168</v>
      </c>
      <c r="H1938" t="s">
        <v>520</v>
      </c>
      <c r="J1938">
        <v>1</v>
      </c>
      <c r="K1938">
        <v>45532</v>
      </c>
      <c r="L1938">
        <v>7328</v>
      </c>
      <c r="O1938">
        <v>500</v>
      </c>
      <c r="P1938">
        <v>0</v>
      </c>
      <c r="Q1938">
        <v>0</v>
      </c>
    </row>
    <row r="1939" spans="2:22" x14ac:dyDescent="0.25">
      <c r="B1939" t="s">
        <v>434</v>
      </c>
      <c r="C1939" t="s">
        <v>521</v>
      </c>
      <c r="D1939" t="s">
        <v>106</v>
      </c>
      <c r="E1939">
        <v>1150</v>
      </c>
      <c r="F1939" t="s">
        <v>68</v>
      </c>
      <c r="G1939" t="s">
        <v>484</v>
      </c>
      <c r="H1939" t="s">
        <v>169</v>
      </c>
      <c r="I1939" t="s">
        <v>144</v>
      </c>
      <c r="J1939">
        <v>1</v>
      </c>
      <c r="K1939">
        <v>45532</v>
      </c>
      <c r="L1939">
        <v>550</v>
      </c>
      <c r="N1939" t="s">
        <v>557</v>
      </c>
      <c r="O1939">
        <v>25</v>
      </c>
      <c r="P1939">
        <v>46</v>
      </c>
      <c r="Q1939">
        <v>0</v>
      </c>
    </row>
    <row r="1940" spans="2:22" x14ac:dyDescent="0.25">
      <c r="B1940" t="s">
        <v>434</v>
      </c>
      <c r="C1940" t="s">
        <v>511</v>
      </c>
      <c r="D1940">
        <v>30000</v>
      </c>
      <c r="E1940">
        <v>8000</v>
      </c>
      <c r="F1940" t="s">
        <v>68</v>
      </c>
      <c r="G1940" t="s">
        <v>170</v>
      </c>
      <c r="H1940" t="s">
        <v>171</v>
      </c>
      <c r="I1940" t="s">
        <v>105</v>
      </c>
      <c r="J1940">
        <v>1</v>
      </c>
      <c r="K1940">
        <v>45532</v>
      </c>
      <c r="L1940">
        <v>0</v>
      </c>
      <c r="O1940">
        <v>2400</v>
      </c>
      <c r="P1940">
        <v>3</v>
      </c>
      <c r="Q1940">
        <v>800.00000000000034</v>
      </c>
    </row>
    <row r="1941" spans="2:22" x14ac:dyDescent="0.25">
      <c r="B1941" t="s">
        <v>434</v>
      </c>
      <c r="C1941" t="s">
        <v>106</v>
      </c>
      <c r="D1941" t="s">
        <v>1034</v>
      </c>
      <c r="E1941">
        <v>21900</v>
      </c>
      <c r="F1941" t="s">
        <v>68</v>
      </c>
      <c r="G1941" t="s">
        <v>172</v>
      </c>
      <c r="H1941" t="s">
        <v>173</v>
      </c>
      <c r="I1941" t="s">
        <v>105</v>
      </c>
      <c r="J1941">
        <v>1</v>
      </c>
      <c r="K1941">
        <v>45532</v>
      </c>
      <c r="L1941">
        <v>21900</v>
      </c>
      <c r="O1941">
        <v>2400</v>
      </c>
      <c r="P1941">
        <v>9</v>
      </c>
      <c r="Q1941">
        <v>300</v>
      </c>
    </row>
    <row r="1942" spans="2:22" x14ac:dyDescent="0.25">
      <c r="B1942" t="s">
        <v>434</v>
      </c>
      <c r="C1942" t="s">
        <v>106</v>
      </c>
      <c r="D1942" t="s">
        <v>106</v>
      </c>
      <c r="E1942">
        <v>500</v>
      </c>
      <c r="F1942" t="s">
        <v>174</v>
      </c>
      <c r="G1942" t="s">
        <v>175</v>
      </c>
      <c r="H1942" t="s">
        <v>176</v>
      </c>
      <c r="J1942">
        <v>1</v>
      </c>
      <c r="K1942">
        <v>45532</v>
      </c>
      <c r="L1942">
        <v>500</v>
      </c>
      <c r="O1942">
        <v>20</v>
      </c>
      <c r="P1942">
        <v>25</v>
      </c>
      <c r="Q1942">
        <v>0</v>
      </c>
    </row>
    <row r="1943" spans="2:22" x14ac:dyDescent="0.25">
      <c r="B1943" t="s">
        <v>434</v>
      </c>
      <c r="C1943" t="s">
        <v>177</v>
      </c>
      <c r="D1943">
        <v>2750</v>
      </c>
      <c r="E1943">
        <v>100</v>
      </c>
      <c r="F1943" t="s">
        <v>68</v>
      </c>
      <c r="G1943" t="s">
        <v>485</v>
      </c>
      <c r="H1943" t="s">
        <v>178</v>
      </c>
      <c r="I1943" t="s">
        <v>144</v>
      </c>
      <c r="J1943">
        <v>1</v>
      </c>
      <c r="K1943">
        <v>45532</v>
      </c>
      <c r="L1943">
        <v>2120</v>
      </c>
      <c r="O1943">
        <v>100</v>
      </c>
      <c r="P1943">
        <v>1</v>
      </c>
      <c r="Q1943">
        <v>0</v>
      </c>
      <c r="V1943" t="s">
        <v>798</v>
      </c>
    </row>
    <row r="1944" spans="2:22" x14ac:dyDescent="0.25">
      <c r="B1944" t="s">
        <v>434</v>
      </c>
      <c r="C1944" t="s">
        <v>522</v>
      </c>
      <c r="D1944" t="s">
        <v>106</v>
      </c>
      <c r="E1944">
        <v>10800</v>
      </c>
      <c r="F1944" t="s">
        <v>68</v>
      </c>
      <c r="G1944" t="s">
        <v>179</v>
      </c>
      <c r="H1944" t="s">
        <v>180</v>
      </c>
      <c r="I1944" t="s">
        <v>144</v>
      </c>
      <c r="J1944">
        <v>1</v>
      </c>
      <c r="K1944">
        <v>45532</v>
      </c>
      <c r="L1944">
        <v>12800</v>
      </c>
      <c r="O1944">
        <v>2000</v>
      </c>
      <c r="P1944">
        <v>5</v>
      </c>
      <c r="Q1944">
        <v>800.00000000000068</v>
      </c>
    </row>
    <row r="1945" spans="2:22" x14ac:dyDescent="0.25">
      <c r="B1945" t="s">
        <v>434</v>
      </c>
      <c r="C1945" t="s">
        <v>106</v>
      </c>
      <c r="D1945" t="s">
        <v>106</v>
      </c>
      <c r="E1945">
        <v>0</v>
      </c>
      <c r="F1945" t="s">
        <v>68</v>
      </c>
      <c r="G1945" t="s">
        <v>357</v>
      </c>
      <c r="H1945" t="s">
        <v>181</v>
      </c>
      <c r="J1945">
        <v>1</v>
      </c>
      <c r="K1945">
        <v>45532</v>
      </c>
      <c r="L1945">
        <v>58</v>
      </c>
      <c r="O1945">
        <v>40</v>
      </c>
      <c r="P1945">
        <v>0</v>
      </c>
      <c r="Q1945">
        <v>0</v>
      </c>
    </row>
    <row r="1946" spans="2:22" x14ac:dyDescent="0.25">
      <c r="B1946" t="s">
        <v>434</v>
      </c>
      <c r="C1946" t="s">
        <v>106</v>
      </c>
      <c r="D1946" t="s">
        <v>106</v>
      </c>
      <c r="E1946">
        <v>64</v>
      </c>
      <c r="F1946" t="s">
        <v>68</v>
      </c>
      <c r="G1946" t="s">
        <v>182</v>
      </c>
      <c r="H1946" t="s">
        <v>183</v>
      </c>
      <c r="J1946">
        <v>1</v>
      </c>
      <c r="K1946">
        <v>45532</v>
      </c>
      <c r="L1946">
        <v>69</v>
      </c>
      <c r="O1946">
        <v>36</v>
      </c>
      <c r="P1946">
        <v>1</v>
      </c>
      <c r="Q1946">
        <v>27.999999999999996</v>
      </c>
    </row>
    <row r="1947" spans="2:22" x14ac:dyDescent="0.25">
      <c r="B1947" t="s">
        <v>434</v>
      </c>
      <c r="C1947" t="s">
        <v>523</v>
      </c>
      <c r="D1947" t="s">
        <v>106</v>
      </c>
      <c r="E1947">
        <v>100</v>
      </c>
      <c r="F1947" t="s">
        <v>68</v>
      </c>
      <c r="G1947" t="s">
        <v>201</v>
      </c>
      <c r="H1947" t="s">
        <v>202</v>
      </c>
      <c r="I1947" t="s">
        <v>144</v>
      </c>
      <c r="J1947">
        <v>0</v>
      </c>
      <c r="K1947">
        <v>45532</v>
      </c>
      <c r="L1947">
        <v>1800</v>
      </c>
      <c r="O1947">
        <v>100</v>
      </c>
      <c r="P1947">
        <v>1</v>
      </c>
      <c r="Q1947">
        <v>0</v>
      </c>
    </row>
    <row r="1948" spans="2:22" x14ac:dyDescent="0.25">
      <c r="B1948" t="s">
        <v>434</v>
      </c>
      <c r="C1948" t="s">
        <v>67</v>
      </c>
      <c r="D1948" t="s">
        <v>67</v>
      </c>
      <c r="E1948">
        <v>9</v>
      </c>
      <c r="F1948" t="s">
        <v>135</v>
      </c>
      <c r="G1948" t="s">
        <v>225</v>
      </c>
      <c r="H1948" t="s">
        <v>208</v>
      </c>
      <c r="I1948" t="s">
        <v>209</v>
      </c>
      <c r="J1948">
        <v>1</v>
      </c>
      <c r="K1948">
        <v>45532</v>
      </c>
      <c r="L1948">
        <v>9</v>
      </c>
      <c r="O1948">
        <v>1</v>
      </c>
      <c r="P1948">
        <v>9</v>
      </c>
      <c r="Q1948">
        <v>0</v>
      </c>
    </row>
    <row r="1949" spans="2:22" x14ac:dyDescent="0.25">
      <c r="B1949" t="s">
        <v>434</v>
      </c>
      <c r="C1949" t="s">
        <v>67</v>
      </c>
      <c r="D1949" t="s">
        <v>67</v>
      </c>
      <c r="E1949">
        <v>10</v>
      </c>
      <c r="F1949" t="s">
        <v>135</v>
      </c>
      <c r="G1949" t="s">
        <v>226</v>
      </c>
      <c r="H1949" t="s">
        <v>208</v>
      </c>
      <c r="I1949" t="s">
        <v>209</v>
      </c>
      <c r="J1949">
        <v>1</v>
      </c>
      <c r="K1949">
        <v>45532</v>
      </c>
      <c r="L1949">
        <v>10</v>
      </c>
      <c r="O1949">
        <v>1</v>
      </c>
      <c r="P1949">
        <v>10</v>
      </c>
      <c r="Q1949">
        <v>0</v>
      </c>
    </row>
    <row r="1950" spans="2:22" x14ac:dyDescent="0.25">
      <c r="B1950" t="s">
        <v>434</v>
      </c>
      <c r="C1950" t="s">
        <v>67</v>
      </c>
      <c r="D1950" t="s">
        <v>67</v>
      </c>
      <c r="E1950">
        <v>51</v>
      </c>
      <c r="F1950" t="s">
        <v>135</v>
      </c>
      <c r="G1950" t="s">
        <v>62</v>
      </c>
      <c r="H1950" t="s">
        <v>208</v>
      </c>
      <c r="I1950" t="s">
        <v>209</v>
      </c>
      <c r="J1950">
        <v>1</v>
      </c>
      <c r="K1950">
        <v>45532</v>
      </c>
      <c r="L1950">
        <v>51</v>
      </c>
      <c r="O1950">
        <v>1</v>
      </c>
      <c r="P1950">
        <v>51</v>
      </c>
      <c r="Q1950">
        <v>0</v>
      </c>
    </row>
    <row r="1951" spans="2:22" x14ac:dyDescent="0.25">
      <c r="B1951" t="s">
        <v>434</v>
      </c>
      <c r="C1951" t="s">
        <v>67</v>
      </c>
      <c r="D1951" t="s">
        <v>67</v>
      </c>
      <c r="E1951">
        <v>58</v>
      </c>
      <c r="F1951" t="s">
        <v>135</v>
      </c>
      <c r="G1951" t="s">
        <v>227</v>
      </c>
      <c r="H1951" t="s">
        <v>208</v>
      </c>
      <c r="I1951" t="s">
        <v>209</v>
      </c>
      <c r="J1951">
        <v>1</v>
      </c>
      <c r="K1951">
        <v>45532</v>
      </c>
      <c r="L1951">
        <v>34</v>
      </c>
      <c r="O1951">
        <v>1</v>
      </c>
      <c r="P1951">
        <v>58</v>
      </c>
      <c r="Q1951">
        <v>0</v>
      </c>
    </row>
    <row r="1952" spans="2:22" x14ac:dyDescent="0.25">
      <c r="B1952" t="s">
        <v>434</v>
      </c>
      <c r="C1952" t="s">
        <v>67</v>
      </c>
      <c r="D1952" t="s">
        <v>67</v>
      </c>
      <c r="E1952">
        <v>4</v>
      </c>
      <c r="F1952" t="s">
        <v>135</v>
      </c>
      <c r="G1952" t="s">
        <v>63</v>
      </c>
      <c r="H1952" t="s">
        <v>208</v>
      </c>
      <c r="I1952" t="s">
        <v>209</v>
      </c>
      <c r="J1952">
        <v>1</v>
      </c>
      <c r="K1952">
        <v>45532</v>
      </c>
      <c r="L1952">
        <v>4</v>
      </c>
      <c r="O1952">
        <v>1</v>
      </c>
      <c r="P1952">
        <v>4</v>
      </c>
      <c r="Q1952">
        <v>0</v>
      </c>
    </row>
    <row r="1953" spans="2:17" x14ac:dyDescent="0.25">
      <c r="B1953" t="s">
        <v>434</v>
      </c>
      <c r="C1953" t="s">
        <v>67</v>
      </c>
      <c r="D1953" t="s">
        <v>67</v>
      </c>
      <c r="E1953">
        <v>0</v>
      </c>
      <c r="F1953" t="s">
        <v>135</v>
      </c>
      <c r="G1953" t="s">
        <v>228</v>
      </c>
      <c r="H1953" t="s">
        <v>208</v>
      </c>
      <c r="I1953" t="s">
        <v>209</v>
      </c>
      <c r="J1953">
        <v>1</v>
      </c>
      <c r="K1953">
        <v>45532</v>
      </c>
      <c r="L1953">
        <v>2</v>
      </c>
      <c r="O1953">
        <v>1</v>
      </c>
      <c r="P1953">
        <v>0</v>
      </c>
      <c r="Q1953">
        <v>0</v>
      </c>
    </row>
    <row r="1954" spans="2:17" x14ac:dyDescent="0.25">
      <c r="B1954" t="s">
        <v>434</v>
      </c>
      <c r="C1954" t="s">
        <v>67</v>
      </c>
      <c r="D1954">
        <v>4</v>
      </c>
      <c r="E1954">
        <v>0</v>
      </c>
      <c r="F1954" t="s">
        <v>135</v>
      </c>
      <c r="G1954" t="s">
        <v>229</v>
      </c>
      <c r="H1954" t="s">
        <v>208</v>
      </c>
      <c r="I1954" t="s">
        <v>209</v>
      </c>
      <c r="J1954">
        <v>1</v>
      </c>
      <c r="K1954">
        <v>45532</v>
      </c>
      <c r="L1954">
        <v>3</v>
      </c>
      <c r="O1954">
        <v>1</v>
      </c>
      <c r="P1954">
        <v>0</v>
      </c>
      <c r="Q1954">
        <v>0</v>
      </c>
    </row>
    <row r="1955" spans="2:17" x14ac:dyDescent="0.25">
      <c r="B1955" t="s">
        <v>434</v>
      </c>
      <c r="C1955" t="s">
        <v>67</v>
      </c>
      <c r="D1955">
        <v>4</v>
      </c>
      <c r="E1955">
        <v>0</v>
      </c>
      <c r="F1955" t="s">
        <v>135</v>
      </c>
      <c r="G1955" t="s">
        <v>230</v>
      </c>
      <c r="H1955" t="s">
        <v>208</v>
      </c>
      <c r="I1955" t="s">
        <v>209</v>
      </c>
      <c r="J1955">
        <v>1</v>
      </c>
      <c r="K1955">
        <v>45532</v>
      </c>
      <c r="L1955">
        <v>5</v>
      </c>
      <c r="O1955">
        <v>1</v>
      </c>
      <c r="P1955">
        <v>0</v>
      </c>
      <c r="Q1955">
        <v>0</v>
      </c>
    </row>
    <row r="1956" spans="2:17" x14ac:dyDescent="0.25">
      <c r="B1956" t="s">
        <v>434</v>
      </c>
      <c r="C1956" t="s">
        <v>67</v>
      </c>
      <c r="D1956">
        <v>56</v>
      </c>
      <c r="E1956">
        <v>0</v>
      </c>
      <c r="F1956" t="s">
        <v>135</v>
      </c>
      <c r="G1956" t="s">
        <v>64</v>
      </c>
      <c r="H1956" t="s">
        <v>208</v>
      </c>
      <c r="I1956" t="s">
        <v>209</v>
      </c>
      <c r="J1956">
        <v>1</v>
      </c>
      <c r="K1956">
        <v>45532</v>
      </c>
      <c r="L1956">
        <v>94</v>
      </c>
      <c r="O1956">
        <v>1</v>
      </c>
      <c r="P1956">
        <v>0</v>
      </c>
      <c r="Q1956">
        <v>0</v>
      </c>
    </row>
    <row r="1957" spans="2:17" x14ac:dyDescent="0.25">
      <c r="B1957" t="s">
        <v>434</v>
      </c>
      <c r="C1957" t="s">
        <v>67</v>
      </c>
      <c r="D1957" t="s">
        <v>67</v>
      </c>
      <c r="E1957">
        <v>14</v>
      </c>
      <c r="F1957" t="s">
        <v>135</v>
      </c>
      <c r="G1957" t="s">
        <v>215</v>
      </c>
      <c r="H1957" t="s">
        <v>208</v>
      </c>
      <c r="I1957" t="s">
        <v>209</v>
      </c>
      <c r="J1957">
        <v>1</v>
      </c>
      <c r="K1957">
        <v>45532</v>
      </c>
      <c r="L1957">
        <v>14</v>
      </c>
      <c r="O1957">
        <v>1</v>
      </c>
      <c r="P1957">
        <v>14</v>
      </c>
      <c r="Q1957">
        <v>0</v>
      </c>
    </row>
    <row r="1958" spans="2:17" x14ac:dyDescent="0.25">
      <c r="B1958" t="s">
        <v>434</v>
      </c>
      <c r="C1958" t="s">
        <v>67</v>
      </c>
      <c r="D1958" t="s">
        <v>67</v>
      </c>
      <c r="E1958">
        <v>0</v>
      </c>
      <c r="F1958" t="s">
        <v>135</v>
      </c>
      <c r="G1958" t="s">
        <v>216</v>
      </c>
      <c r="H1958" t="s">
        <v>208</v>
      </c>
      <c r="I1958" t="s">
        <v>209</v>
      </c>
      <c r="J1958">
        <v>1</v>
      </c>
      <c r="K1958">
        <v>45532</v>
      </c>
      <c r="L1958">
        <v>45</v>
      </c>
      <c r="O1958">
        <v>1</v>
      </c>
      <c r="P1958">
        <v>0</v>
      </c>
      <c r="Q1958">
        <v>0</v>
      </c>
    </row>
    <row r="1959" spans="2:17" x14ac:dyDescent="0.25">
      <c r="B1959" t="s">
        <v>434</v>
      </c>
      <c r="C1959" t="s">
        <v>67</v>
      </c>
      <c r="D1959">
        <v>39</v>
      </c>
      <c r="E1959">
        <v>0</v>
      </c>
      <c r="F1959" t="s">
        <v>135</v>
      </c>
      <c r="G1959" t="s">
        <v>217</v>
      </c>
      <c r="H1959" t="s">
        <v>208</v>
      </c>
      <c r="I1959" t="s">
        <v>209</v>
      </c>
      <c r="J1959">
        <v>1</v>
      </c>
      <c r="K1959">
        <v>45532</v>
      </c>
      <c r="L1959">
        <v>46</v>
      </c>
      <c r="O1959">
        <v>1</v>
      </c>
      <c r="P1959">
        <v>0</v>
      </c>
      <c r="Q1959">
        <v>0</v>
      </c>
    </row>
    <row r="1960" spans="2:17" x14ac:dyDescent="0.25">
      <c r="B1960" t="s">
        <v>434</v>
      </c>
      <c r="C1960" t="s">
        <v>67</v>
      </c>
      <c r="D1960" t="s">
        <v>67</v>
      </c>
      <c r="E1960">
        <v>0</v>
      </c>
      <c r="F1960" t="s">
        <v>135</v>
      </c>
      <c r="G1960" t="s">
        <v>218</v>
      </c>
      <c r="H1960" t="s">
        <v>208</v>
      </c>
      <c r="I1960" t="s">
        <v>209</v>
      </c>
      <c r="J1960">
        <v>1</v>
      </c>
      <c r="K1960">
        <v>45532</v>
      </c>
      <c r="L1960">
        <v>56</v>
      </c>
      <c r="O1960">
        <v>1</v>
      </c>
      <c r="P1960">
        <v>0</v>
      </c>
      <c r="Q1960">
        <v>0</v>
      </c>
    </row>
    <row r="1961" spans="2:17" x14ac:dyDescent="0.25">
      <c r="B1961" t="s">
        <v>434</v>
      </c>
      <c r="C1961" t="s">
        <v>67</v>
      </c>
      <c r="D1961" t="s">
        <v>67</v>
      </c>
      <c r="E1961">
        <v>0</v>
      </c>
      <c r="F1961" t="s">
        <v>135</v>
      </c>
      <c r="G1961" t="s">
        <v>219</v>
      </c>
      <c r="H1961" t="s">
        <v>208</v>
      </c>
      <c r="I1961" t="s">
        <v>209</v>
      </c>
      <c r="J1961">
        <v>1</v>
      </c>
      <c r="K1961">
        <v>45532</v>
      </c>
      <c r="L1961">
        <v>55</v>
      </c>
      <c r="O1961">
        <v>1</v>
      </c>
      <c r="P1961">
        <v>0</v>
      </c>
      <c r="Q1961">
        <v>0</v>
      </c>
    </row>
    <row r="1962" spans="2:17" x14ac:dyDescent="0.25">
      <c r="B1962" t="s">
        <v>434</v>
      </c>
      <c r="C1962" t="s">
        <v>67</v>
      </c>
      <c r="D1962" t="s">
        <v>67</v>
      </c>
      <c r="E1962">
        <v>0</v>
      </c>
      <c r="F1962" t="s">
        <v>135</v>
      </c>
      <c r="G1962" t="s">
        <v>220</v>
      </c>
      <c r="H1962" t="s">
        <v>208</v>
      </c>
      <c r="I1962" t="s">
        <v>209</v>
      </c>
      <c r="J1962">
        <v>1</v>
      </c>
      <c r="K1962">
        <v>45532</v>
      </c>
      <c r="L1962">
        <v>4</v>
      </c>
      <c r="O1962">
        <v>1</v>
      </c>
      <c r="P1962">
        <v>0</v>
      </c>
      <c r="Q1962">
        <v>0</v>
      </c>
    </row>
    <row r="1963" spans="2:17" x14ac:dyDescent="0.25">
      <c r="B1963" t="s">
        <v>434</v>
      </c>
      <c r="C1963" t="s">
        <v>465</v>
      </c>
      <c r="D1963" t="s">
        <v>231</v>
      </c>
      <c r="E1963">
        <v>70</v>
      </c>
      <c r="F1963" t="s">
        <v>68</v>
      </c>
      <c r="G1963" t="s">
        <v>490</v>
      </c>
      <c r="H1963" t="s">
        <v>233</v>
      </c>
      <c r="I1963" t="s">
        <v>234</v>
      </c>
      <c r="J1963">
        <v>1</v>
      </c>
      <c r="K1963">
        <v>45532</v>
      </c>
      <c r="L1963">
        <v>80</v>
      </c>
      <c r="O1963">
        <v>1</v>
      </c>
      <c r="P1963">
        <v>70</v>
      </c>
      <c r="Q1963">
        <v>0</v>
      </c>
    </row>
    <row r="1964" spans="2:17" x14ac:dyDescent="0.25">
      <c r="B1964" t="s">
        <v>434</v>
      </c>
      <c r="C1964" t="s">
        <v>66</v>
      </c>
      <c r="D1964" t="s">
        <v>66</v>
      </c>
      <c r="E1964">
        <v>1400</v>
      </c>
      <c r="F1964" t="s">
        <v>68</v>
      </c>
      <c r="G1964" t="s">
        <v>274</v>
      </c>
      <c r="H1964" t="s">
        <v>275</v>
      </c>
      <c r="I1964" t="s">
        <v>105</v>
      </c>
      <c r="J1964">
        <v>1</v>
      </c>
      <c r="K1964">
        <v>45532</v>
      </c>
      <c r="L1964">
        <v>1400</v>
      </c>
      <c r="O1964">
        <v>1</v>
      </c>
      <c r="P1964">
        <v>1400</v>
      </c>
      <c r="Q1964">
        <v>0</v>
      </c>
    </row>
    <row r="1965" spans="2:17" x14ac:dyDescent="0.25">
      <c r="B1965" t="s">
        <v>434</v>
      </c>
      <c r="C1965" t="s">
        <v>66</v>
      </c>
      <c r="D1965">
        <v>31200</v>
      </c>
      <c r="E1965">
        <v>27000</v>
      </c>
      <c r="F1965" t="s">
        <v>68</v>
      </c>
      <c r="G1965" t="s">
        <v>278</v>
      </c>
      <c r="H1965" t="s">
        <v>279</v>
      </c>
      <c r="I1965" t="s">
        <v>105</v>
      </c>
      <c r="J1965">
        <v>1</v>
      </c>
      <c r="K1965">
        <v>45532</v>
      </c>
      <c r="L1965">
        <v>27000</v>
      </c>
      <c r="O1965">
        <v>2400</v>
      </c>
      <c r="P1965">
        <v>11</v>
      </c>
      <c r="Q1965">
        <v>600</v>
      </c>
    </row>
    <row r="1966" spans="2:17" x14ac:dyDescent="0.25">
      <c r="B1966" t="s">
        <v>434</v>
      </c>
      <c r="C1966" t="s">
        <v>67</v>
      </c>
      <c r="D1966" t="s">
        <v>67</v>
      </c>
      <c r="E1966">
        <v>9994</v>
      </c>
      <c r="F1966" t="s">
        <v>68</v>
      </c>
      <c r="G1966" t="s">
        <v>112</v>
      </c>
      <c r="H1966" t="s">
        <v>323</v>
      </c>
      <c r="I1966" t="s">
        <v>66</v>
      </c>
      <c r="J1966">
        <v>1</v>
      </c>
      <c r="K1966">
        <v>45532</v>
      </c>
      <c r="L1966">
        <v>9994</v>
      </c>
      <c r="O1966">
        <v>100</v>
      </c>
      <c r="P1966">
        <v>99</v>
      </c>
      <c r="Q1966">
        <v>93.999999999999773</v>
      </c>
    </row>
    <row r="1967" spans="2:17" x14ac:dyDescent="0.25">
      <c r="B1967" t="s">
        <v>434</v>
      </c>
      <c r="C1967" t="s">
        <v>330</v>
      </c>
      <c r="D1967" t="s">
        <v>66</v>
      </c>
      <c r="E1967">
        <v>0</v>
      </c>
      <c r="F1967" t="s">
        <v>135</v>
      </c>
      <c r="G1967" t="s">
        <v>331</v>
      </c>
      <c r="H1967" t="s">
        <v>208</v>
      </c>
      <c r="I1967" t="s">
        <v>209</v>
      </c>
      <c r="J1967">
        <v>1</v>
      </c>
      <c r="K1967">
        <v>45532</v>
      </c>
      <c r="L1967">
        <v>68</v>
      </c>
      <c r="O1967">
        <v>1</v>
      </c>
      <c r="P1967">
        <v>0</v>
      </c>
      <c r="Q1967">
        <v>0</v>
      </c>
    </row>
    <row r="1968" spans="2:17" x14ac:dyDescent="0.25">
      <c r="B1968" t="s">
        <v>434</v>
      </c>
      <c r="C1968" t="s">
        <v>330</v>
      </c>
      <c r="D1968">
        <v>21</v>
      </c>
      <c r="E1968">
        <v>32</v>
      </c>
      <c r="F1968" t="s">
        <v>135</v>
      </c>
      <c r="G1968" t="s">
        <v>332</v>
      </c>
      <c r="H1968" t="s">
        <v>208</v>
      </c>
      <c r="I1968" t="s">
        <v>209</v>
      </c>
      <c r="J1968">
        <v>1</v>
      </c>
      <c r="K1968">
        <v>45532</v>
      </c>
      <c r="L1968">
        <v>32</v>
      </c>
      <c r="O1968">
        <v>1</v>
      </c>
      <c r="P1968">
        <v>32</v>
      </c>
      <c r="Q1968">
        <v>0</v>
      </c>
    </row>
    <row r="1969" spans="2:22" x14ac:dyDescent="0.25">
      <c r="B1969" t="s">
        <v>434</v>
      </c>
      <c r="C1969" t="s">
        <v>330</v>
      </c>
      <c r="D1969" t="s">
        <v>66</v>
      </c>
      <c r="E1969">
        <v>0</v>
      </c>
      <c r="F1969" t="s">
        <v>135</v>
      </c>
      <c r="G1969" t="s">
        <v>65</v>
      </c>
      <c r="H1969" t="s">
        <v>208</v>
      </c>
      <c r="I1969" t="s">
        <v>209</v>
      </c>
      <c r="J1969">
        <v>1</v>
      </c>
      <c r="K1969">
        <v>45532</v>
      </c>
      <c r="L1969">
        <v>53</v>
      </c>
      <c r="O1969">
        <v>1</v>
      </c>
      <c r="P1969">
        <v>0</v>
      </c>
      <c r="Q1969">
        <v>0</v>
      </c>
    </row>
    <row r="1970" spans="2:22" x14ac:dyDescent="0.25">
      <c r="B1970" t="s">
        <v>434</v>
      </c>
      <c r="C1970" t="s">
        <v>330</v>
      </c>
      <c r="D1970">
        <v>43</v>
      </c>
      <c r="E1970">
        <v>32</v>
      </c>
      <c r="F1970" t="s">
        <v>135</v>
      </c>
      <c r="G1970" t="s">
        <v>333</v>
      </c>
      <c r="H1970" t="s">
        <v>208</v>
      </c>
      <c r="I1970" t="s">
        <v>209</v>
      </c>
      <c r="J1970">
        <v>1</v>
      </c>
      <c r="K1970">
        <v>45532</v>
      </c>
      <c r="L1970">
        <v>32</v>
      </c>
      <c r="O1970">
        <v>1</v>
      </c>
      <c r="P1970">
        <v>32</v>
      </c>
      <c r="Q1970">
        <v>0</v>
      </c>
    </row>
    <row r="1971" spans="2:22" x14ac:dyDescent="0.25">
      <c r="B1971" t="s">
        <v>434</v>
      </c>
      <c r="C1971" t="s">
        <v>330</v>
      </c>
      <c r="D1971" t="s">
        <v>66</v>
      </c>
      <c r="E1971">
        <v>24</v>
      </c>
      <c r="F1971" t="s">
        <v>135</v>
      </c>
      <c r="G1971" t="s">
        <v>334</v>
      </c>
      <c r="H1971" t="s">
        <v>208</v>
      </c>
      <c r="I1971" t="s">
        <v>209</v>
      </c>
      <c r="J1971">
        <v>1</v>
      </c>
      <c r="K1971">
        <v>45532</v>
      </c>
      <c r="L1971">
        <v>24</v>
      </c>
      <c r="O1971">
        <v>1</v>
      </c>
      <c r="P1971">
        <v>24</v>
      </c>
      <c r="Q1971">
        <v>0</v>
      </c>
    </row>
    <row r="1972" spans="2:22" x14ac:dyDescent="0.25">
      <c r="B1972" t="s">
        <v>434</v>
      </c>
      <c r="C1972" t="s">
        <v>347</v>
      </c>
      <c r="D1972">
        <v>42</v>
      </c>
      <c r="E1972">
        <v>0</v>
      </c>
      <c r="F1972" t="s">
        <v>135</v>
      </c>
      <c r="G1972" t="s">
        <v>350</v>
      </c>
      <c r="H1972" t="s">
        <v>208</v>
      </c>
      <c r="I1972" t="s">
        <v>209</v>
      </c>
      <c r="J1972">
        <v>1</v>
      </c>
      <c r="K1972">
        <v>45532</v>
      </c>
      <c r="L1972">
        <v>44</v>
      </c>
      <c r="O1972">
        <v>1</v>
      </c>
      <c r="P1972">
        <v>0</v>
      </c>
      <c r="Q1972">
        <v>0</v>
      </c>
    </row>
    <row r="1973" spans="2:22" x14ac:dyDescent="0.25">
      <c r="B1973" t="s">
        <v>434</v>
      </c>
      <c r="C1973">
        <v>38856</v>
      </c>
      <c r="D1973" t="s">
        <v>66</v>
      </c>
      <c r="E1973">
        <v>144</v>
      </c>
      <c r="F1973" t="s">
        <v>68</v>
      </c>
      <c r="G1973" t="s">
        <v>552</v>
      </c>
      <c r="H1973" t="s">
        <v>692</v>
      </c>
      <c r="I1973" t="s">
        <v>693</v>
      </c>
      <c r="J1973">
        <v>1</v>
      </c>
      <c r="K1973">
        <v>45532</v>
      </c>
      <c r="L1973">
        <v>0</v>
      </c>
      <c r="O1973">
        <v>12</v>
      </c>
      <c r="P1973">
        <v>12</v>
      </c>
      <c r="Q1973">
        <v>0</v>
      </c>
    </row>
    <row r="1974" spans="2:22" x14ac:dyDescent="0.25">
      <c r="B1974" t="s">
        <v>434</v>
      </c>
      <c r="C1974" t="s">
        <v>997</v>
      </c>
      <c r="D1974" t="s">
        <v>998</v>
      </c>
      <c r="E1974">
        <v>4960</v>
      </c>
      <c r="G1974" t="s">
        <v>999</v>
      </c>
      <c r="H1974" t="s">
        <v>1000</v>
      </c>
      <c r="J1974">
        <v>1</v>
      </c>
      <c r="K1974">
        <v>45532</v>
      </c>
      <c r="O1974">
        <v>160</v>
      </c>
    </row>
    <row r="1975" spans="2:22" x14ac:dyDescent="0.25">
      <c r="B1975" t="s">
        <v>293</v>
      </c>
      <c r="C1975">
        <v>41220908</v>
      </c>
      <c r="D1975" t="s">
        <v>1035</v>
      </c>
      <c r="E1975">
        <v>5</v>
      </c>
      <c r="F1975" t="s">
        <v>68</v>
      </c>
      <c r="G1975" t="s">
        <v>182</v>
      </c>
      <c r="H1975" t="s">
        <v>183</v>
      </c>
      <c r="J1975">
        <v>0</v>
      </c>
      <c r="K1975">
        <v>45533.337650462963</v>
      </c>
      <c r="L1975">
        <v>59</v>
      </c>
      <c r="O1975">
        <v>36</v>
      </c>
      <c r="P1975">
        <v>0</v>
      </c>
      <c r="Q1975">
        <v>5</v>
      </c>
    </row>
    <row r="1976" spans="2:22" x14ac:dyDescent="0.25">
      <c r="B1976" t="s">
        <v>293</v>
      </c>
      <c r="C1976">
        <v>41221817</v>
      </c>
      <c r="D1976" t="s">
        <v>1036</v>
      </c>
      <c r="E1976">
        <v>240</v>
      </c>
      <c r="F1976" t="s">
        <v>68</v>
      </c>
      <c r="G1976" t="s">
        <v>159</v>
      </c>
      <c r="H1976" t="s">
        <v>796</v>
      </c>
      <c r="I1976" t="s">
        <v>161</v>
      </c>
      <c r="J1976">
        <v>0</v>
      </c>
      <c r="K1976">
        <v>45533.337673611109</v>
      </c>
      <c r="L1976">
        <v>2832</v>
      </c>
      <c r="O1976">
        <v>36</v>
      </c>
      <c r="P1976">
        <v>6</v>
      </c>
      <c r="Q1976">
        <v>24.000000000000011</v>
      </c>
    </row>
    <row r="1977" spans="2:22" x14ac:dyDescent="0.25">
      <c r="B1977" t="s">
        <v>293</v>
      </c>
      <c r="C1977">
        <v>41221796</v>
      </c>
      <c r="D1977" t="s">
        <v>1037</v>
      </c>
      <c r="E1977">
        <v>300</v>
      </c>
      <c r="F1977" t="s">
        <v>68</v>
      </c>
      <c r="G1977" t="s">
        <v>163</v>
      </c>
      <c r="H1977" t="s">
        <v>164</v>
      </c>
      <c r="I1977" t="s">
        <v>165</v>
      </c>
      <c r="J1977">
        <v>0</v>
      </c>
      <c r="K1977">
        <v>45533.337673611109</v>
      </c>
      <c r="L1977">
        <v>2062</v>
      </c>
      <c r="O1977">
        <v>12</v>
      </c>
      <c r="P1977">
        <v>25</v>
      </c>
      <c r="Q1977">
        <v>0</v>
      </c>
    </row>
    <row r="1978" spans="2:22" x14ac:dyDescent="0.25">
      <c r="B1978" t="s">
        <v>293</v>
      </c>
      <c r="C1978">
        <v>41221789</v>
      </c>
      <c r="D1978" t="s">
        <v>1038</v>
      </c>
      <c r="E1978">
        <v>20</v>
      </c>
      <c r="F1978" t="s">
        <v>68</v>
      </c>
      <c r="G1978" t="s">
        <v>483</v>
      </c>
      <c r="H1978" t="s">
        <v>150</v>
      </c>
      <c r="I1978" t="s">
        <v>144</v>
      </c>
      <c r="J1978">
        <v>0</v>
      </c>
      <c r="K1978">
        <v>45533.337685185186</v>
      </c>
      <c r="L1978">
        <v>294</v>
      </c>
      <c r="O1978">
        <v>4</v>
      </c>
      <c r="P1978">
        <v>5</v>
      </c>
      <c r="Q1978">
        <v>0</v>
      </c>
    </row>
    <row r="1979" spans="2:22" x14ac:dyDescent="0.25">
      <c r="B1979" t="s">
        <v>293</v>
      </c>
      <c r="C1979">
        <v>41220883</v>
      </c>
      <c r="D1979" t="s">
        <v>1039</v>
      </c>
      <c r="E1979">
        <v>3</v>
      </c>
      <c r="F1979" t="s">
        <v>68</v>
      </c>
      <c r="G1979" t="s">
        <v>482</v>
      </c>
      <c r="H1979" t="s">
        <v>148</v>
      </c>
      <c r="I1979" t="s">
        <v>144</v>
      </c>
      <c r="J1979">
        <v>0</v>
      </c>
      <c r="K1979">
        <v>45533.337696759256</v>
      </c>
      <c r="L1979">
        <v>172</v>
      </c>
      <c r="O1979">
        <v>24</v>
      </c>
      <c r="P1979">
        <v>0</v>
      </c>
      <c r="Q1979">
        <v>3</v>
      </c>
    </row>
    <row r="1980" spans="2:22" x14ac:dyDescent="0.25">
      <c r="B1980" t="s">
        <v>293</v>
      </c>
      <c r="C1980">
        <v>41221736</v>
      </c>
      <c r="D1980" t="s">
        <v>1040</v>
      </c>
      <c r="E1980">
        <v>120</v>
      </c>
      <c r="F1980" t="s">
        <v>68</v>
      </c>
      <c r="G1980" t="s">
        <v>485</v>
      </c>
      <c r="H1980" t="s">
        <v>178</v>
      </c>
      <c r="I1980" t="s">
        <v>144</v>
      </c>
      <c r="J1980">
        <v>0</v>
      </c>
      <c r="K1980">
        <v>45533.337696759256</v>
      </c>
      <c r="L1980">
        <v>2000</v>
      </c>
      <c r="O1980">
        <v>100</v>
      </c>
      <c r="P1980">
        <v>1</v>
      </c>
      <c r="Q1980">
        <v>19.999999999999996</v>
      </c>
      <c r="V1980" t="s">
        <v>798</v>
      </c>
    </row>
    <row r="1981" spans="2:22" x14ac:dyDescent="0.25">
      <c r="B1981" t="s">
        <v>293</v>
      </c>
      <c r="C1981">
        <v>41221787</v>
      </c>
      <c r="D1981" t="s">
        <v>1041</v>
      </c>
      <c r="E1981">
        <v>200</v>
      </c>
      <c r="F1981" t="s">
        <v>68</v>
      </c>
      <c r="G1981" t="s">
        <v>201</v>
      </c>
      <c r="H1981" t="s">
        <v>202</v>
      </c>
      <c r="I1981" t="s">
        <v>144</v>
      </c>
      <c r="J1981">
        <v>0</v>
      </c>
      <c r="K1981">
        <v>45533.337708333333</v>
      </c>
      <c r="L1981">
        <v>1600</v>
      </c>
      <c r="O1981">
        <v>100</v>
      </c>
      <c r="P1981">
        <v>2</v>
      </c>
      <c r="Q1981">
        <v>0</v>
      </c>
    </row>
    <row r="1982" spans="2:22" x14ac:dyDescent="0.25">
      <c r="B1982" t="s">
        <v>293</v>
      </c>
      <c r="C1982">
        <v>41221573</v>
      </c>
      <c r="D1982" t="s">
        <v>1042</v>
      </c>
      <c r="E1982">
        <v>288</v>
      </c>
      <c r="F1982" t="s">
        <v>135</v>
      </c>
      <c r="G1982" t="s">
        <v>141</v>
      </c>
      <c r="H1982" t="s">
        <v>137</v>
      </c>
      <c r="I1982" t="s">
        <v>138</v>
      </c>
      <c r="J1982">
        <v>0</v>
      </c>
      <c r="K1982">
        <v>45533.337708333333</v>
      </c>
      <c r="L1982">
        <v>2308</v>
      </c>
      <c r="O1982">
        <v>144</v>
      </c>
      <c r="P1982">
        <v>2</v>
      </c>
      <c r="Q1982">
        <v>0</v>
      </c>
    </row>
    <row r="1983" spans="2:22" x14ac:dyDescent="0.25">
      <c r="B1983" t="s">
        <v>293</v>
      </c>
      <c r="C1983">
        <v>41219252</v>
      </c>
      <c r="D1983" t="s">
        <v>1043</v>
      </c>
      <c r="E1983">
        <v>240</v>
      </c>
      <c r="F1983" t="s">
        <v>68</v>
      </c>
      <c r="G1983" t="s">
        <v>155</v>
      </c>
      <c r="H1983" t="s">
        <v>156</v>
      </c>
      <c r="J1983">
        <v>0</v>
      </c>
      <c r="K1983">
        <v>45533.337719907409</v>
      </c>
      <c r="L1983">
        <v>2062</v>
      </c>
      <c r="O1983">
        <v>24</v>
      </c>
      <c r="P1983">
        <v>10</v>
      </c>
      <c r="Q1983">
        <v>0</v>
      </c>
    </row>
    <row r="1984" spans="2:22" x14ac:dyDescent="0.25">
      <c r="B1984" t="s">
        <v>293</v>
      </c>
      <c r="C1984">
        <v>41221741</v>
      </c>
      <c r="D1984" t="s">
        <v>1044</v>
      </c>
      <c r="E1984">
        <v>2000</v>
      </c>
      <c r="F1984" t="s">
        <v>68</v>
      </c>
      <c r="G1984" t="s">
        <v>179</v>
      </c>
      <c r="H1984" t="s">
        <v>180</v>
      </c>
      <c r="I1984" t="s">
        <v>144</v>
      </c>
      <c r="J1984">
        <v>0</v>
      </c>
      <c r="K1984">
        <v>45533.337719907409</v>
      </c>
      <c r="L1984">
        <v>8800</v>
      </c>
      <c r="O1984">
        <v>2000</v>
      </c>
      <c r="P1984">
        <v>1</v>
      </c>
      <c r="Q1984">
        <v>0</v>
      </c>
    </row>
    <row r="1985" spans="2:22" x14ac:dyDescent="0.25">
      <c r="B1985" t="s">
        <v>293</v>
      </c>
      <c r="C1985">
        <v>41221483</v>
      </c>
      <c r="D1985" t="s">
        <v>1045</v>
      </c>
      <c r="E1985">
        <v>12000</v>
      </c>
      <c r="F1985" t="s">
        <v>68</v>
      </c>
      <c r="G1985" t="s">
        <v>103</v>
      </c>
      <c r="H1985" t="s">
        <v>104</v>
      </c>
      <c r="I1985" t="s">
        <v>105</v>
      </c>
      <c r="J1985">
        <v>0</v>
      </c>
      <c r="K1985">
        <v>45533.337731481479</v>
      </c>
      <c r="L1985">
        <v>100000</v>
      </c>
      <c r="O1985">
        <v>2400</v>
      </c>
      <c r="P1985">
        <v>5</v>
      </c>
      <c r="Q1985">
        <v>0</v>
      </c>
    </row>
    <row r="1986" spans="2:22" x14ac:dyDescent="0.25">
      <c r="B1986" t="s">
        <v>293</v>
      </c>
      <c r="C1986">
        <v>41221742</v>
      </c>
      <c r="D1986" t="s">
        <v>1046</v>
      </c>
      <c r="E1986">
        <v>600</v>
      </c>
      <c r="F1986" t="s">
        <v>68</v>
      </c>
      <c r="G1986" t="s">
        <v>115</v>
      </c>
      <c r="H1986" t="s">
        <v>116</v>
      </c>
      <c r="I1986" t="s">
        <v>105</v>
      </c>
      <c r="J1986">
        <v>0</v>
      </c>
      <c r="K1986">
        <v>45533.337731481479</v>
      </c>
      <c r="L1986">
        <v>2050</v>
      </c>
      <c r="O1986">
        <v>700</v>
      </c>
      <c r="P1986">
        <v>0</v>
      </c>
      <c r="Q1986">
        <v>600</v>
      </c>
    </row>
    <row r="1987" spans="2:22" x14ac:dyDescent="0.25">
      <c r="B1987" t="s">
        <v>293</v>
      </c>
      <c r="C1987">
        <v>41221574</v>
      </c>
      <c r="D1987" t="s">
        <v>1047</v>
      </c>
      <c r="E1987">
        <v>100</v>
      </c>
      <c r="F1987" t="s">
        <v>68</v>
      </c>
      <c r="G1987" t="s">
        <v>151</v>
      </c>
      <c r="H1987" t="s">
        <v>152</v>
      </c>
      <c r="I1987" t="s">
        <v>105</v>
      </c>
      <c r="J1987">
        <v>0</v>
      </c>
      <c r="K1987">
        <v>45533.337743055556</v>
      </c>
      <c r="L1987">
        <v>290</v>
      </c>
      <c r="O1987">
        <v>200</v>
      </c>
      <c r="P1987">
        <v>0</v>
      </c>
      <c r="Q1987">
        <v>100</v>
      </c>
    </row>
    <row r="1988" spans="2:22" x14ac:dyDescent="0.25">
      <c r="B1988" t="s">
        <v>293</v>
      </c>
      <c r="C1988">
        <v>41221573</v>
      </c>
      <c r="D1988" t="s">
        <v>1048</v>
      </c>
      <c r="E1988">
        <v>488</v>
      </c>
      <c r="F1988" t="s">
        <v>135</v>
      </c>
      <c r="G1988" t="s">
        <v>139</v>
      </c>
      <c r="H1988" t="s">
        <v>137</v>
      </c>
      <c r="I1988" t="s">
        <v>138</v>
      </c>
      <c r="J1988">
        <v>0</v>
      </c>
      <c r="K1988">
        <v>45534.446134259262</v>
      </c>
      <c r="L1988">
        <v>3560</v>
      </c>
      <c r="O1988">
        <v>144</v>
      </c>
      <c r="P1988">
        <v>3</v>
      </c>
      <c r="Q1988">
        <v>55.999999999999993</v>
      </c>
    </row>
    <row r="1989" spans="2:22" x14ac:dyDescent="0.25">
      <c r="B1989" t="s">
        <v>293</v>
      </c>
      <c r="C1989">
        <v>41221573</v>
      </c>
      <c r="D1989">
        <v>783</v>
      </c>
      <c r="E1989">
        <v>520</v>
      </c>
      <c r="F1989" t="s">
        <v>135</v>
      </c>
      <c r="G1989" t="s">
        <v>140</v>
      </c>
      <c r="H1989" t="s">
        <v>137</v>
      </c>
      <c r="I1989" t="s">
        <v>138</v>
      </c>
      <c r="J1989">
        <v>0</v>
      </c>
      <c r="K1989">
        <v>45534.446157407408</v>
      </c>
      <c r="L1989">
        <v>554</v>
      </c>
      <c r="O1989">
        <v>144</v>
      </c>
      <c r="P1989">
        <v>3</v>
      </c>
      <c r="Q1989">
        <v>88</v>
      </c>
    </row>
    <row r="1990" spans="2:22" x14ac:dyDescent="0.25">
      <c r="B1990" t="s">
        <v>293</v>
      </c>
      <c r="C1990">
        <v>41221736</v>
      </c>
      <c r="D1990" t="s">
        <v>1049</v>
      </c>
      <c r="E1990">
        <v>300</v>
      </c>
      <c r="F1990" t="s">
        <v>68</v>
      </c>
      <c r="G1990" t="s">
        <v>485</v>
      </c>
      <c r="H1990" t="s">
        <v>178</v>
      </c>
      <c r="I1990" t="s">
        <v>144</v>
      </c>
      <c r="J1990">
        <v>0</v>
      </c>
      <c r="K1990">
        <v>45538.474629629629</v>
      </c>
      <c r="L1990">
        <v>1700</v>
      </c>
      <c r="O1990">
        <v>100</v>
      </c>
      <c r="P1990">
        <v>3</v>
      </c>
      <c r="Q1990">
        <v>0</v>
      </c>
      <c r="V1990" t="s">
        <v>798</v>
      </c>
    </row>
    <row r="1991" spans="2:22" x14ac:dyDescent="0.25">
      <c r="B1991" t="s">
        <v>293</v>
      </c>
      <c r="C1991">
        <v>41221320</v>
      </c>
      <c r="D1991" t="s">
        <v>1050</v>
      </c>
      <c r="E1991">
        <v>36</v>
      </c>
      <c r="F1991" t="s">
        <v>68</v>
      </c>
      <c r="G1991" t="s">
        <v>166</v>
      </c>
      <c r="H1991" t="s">
        <v>709</v>
      </c>
      <c r="J1991">
        <v>0</v>
      </c>
      <c r="K1991">
        <v>45540.342881944445</v>
      </c>
      <c r="L1991">
        <v>612</v>
      </c>
      <c r="O1991">
        <v>4</v>
      </c>
      <c r="P1991">
        <v>9</v>
      </c>
      <c r="Q1991">
        <v>0</v>
      </c>
    </row>
    <row r="1992" spans="2:22" x14ac:dyDescent="0.25">
      <c r="B1992" t="s">
        <v>293</v>
      </c>
      <c r="C1992">
        <v>41220908</v>
      </c>
      <c r="D1992" t="s">
        <v>1051</v>
      </c>
      <c r="E1992">
        <v>5</v>
      </c>
      <c r="F1992" t="s">
        <v>68</v>
      </c>
      <c r="G1992" t="s">
        <v>182</v>
      </c>
      <c r="H1992" t="s">
        <v>183</v>
      </c>
      <c r="J1992">
        <v>0</v>
      </c>
      <c r="K1992">
        <v>45540.342881944445</v>
      </c>
      <c r="L1992">
        <v>54</v>
      </c>
      <c r="O1992">
        <v>36</v>
      </c>
      <c r="P1992">
        <v>0</v>
      </c>
      <c r="Q1992">
        <v>5</v>
      </c>
    </row>
    <row r="1993" spans="2:22" x14ac:dyDescent="0.25">
      <c r="B1993" t="s">
        <v>293</v>
      </c>
      <c r="C1993">
        <v>41221817</v>
      </c>
      <c r="D1993" t="s">
        <v>1052</v>
      </c>
      <c r="E1993">
        <v>240</v>
      </c>
      <c r="F1993" t="s">
        <v>68</v>
      </c>
      <c r="G1993" t="s">
        <v>159</v>
      </c>
      <c r="H1993" t="s">
        <v>796</v>
      </c>
      <c r="I1993" t="s">
        <v>161</v>
      </c>
      <c r="J1993">
        <v>0</v>
      </c>
      <c r="K1993">
        <v>45540.342893518522</v>
      </c>
      <c r="L1993">
        <v>2592</v>
      </c>
      <c r="O1993">
        <v>36</v>
      </c>
      <c r="P1993">
        <v>6</v>
      </c>
      <c r="Q1993">
        <v>24.000000000000011</v>
      </c>
    </row>
    <row r="1994" spans="2:22" x14ac:dyDescent="0.25">
      <c r="B1994" t="s">
        <v>293</v>
      </c>
      <c r="C1994">
        <v>41221796</v>
      </c>
      <c r="D1994" t="s">
        <v>1053</v>
      </c>
      <c r="E1994">
        <v>300</v>
      </c>
      <c r="F1994" t="s">
        <v>68</v>
      </c>
      <c r="G1994" t="s">
        <v>163</v>
      </c>
      <c r="H1994" t="s">
        <v>164</v>
      </c>
      <c r="I1994" t="s">
        <v>165</v>
      </c>
      <c r="J1994">
        <v>0</v>
      </c>
      <c r="K1994">
        <v>45540.342893518522</v>
      </c>
      <c r="L1994">
        <v>1762</v>
      </c>
      <c r="O1994">
        <v>12</v>
      </c>
      <c r="P1994">
        <v>25</v>
      </c>
      <c r="Q1994">
        <v>0</v>
      </c>
    </row>
    <row r="1995" spans="2:22" x14ac:dyDescent="0.25">
      <c r="B1995" t="s">
        <v>293</v>
      </c>
      <c r="C1995">
        <v>41220883</v>
      </c>
      <c r="D1995">
        <v>2085</v>
      </c>
      <c r="E1995">
        <v>6</v>
      </c>
      <c r="F1995" t="s">
        <v>68</v>
      </c>
      <c r="G1995" t="s">
        <v>482</v>
      </c>
      <c r="H1995" t="s">
        <v>148</v>
      </c>
      <c r="I1995" t="s">
        <v>144</v>
      </c>
      <c r="J1995">
        <v>0</v>
      </c>
      <c r="K1995">
        <v>45540.342905092592</v>
      </c>
      <c r="L1995">
        <v>166</v>
      </c>
      <c r="O1995">
        <v>24</v>
      </c>
      <c r="P1995">
        <v>0</v>
      </c>
      <c r="Q1995">
        <v>6</v>
      </c>
    </row>
    <row r="1996" spans="2:22" x14ac:dyDescent="0.25">
      <c r="B1996" t="s">
        <v>293</v>
      </c>
      <c r="C1996">
        <v>41221736</v>
      </c>
      <c r="D1996">
        <v>2086</v>
      </c>
      <c r="E1996">
        <v>120</v>
      </c>
      <c r="F1996" t="s">
        <v>68</v>
      </c>
      <c r="G1996" t="s">
        <v>485</v>
      </c>
      <c r="H1996" t="s">
        <v>178</v>
      </c>
      <c r="I1996" t="s">
        <v>144</v>
      </c>
      <c r="J1996">
        <v>0</v>
      </c>
      <c r="K1996">
        <v>45540.342905092592</v>
      </c>
      <c r="L1996">
        <v>1580</v>
      </c>
      <c r="O1996">
        <v>100</v>
      </c>
      <c r="P1996">
        <v>1</v>
      </c>
      <c r="Q1996">
        <v>19.999999999999996</v>
      </c>
      <c r="V1996" t="s">
        <v>798</v>
      </c>
    </row>
    <row r="1997" spans="2:22" x14ac:dyDescent="0.25">
      <c r="B1997" t="s">
        <v>293</v>
      </c>
      <c r="C1997">
        <v>41221787</v>
      </c>
      <c r="D1997">
        <v>2087</v>
      </c>
      <c r="E1997">
        <v>200</v>
      </c>
      <c r="F1997" t="s">
        <v>68</v>
      </c>
      <c r="G1997" t="s">
        <v>201</v>
      </c>
      <c r="H1997" t="s">
        <v>202</v>
      </c>
      <c r="I1997" t="s">
        <v>144</v>
      </c>
      <c r="J1997">
        <v>0</v>
      </c>
      <c r="K1997">
        <v>45540.342916666668</v>
      </c>
      <c r="L1997">
        <v>1400</v>
      </c>
      <c r="O1997">
        <v>100</v>
      </c>
      <c r="P1997">
        <v>2</v>
      </c>
      <c r="Q1997">
        <v>0</v>
      </c>
    </row>
    <row r="1998" spans="2:22" x14ac:dyDescent="0.25">
      <c r="B1998" t="s">
        <v>293</v>
      </c>
      <c r="C1998">
        <v>41219252</v>
      </c>
      <c r="D1998">
        <v>2088</v>
      </c>
      <c r="E1998">
        <v>372</v>
      </c>
      <c r="F1998" t="s">
        <v>68</v>
      </c>
      <c r="G1998" t="s">
        <v>155</v>
      </c>
      <c r="H1998" t="s">
        <v>156</v>
      </c>
      <c r="J1998">
        <v>0</v>
      </c>
      <c r="K1998">
        <v>45540.342916666668</v>
      </c>
      <c r="L1998">
        <v>1690</v>
      </c>
      <c r="O1998">
        <v>24</v>
      </c>
      <c r="P1998">
        <v>15</v>
      </c>
      <c r="Q1998">
        <v>12</v>
      </c>
    </row>
    <row r="1999" spans="2:22" x14ac:dyDescent="0.25">
      <c r="B1999" t="s">
        <v>293</v>
      </c>
      <c r="C1999">
        <v>41221741</v>
      </c>
      <c r="D1999">
        <v>2089</v>
      </c>
      <c r="E1999">
        <v>2000</v>
      </c>
      <c r="F1999" t="s">
        <v>68</v>
      </c>
      <c r="G1999" t="s">
        <v>179</v>
      </c>
      <c r="H1999" t="s">
        <v>180</v>
      </c>
      <c r="I1999" t="s">
        <v>144</v>
      </c>
      <c r="J1999">
        <v>0</v>
      </c>
      <c r="K1999">
        <v>45540.342928240738</v>
      </c>
      <c r="L1999">
        <v>6800</v>
      </c>
      <c r="O1999">
        <v>2000</v>
      </c>
      <c r="P1999">
        <v>1</v>
      </c>
      <c r="Q1999">
        <v>0</v>
      </c>
    </row>
    <row r="2000" spans="2:22" x14ac:dyDescent="0.25">
      <c r="B2000" t="s">
        <v>293</v>
      </c>
      <c r="C2000">
        <v>41221574</v>
      </c>
      <c r="D2000">
        <v>2090</v>
      </c>
      <c r="E2000">
        <v>100</v>
      </c>
      <c r="F2000" t="s">
        <v>68</v>
      </c>
      <c r="G2000" t="s">
        <v>151</v>
      </c>
      <c r="H2000" t="s">
        <v>152</v>
      </c>
      <c r="I2000" t="s">
        <v>105</v>
      </c>
      <c r="J2000">
        <v>0</v>
      </c>
      <c r="K2000">
        <v>45540.342928240738</v>
      </c>
      <c r="L2000">
        <v>190</v>
      </c>
      <c r="O2000">
        <v>200</v>
      </c>
      <c r="P2000">
        <v>0</v>
      </c>
      <c r="Q2000">
        <v>100</v>
      </c>
    </row>
    <row r="2001" spans="2:22" x14ac:dyDescent="0.25">
      <c r="B2001" t="s">
        <v>293</v>
      </c>
      <c r="C2001">
        <v>41221896</v>
      </c>
      <c r="D2001" t="s">
        <v>1054</v>
      </c>
      <c r="E2001">
        <v>24</v>
      </c>
      <c r="F2001" t="s">
        <v>68</v>
      </c>
      <c r="G2001" t="s">
        <v>482</v>
      </c>
      <c r="H2001" t="s">
        <v>148</v>
      </c>
      <c r="I2001" t="s">
        <v>144</v>
      </c>
      <c r="J2001">
        <v>0</v>
      </c>
      <c r="K2001">
        <v>45540.492638888885</v>
      </c>
      <c r="L2001">
        <v>142</v>
      </c>
      <c r="O2001">
        <v>24</v>
      </c>
      <c r="P2001">
        <v>1</v>
      </c>
      <c r="Q2001">
        <v>0</v>
      </c>
    </row>
    <row r="2002" spans="2:22" x14ac:dyDescent="0.25">
      <c r="B2002" t="s">
        <v>293</v>
      </c>
      <c r="C2002">
        <v>41221897</v>
      </c>
      <c r="D2002" t="s">
        <v>1055</v>
      </c>
      <c r="E2002">
        <v>300</v>
      </c>
      <c r="F2002" t="s">
        <v>68</v>
      </c>
      <c r="G2002" t="s">
        <v>153</v>
      </c>
      <c r="H2002" t="s">
        <v>154</v>
      </c>
      <c r="I2002" t="s">
        <v>105</v>
      </c>
      <c r="J2002">
        <v>0</v>
      </c>
      <c r="K2002">
        <v>45540.492662037039</v>
      </c>
      <c r="L2002">
        <v>200</v>
      </c>
      <c r="O2002">
        <v>100</v>
      </c>
      <c r="P2002">
        <v>3</v>
      </c>
      <c r="Q2002">
        <v>0</v>
      </c>
    </row>
    <row r="2003" spans="2:22" x14ac:dyDescent="0.25">
      <c r="B2003" t="s">
        <v>434</v>
      </c>
      <c r="C2003" t="s">
        <v>67</v>
      </c>
      <c r="D2003" t="s">
        <v>67</v>
      </c>
      <c r="E2003">
        <v>6</v>
      </c>
      <c r="F2003" t="s">
        <v>68</v>
      </c>
      <c r="G2003" t="s">
        <v>151</v>
      </c>
      <c r="H2003" t="s">
        <v>152</v>
      </c>
      <c r="I2003" t="s">
        <v>105</v>
      </c>
      <c r="J2003">
        <v>0</v>
      </c>
      <c r="K2003">
        <v>45545.454814814817</v>
      </c>
      <c r="L2003">
        <v>184</v>
      </c>
      <c r="O2003">
        <v>200</v>
      </c>
      <c r="P2003">
        <v>0</v>
      </c>
      <c r="Q2003">
        <v>6</v>
      </c>
    </row>
    <row r="2004" spans="2:22" x14ac:dyDescent="0.25">
      <c r="B2004" t="s">
        <v>434</v>
      </c>
      <c r="C2004" t="s">
        <v>67</v>
      </c>
      <c r="D2004" t="s">
        <v>67</v>
      </c>
      <c r="E2004">
        <v>2</v>
      </c>
      <c r="F2004" t="s">
        <v>68</v>
      </c>
      <c r="G2004" t="s">
        <v>155</v>
      </c>
      <c r="H2004" t="s">
        <v>156</v>
      </c>
      <c r="J2004">
        <v>1</v>
      </c>
      <c r="K2004">
        <v>45545.456018518518</v>
      </c>
      <c r="L2004">
        <v>1692</v>
      </c>
      <c r="O2004">
        <v>24</v>
      </c>
      <c r="P2004">
        <v>0</v>
      </c>
      <c r="Q2004">
        <v>2</v>
      </c>
    </row>
    <row r="2005" spans="2:22" x14ac:dyDescent="0.25">
      <c r="B2005" t="s">
        <v>434</v>
      </c>
      <c r="C2005" t="s">
        <v>67</v>
      </c>
      <c r="D2005" t="s">
        <v>67</v>
      </c>
      <c r="E2005">
        <v>100</v>
      </c>
      <c r="F2005" t="s">
        <v>68</v>
      </c>
      <c r="G2005" t="s">
        <v>485</v>
      </c>
      <c r="H2005" t="s">
        <v>178</v>
      </c>
      <c r="I2005" t="s">
        <v>144</v>
      </c>
      <c r="J2005">
        <v>0</v>
      </c>
      <c r="K2005">
        <v>45545.457025462965</v>
      </c>
      <c r="L2005">
        <v>1480</v>
      </c>
      <c r="O2005">
        <v>100</v>
      </c>
      <c r="P2005">
        <v>1</v>
      </c>
      <c r="Q2005">
        <v>0</v>
      </c>
      <c r="V2005" t="s">
        <v>798</v>
      </c>
    </row>
    <row r="2006" spans="2:22" x14ac:dyDescent="0.25">
      <c r="B2006" t="s">
        <v>434</v>
      </c>
      <c r="C2006" t="s">
        <v>67</v>
      </c>
      <c r="D2006" t="s">
        <v>67</v>
      </c>
      <c r="E2006">
        <v>100</v>
      </c>
      <c r="F2006" t="s">
        <v>68</v>
      </c>
      <c r="G2006" t="s">
        <v>201</v>
      </c>
      <c r="H2006" t="s">
        <v>202</v>
      </c>
      <c r="I2006" t="s">
        <v>144</v>
      </c>
      <c r="J2006">
        <v>1</v>
      </c>
      <c r="K2006">
        <v>45545.457372685189</v>
      </c>
      <c r="L2006">
        <v>1500</v>
      </c>
      <c r="O2006">
        <v>100</v>
      </c>
      <c r="P2006">
        <v>1</v>
      </c>
      <c r="Q2006">
        <v>0</v>
      </c>
    </row>
    <row r="2007" spans="2:22" x14ac:dyDescent="0.25">
      <c r="B2007" t="s">
        <v>293</v>
      </c>
      <c r="C2007">
        <v>41221320</v>
      </c>
      <c r="D2007" t="s">
        <v>1056</v>
      </c>
      <c r="E2007">
        <v>36</v>
      </c>
      <c r="F2007" t="s">
        <v>68</v>
      </c>
      <c r="G2007" t="s">
        <v>166</v>
      </c>
      <c r="H2007" t="s">
        <v>709</v>
      </c>
      <c r="J2007">
        <v>0</v>
      </c>
      <c r="K2007">
        <v>45547.353750000002</v>
      </c>
      <c r="L2007">
        <v>576</v>
      </c>
      <c r="O2007">
        <v>4</v>
      </c>
      <c r="P2007">
        <v>9</v>
      </c>
      <c r="Q2007">
        <v>0</v>
      </c>
    </row>
    <row r="2008" spans="2:22" x14ac:dyDescent="0.25">
      <c r="B2008" t="s">
        <v>293</v>
      </c>
      <c r="C2008">
        <v>41221805</v>
      </c>
      <c r="D2008" t="s">
        <v>1057</v>
      </c>
      <c r="E2008">
        <v>12</v>
      </c>
      <c r="F2008" t="s">
        <v>68</v>
      </c>
      <c r="G2008" t="s">
        <v>552</v>
      </c>
      <c r="H2008" t="s">
        <v>692</v>
      </c>
      <c r="I2008" t="s">
        <v>693</v>
      </c>
      <c r="J2008">
        <v>0</v>
      </c>
      <c r="K2008">
        <v>45547.353750000002</v>
      </c>
      <c r="L2008">
        <v>132</v>
      </c>
      <c r="O2008">
        <v>12</v>
      </c>
      <c r="P2008">
        <v>1</v>
      </c>
      <c r="Q2008">
        <v>0</v>
      </c>
      <c r="V2008" t="s">
        <v>695</v>
      </c>
    </row>
    <row r="2009" spans="2:22" x14ac:dyDescent="0.25">
      <c r="B2009" t="s">
        <v>293</v>
      </c>
      <c r="C2009">
        <v>41220908</v>
      </c>
      <c r="D2009" t="s">
        <v>1058</v>
      </c>
      <c r="E2009">
        <v>5</v>
      </c>
      <c r="F2009" t="s">
        <v>68</v>
      </c>
      <c r="G2009" t="s">
        <v>182</v>
      </c>
      <c r="H2009" t="s">
        <v>183</v>
      </c>
      <c r="J2009">
        <v>0</v>
      </c>
      <c r="K2009">
        <v>45547.353761574072</v>
      </c>
      <c r="L2009">
        <v>49</v>
      </c>
      <c r="O2009">
        <v>36</v>
      </c>
      <c r="P2009">
        <v>0</v>
      </c>
      <c r="Q2009">
        <v>5</v>
      </c>
    </row>
    <row r="2010" spans="2:22" x14ac:dyDescent="0.25">
      <c r="B2010" t="s">
        <v>293</v>
      </c>
      <c r="C2010">
        <v>41221817</v>
      </c>
      <c r="D2010" t="s">
        <v>1059</v>
      </c>
      <c r="E2010">
        <v>240</v>
      </c>
      <c r="F2010" t="s">
        <v>68</v>
      </c>
      <c r="G2010" t="s">
        <v>159</v>
      </c>
      <c r="H2010" t="s">
        <v>796</v>
      </c>
      <c r="I2010" t="s">
        <v>161</v>
      </c>
      <c r="J2010">
        <v>0</v>
      </c>
      <c r="K2010">
        <v>45547.353761574072</v>
      </c>
      <c r="L2010">
        <v>2352</v>
      </c>
      <c r="O2010">
        <v>36</v>
      </c>
      <c r="P2010">
        <v>6</v>
      </c>
      <c r="Q2010">
        <v>24.000000000000011</v>
      </c>
    </row>
    <row r="2011" spans="2:22" x14ac:dyDescent="0.25">
      <c r="B2011" t="s">
        <v>293</v>
      </c>
      <c r="C2011">
        <v>41221796</v>
      </c>
      <c r="D2011" t="s">
        <v>1060</v>
      </c>
      <c r="E2011">
        <v>300</v>
      </c>
      <c r="F2011" t="s">
        <v>68</v>
      </c>
      <c r="G2011" t="s">
        <v>163</v>
      </c>
      <c r="H2011" t="s">
        <v>164</v>
      </c>
      <c r="I2011" t="s">
        <v>165</v>
      </c>
      <c r="J2011">
        <v>0</v>
      </c>
      <c r="K2011">
        <v>45547.353761574072</v>
      </c>
      <c r="L2011">
        <v>1462</v>
      </c>
      <c r="O2011">
        <v>12</v>
      </c>
      <c r="P2011">
        <v>25</v>
      </c>
      <c r="Q2011">
        <v>0</v>
      </c>
    </row>
    <row r="2012" spans="2:22" x14ac:dyDescent="0.25">
      <c r="B2012" t="s">
        <v>293</v>
      </c>
      <c r="C2012">
        <v>41221789</v>
      </c>
      <c r="D2012">
        <v>2098</v>
      </c>
      <c r="E2012">
        <v>20</v>
      </c>
      <c r="F2012" t="s">
        <v>68</v>
      </c>
      <c r="G2012" t="s">
        <v>483</v>
      </c>
      <c r="H2012" t="s">
        <v>150</v>
      </c>
      <c r="I2012" t="s">
        <v>144</v>
      </c>
      <c r="J2012">
        <v>0</v>
      </c>
      <c r="K2012">
        <v>45547.353773148148</v>
      </c>
      <c r="L2012">
        <v>274</v>
      </c>
      <c r="O2012">
        <v>4</v>
      </c>
      <c r="P2012">
        <v>5</v>
      </c>
      <c r="Q2012">
        <v>0</v>
      </c>
    </row>
    <row r="2013" spans="2:22" x14ac:dyDescent="0.25">
      <c r="B2013" t="s">
        <v>293</v>
      </c>
      <c r="C2013">
        <v>41220883</v>
      </c>
      <c r="D2013">
        <v>2099</v>
      </c>
      <c r="E2013">
        <v>3</v>
      </c>
      <c r="F2013" t="s">
        <v>68</v>
      </c>
      <c r="G2013" t="s">
        <v>482</v>
      </c>
      <c r="H2013" t="s">
        <v>148</v>
      </c>
      <c r="I2013" t="s">
        <v>144</v>
      </c>
      <c r="J2013">
        <v>0</v>
      </c>
      <c r="K2013">
        <v>45547.353773148148</v>
      </c>
      <c r="L2013">
        <v>139</v>
      </c>
      <c r="O2013">
        <v>24</v>
      </c>
      <c r="P2013">
        <v>0</v>
      </c>
      <c r="Q2013">
        <v>3</v>
      </c>
    </row>
    <row r="2014" spans="2:22" x14ac:dyDescent="0.25">
      <c r="B2014" t="s">
        <v>293</v>
      </c>
      <c r="C2014">
        <v>41221736</v>
      </c>
      <c r="D2014">
        <v>2100</v>
      </c>
      <c r="E2014">
        <v>120</v>
      </c>
      <c r="F2014" t="s">
        <v>68</v>
      </c>
      <c r="G2014" t="s">
        <v>485</v>
      </c>
      <c r="H2014" t="s">
        <v>178</v>
      </c>
      <c r="I2014" t="s">
        <v>144</v>
      </c>
      <c r="J2014">
        <v>0</v>
      </c>
      <c r="K2014">
        <v>45547.353784722225</v>
      </c>
      <c r="L2014">
        <v>1360</v>
      </c>
      <c r="O2014">
        <v>100</v>
      </c>
      <c r="P2014">
        <v>1</v>
      </c>
      <c r="Q2014">
        <v>19.999999999999996</v>
      </c>
      <c r="V2014" t="s">
        <v>798</v>
      </c>
    </row>
    <row r="2015" spans="2:22" x14ac:dyDescent="0.25">
      <c r="B2015" t="s">
        <v>293</v>
      </c>
      <c r="C2015">
        <v>41221787</v>
      </c>
      <c r="D2015">
        <v>2101</v>
      </c>
      <c r="E2015">
        <v>200</v>
      </c>
      <c r="F2015" t="s">
        <v>68</v>
      </c>
      <c r="G2015" t="s">
        <v>201</v>
      </c>
      <c r="H2015" t="s">
        <v>202</v>
      </c>
      <c r="I2015" t="s">
        <v>144</v>
      </c>
      <c r="J2015">
        <v>0</v>
      </c>
      <c r="K2015">
        <v>45547.353784722225</v>
      </c>
      <c r="L2015">
        <v>1300</v>
      </c>
      <c r="O2015">
        <v>100</v>
      </c>
      <c r="P2015">
        <v>2</v>
      </c>
      <c r="Q2015">
        <v>0</v>
      </c>
    </row>
    <row r="2016" spans="2:22" x14ac:dyDescent="0.25">
      <c r="B2016" t="s">
        <v>293</v>
      </c>
      <c r="C2016">
        <v>41221741</v>
      </c>
      <c r="D2016">
        <v>2102</v>
      </c>
      <c r="E2016">
        <v>2000</v>
      </c>
      <c r="F2016" t="s">
        <v>68</v>
      </c>
      <c r="G2016" t="s">
        <v>179</v>
      </c>
      <c r="H2016" t="s">
        <v>180</v>
      </c>
      <c r="I2016" t="s">
        <v>144</v>
      </c>
      <c r="J2016">
        <v>0</v>
      </c>
      <c r="K2016">
        <v>45547.353796296295</v>
      </c>
      <c r="L2016">
        <v>4800</v>
      </c>
      <c r="O2016">
        <v>2000</v>
      </c>
      <c r="P2016">
        <v>1</v>
      </c>
      <c r="Q2016">
        <v>0</v>
      </c>
    </row>
    <row r="2017" spans="2:22" x14ac:dyDescent="0.25">
      <c r="B2017" t="s">
        <v>293</v>
      </c>
      <c r="C2017">
        <v>41221742</v>
      </c>
      <c r="D2017">
        <v>2103</v>
      </c>
      <c r="E2017">
        <v>500</v>
      </c>
      <c r="F2017" t="s">
        <v>68</v>
      </c>
      <c r="G2017" t="s">
        <v>115</v>
      </c>
      <c r="H2017" t="s">
        <v>116</v>
      </c>
      <c r="I2017" t="s">
        <v>105</v>
      </c>
      <c r="J2017">
        <v>0</v>
      </c>
      <c r="K2017">
        <v>45547.353807870371</v>
      </c>
      <c r="L2017">
        <v>1550</v>
      </c>
      <c r="O2017">
        <v>700</v>
      </c>
      <c r="P2017">
        <v>0</v>
      </c>
      <c r="Q2017">
        <v>500</v>
      </c>
    </row>
    <row r="2018" spans="2:22" x14ac:dyDescent="0.25">
      <c r="B2018" t="s">
        <v>293</v>
      </c>
      <c r="C2018">
        <v>41221805</v>
      </c>
      <c r="D2018" t="s">
        <v>1061</v>
      </c>
      <c r="E2018">
        <v>12</v>
      </c>
      <c r="F2018" t="s">
        <v>68</v>
      </c>
      <c r="G2018" t="s">
        <v>552</v>
      </c>
      <c r="H2018" t="s">
        <v>692</v>
      </c>
      <c r="I2018" t="s">
        <v>693</v>
      </c>
      <c r="J2018">
        <v>0</v>
      </c>
      <c r="K2018">
        <v>45554.338495370372</v>
      </c>
      <c r="L2018">
        <v>120</v>
      </c>
      <c r="O2018">
        <v>12</v>
      </c>
      <c r="P2018">
        <v>1</v>
      </c>
      <c r="Q2018">
        <v>0</v>
      </c>
      <c r="V2018" t="s">
        <v>695</v>
      </c>
    </row>
    <row r="2019" spans="2:22" x14ac:dyDescent="0.25">
      <c r="B2019" t="s">
        <v>293</v>
      </c>
      <c r="C2019">
        <v>41221320</v>
      </c>
      <c r="D2019" t="s">
        <v>1062</v>
      </c>
      <c r="E2019">
        <v>36</v>
      </c>
      <c r="F2019" t="s">
        <v>68</v>
      </c>
      <c r="G2019" t="s">
        <v>166</v>
      </c>
      <c r="H2019" t="s">
        <v>709</v>
      </c>
      <c r="J2019">
        <v>0</v>
      </c>
      <c r="K2019">
        <v>45554.338506944441</v>
      </c>
      <c r="L2019">
        <v>540</v>
      </c>
      <c r="O2019">
        <v>4</v>
      </c>
      <c r="P2019">
        <v>9</v>
      </c>
      <c r="Q2019">
        <v>0</v>
      </c>
    </row>
    <row r="2020" spans="2:22" x14ac:dyDescent="0.25">
      <c r="B2020" t="s">
        <v>293</v>
      </c>
      <c r="C2020">
        <v>41220908</v>
      </c>
      <c r="D2020" t="s">
        <v>1063</v>
      </c>
      <c r="E2020">
        <v>5</v>
      </c>
      <c r="F2020" t="s">
        <v>68</v>
      </c>
      <c r="G2020" t="s">
        <v>182</v>
      </c>
      <c r="H2020" t="s">
        <v>183</v>
      </c>
      <c r="J2020">
        <v>0</v>
      </c>
      <c r="K2020">
        <v>45554.338506944441</v>
      </c>
      <c r="L2020">
        <v>44</v>
      </c>
      <c r="O2020">
        <v>36</v>
      </c>
      <c r="P2020">
        <v>0</v>
      </c>
      <c r="Q2020">
        <v>5</v>
      </c>
    </row>
    <row r="2021" spans="2:22" x14ac:dyDescent="0.25">
      <c r="B2021" t="s">
        <v>293</v>
      </c>
      <c r="C2021">
        <v>41221817</v>
      </c>
      <c r="D2021" t="s">
        <v>1064</v>
      </c>
      <c r="E2021">
        <v>240</v>
      </c>
      <c r="F2021" t="s">
        <v>68</v>
      </c>
      <c r="G2021" t="s">
        <v>159</v>
      </c>
      <c r="H2021" t="s">
        <v>796</v>
      </c>
      <c r="I2021" t="s">
        <v>161</v>
      </c>
      <c r="J2021">
        <v>0</v>
      </c>
      <c r="K2021">
        <v>45554.338518518518</v>
      </c>
      <c r="L2021">
        <v>2112</v>
      </c>
      <c r="O2021">
        <v>36</v>
      </c>
      <c r="P2021">
        <v>6</v>
      </c>
      <c r="Q2021">
        <v>24.000000000000011</v>
      </c>
    </row>
    <row r="2022" spans="2:22" x14ac:dyDescent="0.25">
      <c r="B2022" t="s">
        <v>293</v>
      </c>
      <c r="C2022">
        <v>41221796</v>
      </c>
      <c r="D2022" t="s">
        <v>1065</v>
      </c>
      <c r="E2022">
        <v>300</v>
      </c>
      <c r="F2022" t="s">
        <v>68</v>
      </c>
      <c r="G2022" t="s">
        <v>163</v>
      </c>
      <c r="H2022" t="s">
        <v>164</v>
      </c>
      <c r="I2022" t="s">
        <v>165</v>
      </c>
      <c r="J2022">
        <v>0</v>
      </c>
      <c r="K2022">
        <v>45554.338518518518</v>
      </c>
      <c r="L2022">
        <v>1162</v>
      </c>
      <c r="O2022">
        <v>12</v>
      </c>
      <c r="P2022">
        <v>25</v>
      </c>
      <c r="Q2022">
        <v>0</v>
      </c>
    </row>
    <row r="2023" spans="2:22" x14ac:dyDescent="0.25">
      <c r="B2023" t="s">
        <v>293</v>
      </c>
      <c r="C2023">
        <v>41221789</v>
      </c>
      <c r="D2023" t="s">
        <v>1066</v>
      </c>
      <c r="E2023">
        <v>20</v>
      </c>
      <c r="F2023" t="s">
        <v>68</v>
      </c>
      <c r="G2023" t="s">
        <v>483</v>
      </c>
      <c r="H2023" t="s">
        <v>150</v>
      </c>
      <c r="I2023" t="s">
        <v>144</v>
      </c>
      <c r="J2023">
        <v>0</v>
      </c>
      <c r="K2023">
        <v>45554.338530092595</v>
      </c>
      <c r="L2023">
        <v>254</v>
      </c>
      <c r="O2023">
        <v>4</v>
      </c>
      <c r="P2023">
        <v>5</v>
      </c>
      <c r="Q2023">
        <v>0</v>
      </c>
    </row>
    <row r="2024" spans="2:22" x14ac:dyDescent="0.25">
      <c r="B2024" t="s">
        <v>293</v>
      </c>
      <c r="C2024">
        <v>41220883</v>
      </c>
      <c r="D2024" t="s">
        <v>1067</v>
      </c>
      <c r="E2024">
        <v>3</v>
      </c>
      <c r="F2024" t="s">
        <v>68</v>
      </c>
      <c r="G2024" t="s">
        <v>482</v>
      </c>
      <c r="H2024" t="s">
        <v>148</v>
      </c>
      <c r="I2024" t="s">
        <v>144</v>
      </c>
      <c r="J2024">
        <v>0</v>
      </c>
      <c r="K2024">
        <v>45554.338530092595</v>
      </c>
      <c r="L2024">
        <v>136</v>
      </c>
      <c r="O2024">
        <v>24</v>
      </c>
      <c r="P2024">
        <v>0</v>
      </c>
      <c r="Q2024">
        <v>3</v>
      </c>
    </row>
    <row r="2025" spans="2:22" x14ac:dyDescent="0.25">
      <c r="B2025" t="s">
        <v>293</v>
      </c>
      <c r="C2025">
        <v>41221736</v>
      </c>
      <c r="D2025" t="s">
        <v>1068</v>
      </c>
      <c r="E2025">
        <v>120</v>
      </c>
      <c r="F2025" t="s">
        <v>68</v>
      </c>
      <c r="G2025" t="s">
        <v>485</v>
      </c>
      <c r="H2025" t="s">
        <v>178</v>
      </c>
      <c r="I2025" t="s">
        <v>144</v>
      </c>
      <c r="J2025">
        <v>0</v>
      </c>
      <c r="K2025">
        <v>45554.338541666664</v>
      </c>
      <c r="L2025">
        <v>1240</v>
      </c>
      <c r="O2025">
        <v>100</v>
      </c>
      <c r="P2025">
        <v>1</v>
      </c>
      <c r="Q2025">
        <v>19.999999999999996</v>
      </c>
      <c r="V2025" t="s">
        <v>798</v>
      </c>
    </row>
    <row r="2026" spans="2:22" x14ac:dyDescent="0.25">
      <c r="B2026" t="s">
        <v>293</v>
      </c>
      <c r="C2026">
        <v>41221787</v>
      </c>
      <c r="D2026" t="s">
        <v>1069</v>
      </c>
      <c r="E2026">
        <v>200</v>
      </c>
      <c r="F2026" t="s">
        <v>68</v>
      </c>
      <c r="G2026" t="s">
        <v>201</v>
      </c>
      <c r="H2026" t="s">
        <v>202</v>
      </c>
      <c r="I2026" t="s">
        <v>144</v>
      </c>
      <c r="J2026">
        <v>0</v>
      </c>
      <c r="K2026">
        <v>45554.338553240741</v>
      </c>
      <c r="L2026">
        <v>1100</v>
      </c>
      <c r="O2026">
        <v>100</v>
      </c>
      <c r="P2026">
        <v>2</v>
      </c>
      <c r="Q2026">
        <v>0</v>
      </c>
    </row>
    <row r="2027" spans="2:22" x14ac:dyDescent="0.25">
      <c r="B2027" t="s">
        <v>293</v>
      </c>
      <c r="C2027">
        <v>41221910</v>
      </c>
      <c r="D2027" t="s">
        <v>1070</v>
      </c>
      <c r="E2027">
        <v>288</v>
      </c>
      <c r="F2027" t="s">
        <v>135</v>
      </c>
      <c r="G2027" t="s">
        <v>141</v>
      </c>
      <c r="H2027" t="s">
        <v>137</v>
      </c>
      <c r="I2027" t="s">
        <v>138</v>
      </c>
      <c r="J2027">
        <v>0</v>
      </c>
      <c r="K2027">
        <v>45554.338553240741</v>
      </c>
      <c r="L2027">
        <v>2020</v>
      </c>
      <c r="O2027">
        <v>144</v>
      </c>
      <c r="P2027">
        <v>2</v>
      </c>
      <c r="Q2027">
        <v>0</v>
      </c>
    </row>
    <row r="2028" spans="2:22" x14ac:dyDescent="0.25">
      <c r="B2028" t="s">
        <v>293</v>
      </c>
      <c r="C2028">
        <v>41221741</v>
      </c>
      <c r="D2028" t="s">
        <v>1071</v>
      </c>
      <c r="E2028">
        <v>2000</v>
      </c>
      <c r="F2028" t="s">
        <v>68</v>
      </c>
      <c r="G2028" t="s">
        <v>179</v>
      </c>
      <c r="H2028" t="s">
        <v>180</v>
      </c>
      <c r="I2028" t="s">
        <v>144</v>
      </c>
      <c r="J2028">
        <v>0</v>
      </c>
      <c r="K2028">
        <v>45554.338564814818</v>
      </c>
      <c r="L2028">
        <v>2800</v>
      </c>
      <c r="O2028">
        <v>2000</v>
      </c>
      <c r="P2028">
        <v>1</v>
      </c>
      <c r="Q2028">
        <v>0</v>
      </c>
    </row>
    <row r="2029" spans="2:22" x14ac:dyDescent="0.25">
      <c r="B2029" t="s">
        <v>293</v>
      </c>
      <c r="C2029">
        <v>41221897</v>
      </c>
      <c r="D2029" t="s">
        <v>1072</v>
      </c>
      <c r="E2029">
        <v>200</v>
      </c>
      <c r="F2029" t="s">
        <v>68</v>
      </c>
      <c r="G2029" t="s">
        <v>153</v>
      </c>
      <c r="H2029" t="s">
        <v>154</v>
      </c>
      <c r="I2029" t="s">
        <v>105</v>
      </c>
      <c r="J2029">
        <v>0</v>
      </c>
      <c r="K2029">
        <v>45554.338564814818</v>
      </c>
      <c r="L2029">
        <v>0</v>
      </c>
      <c r="O2029">
        <v>100</v>
      </c>
      <c r="P2029">
        <v>2</v>
      </c>
      <c r="Q2029">
        <v>0</v>
      </c>
    </row>
    <row r="2030" spans="2:22" x14ac:dyDescent="0.25">
      <c r="B2030" t="s">
        <v>293</v>
      </c>
      <c r="C2030">
        <v>41221483</v>
      </c>
      <c r="D2030" t="s">
        <v>1073</v>
      </c>
      <c r="E2030">
        <v>12000</v>
      </c>
      <c r="F2030" t="s">
        <v>68</v>
      </c>
      <c r="G2030" t="s">
        <v>103</v>
      </c>
      <c r="H2030" t="s">
        <v>104</v>
      </c>
      <c r="I2030" t="s">
        <v>105</v>
      </c>
      <c r="J2030">
        <v>0</v>
      </c>
      <c r="K2030">
        <v>45554.338576388887</v>
      </c>
      <c r="L2030">
        <v>88000</v>
      </c>
      <c r="O2030">
        <v>2400</v>
      </c>
      <c r="P2030">
        <v>5</v>
      </c>
      <c r="Q2030">
        <v>0</v>
      </c>
    </row>
    <row r="2031" spans="2:22" x14ac:dyDescent="0.25">
      <c r="B2031" t="s">
        <v>293</v>
      </c>
      <c r="C2031">
        <v>41221742</v>
      </c>
      <c r="D2031" t="s">
        <v>1074</v>
      </c>
      <c r="E2031">
        <v>500</v>
      </c>
      <c r="F2031" t="s">
        <v>68</v>
      </c>
      <c r="G2031" t="s">
        <v>115</v>
      </c>
      <c r="H2031" t="s">
        <v>116</v>
      </c>
      <c r="I2031" t="s">
        <v>105</v>
      </c>
      <c r="J2031">
        <v>0</v>
      </c>
      <c r="K2031">
        <v>45554.338587962964</v>
      </c>
      <c r="L2031">
        <v>1050</v>
      </c>
      <c r="O2031">
        <v>700</v>
      </c>
      <c r="P2031">
        <v>0</v>
      </c>
      <c r="Q2031">
        <v>500</v>
      </c>
    </row>
    <row r="2032" spans="2:22" x14ac:dyDescent="0.25">
      <c r="B2032" t="s">
        <v>293</v>
      </c>
      <c r="C2032">
        <v>41221909</v>
      </c>
      <c r="D2032" t="s">
        <v>1075</v>
      </c>
      <c r="E2032">
        <v>100</v>
      </c>
      <c r="F2032" t="s">
        <v>68</v>
      </c>
      <c r="G2032" t="s">
        <v>151</v>
      </c>
      <c r="H2032" t="s">
        <v>152</v>
      </c>
      <c r="I2032" t="s">
        <v>105</v>
      </c>
      <c r="J2032">
        <v>0</v>
      </c>
      <c r="K2032">
        <v>45554.338587962964</v>
      </c>
      <c r="L2032">
        <v>84</v>
      </c>
      <c r="O2032">
        <v>200</v>
      </c>
      <c r="P2032">
        <v>0</v>
      </c>
      <c r="Q2032">
        <v>100</v>
      </c>
    </row>
    <row r="2033" spans="2:22" x14ac:dyDescent="0.25">
      <c r="B2033" t="s">
        <v>293</v>
      </c>
      <c r="C2033">
        <v>41221817</v>
      </c>
      <c r="D2033" t="s">
        <v>1076</v>
      </c>
      <c r="E2033">
        <v>320</v>
      </c>
      <c r="F2033" t="s">
        <v>68</v>
      </c>
      <c r="G2033" t="s">
        <v>159</v>
      </c>
      <c r="H2033" t="s">
        <v>796</v>
      </c>
      <c r="I2033" t="s">
        <v>161</v>
      </c>
      <c r="J2033">
        <v>0</v>
      </c>
      <c r="K2033">
        <v>45555.406284722223</v>
      </c>
      <c r="L2033">
        <v>1792</v>
      </c>
      <c r="O2033">
        <v>36</v>
      </c>
      <c r="P2033">
        <v>8</v>
      </c>
      <c r="Q2033">
        <v>32.000000000000014</v>
      </c>
    </row>
    <row r="2034" spans="2:22" x14ac:dyDescent="0.25">
      <c r="B2034" t="s">
        <v>1077</v>
      </c>
      <c r="E2034">
        <v>2000</v>
      </c>
      <c r="F2034" t="s">
        <v>68</v>
      </c>
      <c r="G2034" t="s">
        <v>153</v>
      </c>
      <c r="H2034" t="s">
        <v>154</v>
      </c>
      <c r="I2034" t="s">
        <v>105</v>
      </c>
      <c r="J2034">
        <v>1</v>
      </c>
      <c r="K2034">
        <v>45558.68990740741</v>
      </c>
      <c r="L2034">
        <v>2000</v>
      </c>
      <c r="M2034" t="s">
        <v>1078</v>
      </c>
      <c r="O2034">
        <v>100</v>
      </c>
      <c r="P2034">
        <v>20</v>
      </c>
      <c r="Q2034">
        <v>0</v>
      </c>
    </row>
    <row r="2035" spans="2:22" x14ac:dyDescent="0.25">
      <c r="B2035" t="s">
        <v>293</v>
      </c>
      <c r="C2035">
        <v>41221910</v>
      </c>
      <c r="D2035" t="s">
        <v>1079</v>
      </c>
      <c r="E2035">
        <v>288</v>
      </c>
      <c r="F2035" t="s">
        <v>135</v>
      </c>
      <c r="G2035" t="s">
        <v>140</v>
      </c>
      <c r="H2035" t="s">
        <v>137</v>
      </c>
      <c r="I2035" t="s">
        <v>138</v>
      </c>
      <c r="J2035">
        <v>0</v>
      </c>
      <c r="K2035">
        <v>45559.394583333335</v>
      </c>
      <c r="L2035">
        <v>266</v>
      </c>
      <c r="O2035">
        <v>144</v>
      </c>
      <c r="P2035">
        <v>2</v>
      </c>
      <c r="Q2035">
        <v>0</v>
      </c>
    </row>
    <row r="2036" spans="2:22" x14ac:dyDescent="0.25">
      <c r="B2036" t="s">
        <v>293</v>
      </c>
      <c r="C2036">
        <v>41221736</v>
      </c>
      <c r="D2036" t="s">
        <v>1080</v>
      </c>
      <c r="E2036">
        <v>120</v>
      </c>
      <c r="F2036" t="s">
        <v>68</v>
      </c>
      <c r="G2036" t="s">
        <v>485</v>
      </c>
      <c r="H2036" t="s">
        <v>178</v>
      </c>
      <c r="I2036" t="s">
        <v>144</v>
      </c>
      <c r="J2036">
        <v>0</v>
      </c>
      <c r="K2036">
        <v>45559.394618055558</v>
      </c>
      <c r="L2036">
        <v>1120</v>
      </c>
      <c r="O2036">
        <v>100</v>
      </c>
      <c r="P2036">
        <v>1</v>
      </c>
      <c r="Q2036">
        <v>19.999999999999996</v>
      </c>
      <c r="V2036" t="s">
        <v>798</v>
      </c>
    </row>
    <row r="2037" spans="2:22" x14ac:dyDescent="0.25">
      <c r="B2037" t="s">
        <v>1081</v>
      </c>
      <c r="E2037">
        <v>2880</v>
      </c>
      <c r="F2037" t="s">
        <v>135</v>
      </c>
      <c r="G2037" t="s">
        <v>140</v>
      </c>
      <c r="H2037" t="s">
        <v>137</v>
      </c>
      <c r="I2037" t="s">
        <v>138</v>
      </c>
      <c r="J2037">
        <v>1</v>
      </c>
      <c r="K2037">
        <v>45559.545729166668</v>
      </c>
      <c r="L2037">
        <v>3146</v>
      </c>
      <c r="M2037">
        <v>45554.598402777781</v>
      </c>
      <c r="O2037">
        <v>144</v>
      </c>
      <c r="P2037">
        <v>20</v>
      </c>
      <c r="Q2037">
        <v>0</v>
      </c>
    </row>
    <row r="2038" spans="2:22" x14ac:dyDescent="0.25">
      <c r="B2038" t="s">
        <v>1082</v>
      </c>
      <c r="E2038">
        <v>3000</v>
      </c>
      <c r="F2038" t="s">
        <v>68</v>
      </c>
      <c r="G2038" t="s">
        <v>163</v>
      </c>
      <c r="H2038" t="s">
        <v>164</v>
      </c>
      <c r="I2038" t="s">
        <v>165</v>
      </c>
      <c r="J2038">
        <v>1</v>
      </c>
      <c r="K2038">
        <v>45561.364664351851</v>
      </c>
      <c r="L2038">
        <v>3862</v>
      </c>
      <c r="M2038" t="s">
        <v>1083</v>
      </c>
      <c r="O2038">
        <v>12</v>
      </c>
      <c r="P2038">
        <v>250</v>
      </c>
      <c r="Q2038">
        <v>0</v>
      </c>
    </row>
    <row r="2039" spans="2:22" x14ac:dyDescent="0.25">
      <c r="B2039" t="s">
        <v>293</v>
      </c>
      <c r="C2039">
        <v>41221320</v>
      </c>
      <c r="D2039" t="s">
        <v>1084</v>
      </c>
      <c r="E2039">
        <v>24</v>
      </c>
      <c r="F2039" t="s">
        <v>68</v>
      </c>
      <c r="G2039" t="s">
        <v>166</v>
      </c>
      <c r="H2039" t="s">
        <v>709</v>
      </c>
      <c r="J2039">
        <v>0</v>
      </c>
      <c r="K2039">
        <v>45561.363391203704</v>
      </c>
      <c r="L2039">
        <v>516</v>
      </c>
      <c r="O2039">
        <v>4</v>
      </c>
      <c r="P2039">
        <v>6</v>
      </c>
      <c r="Q2039">
        <v>0</v>
      </c>
    </row>
    <row r="2040" spans="2:22" x14ac:dyDescent="0.25">
      <c r="B2040" t="s">
        <v>293</v>
      </c>
      <c r="C2040">
        <v>41221805</v>
      </c>
      <c r="D2040" t="s">
        <v>1085</v>
      </c>
      <c r="E2040">
        <v>12</v>
      </c>
      <c r="F2040" t="s">
        <v>68</v>
      </c>
      <c r="G2040" t="s">
        <v>552</v>
      </c>
      <c r="H2040" t="s">
        <v>692</v>
      </c>
      <c r="I2040" t="s">
        <v>693</v>
      </c>
      <c r="J2040">
        <v>0</v>
      </c>
      <c r="K2040">
        <v>45561.363391203704</v>
      </c>
      <c r="L2040">
        <v>108</v>
      </c>
      <c r="O2040">
        <v>12</v>
      </c>
      <c r="P2040">
        <v>1</v>
      </c>
      <c r="Q2040">
        <v>0</v>
      </c>
      <c r="V2040" t="s">
        <v>695</v>
      </c>
    </row>
    <row r="2041" spans="2:22" x14ac:dyDescent="0.25">
      <c r="B2041" t="s">
        <v>293</v>
      </c>
      <c r="C2041">
        <v>41220908</v>
      </c>
      <c r="D2041" t="s">
        <v>1086</v>
      </c>
      <c r="E2041">
        <v>5</v>
      </c>
      <c r="F2041" t="s">
        <v>68</v>
      </c>
      <c r="G2041" t="s">
        <v>182</v>
      </c>
      <c r="H2041" t="s">
        <v>183</v>
      </c>
      <c r="J2041">
        <v>0</v>
      </c>
      <c r="K2041">
        <v>45561.363402777781</v>
      </c>
      <c r="L2041">
        <v>39</v>
      </c>
      <c r="O2041">
        <v>36</v>
      </c>
      <c r="P2041">
        <v>0</v>
      </c>
      <c r="Q2041">
        <v>5</v>
      </c>
    </row>
    <row r="2042" spans="2:22" x14ac:dyDescent="0.25">
      <c r="B2042" t="s">
        <v>293</v>
      </c>
      <c r="C2042">
        <v>41221817</v>
      </c>
      <c r="D2042" t="s">
        <v>1087</v>
      </c>
      <c r="E2042">
        <v>240</v>
      </c>
      <c r="F2042" t="s">
        <v>68</v>
      </c>
      <c r="G2042" t="s">
        <v>159</v>
      </c>
      <c r="H2042" t="s">
        <v>796</v>
      </c>
      <c r="I2042" t="s">
        <v>161</v>
      </c>
      <c r="J2042">
        <v>0</v>
      </c>
      <c r="K2042">
        <v>45561.363402777781</v>
      </c>
      <c r="L2042">
        <v>1552</v>
      </c>
      <c r="O2042">
        <v>36</v>
      </c>
      <c r="P2042">
        <v>6</v>
      </c>
      <c r="Q2042">
        <v>24.000000000000011</v>
      </c>
    </row>
    <row r="2043" spans="2:22" x14ac:dyDescent="0.25">
      <c r="B2043" t="s">
        <v>293</v>
      </c>
      <c r="C2043">
        <v>41221796</v>
      </c>
      <c r="D2043" t="s">
        <v>1088</v>
      </c>
      <c r="E2043">
        <v>300</v>
      </c>
      <c r="F2043" t="s">
        <v>68</v>
      </c>
      <c r="G2043" t="s">
        <v>163</v>
      </c>
      <c r="H2043" t="s">
        <v>164</v>
      </c>
      <c r="I2043" t="s">
        <v>165</v>
      </c>
      <c r="J2043">
        <v>0</v>
      </c>
      <c r="K2043">
        <v>45561.36341435185</v>
      </c>
      <c r="L2043">
        <v>-2138</v>
      </c>
      <c r="O2043">
        <v>12</v>
      </c>
      <c r="P2043">
        <v>25</v>
      </c>
      <c r="Q2043">
        <v>0</v>
      </c>
    </row>
    <row r="2044" spans="2:22" x14ac:dyDescent="0.25">
      <c r="B2044" t="s">
        <v>293</v>
      </c>
      <c r="C2044">
        <v>41221789</v>
      </c>
      <c r="D2044" t="s">
        <v>1089</v>
      </c>
      <c r="E2044">
        <v>20</v>
      </c>
      <c r="F2044" t="s">
        <v>68</v>
      </c>
      <c r="G2044" t="s">
        <v>483</v>
      </c>
      <c r="H2044" t="s">
        <v>150</v>
      </c>
      <c r="I2044" t="s">
        <v>144</v>
      </c>
      <c r="J2044">
        <v>0</v>
      </c>
      <c r="K2044">
        <v>45561.36341435185</v>
      </c>
      <c r="L2044">
        <v>234</v>
      </c>
      <c r="O2044">
        <v>4</v>
      </c>
      <c r="P2044">
        <v>5</v>
      </c>
      <c r="Q2044">
        <v>0</v>
      </c>
    </row>
    <row r="2045" spans="2:22" x14ac:dyDescent="0.25">
      <c r="B2045" t="s">
        <v>293</v>
      </c>
      <c r="C2045">
        <v>41220883</v>
      </c>
      <c r="D2045" t="s">
        <v>1090</v>
      </c>
      <c r="E2045">
        <v>3</v>
      </c>
      <c r="F2045" t="s">
        <v>68</v>
      </c>
      <c r="G2045" t="s">
        <v>482</v>
      </c>
      <c r="H2045" t="s">
        <v>148</v>
      </c>
      <c r="I2045" t="s">
        <v>144</v>
      </c>
      <c r="J2045">
        <v>0</v>
      </c>
      <c r="K2045">
        <v>45561.36341435185</v>
      </c>
      <c r="L2045">
        <v>133</v>
      </c>
      <c r="O2045">
        <v>24</v>
      </c>
      <c r="P2045">
        <v>0</v>
      </c>
      <c r="Q2045">
        <v>3</v>
      </c>
    </row>
    <row r="2046" spans="2:22" x14ac:dyDescent="0.25">
      <c r="B2046" t="s">
        <v>293</v>
      </c>
      <c r="C2046">
        <v>41221736</v>
      </c>
      <c r="D2046" t="s">
        <v>1091</v>
      </c>
      <c r="E2046">
        <v>120</v>
      </c>
      <c r="F2046" t="s">
        <v>68</v>
      </c>
      <c r="G2046" t="s">
        <v>485</v>
      </c>
      <c r="H2046" t="s">
        <v>178</v>
      </c>
      <c r="I2046" t="s">
        <v>144</v>
      </c>
      <c r="J2046">
        <v>0</v>
      </c>
      <c r="K2046">
        <v>45561.363425925927</v>
      </c>
      <c r="L2046">
        <v>1000</v>
      </c>
      <c r="O2046">
        <v>100</v>
      </c>
      <c r="P2046">
        <v>1</v>
      </c>
      <c r="Q2046">
        <v>19.999999999999996</v>
      </c>
      <c r="V2046" t="s">
        <v>798</v>
      </c>
    </row>
    <row r="2047" spans="2:22" x14ac:dyDescent="0.25">
      <c r="B2047" t="s">
        <v>293</v>
      </c>
      <c r="C2047">
        <v>41221787</v>
      </c>
      <c r="D2047" t="s">
        <v>1092</v>
      </c>
      <c r="E2047">
        <v>200</v>
      </c>
      <c r="F2047" t="s">
        <v>68</v>
      </c>
      <c r="G2047" t="s">
        <v>201</v>
      </c>
      <c r="H2047" t="s">
        <v>202</v>
      </c>
      <c r="I2047" t="s">
        <v>144</v>
      </c>
      <c r="J2047">
        <v>0</v>
      </c>
      <c r="K2047">
        <v>45561.363425925927</v>
      </c>
      <c r="L2047">
        <v>900</v>
      </c>
      <c r="O2047">
        <v>100</v>
      </c>
      <c r="P2047">
        <v>2</v>
      </c>
      <c r="Q2047">
        <v>0</v>
      </c>
    </row>
    <row r="2048" spans="2:22" x14ac:dyDescent="0.25">
      <c r="B2048" t="s">
        <v>293</v>
      </c>
      <c r="C2048">
        <v>41221910</v>
      </c>
      <c r="D2048" t="s">
        <v>1093</v>
      </c>
      <c r="E2048">
        <v>288</v>
      </c>
      <c r="F2048" t="s">
        <v>135</v>
      </c>
      <c r="G2048" t="s">
        <v>140</v>
      </c>
      <c r="H2048" t="s">
        <v>137</v>
      </c>
      <c r="I2048" t="s">
        <v>138</v>
      </c>
      <c r="J2048">
        <v>0</v>
      </c>
      <c r="K2048">
        <v>45561.363437499997</v>
      </c>
      <c r="L2048">
        <v>2858</v>
      </c>
      <c r="O2048">
        <v>144</v>
      </c>
      <c r="P2048">
        <v>2</v>
      </c>
      <c r="Q2048">
        <v>0</v>
      </c>
    </row>
    <row r="2049" spans="1:22" x14ac:dyDescent="0.25">
      <c r="B2049" t="s">
        <v>293</v>
      </c>
      <c r="C2049">
        <v>41221079</v>
      </c>
      <c r="D2049" t="s">
        <v>1094</v>
      </c>
      <c r="E2049">
        <v>240</v>
      </c>
      <c r="F2049" t="s">
        <v>68</v>
      </c>
      <c r="G2049" t="s">
        <v>155</v>
      </c>
      <c r="H2049" t="s">
        <v>156</v>
      </c>
      <c r="J2049">
        <v>0</v>
      </c>
      <c r="K2049">
        <v>45561.363437499997</v>
      </c>
      <c r="L2049">
        <v>1452</v>
      </c>
      <c r="O2049">
        <v>24</v>
      </c>
      <c r="P2049">
        <v>10</v>
      </c>
      <c r="Q2049">
        <v>0</v>
      </c>
    </row>
    <row r="2050" spans="1:22" x14ac:dyDescent="0.25">
      <c r="B2050" t="s">
        <v>293</v>
      </c>
      <c r="C2050">
        <v>41221311</v>
      </c>
      <c r="D2050" t="s">
        <v>1095</v>
      </c>
      <c r="E2050">
        <v>40</v>
      </c>
      <c r="F2050" t="s">
        <v>68</v>
      </c>
      <c r="G2050" t="s">
        <v>157</v>
      </c>
      <c r="H2050" t="s">
        <v>156</v>
      </c>
      <c r="J2050">
        <v>0</v>
      </c>
      <c r="K2050">
        <v>45561.363449074073</v>
      </c>
      <c r="L2050">
        <v>994</v>
      </c>
      <c r="O2050">
        <v>12</v>
      </c>
      <c r="P2050">
        <v>3</v>
      </c>
      <c r="Q2050">
        <v>4.0000000000000018</v>
      </c>
    </row>
    <row r="2051" spans="1:22" x14ac:dyDescent="0.25">
      <c r="B2051" t="s">
        <v>293</v>
      </c>
      <c r="C2051">
        <v>41221897</v>
      </c>
      <c r="D2051" t="s">
        <v>1096</v>
      </c>
      <c r="E2051">
        <v>200</v>
      </c>
      <c r="F2051" t="s">
        <v>68</v>
      </c>
      <c r="G2051" t="s">
        <v>153</v>
      </c>
      <c r="H2051" t="s">
        <v>154</v>
      </c>
      <c r="I2051" t="s">
        <v>105</v>
      </c>
      <c r="J2051">
        <v>0</v>
      </c>
      <c r="K2051">
        <v>45561.363449074073</v>
      </c>
      <c r="L2051">
        <v>1800</v>
      </c>
      <c r="O2051">
        <v>100</v>
      </c>
      <c r="P2051">
        <v>2</v>
      </c>
      <c r="Q2051">
        <v>0</v>
      </c>
    </row>
    <row r="2052" spans="1:22" x14ac:dyDescent="0.25">
      <c r="A2052" t="s">
        <v>1097</v>
      </c>
      <c r="B2052" t="s">
        <v>293</v>
      </c>
      <c r="C2052">
        <v>41221483</v>
      </c>
      <c r="D2052" t="s">
        <v>1098</v>
      </c>
      <c r="E2052">
        <v>12000</v>
      </c>
      <c r="F2052" t="s">
        <v>68</v>
      </c>
      <c r="G2052" t="s">
        <v>103</v>
      </c>
      <c r="H2052" t="s">
        <v>104</v>
      </c>
      <c r="I2052" t="s">
        <v>105</v>
      </c>
      <c r="J2052">
        <v>0</v>
      </c>
      <c r="K2052">
        <v>45561.51871527778</v>
      </c>
      <c r="L2052">
        <v>76000</v>
      </c>
      <c r="N2052" t="s">
        <v>1097</v>
      </c>
      <c r="O2052">
        <v>2400</v>
      </c>
      <c r="P2052">
        <v>5</v>
      </c>
      <c r="Q2052">
        <v>0</v>
      </c>
    </row>
    <row r="2053" spans="1:22" x14ac:dyDescent="0.25">
      <c r="B2053" t="s">
        <v>293</v>
      </c>
      <c r="C2053">
        <v>41221742</v>
      </c>
      <c r="D2053" t="s">
        <v>1099</v>
      </c>
      <c r="E2053">
        <v>500</v>
      </c>
      <c r="F2053" t="s">
        <v>68</v>
      </c>
      <c r="G2053" t="s">
        <v>115</v>
      </c>
      <c r="H2053" t="s">
        <v>116</v>
      </c>
      <c r="I2053" t="s">
        <v>105</v>
      </c>
      <c r="J2053">
        <v>0</v>
      </c>
      <c r="K2053">
        <v>45561.36346064815</v>
      </c>
      <c r="L2053">
        <v>550</v>
      </c>
      <c r="O2053">
        <v>700</v>
      </c>
      <c r="P2053">
        <v>0</v>
      </c>
      <c r="Q2053">
        <v>500</v>
      </c>
    </row>
    <row r="2054" spans="1:22" x14ac:dyDescent="0.25">
      <c r="B2054" t="s">
        <v>293</v>
      </c>
      <c r="C2054">
        <v>41221909</v>
      </c>
      <c r="D2054" t="s">
        <v>1100</v>
      </c>
      <c r="E2054">
        <v>70</v>
      </c>
      <c r="F2054" t="s">
        <v>68</v>
      </c>
      <c r="G2054" t="s">
        <v>151</v>
      </c>
      <c r="H2054" t="s">
        <v>152</v>
      </c>
      <c r="I2054" t="s">
        <v>105</v>
      </c>
      <c r="J2054">
        <v>0</v>
      </c>
      <c r="K2054">
        <v>45561.36346064815</v>
      </c>
      <c r="L2054">
        <v>14</v>
      </c>
      <c r="O2054">
        <v>200</v>
      </c>
      <c r="P2054">
        <v>0</v>
      </c>
      <c r="Q2054">
        <v>70</v>
      </c>
    </row>
    <row r="2055" spans="1:22" x14ac:dyDescent="0.25">
      <c r="A2055" t="s">
        <v>1097</v>
      </c>
      <c r="B2055" t="s">
        <v>293</v>
      </c>
      <c r="C2055">
        <v>41221483</v>
      </c>
      <c r="D2055" t="s">
        <v>1098</v>
      </c>
      <c r="E2055">
        <v>12000</v>
      </c>
      <c r="F2055" t="s">
        <v>68</v>
      </c>
      <c r="G2055" t="s">
        <v>103</v>
      </c>
      <c r="H2055" t="s">
        <v>104</v>
      </c>
      <c r="I2055" t="s">
        <v>105</v>
      </c>
      <c r="J2055">
        <v>1</v>
      </c>
      <c r="K2055">
        <v>45561.519212962965</v>
      </c>
      <c r="L2055">
        <v>88000</v>
      </c>
      <c r="N2055" t="s">
        <v>1097</v>
      </c>
      <c r="O2055">
        <v>2400</v>
      </c>
      <c r="P2055">
        <v>5</v>
      </c>
      <c r="Q2055">
        <v>0</v>
      </c>
    </row>
    <row r="2056" spans="1:22" x14ac:dyDescent="0.25">
      <c r="B2056" t="s">
        <v>1101</v>
      </c>
      <c r="E2056">
        <v>800</v>
      </c>
      <c r="F2056" t="s">
        <v>68</v>
      </c>
      <c r="G2056" t="s">
        <v>201</v>
      </c>
      <c r="H2056" t="s">
        <v>202</v>
      </c>
      <c r="I2056" t="s">
        <v>144</v>
      </c>
      <c r="J2056">
        <v>1</v>
      </c>
      <c r="K2056">
        <v>45567.494872685187</v>
      </c>
      <c r="L2056">
        <v>1700</v>
      </c>
      <c r="M2056" t="s">
        <v>1102</v>
      </c>
      <c r="O2056">
        <v>100</v>
      </c>
      <c r="P2056">
        <v>8</v>
      </c>
      <c r="Q2056">
        <v>0</v>
      </c>
    </row>
    <row r="2057" spans="1:22" x14ac:dyDescent="0.25">
      <c r="B2057" t="s">
        <v>1103</v>
      </c>
      <c r="E2057">
        <v>10000</v>
      </c>
      <c r="F2057" t="s">
        <v>68</v>
      </c>
      <c r="G2057" t="s">
        <v>179</v>
      </c>
      <c r="H2057" t="s">
        <v>180</v>
      </c>
      <c r="I2057" t="s">
        <v>144</v>
      </c>
      <c r="J2057">
        <v>1</v>
      </c>
      <c r="K2057">
        <v>45567.49490740741</v>
      </c>
      <c r="L2057">
        <v>12800</v>
      </c>
      <c r="M2057" t="s">
        <v>1104</v>
      </c>
      <c r="O2057">
        <v>2000</v>
      </c>
      <c r="P2057">
        <v>5</v>
      </c>
      <c r="Q2057">
        <v>0</v>
      </c>
    </row>
    <row r="2058" spans="1:22" x14ac:dyDescent="0.25">
      <c r="B2058" t="s">
        <v>1105</v>
      </c>
      <c r="E2058">
        <v>1000</v>
      </c>
      <c r="F2058" t="s">
        <v>68</v>
      </c>
      <c r="G2058" t="s">
        <v>485</v>
      </c>
      <c r="H2058" t="s">
        <v>178</v>
      </c>
      <c r="I2058" t="s">
        <v>144</v>
      </c>
      <c r="J2058">
        <v>1</v>
      </c>
      <c r="K2058">
        <v>45567.49491898148</v>
      </c>
      <c r="L2058">
        <v>2000</v>
      </c>
      <c r="M2058" t="s">
        <v>1104</v>
      </c>
      <c r="O2058">
        <v>100</v>
      </c>
      <c r="P2058">
        <v>10</v>
      </c>
      <c r="Q2058">
        <v>0</v>
      </c>
      <c r="V2058" t="s">
        <v>798</v>
      </c>
    </row>
    <row r="2059" spans="1:22" x14ac:dyDescent="0.25">
      <c r="B2059" t="s">
        <v>1106</v>
      </c>
      <c r="E2059">
        <v>4960</v>
      </c>
      <c r="G2059" t="s">
        <v>999</v>
      </c>
      <c r="H2059" t="s">
        <v>1000</v>
      </c>
      <c r="J2059">
        <v>1</v>
      </c>
      <c r="K2059">
        <v>45567.49491898148</v>
      </c>
      <c r="L2059">
        <v>9920</v>
      </c>
      <c r="M2059" t="s">
        <v>1104</v>
      </c>
      <c r="O2059">
        <v>160</v>
      </c>
      <c r="P2059">
        <v>31</v>
      </c>
      <c r="Q2059">
        <v>0</v>
      </c>
    </row>
    <row r="2060" spans="1:22" x14ac:dyDescent="0.25">
      <c r="B2060" t="s">
        <v>1107</v>
      </c>
      <c r="C2060" t="s">
        <v>1107</v>
      </c>
      <c r="D2060" t="s">
        <v>1107</v>
      </c>
      <c r="E2060">
        <v>51</v>
      </c>
      <c r="F2060" t="s">
        <v>135</v>
      </c>
      <c r="G2060" t="s">
        <v>62</v>
      </c>
      <c r="H2060" t="s">
        <v>208</v>
      </c>
      <c r="I2060" t="s">
        <v>209</v>
      </c>
      <c r="J2060">
        <v>0</v>
      </c>
      <c r="K2060">
        <v>45567.501666666663</v>
      </c>
      <c r="L2060">
        <v>0</v>
      </c>
      <c r="O2060">
        <v>1</v>
      </c>
      <c r="P2060">
        <v>51</v>
      </c>
      <c r="Q2060">
        <v>0</v>
      </c>
    </row>
    <row r="2061" spans="1:22" x14ac:dyDescent="0.25">
      <c r="B2061" t="s">
        <v>1107</v>
      </c>
      <c r="C2061" t="s">
        <v>1107</v>
      </c>
      <c r="D2061" t="s">
        <v>1107</v>
      </c>
      <c r="E2061">
        <v>58</v>
      </c>
      <c r="F2061" t="s">
        <v>135</v>
      </c>
      <c r="G2061" t="s">
        <v>227</v>
      </c>
      <c r="H2061" t="s">
        <v>208</v>
      </c>
      <c r="I2061" t="s">
        <v>209</v>
      </c>
      <c r="J2061">
        <v>0</v>
      </c>
      <c r="K2061">
        <v>45567.501689814817</v>
      </c>
      <c r="L2061">
        <v>0</v>
      </c>
      <c r="O2061">
        <v>1</v>
      </c>
      <c r="P2061">
        <v>58</v>
      </c>
      <c r="Q2061">
        <v>0</v>
      </c>
    </row>
    <row r="2062" spans="1:22" x14ac:dyDescent="0.25">
      <c r="B2062" t="s">
        <v>1107</v>
      </c>
      <c r="C2062" t="s">
        <v>1107</v>
      </c>
      <c r="D2062" t="s">
        <v>1107</v>
      </c>
      <c r="E2062">
        <v>4</v>
      </c>
      <c r="F2062" t="s">
        <v>135</v>
      </c>
      <c r="G2062" t="s">
        <v>63</v>
      </c>
      <c r="H2062" t="s">
        <v>208</v>
      </c>
      <c r="I2062" t="s">
        <v>209</v>
      </c>
      <c r="J2062">
        <v>0</v>
      </c>
      <c r="K2062">
        <v>45567.501701388886</v>
      </c>
      <c r="L2062">
        <v>0</v>
      </c>
      <c r="O2062">
        <v>1</v>
      </c>
      <c r="P2062">
        <v>4</v>
      </c>
      <c r="Q2062">
        <v>0</v>
      </c>
    </row>
    <row r="2063" spans="1:22" x14ac:dyDescent="0.25">
      <c r="B2063" t="s">
        <v>1107</v>
      </c>
      <c r="C2063" t="s">
        <v>1107</v>
      </c>
      <c r="D2063" t="s">
        <v>1107</v>
      </c>
      <c r="E2063">
        <v>32</v>
      </c>
      <c r="F2063" t="s">
        <v>135</v>
      </c>
      <c r="G2063" t="s">
        <v>332</v>
      </c>
      <c r="H2063" t="s">
        <v>208</v>
      </c>
      <c r="I2063" t="s">
        <v>209</v>
      </c>
      <c r="J2063">
        <v>0</v>
      </c>
      <c r="K2063">
        <v>45567.501712962963</v>
      </c>
      <c r="L2063">
        <v>0</v>
      </c>
      <c r="O2063">
        <v>1</v>
      </c>
      <c r="P2063">
        <v>32</v>
      </c>
      <c r="Q2063">
        <v>0</v>
      </c>
    </row>
    <row r="2064" spans="1:22" x14ac:dyDescent="0.25">
      <c r="B2064" t="s">
        <v>1107</v>
      </c>
      <c r="C2064" t="s">
        <v>1107</v>
      </c>
      <c r="D2064" t="s">
        <v>1107</v>
      </c>
      <c r="E2064">
        <v>32</v>
      </c>
      <c r="F2064" t="s">
        <v>135</v>
      </c>
      <c r="G2064" t="s">
        <v>333</v>
      </c>
      <c r="H2064" t="s">
        <v>208</v>
      </c>
      <c r="I2064" t="s">
        <v>209</v>
      </c>
      <c r="J2064">
        <v>0</v>
      </c>
      <c r="K2064">
        <v>45567.501712962963</v>
      </c>
      <c r="L2064">
        <v>0</v>
      </c>
      <c r="O2064">
        <v>1</v>
      </c>
      <c r="P2064">
        <v>32</v>
      </c>
      <c r="Q2064">
        <v>0</v>
      </c>
    </row>
    <row r="2065" spans="2:22" x14ac:dyDescent="0.25">
      <c r="B2065" t="s">
        <v>293</v>
      </c>
      <c r="C2065">
        <v>41221817</v>
      </c>
      <c r="D2065" t="s">
        <v>1108</v>
      </c>
      <c r="E2065">
        <v>540</v>
      </c>
      <c r="F2065" t="s">
        <v>68</v>
      </c>
      <c r="G2065" t="s">
        <v>159</v>
      </c>
      <c r="H2065" t="s">
        <v>796</v>
      </c>
      <c r="I2065" t="s">
        <v>161</v>
      </c>
      <c r="J2065">
        <v>0</v>
      </c>
      <c r="K2065">
        <v>45567.51662037037</v>
      </c>
      <c r="L2065">
        <v>1012</v>
      </c>
      <c r="O2065">
        <v>36</v>
      </c>
      <c r="P2065">
        <v>15</v>
      </c>
      <c r="Q2065">
        <v>0</v>
      </c>
    </row>
    <row r="2066" spans="2:22" x14ac:dyDescent="0.25">
      <c r="B2066" t="s">
        <v>293</v>
      </c>
      <c r="C2066">
        <v>41220883</v>
      </c>
      <c r="D2066" t="s">
        <v>1109</v>
      </c>
      <c r="E2066">
        <v>8</v>
      </c>
      <c r="F2066" t="s">
        <v>68</v>
      </c>
      <c r="G2066" t="s">
        <v>482</v>
      </c>
      <c r="H2066" t="s">
        <v>148</v>
      </c>
      <c r="I2066" t="s">
        <v>144</v>
      </c>
      <c r="J2066">
        <v>0</v>
      </c>
      <c r="K2066">
        <v>45567.516631944447</v>
      </c>
      <c r="L2066">
        <v>125</v>
      </c>
      <c r="O2066">
        <v>24</v>
      </c>
      <c r="P2066">
        <v>0</v>
      </c>
      <c r="Q2066">
        <v>8</v>
      </c>
    </row>
    <row r="2067" spans="2:22" x14ac:dyDescent="0.25">
      <c r="B2067" t="s">
        <v>293</v>
      </c>
      <c r="C2067">
        <v>41221896</v>
      </c>
      <c r="D2067" t="s">
        <v>1110</v>
      </c>
      <c r="E2067">
        <v>24</v>
      </c>
      <c r="F2067" t="s">
        <v>68</v>
      </c>
      <c r="G2067" t="s">
        <v>482</v>
      </c>
      <c r="H2067" t="s">
        <v>148</v>
      </c>
      <c r="I2067" t="s">
        <v>144</v>
      </c>
      <c r="J2067">
        <v>0</v>
      </c>
      <c r="K2067">
        <v>45567.516643518517</v>
      </c>
      <c r="L2067">
        <v>101</v>
      </c>
      <c r="O2067">
        <v>24</v>
      </c>
      <c r="P2067">
        <v>1</v>
      </c>
      <c r="Q2067">
        <v>0</v>
      </c>
    </row>
    <row r="2068" spans="2:22" x14ac:dyDescent="0.25">
      <c r="B2068" t="s">
        <v>293</v>
      </c>
      <c r="C2068">
        <v>41221805</v>
      </c>
      <c r="D2068" t="s">
        <v>990</v>
      </c>
      <c r="E2068">
        <v>12</v>
      </c>
      <c r="F2068" t="s">
        <v>68</v>
      </c>
      <c r="G2068" t="s">
        <v>552</v>
      </c>
      <c r="H2068" t="s">
        <v>692</v>
      </c>
      <c r="I2068" t="s">
        <v>693</v>
      </c>
      <c r="J2068">
        <v>0</v>
      </c>
      <c r="K2068">
        <v>45568.36314814815</v>
      </c>
      <c r="L2068">
        <v>96</v>
      </c>
      <c r="O2068">
        <v>12</v>
      </c>
      <c r="P2068">
        <v>1</v>
      </c>
      <c r="Q2068">
        <v>0</v>
      </c>
      <c r="V2068" t="s">
        <v>695</v>
      </c>
    </row>
    <row r="2069" spans="2:22" x14ac:dyDescent="0.25">
      <c r="B2069" t="s">
        <v>293</v>
      </c>
      <c r="C2069">
        <v>41222005</v>
      </c>
      <c r="D2069" t="s">
        <v>991</v>
      </c>
      <c r="E2069">
        <v>36</v>
      </c>
      <c r="F2069" t="s">
        <v>68</v>
      </c>
      <c r="G2069" t="s">
        <v>166</v>
      </c>
      <c r="H2069" t="s">
        <v>709</v>
      </c>
      <c r="J2069">
        <v>0</v>
      </c>
      <c r="K2069">
        <v>45568.363159722219</v>
      </c>
      <c r="L2069">
        <v>480</v>
      </c>
      <c r="O2069">
        <v>4</v>
      </c>
      <c r="P2069">
        <v>9</v>
      </c>
      <c r="Q2069">
        <v>0</v>
      </c>
    </row>
    <row r="2070" spans="2:22" x14ac:dyDescent="0.25">
      <c r="B2070" t="s">
        <v>293</v>
      </c>
      <c r="C2070">
        <v>41220908</v>
      </c>
      <c r="D2070" t="s">
        <v>992</v>
      </c>
      <c r="E2070">
        <v>5</v>
      </c>
      <c r="F2070" t="s">
        <v>68</v>
      </c>
      <c r="G2070" t="s">
        <v>182</v>
      </c>
      <c r="H2070" t="s">
        <v>183</v>
      </c>
      <c r="J2070">
        <v>0</v>
      </c>
      <c r="K2070">
        <v>45568.363171296296</v>
      </c>
      <c r="L2070">
        <v>34</v>
      </c>
      <c r="O2070">
        <v>36</v>
      </c>
      <c r="P2070">
        <v>0</v>
      </c>
      <c r="Q2070">
        <v>5</v>
      </c>
    </row>
    <row r="2071" spans="2:22" x14ac:dyDescent="0.25">
      <c r="B2071" t="s">
        <v>293</v>
      </c>
      <c r="C2071">
        <v>41221817</v>
      </c>
      <c r="D2071" t="s">
        <v>993</v>
      </c>
      <c r="E2071">
        <v>40</v>
      </c>
      <c r="F2071" t="s">
        <v>68</v>
      </c>
      <c r="G2071" t="s">
        <v>159</v>
      </c>
      <c r="H2071" t="s">
        <v>796</v>
      </c>
      <c r="I2071" t="s">
        <v>161</v>
      </c>
      <c r="J2071">
        <v>0</v>
      </c>
      <c r="K2071">
        <v>45568.363171296296</v>
      </c>
      <c r="L2071">
        <v>972</v>
      </c>
      <c r="O2071">
        <v>36</v>
      </c>
      <c r="P2071">
        <v>1</v>
      </c>
      <c r="Q2071">
        <v>4.0000000000000018</v>
      </c>
    </row>
    <row r="2072" spans="2:22" x14ac:dyDescent="0.25">
      <c r="B2072" t="s">
        <v>293</v>
      </c>
      <c r="C2072">
        <v>41221796</v>
      </c>
      <c r="D2072" t="s">
        <v>994</v>
      </c>
      <c r="E2072">
        <v>300</v>
      </c>
      <c r="F2072" t="s">
        <v>68</v>
      </c>
      <c r="G2072" t="s">
        <v>163</v>
      </c>
      <c r="H2072" t="s">
        <v>164</v>
      </c>
      <c r="I2072" t="s">
        <v>165</v>
      </c>
      <c r="J2072">
        <v>0</v>
      </c>
      <c r="K2072">
        <v>45568.363182870373</v>
      </c>
      <c r="L2072">
        <v>3562</v>
      </c>
      <c r="O2072">
        <v>12</v>
      </c>
      <c r="P2072">
        <v>25</v>
      </c>
      <c r="Q2072">
        <v>0</v>
      </c>
    </row>
    <row r="2073" spans="2:22" x14ac:dyDescent="0.25">
      <c r="B2073" t="s">
        <v>293</v>
      </c>
      <c r="C2073">
        <v>41221789</v>
      </c>
      <c r="D2073">
        <v>2139</v>
      </c>
      <c r="E2073">
        <v>20</v>
      </c>
      <c r="F2073" t="s">
        <v>68</v>
      </c>
      <c r="G2073" t="s">
        <v>483</v>
      </c>
      <c r="H2073" t="s">
        <v>150</v>
      </c>
      <c r="I2073" t="s">
        <v>144</v>
      </c>
      <c r="J2073">
        <v>0</v>
      </c>
      <c r="K2073">
        <v>45568.363194444442</v>
      </c>
      <c r="L2073">
        <v>214</v>
      </c>
      <c r="O2073">
        <v>4</v>
      </c>
      <c r="P2073">
        <v>5</v>
      </c>
      <c r="Q2073">
        <v>0</v>
      </c>
    </row>
    <row r="2074" spans="2:22" x14ac:dyDescent="0.25">
      <c r="B2074" t="s">
        <v>293</v>
      </c>
      <c r="C2074">
        <v>41222006</v>
      </c>
      <c r="D2074">
        <v>2140</v>
      </c>
      <c r="E2074">
        <v>120</v>
      </c>
      <c r="F2074" t="s">
        <v>68</v>
      </c>
      <c r="G2074" t="s">
        <v>485</v>
      </c>
      <c r="H2074" t="s">
        <v>178</v>
      </c>
      <c r="I2074" t="s">
        <v>144</v>
      </c>
      <c r="J2074">
        <v>0</v>
      </c>
      <c r="K2074">
        <v>45568.363194444442</v>
      </c>
      <c r="L2074">
        <v>1880</v>
      </c>
      <c r="O2074">
        <v>100</v>
      </c>
      <c r="P2074">
        <v>1</v>
      </c>
      <c r="Q2074">
        <v>19.999999999999996</v>
      </c>
      <c r="V2074" t="s">
        <v>798</v>
      </c>
    </row>
    <row r="2075" spans="2:22" x14ac:dyDescent="0.25">
      <c r="B2075" t="s">
        <v>293</v>
      </c>
      <c r="C2075">
        <v>41221787</v>
      </c>
      <c r="D2075">
        <v>2141</v>
      </c>
      <c r="E2075">
        <v>200</v>
      </c>
      <c r="F2075" t="s">
        <v>68</v>
      </c>
      <c r="G2075" t="s">
        <v>201</v>
      </c>
      <c r="H2075" t="s">
        <v>202</v>
      </c>
      <c r="I2075" t="s">
        <v>144</v>
      </c>
      <c r="J2075">
        <v>0</v>
      </c>
      <c r="K2075">
        <v>45568.363206018519</v>
      </c>
      <c r="L2075">
        <v>1500</v>
      </c>
      <c r="O2075">
        <v>100</v>
      </c>
      <c r="P2075">
        <v>2</v>
      </c>
      <c r="Q2075">
        <v>0</v>
      </c>
    </row>
    <row r="2076" spans="2:22" x14ac:dyDescent="0.25">
      <c r="B2076" t="s">
        <v>293</v>
      </c>
      <c r="C2076">
        <v>41221910</v>
      </c>
      <c r="D2076">
        <v>2142</v>
      </c>
      <c r="E2076">
        <v>288</v>
      </c>
      <c r="F2076" t="s">
        <v>135</v>
      </c>
      <c r="G2076" t="s">
        <v>140</v>
      </c>
      <c r="H2076" t="s">
        <v>137</v>
      </c>
      <c r="I2076" t="s">
        <v>138</v>
      </c>
      <c r="J2076">
        <v>0</v>
      </c>
      <c r="K2076">
        <v>45568.363206018519</v>
      </c>
      <c r="L2076">
        <v>2570</v>
      </c>
      <c r="O2076">
        <v>144</v>
      </c>
      <c r="P2076">
        <v>2</v>
      </c>
      <c r="Q2076">
        <v>0</v>
      </c>
    </row>
    <row r="2077" spans="2:22" x14ac:dyDescent="0.25">
      <c r="B2077" t="s">
        <v>293</v>
      </c>
      <c r="C2077">
        <v>41221079</v>
      </c>
      <c r="D2077">
        <v>2143</v>
      </c>
      <c r="E2077">
        <v>240</v>
      </c>
      <c r="F2077" t="s">
        <v>68</v>
      </c>
      <c r="G2077" t="s">
        <v>155</v>
      </c>
      <c r="H2077" t="s">
        <v>156</v>
      </c>
      <c r="J2077">
        <v>0</v>
      </c>
      <c r="K2077">
        <v>45568.363217592596</v>
      </c>
      <c r="L2077">
        <v>1212</v>
      </c>
      <c r="O2077">
        <v>24</v>
      </c>
      <c r="P2077">
        <v>10</v>
      </c>
      <c r="Q2077">
        <v>0</v>
      </c>
    </row>
    <row r="2078" spans="2:22" x14ac:dyDescent="0.25">
      <c r="B2078" t="s">
        <v>293</v>
      </c>
      <c r="C2078">
        <v>41221897</v>
      </c>
      <c r="D2078">
        <v>2144</v>
      </c>
      <c r="E2078">
        <v>500</v>
      </c>
      <c r="F2078" t="s">
        <v>68</v>
      </c>
      <c r="G2078" t="s">
        <v>153</v>
      </c>
      <c r="H2078" t="s">
        <v>154</v>
      </c>
      <c r="I2078" t="s">
        <v>105</v>
      </c>
      <c r="J2078">
        <v>0</v>
      </c>
      <c r="K2078">
        <v>45568.363217592596</v>
      </c>
      <c r="L2078">
        <v>1300</v>
      </c>
      <c r="O2078">
        <v>100</v>
      </c>
      <c r="P2078">
        <v>5</v>
      </c>
      <c r="Q2078">
        <v>0</v>
      </c>
    </row>
    <row r="2079" spans="2:22" x14ac:dyDescent="0.25">
      <c r="B2079" t="s">
        <v>293</v>
      </c>
      <c r="C2079">
        <v>41221742</v>
      </c>
      <c r="D2079">
        <v>2145</v>
      </c>
      <c r="E2079">
        <v>500</v>
      </c>
      <c r="F2079" t="s">
        <v>68</v>
      </c>
      <c r="G2079" t="s">
        <v>115</v>
      </c>
      <c r="H2079" t="s">
        <v>116</v>
      </c>
      <c r="I2079" t="s">
        <v>105</v>
      </c>
      <c r="J2079">
        <v>0</v>
      </c>
      <c r="K2079">
        <v>45568.363229166665</v>
      </c>
      <c r="L2079">
        <v>50</v>
      </c>
      <c r="O2079">
        <v>700</v>
      </c>
      <c r="P2079">
        <v>0</v>
      </c>
      <c r="Q2079">
        <v>500</v>
      </c>
    </row>
    <row r="2080" spans="2:22" x14ac:dyDescent="0.25">
      <c r="B2080" t="s">
        <v>1111</v>
      </c>
      <c r="E2080">
        <v>600</v>
      </c>
      <c r="F2080" t="s">
        <v>68</v>
      </c>
      <c r="G2080" t="s">
        <v>151</v>
      </c>
      <c r="H2080" t="s">
        <v>152</v>
      </c>
      <c r="I2080" t="s">
        <v>105</v>
      </c>
      <c r="J2080">
        <v>1</v>
      </c>
      <c r="K2080">
        <v>45569.455393518518</v>
      </c>
      <c r="L2080">
        <v>614</v>
      </c>
      <c r="M2080" t="s">
        <v>1112</v>
      </c>
      <c r="O2080">
        <v>200</v>
      </c>
      <c r="P2080">
        <v>3</v>
      </c>
      <c r="Q2080">
        <v>0</v>
      </c>
    </row>
    <row r="2081" spans="2:17" x14ac:dyDescent="0.25">
      <c r="B2081" t="s">
        <v>1111</v>
      </c>
      <c r="E2081">
        <v>4000</v>
      </c>
      <c r="F2081" t="s">
        <v>68</v>
      </c>
      <c r="G2081" t="s">
        <v>115</v>
      </c>
      <c r="H2081" t="s">
        <v>116</v>
      </c>
      <c r="I2081" t="s">
        <v>105</v>
      </c>
      <c r="J2081">
        <v>1</v>
      </c>
      <c r="K2081">
        <v>45569.455451388887</v>
      </c>
      <c r="L2081">
        <v>4050</v>
      </c>
      <c r="M2081" t="s">
        <v>1112</v>
      </c>
      <c r="O2081">
        <v>700</v>
      </c>
      <c r="P2081">
        <v>5</v>
      </c>
      <c r="Q2081">
        <v>500.00000000000011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ED42C-F367-41BA-ADB6-9970A99D5FB2}">
  <dimension ref="A1:G17"/>
  <sheetViews>
    <sheetView workbookViewId="0">
      <selection activeCell="A3" sqref="A3"/>
    </sheetView>
  </sheetViews>
  <sheetFormatPr baseColWidth="10" defaultRowHeight="15" x14ac:dyDescent="0.25"/>
  <cols>
    <col min="1" max="1" width="173.85546875" customWidth="1"/>
  </cols>
  <sheetData>
    <row r="1" spans="1:7" ht="46.5" x14ac:dyDescent="0.7">
      <c r="A1" s="68" t="s">
        <v>995</v>
      </c>
      <c r="B1" s="1"/>
      <c r="C1" s="1"/>
      <c r="D1" s="1"/>
      <c r="E1" s="67"/>
      <c r="F1" s="1"/>
      <c r="G1" s="1"/>
    </row>
    <row r="2" spans="1:7" ht="46.5" x14ac:dyDescent="0.7">
      <c r="A2" s="68">
        <v>41222005</v>
      </c>
      <c r="B2" s="1"/>
      <c r="C2" s="1"/>
      <c r="D2" s="1"/>
      <c r="E2" s="67"/>
      <c r="F2" s="1"/>
      <c r="G2" s="1"/>
    </row>
    <row r="3" spans="1:7" ht="46.5" x14ac:dyDescent="0.7">
      <c r="A3" s="68">
        <v>41222006</v>
      </c>
      <c r="B3" s="1"/>
      <c r="C3" s="1"/>
      <c r="D3" s="1"/>
      <c r="E3" s="67"/>
      <c r="F3" s="1"/>
      <c r="G3" s="1"/>
    </row>
    <row r="4" spans="1:7" ht="46.5" x14ac:dyDescent="0.7">
      <c r="A4" s="68">
        <v>41221897</v>
      </c>
      <c r="B4" s="1"/>
      <c r="C4" s="1"/>
      <c r="D4" s="1"/>
      <c r="E4" s="67"/>
      <c r="F4" s="1"/>
      <c r="G4" s="1"/>
    </row>
    <row r="5" spans="1:7" x14ac:dyDescent="0.25">
      <c r="A5" s="69"/>
      <c r="B5" s="1"/>
      <c r="C5" s="1"/>
      <c r="D5" s="1"/>
      <c r="E5" s="67"/>
      <c r="F5" s="1"/>
      <c r="G5" s="1"/>
    </row>
    <row r="6" spans="1:7" x14ac:dyDescent="0.25">
      <c r="A6" s="69"/>
      <c r="B6" s="1"/>
      <c r="C6" s="1"/>
      <c r="D6" s="1"/>
      <c r="E6" s="67"/>
      <c r="F6" s="1"/>
      <c r="G6" s="1"/>
    </row>
    <row r="7" spans="1:7" x14ac:dyDescent="0.25">
      <c r="A7" s="69"/>
      <c r="B7" s="1"/>
      <c r="C7" s="1"/>
      <c r="D7" s="1"/>
      <c r="E7" s="67"/>
      <c r="F7" s="1"/>
      <c r="G7" s="1"/>
    </row>
    <row r="8" spans="1:7" x14ac:dyDescent="0.25">
      <c r="A8" s="69"/>
      <c r="B8" s="1"/>
      <c r="C8" s="1"/>
      <c r="D8" s="1"/>
      <c r="E8" s="67"/>
      <c r="F8" s="1"/>
      <c r="G8" s="1"/>
    </row>
    <row r="9" spans="1:7" x14ac:dyDescent="0.25">
      <c r="A9" s="69"/>
      <c r="B9" s="1"/>
      <c r="C9" s="1"/>
      <c r="D9" s="1"/>
      <c r="E9" s="67"/>
      <c r="F9" s="1"/>
      <c r="G9" s="1"/>
    </row>
    <row r="10" spans="1:7" x14ac:dyDescent="0.25">
      <c r="A10" s="69"/>
      <c r="B10" s="1"/>
      <c r="C10" s="1"/>
      <c r="D10" s="1"/>
      <c r="E10" s="67"/>
      <c r="F10" s="1"/>
      <c r="G10" s="1"/>
    </row>
    <row r="11" spans="1:7" x14ac:dyDescent="0.25">
      <c r="A11" s="67"/>
      <c r="B11" s="1"/>
      <c r="C11" s="1"/>
      <c r="D11" s="1"/>
      <c r="E11" s="67"/>
      <c r="F11" s="1"/>
      <c r="G11" s="1"/>
    </row>
    <row r="12" spans="1:7" x14ac:dyDescent="0.25">
      <c r="A12" s="1"/>
      <c r="B12" s="1"/>
      <c r="C12" s="1"/>
      <c r="D12" s="1"/>
      <c r="E12" s="67"/>
      <c r="F12" s="1"/>
      <c r="G12" s="1"/>
    </row>
    <row r="13" spans="1:7" x14ac:dyDescent="0.25">
      <c r="A13" s="1"/>
      <c r="B13" s="1"/>
      <c r="C13" s="1"/>
      <c r="D13" s="1"/>
      <c r="E13" s="67"/>
      <c r="F13" s="1"/>
      <c r="G13" s="1"/>
    </row>
    <row r="14" spans="1:7" x14ac:dyDescent="0.25">
      <c r="A14" s="1"/>
      <c r="B14" s="1"/>
      <c r="C14" s="1"/>
      <c r="D14" s="1"/>
      <c r="E14" s="67"/>
      <c r="F14" s="1"/>
      <c r="G14" s="1"/>
    </row>
    <row r="15" spans="1:7" x14ac:dyDescent="0.25">
      <c r="A15" s="1"/>
      <c r="B15" s="1"/>
      <c r="C15" s="1"/>
      <c r="D15" s="1"/>
      <c r="E15" s="67"/>
      <c r="F15" s="1"/>
      <c r="G15" s="1"/>
    </row>
    <row r="16" spans="1:7" x14ac:dyDescent="0.25">
      <c r="A16" s="1"/>
      <c r="B16" s="1"/>
      <c r="C16" s="1"/>
      <c r="D16" s="1"/>
      <c r="E16" s="67"/>
      <c r="F16" s="1"/>
      <c r="G16" s="1"/>
    </row>
    <row r="17" spans="1:7" x14ac:dyDescent="0.25">
      <c r="A17" s="1"/>
      <c r="B17" s="1"/>
      <c r="C17" s="1"/>
      <c r="D17" s="1"/>
      <c r="E17" s="67"/>
      <c r="F17" s="1"/>
      <c r="G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PRINT</vt:lpstr>
      <vt:lpstr>COPYPO</vt:lpstr>
      <vt:lpstr>XFILES</vt:lpstr>
      <vt:lpstr>XMAIL</vt:lpstr>
      <vt:lpstr>XLABEL</vt:lpstr>
      <vt:lpstr>clip</vt:lpstr>
      <vt:lpstr>set</vt:lpstr>
      <vt:lpstr>PRINT (2)</vt:lpstr>
      <vt:lpstr>ERR</vt:lpstr>
      <vt:lpstr>cap</vt:lpstr>
      <vt:lpstr>st</vt:lpstr>
      <vt:lpstr>ERR!Área_de_impresión</vt:lpstr>
      <vt:lpstr>PRINT!Área_de_impresión</vt:lpstr>
      <vt:lpstr>XLABEL!Área_de_impresión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casas</dc:creator>
  <cp:lastModifiedBy>jaime casas</cp:lastModifiedBy>
  <cp:lastPrinted>2024-02-01T20:55:03Z</cp:lastPrinted>
  <dcterms:created xsi:type="dcterms:W3CDTF">2023-12-15T17:56:22Z</dcterms:created>
  <dcterms:modified xsi:type="dcterms:W3CDTF">2024-11-07T16:38:42Z</dcterms:modified>
</cp:coreProperties>
</file>