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scelec\Desktop\"/>
    </mc:Choice>
  </mc:AlternateContent>
  <xr:revisionPtr revIDLastSave="0" documentId="13_ncr:1_{8BB0A275-B061-42F8-8AFE-FA35500957B6}" xr6:coauthVersionLast="47" xr6:coauthVersionMax="47" xr10:uidLastSave="{00000000-0000-0000-0000-000000000000}"/>
  <bookViews>
    <workbookView xWindow="-120" yWindow="-120" windowWidth="20730" windowHeight="11040" xr2:uid="{178E965E-FF98-4B44-84FF-F2AA2F4C89A9}"/>
  </bookViews>
  <sheets>
    <sheet name="PRINT" sheetId="2" r:id="rId1"/>
    <sheet name="COPYPO" sheetId="8" r:id="rId2"/>
    <sheet name="XFILES" sheetId="4" r:id="rId3"/>
    <sheet name="XMAIL" sheetId="5" r:id="rId4"/>
    <sheet name="XLABEL" sheetId="6" r:id="rId5"/>
    <sheet name="clip" sheetId="9" r:id="rId6"/>
    <sheet name="set" sheetId="1" r:id="rId7"/>
    <sheet name="x" sheetId="10" r:id="rId8"/>
    <sheet name="cap" sheetId="11" r:id="rId9"/>
  </sheets>
  <functionGroups builtInGroupCount="19"/>
  <definedNames>
    <definedName name="_xlnm._FilterDatabase" localSheetId="7" hidden="1">x!$A$1:$K$889</definedName>
    <definedName name="_xlnm.Print_Area" localSheetId="7">x!$A$1:$N$112</definedName>
    <definedName name="_xlnm.Print_Area" localSheetId="4">XLABEL!$A$1:$E$1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6" i="1" l="1"/>
  <c r="B104" i="1"/>
  <c r="B82" i="1"/>
  <c r="B60" i="1"/>
  <c r="B38" i="1"/>
  <c r="B129" i="1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42" i="10"/>
  <c r="I199" i="10" l="1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4" i="10"/>
  <c r="I173" i="10"/>
  <c r="I172" i="10"/>
  <c r="I171" i="10"/>
  <c r="I170" i="10"/>
  <c r="I169" i="10"/>
  <c r="I168" i="10"/>
  <c r="I167" i="10"/>
  <c r="I166" i="10"/>
  <c r="I165" i="10"/>
  <c r="I163" i="10"/>
  <c r="I162" i="10"/>
  <c r="I161" i="10"/>
  <c r="I160" i="10"/>
  <c r="I159" i="10"/>
  <c r="I158" i="10"/>
  <c r="I157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M467" i="10"/>
  <c r="M449" i="10"/>
  <c r="N240" i="10"/>
  <c r="N235" i="10"/>
  <c r="M221" i="10"/>
  <c r="E202" i="10"/>
  <c r="E95" i="10"/>
  <c r="E94" i="10"/>
  <c r="C129" i="1"/>
  <c r="C107" i="1"/>
  <c r="B107" i="1"/>
  <c r="C85" i="1"/>
  <c r="B85" i="1"/>
  <c r="C63" i="1"/>
  <c r="B63" i="1"/>
  <c r="C41" i="1"/>
  <c r="B41" i="1"/>
  <c r="A1" i="6"/>
</calcChain>
</file>

<file path=xl/sharedStrings.xml><?xml version="1.0" encoding="utf-8"?>
<sst xmlns="http://schemas.openxmlformats.org/spreadsheetml/2006/main" count="11663" uniqueCount="875">
  <si>
    <t>ScreenResolutionY</t>
  </si>
  <si>
    <t>ScreenResolutionX</t>
  </si>
  <si>
    <t>MOUSE</t>
  </si>
  <si>
    <t>DELAY</t>
  </si>
  <si>
    <t>TAB</t>
  </si>
  <si>
    <t>TEXT</t>
  </si>
  <si>
    <t>PASTE</t>
  </si>
  <si>
    <t>COPY</t>
  </si>
  <si>
    <t>SELECTTEXT</t>
  </si>
  <si>
    <t>WINSELECT</t>
  </si>
  <si>
    <t>OPENEDGEAPPONSPECIFICLINK</t>
  </si>
  <si>
    <t>TERMINATEAPP</t>
  </si>
  <si>
    <t xml:space="preserve"> mouse &amp; window &amp; delay sequence loop COMMANDS: OPENEDGEAPPONSPECIFICLINK
DELAY
MOUSE
MOUSE
TAB
COPY
PASTE
TEXT
SELECTTEXT
TERMINATEAPP
</t>
  </si>
  <si>
    <t>SETCLIPBOARDWITFILENAME</t>
  </si>
  <si>
    <t>ENTER</t>
  </si>
  <si>
    <t>APPACTIVATE</t>
  </si>
  <si>
    <t>APPENDCLIPBOARDTOMEMSHEET</t>
  </si>
  <si>
    <t>SETCLIPBOARD</t>
  </si>
  <si>
    <t>PRINTFILES</t>
  </si>
  <si>
    <t>ENTREGA</t>
  </si>
  <si>
    <t>I/O</t>
  </si>
  <si>
    <t>LLEGADAS</t>
  </si>
  <si>
    <t>EXPRESS</t>
  </si>
  <si>
    <t>FOLDER TXT</t>
  </si>
  <si>
    <t>P6</t>
  </si>
  <si>
    <t>P4</t>
  </si>
  <si>
    <t>PLANTAS</t>
  </si>
  <si>
    <t>SELLADAS</t>
  </si>
  <si>
    <t>ESTE</t>
  </si>
  <si>
    <t>XXXX</t>
  </si>
  <si>
    <t>CARPETA 20240125 TIEMPO 171213 XXXX LLEGADA</t>
  </si>
  <si>
    <t>OPENPDF</t>
  </si>
  <si>
    <t>RUN</t>
  </si>
  <si>
    <t>CANTIDAD DE COPIAS POR NOMBRE DE ARCHIVO</t>
  </si>
  <si>
    <t>REMISION</t>
  </si>
  <si>
    <t>PO</t>
  </si>
  <si>
    <t>IN-STRING</t>
  </si>
  <si>
    <t>selene.dominguez@segisa.com.mx; eduardo.zapata@segisa.com.mx</t>
  </si>
  <si>
    <t>jcasas@sigadgroup.com; ijcasas00@gmail.com</t>
  </si>
  <si>
    <t>jcasas@sigadgroup.com; ijcasas00@gmail.com;asierra@sigadgroup.com</t>
  </si>
  <si>
    <t>C:\Users\Miscelec\Downloads\SEGISA\ENTREGAS\CARPETA 20240201 TIEMPO 135806 P6 ENTREGA\SELLADAS\</t>
  </si>
  <si>
    <t>FILES JOBS CUANDO SE GENERA LOS FOLDERS MUEVE LOS ARCHIVOS</t>
  </si>
  <si>
    <t>CARPETA 20240201 TIEMPO 144958 P6 ENTREGA</t>
  </si>
  <si>
    <t>C:\Users\Miscelec\Downloads\SEGISA\ENTREGAS\CARPETA 20240201 TIEMPO 144958 P6 ENTREGA\</t>
  </si>
  <si>
    <t>C:\Users\Miscelec\Downloads\SEGISA\ENTREGAS\CARPETA 20240201 TIEMPO 144958 P6 ENTREGA\SELLADAS\</t>
  </si>
  <si>
    <t>address</t>
  </si>
  <si>
    <t>DBLCLK TO EMAIL</t>
  </si>
  <si>
    <t>VK_SNAPSHOT</t>
  </si>
  <si>
    <t>WINDOWMAXIMIZE</t>
  </si>
  <si>
    <t>SNNIPER IMAGE SNIPPER</t>
  </si>
  <si>
    <t>OCR ACCIONES DE TEXTO</t>
  </si>
  <si>
    <t>SNNIPER</t>
  </si>
  <si>
    <t>COPIAR TODO EL TEXTO</t>
  </si>
  <si>
    <t>WINDOW HANDLE FOR WINDOWMAXIMIZE</t>
  </si>
  <si>
    <t xml:space="preserve">mem append on shhet, row APPENDCLIPBOARDTOMEMSHEET </t>
  </si>
  <si>
    <t>MOUSEX</t>
  </si>
  <si>
    <t>MOUSEY</t>
  </si>
  <si>
    <t>MSGBOX</t>
  </si>
  <si>
    <t>maximize</t>
  </si>
  <si>
    <t>ALTSPACEx</t>
  </si>
  <si>
    <t>select over window</t>
  </si>
  <si>
    <t>select window from task bar</t>
  </si>
  <si>
    <t>103-T5</t>
  </si>
  <si>
    <t>103-T10.5</t>
  </si>
  <si>
    <t>103-T7</t>
  </si>
  <si>
    <t>103-T9</t>
  </si>
  <si>
    <t>X</t>
  </si>
  <si>
    <t>x</t>
  </si>
  <si>
    <t>Pieza</t>
  </si>
  <si>
    <t>MOUSEDOWN</t>
  </si>
  <si>
    <t>MOUSEUP</t>
  </si>
  <si>
    <t>MOUSEMOVE</t>
  </si>
  <si>
    <t>CLIPBORDAPPEND</t>
  </si>
  <si>
    <t>APPENDCLIPBOARDTOMEMSHEETFRAGMENTED</t>
  </si>
  <si>
    <t>SQR</t>
  </si>
  <si>
    <t>NUMERODEPARTE</t>
  </si>
  <si>
    <t>CANTIDADDEPIEZAS</t>
  </si>
  <si>
    <t>PRECIOUNITARIO</t>
  </si>
  <si>
    <t>PRECIOTOTAL</t>
  </si>
  <si>
    <t>ENTREGAENPLANTA</t>
  </si>
  <si>
    <t>LABEL TEXT FIELD</t>
  </si>
  <si>
    <t>DBLCLK</t>
  </si>
  <si>
    <t>ALTF4</t>
  </si>
  <si>
    <t>ALTTAB</t>
  </si>
  <si>
    <t>REMYCFIDO</t>
  </si>
  <si>
    <t>OPENINTERNETEXPLORER</t>
  </si>
  <si>
    <t>ADDRESS BOX</t>
  </si>
  <si>
    <t>dacc</t>
  </si>
  <si>
    <t>SETCLIPBOARDWITFILENAMEx</t>
  </si>
  <si>
    <t>DELAYx</t>
  </si>
  <si>
    <t>PASTEx</t>
  </si>
  <si>
    <t>ENTERx</t>
  </si>
  <si>
    <t>2PRECIOUNITARIOIf ThisWorkbook.Sheets("set").Cells(i, 1).Value = "APPENDCLIPBOARDTOMEMSHEETFRAGMENTED" Then@PRECIOTOTALNTIDAD UBICA@100.00@@acionado@</t>
  </si>
  <si>
    <t>COPY FROM HERE</t>
  </si>
  <si>
    <t>FIND PO COPY TO DOWNLOADS</t>
  </si>
  <si>
    <t>SEQUENCE PRINTING MARRY PO AND OC</t>
  </si>
  <si>
    <t>542</t>
  </si>
  <si>
    <t>ID</t>
  </si>
  <si>
    <t>ALTAS-SEGISA, ENVIO-PLANTA, OR FOLIO-FACTURA.</t>
  </si>
  <si>
    <t>O.C.</t>
  </si>
  <si>
    <t>NUMERO DE REMISION</t>
  </si>
  <si>
    <t>cantidad</t>
  </si>
  <si>
    <t>UNIDAD</t>
  </si>
  <si>
    <t>NUMERO DE ARTICULO</t>
  </si>
  <si>
    <t>DESCRIPCION DEL ARTICULO</t>
  </si>
  <si>
    <t>MARCA DEL MATERIAL</t>
  </si>
  <si>
    <t>INGRESO DE MATERIAL  BOOL I/O</t>
  </si>
  <si>
    <t>FECHA DEL ULTIMO MOVIMIENTO</t>
  </si>
  <si>
    <t>CANTIDAD DEL ULTIMO MOVIMIENTO</t>
  </si>
  <si>
    <t>FECHA DE FACTURA</t>
  </si>
  <si>
    <t>NOTAS</t>
  </si>
  <si>
    <t xml:space="preserve">BULTO </t>
  </si>
  <si>
    <t>CAJAS</t>
  </si>
  <si>
    <t>PARCIAL</t>
  </si>
  <si>
    <t>EXCEPCIONES pn REQUIERE PARES  Y NO EN PIEZAS</t>
  </si>
  <si>
    <t>PLANTA # REQUIERE PARES  Y NO EN PIEZAS</t>
  </si>
  <si>
    <t>SEGISA INVENTARIO DE NUMEROS DE PARTE</t>
  </si>
  <si>
    <t>MATERIALS IN</t>
  </si>
  <si>
    <t>MATERIALS OUT</t>
  </si>
  <si>
    <t>CODIGO PROVEEDOR</t>
  </si>
  <si>
    <t>033K080C-15000B</t>
  </si>
  <si>
    <t>LIJA GRANO 80</t>
  </si>
  <si>
    <t>KLIGSPOR</t>
  </si>
  <si>
    <t>N</t>
  </si>
  <si>
    <t>033K060C-15000B</t>
  </si>
  <si>
    <t>LIJA GRANO 60</t>
  </si>
  <si>
    <t>SXKW18</t>
  </si>
  <si>
    <t>033K500B-15000B</t>
  </si>
  <si>
    <t>LIJA GRANO 500</t>
  </si>
  <si>
    <t>DUMMY</t>
  </si>
  <si>
    <t>073K800W-15000B</t>
  </si>
  <si>
    <t>LIJA GRANO 800</t>
  </si>
  <si>
    <t>QRC036AO300</t>
  </si>
  <si>
    <t>LIJA GRANO 36</t>
  </si>
  <si>
    <t>073KC00W-15000B</t>
  </si>
  <si>
    <t>LIJA GRANO 1200</t>
  </si>
  <si>
    <t>033K320B-15000B</t>
  </si>
  <si>
    <t>LIJA 320</t>
  </si>
  <si>
    <t>033K220B-15000B</t>
  </si>
  <si>
    <t>LIJA 220***</t>
  </si>
  <si>
    <t>033K120C-15000B</t>
  </si>
  <si>
    <t>LIJA 120</t>
  </si>
  <si>
    <t>033K400B-15000B</t>
  </si>
  <si>
    <t>LIJA 400</t>
  </si>
  <si>
    <t>Dispens</t>
  </si>
  <si>
    <t>705PFE-TL</t>
  </si>
  <si>
    <t>DISPENSADOR GUANTES DE NITRILO TALLA L</t>
  </si>
  <si>
    <t>GLOBAL GLOVE</t>
  </si>
  <si>
    <t>705PFE-TM</t>
  </si>
  <si>
    <t>DISPENSADOR GUANTES DE NITRILO TALLA M</t>
  </si>
  <si>
    <t>705PFE-TXL</t>
  </si>
  <si>
    <t>DISPENSADOR GUANTES DE NITRILO TALLA XL</t>
  </si>
  <si>
    <t>Par</t>
  </si>
  <si>
    <t>PUG-111-T7</t>
  </si>
  <si>
    <t>GUANTE ANTICORTE GRIS RECUBIERTO POLIURETANO</t>
  </si>
  <si>
    <t>PUG</t>
  </si>
  <si>
    <t>PUG-111-T8</t>
  </si>
  <si>
    <t>PUG-111-T9</t>
  </si>
  <si>
    <t>PUG-111-T10</t>
  </si>
  <si>
    <t>201+</t>
  </si>
  <si>
    <t xml:space="preserve">MASKIN TAPE 48MMx55m </t>
  </si>
  <si>
    <t>3M</t>
  </si>
  <si>
    <t>RESPIRADOR 95N N95</t>
  </si>
  <si>
    <t>9010i</t>
  </si>
  <si>
    <t>RESPIRADOR ES EL LOGO 3M ROJO MS900105117  DESECHABLE 9010 NMX</t>
  </si>
  <si>
    <t>RESPIRADOR MEDIA CARA 3M</t>
  </si>
  <si>
    <t>CARTUCHO PARA VAPORES ORGANICOS 3M</t>
  </si>
  <si>
    <t>RESPIRADOR CARA COMPLETA 3M TALLA MEDIANA</t>
  </si>
  <si>
    <t>FJ70516-H6</t>
  </si>
  <si>
    <t>SBP6KMP RESPALDOS 6 PULGADAS*6 ORIFICIOS FJ70516-H6</t>
  </si>
  <si>
    <t>IR0012</t>
  </si>
  <si>
    <t>RESPALDO 5-5/8 GRIP-CENTER3102 SCREW</t>
  </si>
  <si>
    <t>GSS-2" BRUSH-35</t>
  </si>
  <si>
    <t>BROCHA</t>
  </si>
  <si>
    <t>1216</t>
  </si>
  <si>
    <t>GSS-4IN BRUSH</t>
  </si>
  <si>
    <t>6</t>
  </si>
  <si>
    <t>CT501</t>
  </si>
  <si>
    <t>CINTA TRANSPARENTE OFFILAND 2" X 100 CT501</t>
  </si>
  <si>
    <t>OFFILAND</t>
  </si>
  <si>
    <t>MANGAS 18" POLIESTER ALTA TEMPERATURA</t>
  </si>
  <si>
    <t>LPLC</t>
  </si>
  <si>
    <t>LENTE PROTECCION CLARO LIGEROX  SEGURIDAD LPLCY</t>
  </si>
  <si>
    <t>LIJEROX</t>
  </si>
  <si>
    <t>FLEJE-001</t>
  </si>
  <si>
    <t>FLEJE</t>
  </si>
  <si>
    <t>1824167-2</t>
  </si>
  <si>
    <t xml:space="preserve">MICA PROTECTORA PARA VISOR </t>
  </si>
  <si>
    <t>033K100C-15000B</t>
  </si>
  <si>
    <t>LIJA DE GRANO 100</t>
  </si>
  <si>
    <t>033K150B-15000B</t>
  </si>
  <si>
    <t>LIJA 150</t>
  </si>
  <si>
    <t>Kg</t>
  </si>
  <si>
    <t>2458047-KG</t>
  </si>
  <si>
    <t xml:space="preserve">TRAPO USO INDUSTRIAL </t>
  </si>
  <si>
    <t>10</t>
  </si>
  <si>
    <t>RETENEDOR PARA PREFILTROS 3M</t>
  </si>
  <si>
    <t>311-1250</t>
  </si>
  <si>
    <t>TAPON AUD YELLOW NEON EARSOFT</t>
  </si>
  <si>
    <t>CHALECO VERDE NEON RESCATISTA</t>
  </si>
  <si>
    <t>B07SFV1G4H</t>
  </si>
  <si>
    <t>SILVATO DE ENTRENADOR</t>
  </si>
  <si>
    <t>LIJA 36</t>
  </si>
  <si>
    <t>LIJA220</t>
  </si>
  <si>
    <t>GUANTES DE NITRILO TALLA L</t>
  </si>
  <si>
    <t xml:space="preserve">TAPE TRASPARENTE OFFILAND </t>
  </si>
  <si>
    <t>LIJA80</t>
  </si>
  <si>
    <t>LIJA 60</t>
  </si>
  <si>
    <t>A59886</t>
  </si>
  <si>
    <t>SG86</t>
  </si>
  <si>
    <t>GUANTES DE NITRILO TALLA M</t>
  </si>
  <si>
    <t>DISPENSADORES LASTIMADOS Cant 5</t>
  </si>
  <si>
    <t>OC88</t>
  </si>
  <si>
    <t>RESPIRADOR DESECHABLE 9010 NMX</t>
  </si>
  <si>
    <t>DICSCREPANCIA EN NUMEROS DE SEGISA PARCIALES INCOMPLETABLES</t>
  </si>
  <si>
    <t>OC81</t>
  </si>
  <si>
    <t>RETENEDOR PARA PREFILTROS 501</t>
  </si>
  <si>
    <t>6885 MICAS PROTECTORAS 70070709103</t>
  </si>
  <si>
    <t>discrepancia de 26</t>
  </si>
  <si>
    <t>5P71</t>
  </si>
  <si>
    <t>5P71 P95 PREFILTRO CAJA CON 1OO, 70070757417</t>
  </si>
  <si>
    <t>6001 CARTUCHO P/VAP.ORG. EASI-CARE</t>
  </si>
  <si>
    <t>lija36</t>
  </si>
  <si>
    <t>RETENEDOR PARA PREFILTROS</t>
  </si>
  <si>
    <t>RESPALDO DE VINIL DE 6 CON 6 ORIFICIOS VELCRO 5/16-24 SERIE FJ MEDIANO</t>
  </si>
  <si>
    <t>RESPIRADOR MEDIA CARA T MED</t>
  </si>
  <si>
    <t>ZAPATO SEGURIDAD</t>
  </si>
  <si>
    <t>LOPZAN</t>
  </si>
  <si>
    <t>DAR DE ALTA ZAPATOS</t>
  </si>
  <si>
    <t>LIJA 220</t>
  </si>
  <si>
    <t>DISPENSADOR GUANTE DE NITRILO</t>
  </si>
  <si>
    <t>se entrtego a planta 6 y deveria ser a planta 4 ERA CORRECTO SE ACLARARA CON EL DE COMPRAS DE TPI</t>
  </si>
  <si>
    <t>LENTE MICA CLARA SEGURIDAD</t>
  </si>
  <si>
    <t>103-T2.5</t>
  </si>
  <si>
    <t>103-T6</t>
  </si>
  <si>
    <t>103-T7.5</t>
  </si>
  <si>
    <t>103-T8.5</t>
  </si>
  <si>
    <t>103-T9.5</t>
  </si>
  <si>
    <t>103-T10</t>
  </si>
  <si>
    <t>DOUBLE CHECK Y AJUSTO INVENTARIO</t>
  </si>
  <si>
    <t>RESPIRADOR ES EL LOGO 3M ROJO MS900105117</t>
  </si>
  <si>
    <t>A60096</t>
  </si>
  <si>
    <t>LUGAR EXPEDICION 32127</t>
  </si>
  <si>
    <t>103-T3</t>
  </si>
  <si>
    <t>103-T3.5</t>
  </si>
  <si>
    <t>103-T5.5</t>
  </si>
  <si>
    <t>103-T11</t>
  </si>
  <si>
    <t>103-T11.5</t>
  </si>
  <si>
    <t>103-T12</t>
  </si>
  <si>
    <t>ENVIO</t>
  </si>
  <si>
    <t>NATURAL</t>
  </si>
  <si>
    <t>RAFIA BLANCA</t>
  </si>
  <si>
    <t>CALIBRE 2</t>
  </si>
  <si>
    <t>FV-45117</t>
  </si>
  <si>
    <t>023151</t>
  </si>
  <si>
    <t>022955</t>
  </si>
  <si>
    <t>A-60329</t>
  </si>
  <si>
    <t>SG98</t>
  </si>
  <si>
    <t>41218656</t>
  </si>
  <si>
    <t>MANGAS 18" PLIESTER ALTA TEMPERATURA</t>
  </si>
  <si>
    <t>41217265</t>
  </si>
  <si>
    <t>41219042</t>
  </si>
  <si>
    <t>41219002</t>
  </si>
  <si>
    <t>41217223</t>
  </si>
  <si>
    <t>41217180</t>
  </si>
  <si>
    <t>41218896</t>
  </si>
  <si>
    <t>41218405</t>
  </si>
  <si>
    <t>41218860</t>
  </si>
  <si>
    <t>ORDEN INTERNA</t>
  </si>
  <si>
    <t>4217223</t>
  </si>
  <si>
    <t>41219171</t>
  </si>
  <si>
    <t>LUGAR DE EXPEDICION</t>
  </si>
  <si>
    <t>23/10/2023</t>
  </si>
  <si>
    <t>1126</t>
  </si>
  <si>
    <t>1124</t>
  </si>
  <si>
    <t>15/11/2023</t>
  </si>
  <si>
    <t>1127</t>
  </si>
  <si>
    <t xml:space="preserve">CINTA ADHESIVA </t>
  </si>
  <si>
    <t>1125</t>
  </si>
  <si>
    <t>CAJA CON 24 PIEZAS FALTANTE</t>
  </si>
  <si>
    <t>CAJA CON 24 PIEZAS FALTANTE SE DESCONTO DEL SISTEMA</t>
  </si>
  <si>
    <t xml:space="preserve">41217865 </t>
  </si>
  <si>
    <t xml:space="preserve">41218896 </t>
  </si>
  <si>
    <t xml:space="preserve">41217314 </t>
  </si>
  <si>
    <t xml:space="preserve">41218860 </t>
  </si>
  <si>
    <t xml:space="preserve">41217334 </t>
  </si>
  <si>
    <t xml:space="preserve">41218857 </t>
  </si>
  <si>
    <t>CINTA ADHESIVA OFFILAND</t>
  </si>
  <si>
    <t xml:space="preserve">41219171 </t>
  </si>
  <si>
    <t xml:space="preserve">41217265 </t>
  </si>
  <si>
    <t>00/00/00</t>
  </si>
  <si>
    <t xml:space="preserve">41217223 </t>
  </si>
  <si>
    <t xml:space="preserve">41219252 </t>
  </si>
  <si>
    <t>95</t>
  </si>
  <si>
    <t>LUGAR EXPEDICION 32575</t>
  </si>
  <si>
    <t>18/10/2023</t>
  </si>
  <si>
    <t>033K600B-15000B</t>
  </si>
  <si>
    <t xml:space="preserve"> LIJA 600</t>
  </si>
  <si>
    <t>PRIMERA LLEGADA</t>
  </si>
  <si>
    <t xml:space="preserve">SE ENTREGO POR PARES Y NO POR PIEZAS FECHA DE ENTREGA EL21DE SEPTIEMBRE +26 PIEZAS </t>
  </si>
  <si>
    <t>033K180B-15000B</t>
  </si>
  <si>
    <t>LIJA 180</t>
  </si>
  <si>
    <t xml:space="preserve">F 17683 </t>
  </si>
  <si>
    <t xml:space="preserve">Sg 102 </t>
  </si>
  <si>
    <t>025739</t>
  </si>
  <si>
    <t>808109</t>
  </si>
  <si>
    <t>OC98</t>
  </si>
  <si>
    <t>16/11/2023</t>
  </si>
  <si>
    <t>449</t>
  </si>
  <si>
    <t>447</t>
  </si>
  <si>
    <t>41219254</t>
  </si>
  <si>
    <t>452</t>
  </si>
  <si>
    <t>41218407</t>
  </si>
  <si>
    <t>448</t>
  </si>
  <si>
    <t>451</t>
  </si>
  <si>
    <t>450</t>
  </si>
  <si>
    <t xml:space="preserve">41218898 </t>
  </si>
  <si>
    <t xml:space="preserve">41219002 </t>
  </si>
  <si>
    <t xml:space="preserve">41219042 </t>
  </si>
  <si>
    <t>A60442</t>
  </si>
  <si>
    <t>SG99</t>
  </si>
  <si>
    <t>4</t>
  </si>
  <si>
    <t>458</t>
  </si>
  <si>
    <t>457</t>
  </si>
  <si>
    <t>4638999</t>
  </si>
  <si>
    <t>SBP6KMP RESPALDOS 6 PULGADAS*6 ORIFICIOS</t>
  </si>
  <si>
    <t>4636626</t>
  </si>
  <si>
    <t>1142</t>
  </si>
  <si>
    <t>1143</t>
  </si>
  <si>
    <t>41218301</t>
  </si>
  <si>
    <t>1141</t>
  </si>
  <si>
    <t>027863</t>
  </si>
  <si>
    <t>811599</t>
  </si>
  <si>
    <t>OC91</t>
  </si>
  <si>
    <t>23/11/2023</t>
  </si>
  <si>
    <t>027581</t>
  </si>
  <si>
    <t>789381</t>
  </si>
  <si>
    <t>027582</t>
  </si>
  <si>
    <t>803617</t>
  </si>
  <si>
    <t>027862</t>
  </si>
  <si>
    <t>804884</t>
  </si>
  <si>
    <t>OC90</t>
  </si>
  <si>
    <t>463</t>
  </si>
  <si>
    <t>41217865</t>
  </si>
  <si>
    <t>41217334</t>
  </si>
  <si>
    <t>41219252</t>
  </si>
  <si>
    <t>NO LA FIRMO CESAR</t>
  </si>
  <si>
    <t>41218898</t>
  </si>
  <si>
    <t>9550</t>
  </si>
  <si>
    <t>21/11/2023</t>
  </si>
  <si>
    <t xml:space="preserve">FC 464257 </t>
  </si>
  <si>
    <t xml:space="preserve">Orden interna </t>
  </si>
  <si>
    <t>24/11/2023</t>
  </si>
  <si>
    <t xml:space="preserve">4121942 </t>
  </si>
  <si>
    <t>1300out  discrepancia de -40</t>
  </si>
  <si>
    <t xml:space="preserve">FC 4642360   </t>
  </si>
  <si>
    <t xml:space="preserve">134953 </t>
  </si>
  <si>
    <t>473</t>
  </si>
  <si>
    <t>TEST PLAN</t>
  </si>
  <si>
    <t>XXX</t>
  </si>
  <si>
    <t>1146</t>
  </si>
  <si>
    <t>1145</t>
  </si>
  <si>
    <t>412171221</t>
  </si>
  <si>
    <t>114</t>
  </si>
  <si>
    <t>41217314</t>
  </si>
  <si>
    <t>1182</t>
  </si>
  <si>
    <t>1183</t>
  </si>
  <si>
    <t>1184</t>
  </si>
  <si>
    <t>41218857</t>
  </si>
  <si>
    <t>1185</t>
  </si>
  <si>
    <t>1186</t>
  </si>
  <si>
    <t>1187</t>
  </si>
  <si>
    <t>1188</t>
  </si>
  <si>
    <t>030397</t>
  </si>
  <si>
    <t>29/11/2023</t>
  </si>
  <si>
    <t>1938</t>
  </si>
  <si>
    <t>103-T8</t>
  </si>
  <si>
    <t>103-T4</t>
  </si>
  <si>
    <t>103-T4.5</t>
  </si>
  <si>
    <t>103-T2</t>
  </si>
  <si>
    <t>37205</t>
  </si>
  <si>
    <t>28/11/2023</t>
  </si>
  <si>
    <t>1190</t>
  </si>
  <si>
    <t>1189</t>
  </si>
  <si>
    <t>1195</t>
  </si>
  <si>
    <t>1193</t>
  </si>
  <si>
    <t>1192</t>
  </si>
  <si>
    <t>41219432</t>
  </si>
  <si>
    <t>1199</t>
  </si>
  <si>
    <t>1198</t>
  </si>
  <si>
    <t>41218897</t>
  </si>
  <si>
    <t>1194</t>
  </si>
  <si>
    <t>41219377</t>
  </si>
  <si>
    <t>1197</t>
  </si>
  <si>
    <t>1196</t>
  </si>
  <si>
    <t>41217317</t>
  </si>
  <si>
    <t>1191</t>
  </si>
  <si>
    <t>FC4645078</t>
  </si>
  <si>
    <t>ORDEN INT</t>
  </si>
  <si>
    <t>137244</t>
  </si>
  <si>
    <t>30/11/2023</t>
  </si>
  <si>
    <t>1926</t>
  </si>
  <si>
    <t>FC4645647</t>
  </si>
  <si>
    <t>INT</t>
  </si>
  <si>
    <t>136835</t>
  </si>
  <si>
    <t>1200</t>
  </si>
  <si>
    <t>41217864</t>
  </si>
  <si>
    <t>1201</t>
  </si>
  <si>
    <t>1207</t>
  </si>
  <si>
    <t>1205</t>
  </si>
  <si>
    <t>1206</t>
  </si>
  <si>
    <t>1119</t>
  </si>
  <si>
    <t>1948</t>
  </si>
  <si>
    <t>LUGAR DE EXPEDICION37205</t>
  </si>
  <si>
    <t>TOT 216</t>
  </si>
  <si>
    <t>103-T6.5</t>
  </si>
  <si>
    <t>LUGA</t>
  </si>
  <si>
    <t>TOT</t>
  </si>
  <si>
    <t>41219444</t>
  </si>
  <si>
    <t>1208</t>
  </si>
  <si>
    <t>1209</t>
  </si>
  <si>
    <t>1210</t>
  </si>
  <si>
    <t>41219386</t>
  </si>
  <si>
    <t>1211</t>
  </si>
  <si>
    <t>1212</t>
  </si>
  <si>
    <t>1213</t>
  </si>
  <si>
    <t>1214</t>
  </si>
  <si>
    <t>6001</t>
  </si>
  <si>
    <t>1215</t>
  </si>
  <si>
    <t>41219425</t>
  </si>
  <si>
    <t>81066</t>
  </si>
  <si>
    <t>1217</t>
  </si>
  <si>
    <t>1218</t>
  </si>
  <si>
    <t>1219</t>
  </si>
  <si>
    <t>1220</t>
  </si>
  <si>
    <t>9549</t>
  </si>
  <si>
    <t>oc</t>
  </si>
  <si>
    <t>106</t>
  </si>
  <si>
    <t>1221</t>
  </si>
  <si>
    <t>1227</t>
  </si>
  <si>
    <t>1228</t>
  </si>
  <si>
    <t>1229</t>
  </si>
  <si>
    <t>1230</t>
  </si>
  <si>
    <t>620+G376</t>
  </si>
  <si>
    <t>1231</t>
  </si>
  <si>
    <t>1226</t>
  </si>
  <si>
    <t>1222</t>
  </si>
  <si>
    <t>1223</t>
  </si>
  <si>
    <t>1224</t>
  </si>
  <si>
    <t>1225</t>
  </si>
  <si>
    <t>A61246</t>
  </si>
  <si>
    <t>A61245</t>
  </si>
  <si>
    <t>SG108</t>
  </si>
  <si>
    <t>474</t>
  </si>
  <si>
    <t>41217485</t>
  </si>
  <si>
    <t>475</t>
  </si>
  <si>
    <t>476</t>
  </si>
  <si>
    <t>pend</t>
  </si>
  <si>
    <t>PEND</t>
  </si>
  <si>
    <t>FC4652550</t>
  </si>
  <si>
    <t>OC INT</t>
  </si>
  <si>
    <t>137833</t>
  </si>
  <si>
    <t>14/12/2023</t>
  </si>
  <si>
    <t>485</t>
  </si>
  <si>
    <t>1963</t>
  </si>
  <si>
    <t>exp</t>
  </si>
  <si>
    <t>ok</t>
  </si>
  <si>
    <t>5988374</t>
  </si>
  <si>
    <t>rem</t>
  </si>
  <si>
    <t>22/12/2023</t>
  </si>
  <si>
    <t>1244</t>
  </si>
  <si>
    <t>1245</t>
  </si>
  <si>
    <t>1246</t>
  </si>
  <si>
    <t>1247</t>
  </si>
  <si>
    <t>1248</t>
  </si>
  <si>
    <t>1249</t>
  </si>
  <si>
    <t>1250</t>
  </si>
  <si>
    <t>1251</t>
  </si>
  <si>
    <t>1265</t>
  </si>
  <si>
    <t>41219694</t>
  </si>
  <si>
    <t>1266</t>
  </si>
  <si>
    <t>NO HAY ORDEN DE COMPRA</t>
  </si>
  <si>
    <t>41218145</t>
  </si>
  <si>
    <t>1268</t>
  </si>
  <si>
    <t>1269</t>
  </si>
  <si>
    <t>41218868</t>
  </si>
  <si>
    <t>1270</t>
  </si>
  <si>
    <t>41217605</t>
  </si>
  <si>
    <t>1271</t>
  </si>
  <si>
    <t>1272</t>
  </si>
  <si>
    <t>041265</t>
  </si>
  <si>
    <t>789382</t>
  </si>
  <si>
    <t>041081</t>
  </si>
  <si>
    <t>822840</t>
  </si>
  <si>
    <t>041080</t>
  </si>
  <si>
    <t>822838</t>
  </si>
  <si>
    <t>1275</t>
  </si>
  <si>
    <t>1274</t>
  </si>
  <si>
    <t>1273</t>
  </si>
  <si>
    <t>1995</t>
  </si>
  <si>
    <t>03/01/2024</t>
  </si>
  <si>
    <t>1279</t>
  </si>
  <si>
    <t>1281</t>
  </si>
  <si>
    <t>1282</t>
  </si>
  <si>
    <t>41219744</t>
  </si>
  <si>
    <t>1276</t>
  </si>
  <si>
    <t>1280</t>
  </si>
  <si>
    <t>1283</t>
  </si>
  <si>
    <t>1278</t>
  </si>
  <si>
    <t>41218064</t>
  </si>
  <si>
    <t>1284</t>
  </si>
  <si>
    <t>1277</t>
  </si>
  <si>
    <t>1285</t>
  </si>
  <si>
    <t>1287</t>
  </si>
  <si>
    <t>1288</t>
  </si>
  <si>
    <t>1289</t>
  </si>
  <si>
    <t>412190002</t>
  </si>
  <si>
    <t>1291</t>
  </si>
  <si>
    <t>F18718</t>
  </si>
  <si>
    <t>2530</t>
  </si>
  <si>
    <t>CLIEN</t>
  </si>
  <si>
    <t>1292</t>
  </si>
  <si>
    <t>1293</t>
  </si>
  <si>
    <t>1294</t>
  </si>
  <si>
    <t>1295</t>
  </si>
  <si>
    <t>41114878</t>
  </si>
  <si>
    <t>1696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</si>
  <si>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</si>
  <si>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</si>
  <si>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</si>
  <si>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</si>
  <si>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</si>
  <si>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</si>
  <si>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</si>
  <si>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</si>
  <si>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</si>
  <si>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</si>
  <si>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41218317</t>
  </si>
  <si>
    <t>486</t>
  </si>
  <si>
    <t>A61981</t>
  </si>
  <si>
    <t>SG144</t>
  </si>
  <si>
    <t>OC</t>
  </si>
  <si>
    <t>16/01/2024</t>
  </si>
  <si>
    <t>41219754</t>
  </si>
  <si>
    <t>1307</t>
  </si>
  <si>
    <t>1308</t>
  </si>
  <si>
    <t>1309</t>
  </si>
  <si>
    <t>1310</t>
  </si>
  <si>
    <t>1311</t>
  </si>
  <si>
    <t>1312</t>
  </si>
  <si>
    <t>41217695</t>
  </si>
  <si>
    <t>487</t>
  </si>
  <si>
    <t>491</t>
  </si>
  <si>
    <t>490</t>
  </si>
  <si>
    <t>489</t>
  </si>
  <si>
    <t>492</t>
  </si>
  <si>
    <t>488</t>
  </si>
  <si>
    <t>045553</t>
  </si>
  <si>
    <t>25000</t>
  </si>
  <si>
    <t>17/01/2024</t>
  </si>
  <si>
    <t>493</t>
  </si>
  <si>
    <t>41217700</t>
  </si>
  <si>
    <t>494</t>
  </si>
  <si>
    <t>495</t>
  </si>
  <si>
    <t>496</t>
  </si>
  <si>
    <t>FC4665856</t>
  </si>
  <si>
    <t>18/01/2024</t>
  </si>
  <si>
    <t>FC4665256</t>
  </si>
  <si>
    <t>41217777</t>
  </si>
  <si>
    <t>506</t>
  </si>
  <si>
    <t>505</t>
  </si>
  <si>
    <t>502</t>
  </si>
  <si>
    <t>504</t>
  </si>
  <si>
    <t>499</t>
  </si>
  <si>
    <t>503</t>
  </si>
  <si>
    <t>497</t>
  </si>
  <si>
    <t>500</t>
  </si>
  <si>
    <t>507</t>
  </si>
  <si>
    <t>498</t>
  </si>
  <si>
    <t>1</t>
  </si>
  <si>
    <t>511</t>
  </si>
  <si>
    <t>512</t>
  </si>
  <si>
    <t>41219872</t>
  </si>
  <si>
    <t>509</t>
  </si>
  <si>
    <t>510</t>
  </si>
  <si>
    <t>1314</t>
  </si>
  <si>
    <t>1315</t>
  </si>
  <si>
    <t>1316</t>
  </si>
  <si>
    <t>1317</t>
  </si>
  <si>
    <t>1318</t>
  </si>
  <si>
    <t>1319</t>
  </si>
  <si>
    <t>1320</t>
  </si>
  <si>
    <t>41219951</t>
  </si>
  <si>
    <t>1321</t>
  </si>
  <si>
    <t>41219949</t>
  </si>
  <si>
    <t>1322</t>
  </si>
  <si>
    <t>1323</t>
  </si>
  <si>
    <t>1324</t>
  </si>
  <si>
    <t>1313</t>
  </si>
  <si>
    <t>1358</t>
  </si>
  <si>
    <t>1360</t>
  </si>
  <si>
    <t>1359</t>
  </si>
  <si>
    <t>1361</t>
  </si>
  <si>
    <t>1362</t>
  </si>
  <si>
    <t>1363</t>
  </si>
  <si>
    <t>1364</t>
  </si>
  <si>
    <t>1365</t>
  </si>
  <si>
    <t>1366</t>
  </si>
  <si>
    <t>1367</t>
  </si>
  <si>
    <t>1379</t>
  </si>
  <si>
    <t>1378</t>
  </si>
  <si>
    <t>1377</t>
  </si>
  <si>
    <t>1376</t>
  </si>
  <si>
    <t>1375</t>
  </si>
  <si>
    <t>1374</t>
  </si>
  <si>
    <t>1373</t>
  </si>
  <si>
    <t>1372</t>
  </si>
  <si>
    <t>1371</t>
  </si>
  <si>
    <t>1370</t>
  </si>
  <si>
    <t>1369</t>
  </si>
  <si>
    <t>1368</t>
  </si>
  <si>
    <t>1386</t>
  </si>
  <si>
    <t>1385</t>
  </si>
  <si>
    <t>raul fernandez</t>
  </si>
  <si>
    <t>519</t>
  </si>
  <si>
    <t>OMAR LEMUS</t>
  </si>
  <si>
    <t>1388</t>
  </si>
  <si>
    <t>1389</t>
  </si>
  <si>
    <t>41220007</t>
  </si>
  <si>
    <t>1390</t>
  </si>
  <si>
    <t>1391</t>
  </si>
  <si>
    <t>1392</t>
  </si>
  <si>
    <t>41220010</t>
  </si>
  <si>
    <t>1393</t>
  </si>
  <si>
    <t>1394</t>
  </si>
  <si>
    <t>1395</t>
  </si>
  <si>
    <t>1396</t>
  </si>
  <si>
    <t>1397</t>
  </si>
  <si>
    <t>A62803</t>
  </si>
  <si>
    <t>FV-45540</t>
  </si>
  <si>
    <t>1410</t>
  </si>
  <si>
    <t>1409</t>
  </si>
  <si>
    <t>1408</t>
  </si>
  <si>
    <t>1407</t>
  </si>
  <si>
    <t>1406</t>
  </si>
  <si>
    <t>1405</t>
  </si>
  <si>
    <t>1404</t>
  </si>
  <si>
    <t>1403</t>
  </si>
  <si>
    <t>1402</t>
  </si>
  <si>
    <t>1401</t>
  </si>
  <si>
    <t>1400</t>
  </si>
  <si>
    <t>1399</t>
  </si>
  <si>
    <t>RAul fernandez</t>
  </si>
  <si>
    <t>521</t>
  </si>
  <si>
    <t>FC4678419</t>
  </si>
  <si>
    <t>1418</t>
  </si>
  <si>
    <t>41220015</t>
  </si>
  <si>
    <t>1419</t>
  </si>
  <si>
    <t>1411</t>
  </si>
  <si>
    <t>41219554</t>
  </si>
  <si>
    <t>1417</t>
  </si>
  <si>
    <t>1415</t>
  </si>
  <si>
    <t>1412</t>
  </si>
  <si>
    <t>1414</t>
  </si>
  <si>
    <t>1416</t>
  </si>
  <si>
    <t>1413</t>
  </si>
  <si>
    <t>9408</t>
  </si>
  <si>
    <t>ACTUALIZE SHEET(cap) copiar y pegar datos de INVENTARIOma, no hay PO con ese numero de parte se busco solo e numero de articulo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</si>
  <si>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</si>
  <si>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</si>
  <si>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</si>
  <si>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</si>
  <si>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</si>
  <si>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</si>
  <si>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</si>
  <si>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</si>
  <si>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</si>
  <si>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522</t>
  </si>
  <si>
    <t>523</t>
  </si>
  <si>
    <t>524</t>
  </si>
  <si>
    <t>525</t>
  </si>
  <si>
    <t>535</t>
  </si>
  <si>
    <t>536</t>
  </si>
  <si>
    <t>SE ENTREGARON 5 DISPENSADORES TALLA M</t>
  </si>
  <si>
    <t>537</t>
  </si>
  <si>
    <t>538</t>
  </si>
  <si>
    <t>539</t>
  </si>
  <si>
    <t>no hay pn</t>
  </si>
  <si>
    <t>540</t>
  </si>
  <si>
    <t>054950</t>
  </si>
  <si>
    <t>14/02/2024</t>
  </si>
  <si>
    <t>2040</t>
  </si>
  <si>
    <t>15/02/2024</t>
  </si>
  <si>
    <t>FC4681389</t>
  </si>
  <si>
    <t>inventario</t>
  </si>
  <si>
    <t>5110 DISP</t>
  </si>
  <si>
    <t>240 DISP</t>
  </si>
  <si>
    <t>8 DISP</t>
  </si>
  <si>
    <t>543</t>
  </si>
  <si>
    <t>544</t>
  </si>
  <si>
    <t>545</t>
  </si>
  <si>
    <t>546</t>
  </si>
  <si>
    <t>547</t>
  </si>
  <si>
    <t>BORRAR ESTA ALARMA AL RESOLVER, PEDIR O ACTUALIZAR SHEET(cap) copiar y pegar datos de INVENTARIOma, no hay PO con ese numero de parte se busco solo eL numero de articulo</t>
  </si>
  <si>
    <t>552</t>
  </si>
  <si>
    <t>553</t>
  </si>
  <si>
    <t>554</t>
  </si>
  <si>
    <t>555</t>
  </si>
  <si>
    <t>556</t>
  </si>
  <si>
    <t>548</t>
  </si>
  <si>
    <t>549</t>
  </si>
  <si>
    <t>550</t>
  </si>
  <si>
    <t>551</t>
  </si>
  <si>
    <t>9552</t>
  </si>
  <si>
    <t>20/02/2024</t>
  </si>
  <si>
    <t>057787</t>
  </si>
  <si>
    <t>057786</t>
  </si>
  <si>
    <t>2046</t>
  </si>
  <si>
    <t>LISTGROUPSSETS</t>
  </si>
  <si>
    <t xml:space="preserve">2113_x000D_
</t>
  </si>
  <si>
    <t xml:space="preserve">2111_x000D_
</t>
  </si>
  <si>
    <t>5p71</t>
  </si>
  <si>
    <t>GSS-2" BRUSH-3</t>
  </si>
  <si>
    <t>033K120C</t>
  </si>
  <si>
    <t>COTIZACION</t>
  </si>
  <si>
    <t>565</t>
  </si>
  <si>
    <t>566</t>
  </si>
  <si>
    <t>567</t>
  </si>
  <si>
    <t>568</t>
  </si>
  <si>
    <t>569</t>
  </si>
  <si>
    <t>discontinuidad de articulo</t>
  </si>
  <si>
    <t xml:space="preserve">_x000D_
</t>
  </si>
  <si>
    <t xml:space="preserve">COTIZACION_x000D_
</t>
  </si>
  <si>
    <t>20ENTREGA</t>
  </si>
  <si>
    <t>033K080C-1500</t>
  </si>
  <si>
    <t>#:41220015</t>
  </si>
  <si>
    <t>discrepancia</t>
  </si>
  <si>
    <t>557</t>
  </si>
  <si>
    <t>558</t>
  </si>
  <si>
    <t>559</t>
  </si>
  <si>
    <t>560</t>
  </si>
  <si>
    <t>F19380</t>
  </si>
  <si>
    <t>BYLACK</t>
  </si>
  <si>
    <t>4850</t>
  </si>
  <si>
    <t>1008</t>
  </si>
  <si>
    <t>220 discrepancia</t>
  </si>
  <si>
    <t>4352</t>
  </si>
  <si>
    <t>656 discrepancia</t>
  </si>
  <si>
    <t>2658</t>
  </si>
  <si>
    <t>844 discrepancia</t>
  </si>
  <si>
    <t>0 discrepancia</t>
  </si>
  <si>
    <t>1380</t>
  </si>
  <si>
    <t>1381</t>
  </si>
  <si>
    <t>1382</t>
  </si>
  <si>
    <t>1383</t>
  </si>
  <si>
    <t>41217793</t>
  </si>
  <si>
    <t>1384</t>
  </si>
  <si>
    <t>561</t>
  </si>
  <si>
    <t>562</t>
  </si>
  <si>
    <t>563</t>
  </si>
  <si>
    <t>564</t>
  </si>
  <si>
    <t>8666</t>
  </si>
  <si>
    <t>41217336</t>
  </si>
  <si>
    <t>789363</t>
  </si>
  <si>
    <t>797939</t>
  </si>
  <si>
    <t>31191500</t>
  </si>
  <si>
    <t>41217882</t>
  </si>
  <si>
    <t>41217698</t>
  </si>
  <si>
    <t>41220022</t>
  </si>
  <si>
    <t>41220183</t>
  </si>
  <si>
    <t>41217401</t>
  </si>
  <si>
    <t>41220289</t>
  </si>
  <si>
    <t>41220281</t>
  </si>
  <si>
    <t>1484</t>
  </si>
  <si>
    <t>1485</t>
  </si>
  <si>
    <t>File Size (bytes)</t>
  </si>
  <si>
    <t>File Type</t>
  </si>
  <si>
    <t>Date Created</t>
  </si>
  <si>
    <t>Date Last Accessed</t>
  </si>
  <si>
    <t>Date Last Modified</t>
  </si>
  <si>
    <t>FOUND</t>
  </si>
  <si>
    <t>pdf</t>
  </si>
  <si>
    <t>1486</t>
  </si>
  <si>
    <t>1487</t>
  </si>
  <si>
    <t>1488</t>
  </si>
  <si>
    <t>9205</t>
  </si>
  <si>
    <t>6200</t>
  </si>
  <si>
    <t>6800</t>
  </si>
  <si>
    <t>6885</t>
  </si>
  <si>
    <t>501</t>
  </si>
  <si>
    <t>17948</t>
  </si>
  <si>
    <t>17023</t>
  </si>
  <si>
    <t>17947</t>
  </si>
  <si>
    <t>17022</t>
  </si>
  <si>
    <t>111023</t>
  </si>
  <si>
    <t>4630423</t>
  </si>
  <si>
    <t>9422</t>
  </si>
  <si>
    <t>9412</t>
  </si>
  <si>
    <t>53113</t>
  </si>
  <si>
    <t>9452</t>
  </si>
  <si>
    <t>9446</t>
  </si>
  <si>
    <t>OK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</si>
  <si>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</si>
  <si>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</si>
  <si>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</si>
  <si>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</si>
  <si>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</si>
  <si>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</si>
  <si>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</si>
  <si>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</si>
  <si>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</si>
  <si>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</si>
  <si>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</si>
  <si>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f19919</t>
  </si>
  <si>
    <t>27/02/2024</t>
  </si>
  <si>
    <t>A63442</t>
  </si>
  <si>
    <t>29/02/2024</t>
  </si>
  <si>
    <t>CAJAS CERRADAS</t>
  </si>
  <si>
    <t>BULTOS CERRADO</t>
  </si>
  <si>
    <t>MSGBOX NOTIFICACIONES</t>
  </si>
  <si>
    <t>MINIMOS</t>
  </si>
  <si>
    <t>MAXIMOS</t>
  </si>
  <si>
    <r>
      <rPr>
        <sz val="11"/>
        <color theme="1"/>
        <rFont val="Calibri"/>
        <family val="2"/>
        <scheme val="minor"/>
      </rPr>
      <t>10</t>
    </r>
  </si>
  <si>
    <r>
      <rPr>
        <sz val="11"/>
        <color theme="1"/>
        <rFont val="Calibri"/>
        <family val="2"/>
        <scheme val="minor"/>
      </rPr>
      <t>15</t>
    </r>
  </si>
  <si>
    <r>
      <rPr>
        <sz val="11"/>
        <color theme="1"/>
        <rFont val="Calibri"/>
        <family val="2"/>
        <scheme val="minor"/>
      </rPr>
      <t>14</t>
    </r>
  </si>
  <si>
    <r>
      <rPr>
        <sz val="11"/>
        <color theme="1"/>
        <rFont val="Calibri"/>
        <family val="2"/>
        <scheme val="minor"/>
      </rPr>
      <t>5</t>
    </r>
  </si>
  <si>
    <r>
      <rPr>
        <sz val="11"/>
        <color theme="1"/>
        <rFont val="Calibri"/>
        <family val="2"/>
        <scheme val="minor"/>
      </rPr>
      <t>2</t>
    </r>
  </si>
  <si>
    <t>15</t>
  </si>
  <si>
    <t>14</t>
  </si>
  <si>
    <t>5</t>
  </si>
  <si>
    <t>2</t>
  </si>
  <si>
    <t>C:\Users\Miscelec\Downloads\factura-1506.pdf</t>
  </si>
  <si>
    <t>C:\Users\Miscelec\Downloads\factura-1507.pdf</t>
  </si>
  <si>
    <t>C:\Users\Miscelec\Downloads\factura-1508.pdf</t>
  </si>
  <si>
    <t>C:\Users\Miscelec\Downloads\factura-1509.pdf</t>
  </si>
  <si>
    <t>C:\Users\Miscelec\Downloads\SEGISA\ENTREGAS\CARPETA 20240301 TIEMPO 075444 P6 ENTREGA\PO 41220281 segisa.pdf</t>
  </si>
  <si>
    <t>C:\Users\Miscelec\Downloads\SEGISA\ENTREGAS\CARPETA 20240205 TIEMPO 134320 P6 ENTREGA\PO 41219002 SEGISA.pdf</t>
  </si>
  <si>
    <t>C:\Users\Miscelec\Downloads\SEGISA\ENTREGAS\301 ENTREGA A TPI P4 P6 ENERO 23 2024\P6\PO 41219432 SEGISA.pdf</t>
  </si>
  <si>
    <t>C:\Users\Miscelec\Downloads\SEGISA\ENTREGAS\CARPETA 20240129 TIEMPO 111846 P6 ENTREGA\41218317.pdf</t>
  </si>
  <si>
    <t>ReplaceCommasInStr = Replace(STRINGTXT, ",", ".")</t>
  </si>
  <si>
    <t>correction in strings</t>
  </si>
  <si>
    <t>close msedge</t>
  </si>
  <si>
    <t>PRECIOUNITARIO@</t>
  </si>
  <si>
    <t>@</t>
  </si>
  <si>
    <t>open a file</t>
  </si>
  <si>
    <t>MOUSEx</t>
  </si>
  <si>
    <t>REVISAR CANTIDA VS PRECIOUNITARIO/PRECIOTOTAL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</si>
  <si>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</si>
  <si>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</si>
  <si>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</si>
  <si>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</si>
  <si>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</si>
  <si>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</si>
  <si>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</si>
  <si>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</si>
  <si>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</si>
  <si>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</si>
  <si>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</si>
  <si>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</si>
  <si>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</si>
  <si>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</si>
  <si>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</si>
  <si>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</si>
  <si>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</si>
  <si>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</si>
  <si>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</si>
  <si>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</si>
  <si>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</si>
  <si>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</si>
  <si>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</si>
  <si>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#:s/o@@R</t>
  </si>
  <si>
    <t>570</t>
  </si>
  <si>
    <t>C:\Users\Miscelec\Desktop\entregas 23-24\2024\CARPETA 20240223 TIEMPO 171434 P6 ENTREGA\remision-550.pdf</t>
  </si>
  <si>
    <t>C:\Users\Miscelec\Desktop\entregas 23-24\2024\CARPETA 20240227 TIEMPO 095728 P6 ENTREGA\remision-559.pdf</t>
  </si>
  <si>
    <t>C:\Users\Miscelec\Desktop\entregas 23-24\2024\CARPETA 20240229 TIEMPO 115600 P6 ENTREGA\remision-564.pdf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</si>
</sst>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2"/>
      <name val="Calibri"/>
      <family val="2"/>
      <scheme val="minor"/>
    </font>
    <font>
      <u/>
      <sz val="11"/>
      <color theme="2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1" xfId="0" applyBorder="1"/>
    <xf numFmtId="0" fontId="0" fillId="2" borderId="1" xfId="0" applyFill="1" applyBorder="1"/>
    <xf numFmtId="1" fontId="0" fillId="2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vertical="top" wrapText="1"/>
    </xf>
    <xf numFmtId="0" fontId="0" fillId="0" borderId="0" xfId="0" applyAlignment="1">
      <alignment wrapText="1"/>
    </xf>
    <xf numFmtId="0" fontId="0" fillId="0" borderId="2" xfId="0" applyBorder="1"/>
    <xf numFmtId="0" fontId="0" fillId="7" borderId="1" xfId="0" applyFill="1" applyBorder="1"/>
    <xf numFmtId="0" fontId="0" fillId="6" borderId="1" xfId="0" applyFill="1" applyBorder="1"/>
    <xf numFmtId="0" fontId="0" fillId="5" borderId="1" xfId="0" applyFill="1" applyBorder="1"/>
    <xf numFmtId="0" fontId="3" fillId="0" borderId="0" xfId="0" applyFont="1"/>
    <xf numFmtId="0" fontId="4" fillId="0" borderId="0" xfId="1" applyFont="1" applyFill="1" applyBorder="1"/>
    <xf numFmtId="0" fontId="0" fillId="0" borderId="3" xfId="0" applyBorder="1"/>
    <xf numFmtId="0" fontId="1" fillId="4" borderId="1" xfId="1" applyFill="1" applyBorder="1" applyAlignment="1">
      <alignment wrapText="1"/>
    </xf>
    <xf numFmtId="1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wrapText="1"/>
    </xf>
    <xf numFmtId="1" fontId="0" fillId="0" borderId="1" xfId="0" applyNumberFormat="1" applyBorder="1" applyAlignment="1">
      <alignment wrapText="1"/>
    </xf>
    <xf numFmtId="0" fontId="0" fillId="0" borderId="1" xfId="0" applyBorder="1" applyAlignment="1">
      <alignment wrapText="1"/>
    </xf>
    <xf numFmtId="2" fontId="0" fillId="0" borderId="1" xfId="0" applyNumberFormat="1" applyBorder="1" applyAlignment="1">
      <alignment wrapText="1"/>
    </xf>
    <xf numFmtId="49" fontId="0" fillId="0" borderId="1" xfId="0" applyNumberFormat="1" applyBorder="1"/>
    <xf numFmtId="1" fontId="0" fillId="0" borderId="1" xfId="0" applyNumberFormat="1" applyBorder="1"/>
    <xf numFmtId="14" fontId="0" fillId="0" borderId="1" xfId="0" applyNumberFormat="1" applyBorder="1"/>
    <xf numFmtId="2" fontId="0" fillId="0" borderId="1" xfId="0" applyNumberFormat="1" applyBorder="1"/>
    <xf numFmtId="22" fontId="0" fillId="0" borderId="1" xfId="0" applyNumberFormat="1" applyBorder="1"/>
    <xf numFmtId="0" fontId="0" fillId="0" borderId="1" xfId="0" quotePrefix="1" applyBorder="1"/>
    <xf numFmtId="0" fontId="0" fillId="9" borderId="1" xfId="0" applyFill="1" applyBorder="1"/>
    <xf numFmtId="0" fontId="0" fillId="6" borderId="0" xfId="0" applyFill="1"/>
    <xf numFmtId="0" fontId="0" fillId="8" borderId="4" xfId="0" applyFill="1" applyBorder="1"/>
    <xf numFmtId="0" fontId="0" fillId="0" borderId="4" xfId="0" applyBorder="1"/>
    <xf numFmtId="0" fontId="0" fillId="0" borderId="5" xfId="0" applyBorder="1"/>
    <xf numFmtId="49" fontId="0" fillId="11" borderId="1" xfId="0" applyNumberFormat="1" applyFill="1" applyBorder="1"/>
    <xf numFmtId="1" fontId="0" fillId="12" borderId="1" xfId="0" applyNumberFormat="1" applyFill="1" applyBorder="1"/>
    <xf numFmtId="1" fontId="0" fillId="6" borderId="1" xfId="0" applyNumberFormat="1" applyFill="1" applyBorder="1"/>
    <xf numFmtId="49" fontId="0" fillId="9" borderId="1" xfId="0" applyNumberFormat="1" applyFill="1" applyBorder="1"/>
    <xf numFmtId="1" fontId="0" fillId="9" borderId="1" xfId="0" applyNumberFormat="1" applyFill="1" applyBorder="1"/>
    <xf numFmtId="1" fontId="0" fillId="11" borderId="1" xfId="0" applyNumberFormat="1" applyFill="1" applyBorder="1"/>
    <xf numFmtId="49" fontId="0" fillId="13" borderId="1" xfId="0" applyNumberFormat="1" applyFill="1" applyBorder="1"/>
    <xf numFmtId="0" fontId="0" fillId="9" borderId="1" xfId="0" quotePrefix="1" applyFill="1" applyBorder="1"/>
    <xf numFmtId="0" fontId="0" fillId="9" borderId="0" xfId="0" applyFill="1"/>
    <xf numFmtId="0" fontId="0" fillId="0" borderId="0" xfId="0" quotePrefix="1"/>
    <xf numFmtId="0" fontId="0" fillId="13" borderId="1" xfId="0" applyFill="1" applyBorder="1" applyAlignment="1">
      <alignment wrapText="1"/>
    </xf>
    <xf numFmtId="0" fontId="0" fillId="13" borderId="1" xfId="0" quotePrefix="1" applyFill="1" applyBorder="1"/>
    <xf numFmtId="49" fontId="0" fillId="13" borderId="1" xfId="0" applyNumberFormat="1" applyFill="1" applyBorder="1" applyAlignment="1">
      <alignment wrapText="1"/>
    </xf>
    <xf numFmtId="0" fontId="0" fillId="9" borderId="0" xfId="0" applyFill="1" applyAlignment="1">
      <alignment wrapText="1"/>
    </xf>
    <xf numFmtId="49" fontId="0" fillId="0" borderId="1" xfId="0" quotePrefix="1" applyNumberFormat="1" applyBorder="1"/>
    <xf numFmtId="1" fontId="0" fillId="0" borderId="1" xfId="0" quotePrefix="1" applyNumberFormat="1" applyBorder="1"/>
    <xf numFmtId="1" fontId="0" fillId="10" borderId="1" xfId="0" applyNumberFormat="1" applyFill="1" applyBorder="1" applyAlignment="1">
      <alignment wrapText="1"/>
    </xf>
    <xf numFmtId="1" fontId="0" fillId="6" borderId="1" xfId="0" applyNumberFormat="1" applyFill="1" applyBorder="1" applyAlignment="1">
      <alignment wrapText="1"/>
    </xf>
    <xf numFmtId="1" fontId="5" fillId="6" borderId="1" xfId="0" applyNumberFormat="1" applyFont="1" applyFill="1" applyBorder="1" applyAlignment="1">
      <alignment wrapText="1"/>
    </xf>
    <xf numFmtId="0" fontId="0" fillId="14" borderId="1" xfId="0" applyFill="1" applyBorder="1" applyAlignment="1">
      <alignment wrapText="1"/>
    </xf>
    <xf numFmtId="0" fontId="0" fillId="15" borderId="1" xfId="0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5" borderId="1" xfId="0" applyFill="1" applyBorder="1" applyAlignment="1">
      <alignment wrapText="1"/>
    </xf>
    <xf numFmtId="1" fontId="0" fillId="10" borderId="1" xfId="0" applyNumberFormat="1" applyFill="1" applyBorder="1"/>
    <xf numFmtId="1" fontId="5" fillId="6" borderId="1" xfId="0" applyNumberFormat="1" applyFont="1" applyFill="1" applyBorder="1"/>
    <xf numFmtId="49" fontId="0" fillId="13" borderId="1" xfId="0" quotePrefix="1" applyNumberFormat="1" applyFill="1" applyBorder="1"/>
    <xf numFmtId="1" fontId="0" fillId="10" borderId="1" xfId="0" quotePrefix="1" applyNumberFormat="1" applyFill="1" applyBorder="1"/>
    <xf numFmtId="1" fontId="0" fillId="6" borderId="1" xfId="0" quotePrefix="1" applyNumberFormat="1" applyFill="1" applyBorder="1"/>
    <xf numFmtId="1" fontId="5" fillId="6" borderId="1" xfId="0" quotePrefix="1" applyNumberFormat="1" applyFont="1" applyFill="1" applyBorder="1"/>
    <xf numFmtId="1" fontId="0" fillId="5" borderId="1" xfId="0" applyNumberFormat="1" applyFill="1" applyBorder="1"/>
    <xf numFmtId="0" fontId="0" fillId="11" borderId="1" xfId="0" applyFill="1" applyBorder="1"/>
    <xf numFmtId="49" fontId="0" fillId="6" borderId="1" xfId="0" applyNumberFormat="1" applyFill="1" applyBorder="1"/>
    <xf numFmtId="49" fontId="0" fillId="8" borderId="1" xfId="0" quotePrefix="1" applyNumberFormat="1" applyFill="1" applyBorder="1"/>
    <xf numFmtId="49" fontId="0" fillId="8" borderId="1" xfId="0" applyNumberFormat="1" applyFill="1" applyBorder="1"/>
    <xf numFmtId="1" fontId="0" fillId="8" borderId="1" xfId="0" applyNumberFormat="1" applyFill="1" applyBorder="1"/>
    <xf numFmtId="0" fontId="0" fillId="8" borderId="1" xfId="0" applyFill="1" applyBorder="1"/>
    <xf numFmtId="0" fontId="0" fillId="8" borderId="1" xfId="0" quotePrefix="1" applyFill="1" applyBorder="1"/>
    <xf numFmtId="49" fontId="0" fillId="9" borderId="1" xfId="0" quotePrefix="1" applyNumberFormat="1" applyFill="1" applyBorder="1"/>
    <xf numFmtId="49" fontId="0" fillId="0" borderId="1" xfId="0" quotePrefix="1" applyNumberFormat="1" applyBorder="1" applyAlignment="1">
      <alignment horizontal="right" wrapText="1"/>
    </xf>
    <xf numFmtId="0" fontId="0" fillId="0" borderId="1" xfId="0" quotePrefix="1" applyBorder="1" applyAlignment="1">
      <alignment horizontal="right" wrapText="1"/>
    </xf>
    <xf numFmtId="0" fontId="0" fillId="0" borderId="1" xfId="0" applyBorder="1" applyAlignment="1">
      <alignment horizontal="right" wrapText="1"/>
    </xf>
    <xf numFmtId="0" fontId="0" fillId="0" borderId="1" xfId="0" quotePrefix="1" applyBorder="1" applyAlignment="1">
      <alignment vertical="center"/>
    </xf>
    <xf numFmtId="49" fontId="0" fillId="0" borderId="1" xfId="0" applyNumberFormat="1" applyBorder="1" applyAlignment="1">
      <alignment horizontal="right" wrapText="1"/>
    </xf>
    <xf numFmtId="0" fontId="0" fillId="0" borderId="1" xfId="0" quotePrefix="1" applyBorder="1" applyAlignment="1">
      <alignment wrapText="1"/>
    </xf>
    <xf numFmtId="22" fontId="0" fillId="11" borderId="1" xfId="0" applyNumberFormat="1" applyFill="1" applyBorder="1"/>
    <xf numFmtId="1" fontId="0" fillId="13" borderId="1" xfId="0" applyNumberForma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/>
    </xf>
    <xf numFmtId="1" fontId="5" fillId="13" borderId="1" xfId="0" applyNumberFormat="1" applyFont="1" applyFill="1" applyBorder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21AD6-7AB8-4B4D-9ABA-CB4DFCA0282D}">
  <sheetPr codeName="Hoja2"/>
  <dimension ref="A1:AD766"/>
  <sheetViews>
    <sheetView tabSelected="1" workbookViewId="0">
      <selection sqref="A1:O1048576"/>
    </sheetView>
  </sheetViews>
  <sheetFormatPr baseColWidth="10" defaultRowHeight="15" x14ac:dyDescent="0.25"/>
  <cols>
    <col min="1" max="1" width="19.28515625" customWidth="1"/>
    <col min="7" max="7" width="16.42578125" bestFit="1" customWidth="1"/>
  </cols>
  <sheetData>
    <row r="1" spans="2:23" x14ac:dyDescent="0.25">
      <c r="G1" t="s">
        <v>93</v>
      </c>
      <c r="P1" t="s">
        <v>775</v>
      </c>
      <c r="Q1" t="s">
        <v>776</v>
      </c>
      <c r="R1" t="s">
        <v>777</v>
      </c>
      <c r="S1" t="s">
        <v>778</v>
      </c>
      <c r="T1" t="s">
        <v>779</v>
      </c>
    </row>
    <row r="2" spans="2:23" x14ac:dyDescent="0.25">
      <c r="B2">
        <v>1705028586</v>
      </c>
      <c r="C2">
        <v>41220007</v>
      </c>
      <c r="D2" t="s">
        <v>709</v>
      </c>
      <c r="E2">
        <v>40</v>
      </c>
      <c r="G2" t="s">
        <v>148</v>
      </c>
      <c r="H2">
        <v>33</v>
      </c>
      <c r="I2">
        <v>3.4</v>
      </c>
      <c r="J2">
        <v>136</v>
      </c>
      <c r="K2">
        <v>40</v>
      </c>
      <c r="P2" t="s">
        <v>780</v>
      </c>
      <c r="Q2">
        <v>1</v>
      </c>
      <c r="U2" t="s">
        <v>781</v>
      </c>
      <c r="V2" t="s">
        <v>835</v>
      </c>
      <c r="W2" t="s">
        <v>831</v>
      </c>
    </row>
    <row r="3" spans="2:23" x14ac:dyDescent="0.25">
      <c r="E3">
        <v>20</v>
      </c>
      <c r="G3" t="s">
        <v>150</v>
      </c>
      <c r="H3">
        <v>44</v>
      </c>
      <c r="I3">
        <v>3.4</v>
      </c>
      <c r="J3">
        <v>68</v>
      </c>
      <c r="K3">
        <v>20</v>
      </c>
      <c r="P3" t="s">
        <v>780</v>
      </c>
      <c r="Q3">
        <v>2</v>
      </c>
      <c r="U3" t="s">
        <v>781</v>
      </c>
      <c r="V3" t="s">
        <v>836</v>
      </c>
      <c r="W3" t="s">
        <v>835</v>
      </c>
    </row>
    <row r="4" spans="2:23" x14ac:dyDescent="0.25">
      <c r="B4">
        <v>1705028586</v>
      </c>
      <c r="C4">
        <v>41219872</v>
      </c>
      <c r="D4" t="s">
        <v>710</v>
      </c>
      <c r="E4">
        <v>200</v>
      </c>
      <c r="G4" t="s">
        <v>159</v>
      </c>
      <c r="H4">
        <v>44</v>
      </c>
      <c r="I4">
        <v>2.1</v>
      </c>
      <c r="J4">
        <v>420</v>
      </c>
      <c r="K4">
        <v>200</v>
      </c>
      <c r="P4" t="s">
        <v>780</v>
      </c>
      <c r="Q4">
        <v>3</v>
      </c>
      <c r="U4" t="s">
        <v>781</v>
      </c>
      <c r="V4" t="s">
        <v>837</v>
      </c>
      <c r="W4" t="s">
        <v>832</v>
      </c>
    </row>
    <row r="5" spans="2:23" x14ac:dyDescent="0.25">
      <c r="B5">
        <v>1705028586</v>
      </c>
      <c r="C5">
        <v>41219377</v>
      </c>
      <c r="D5" t="s">
        <v>711</v>
      </c>
      <c r="E5">
        <v>1000</v>
      </c>
      <c r="G5" t="s">
        <v>181</v>
      </c>
      <c r="H5">
        <v>42</v>
      </c>
      <c r="I5">
        <v>0.56000000000000005</v>
      </c>
      <c r="J5">
        <v>560</v>
      </c>
      <c r="K5">
        <v>999.99999999999989</v>
      </c>
      <c r="L5" t="s">
        <v>846</v>
      </c>
      <c r="P5" t="s">
        <v>780</v>
      </c>
      <c r="Q5">
        <v>4</v>
      </c>
      <c r="U5" t="s">
        <v>781</v>
      </c>
      <c r="V5" t="s">
        <v>838</v>
      </c>
      <c r="W5" t="s">
        <v>836</v>
      </c>
    </row>
    <row r="6" spans="2:23" x14ac:dyDescent="0.25">
      <c r="B6">
        <v>1705028586</v>
      </c>
      <c r="C6">
        <v>41220183</v>
      </c>
      <c r="D6" t="s">
        <v>712</v>
      </c>
      <c r="E6">
        <v>500</v>
      </c>
      <c r="G6" t="s">
        <v>158</v>
      </c>
      <c r="H6">
        <v>43</v>
      </c>
      <c r="I6">
        <v>1.7</v>
      </c>
      <c r="J6">
        <v>850</v>
      </c>
      <c r="K6">
        <v>500</v>
      </c>
      <c r="W6" t="s">
        <v>833</v>
      </c>
    </row>
    <row r="7" spans="2:23" x14ac:dyDescent="0.25">
      <c r="B7">
        <v>1705028584</v>
      </c>
      <c r="C7">
        <v>41219951</v>
      </c>
      <c r="D7" t="s">
        <v>704</v>
      </c>
      <c r="E7">
        <v>50</v>
      </c>
      <c r="G7" t="s">
        <v>175</v>
      </c>
      <c r="H7">
        <v>35</v>
      </c>
      <c r="I7">
        <v>1.3</v>
      </c>
      <c r="J7">
        <v>65</v>
      </c>
      <c r="K7">
        <v>50</v>
      </c>
      <c r="W7" t="s">
        <v>837</v>
      </c>
    </row>
    <row r="8" spans="2:23" x14ac:dyDescent="0.25">
      <c r="B8">
        <v>1705028584</v>
      </c>
      <c r="C8">
        <v>41218896</v>
      </c>
      <c r="D8" t="s">
        <v>705</v>
      </c>
      <c r="E8">
        <v>3000</v>
      </c>
      <c r="G8" t="s">
        <v>138</v>
      </c>
      <c r="H8">
        <v>40</v>
      </c>
      <c r="I8">
        <v>0.25</v>
      </c>
      <c r="J8">
        <v>750</v>
      </c>
      <c r="K8">
        <v>3000</v>
      </c>
      <c r="W8" t="s">
        <v>834</v>
      </c>
    </row>
    <row r="9" spans="2:23" x14ac:dyDescent="0.25">
      <c r="B9">
        <v>4170502858</v>
      </c>
      <c r="C9">
        <v>41219252</v>
      </c>
      <c r="D9" t="s">
        <v>706</v>
      </c>
      <c r="E9">
        <v>2000</v>
      </c>
      <c r="G9" t="s">
        <v>197</v>
      </c>
      <c r="H9">
        <v>42</v>
      </c>
      <c r="I9">
        <v>0.15</v>
      </c>
      <c r="J9">
        <v>300</v>
      </c>
      <c r="K9">
        <v>2000</v>
      </c>
      <c r="W9" t="s">
        <v>838</v>
      </c>
    </row>
    <row r="10" spans="2:23" x14ac:dyDescent="0.25">
      <c r="B10">
        <v>1705028584</v>
      </c>
      <c r="C10">
        <v>41217401</v>
      </c>
      <c r="D10" t="s">
        <v>707</v>
      </c>
      <c r="E10">
        <v>20</v>
      </c>
      <c r="G10">
        <v>111023</v>
      </c>
      <c r="H10">
        <v>38</v>
      </c>
      <c r="I10">
        <v>25.5</v>
      </c>
      <c r="J10">
        <v>510</v>
      </c>
      <c r="K10">
        <v>20</v>
      </c>
      <c r="W10" t="s">
        <v>831</v>
      </c>
    </row>
    <row r="11" spans="2:23" x14ac:dyDescent="0.25">
      <c r="B11">
        <v>1705028584</v>
      </c>
      <c r="C11">
        <v>41219694</v>
      </c>
      <c r="D11" t="s">
        <v>708</v>
      </c>
      <c r="E11">
        <v>170</v>
      </c>
      <c r="G11" t="s">
        <v>148</v>
      </c>
      <c r="H11">
        <v>35</v>
      </c>
      <c r="I11">
        <v>3.4</v>
      </c>
      <c r="J11">
        <v>578</v>
      </c>
      <c r="K11">
        <v>170</v>
      </c>
      <c r="W11" t="s">
        <v>832</v>
      </c>
    </row>
    <row r="12" spans="2:23" x14ac:dyDescent="0.25">
      <c r="B12">
        <v>1705028586</v>
      </c>
      <c r="C12">
        <v>41219444</v>
      </c>
      <c r="D12" t="s">
        <v>737</v>
      </c>
      <c r="E12">
        <v>40</v>
      </c>
      <c r="G12">
        <v>6885</v>
      </c>
      <c r="H12">
        <v>34</v>
      </c>
      <c r="I12">
        <v>1.78</v>
      </c>
      <c r="J12">
        <v>71.2</v>
      </c>
      <c r="K12">
        <v>40</v>
      </c>
      <c r="W12" t="s">
        <v>833</v>
      </c>
    </row>
    <row r="13" spans="2:23" x14ac:dyDescent="0.25">
      <c r="E13">
        <v>30</v>
      </c>
      <c r="G13">
        <v>6800</v>
      </c>
      <c r="H13">
        <v>40</v>
      </c>
      <c r="I13">
        <v>94</v>
      </c>
      <c r="J13">
        <v>2820</v>
      </c>
      <c r="K13">
        <v>30</v>
      </c>
      <c r="W13" t="s">
        <v>834</v>
      </c>
    </row>
    <row r="14" spans="2:23" x14ac:dyDescent="0.25">
      <c r="B14">
        <v>1705028586</v>
      </c>
      <c r="C14">
        <v>41219432</v>
      </c>
      <c r="D14" t="s">
        <v>738</v>
      </c>
      <c r="E14">
        <v>1000</v>
      </c>
      <c r="G14" t="s">
        <v>124</v>
      </c>
      <c r="H14">
        <v>41</v>
      </c>
      <c r="I14">
        <v>0.25</v>
      </c>
      <c r="J14">
        <v>250</v>
      </c>
      <c r="K14">
        <v>1000</v>
      </c>
    </row>
    <row r="15" spans="2:23" x14ac:dyDescent="0.25">
      <c r="E15">
        <v>1600</v>
      </c>
      <c r="G15" t="s">
        <v>188</v>
      </c>
      <c r="H15">
        <v>57</v>
      </c>
      <c r="I15">
        <v>0.25</v>
      </c>
      <c r="J15">
        <v>400</v>
      </c>
      <c r="K15">
        <v>1600</v>
      </c>
    </row>
    <row r="16" spans="2:23" x14ac:dyDescent="0.25">
      <c r="B16">
        <v>1705028586</v>
      </c>
      <c r="C16">
        <v>41219377</v>
      </c>
      <c r="D16" t="s">
        <v>739</v>
      </c>
      <c r="E16">
        <v>1000</v>
      </c>
      <c r="G16" t="s">
        <v>181</v>
      </c>
      <c r="H16">
        <v>39</v>
      </c>
      <c r="I16">
        <v>0.56000000000000005</v>
      </c>
      <c r="J16">
        <v>560</v>
      </c>
      <c r="K16">
        <v>999.99999999999989</v>
      </c>
      <c r="L16" t="s">
        <v>846</v>
      </c>
    </row>
    <row r="17" spans="2:12" x14ac:dyDescent="0.25">
      <c r="B17">
        <v>1705028586</v>
      </c>
      <c r="C17">
        <v>41220007</v>
      </c>
      <c r="D17" t="s">
        <v>740</v>
      </c>
      <c r="E17">
        <v>40</v>
      </c>
      <c r="G17" t="s">
        <v>148</v>
      </c>
      <c r="H17">
        <v>42</v>
      </c>
      <c r="I17">
        <v>3.4</v>
      </c>
      <c r="J17">
        <v>136</v>
      </c>
      <c r="K17">
        <v>40</v>
      </c>
    </row>
    <row r="18" spans="2:12" x14ac:dyDescent="0.25">
      <c r="E18">
        <v>1200</v>
      </c>
      <c r="G18" t="s">
        <v>120</v>
      </c>
      <c r="H18">
        <v>52</v>
      </c>
      <c r="I18">
        <v>0.25</v>
      </c>
      <c r="J18">
        <v>300</v>
      </c>
      <c r="K18">
        <v>1200</v>
      </c>
    </row>
    <row r="19" spans="2:12" x14ac:dyDescent="0.25">
      <c r="E19">
        <v>50</v>
      </c>
      <c r="G19" t="s">
        <v>150</v>
      </c>
      <c r="H19">
        <v>70</v>
      </c>
      <c r="I19">
        <v>3.4</v>
      </c>
      <c r="J19">
        <v>170</v>
      </c>
      <c r="K19">
        <v>50</v>
      </c>
    </row>
    <row r="20" spans="2:12" x14ac:dyDescent="0.25">
      <c r="B20">
        <v>1705028586</v>
      </c>
      <c r="C20">
        <v>41220007</v>
      </c>
      <c r="D20" t="s">
        <v>757</v>
      </c>
      <c r="E20">
        <v>40</v>
      </c>
      <c r="G20" t="s">
        <v>148</v>
      </c>
      <c r="H20">
        <v>42</v>
      </c>
      <c r="I20">
        <v>3.4</v>
      </c>
      <c r="J20">
        <v>136</v>
      </c>
      <c r="K20">
        <v>40</v>
      </c>
    </row>
    <row r="21" spans="2:12" x14ac:dyDescent="0.25">
      <c r="E21">
        <v>1200</v>
      </c>
      <c r="G21" t="s">
        <v>120</v>
      </c>
      <c r="H21">
        <v>52</v>
      </c>
      <c r="I21">
        <v>0.25</v>
      </c>
      <c r="J21">
        <v>300</v>
      </c>
      <c r="K21">
        <v>1200</v>
      </c>
    </row>
    <row r="22" spans="2:12" x14ac:dyDescent="0.25">
      <c r="E22">
        <v>20</v>
      </c>
      <c r="G22" t="s">
        <v>150</v>
      </c>
      <c r="H22">
        <v>70</v>
      </c>
      <c r="I22">
        <v>3.4</v>
      </c>
      <c r="J22">
        <v>68</v>
      </c>
      <c r="K22">
        <v>20</v>
      </c>
    </row>
    <row r="23" spans="2:12" x14ac:dyDescent="0.25">
      <c r="B23">
        <v>1705028586</v>
      </c>
      <c r="C23">
        <v>41219444</v>
      </c>
      <c r="D23" t="s">
        <v>758</v>
      </c>
      <c r="E23">
        <v>40</v>
      </c>
      <c r="G23">
        <v>6885</v>
      </c>
      <c r="H23">
        <v>36</v>
      </c>
      <c r="I23">
        <v>1.78</v>
      </c>
      <c r="J23">
        <v>71.2</v>
      </c>
      <c r="K23">
        <v>40</v>
      </c>
    </row>
    <row r="24" spans="2:12" x14ac:dyDescent="0.25">
      <c r="B24">
        <v>1705028586</v>
      </c>
      <c r="C24">
        <v>41219254</v>
      </c>
      <c r="D24" t="s">
        <v>759</v>
      </c>
      <c r="E24">
        <v>5600</v>
      </c>
      <c r="G24" t="s">
        <v>140</v>
      </c>
      <c r="H24">
        <v>36</v>
      </c>
      <c r="I24">
        <v>0.25</v>
      </c>
      <c r="J24">
        <v>1400</v>
      </c>
      <c r="K24">
        <v>5600</v>
      </c>
    </row>
    <row r="25" spans="2:12" x14ac:dyDescent="0.25">
      <c r="B25">
        <v>1705028586</v>
      </c>
      <c r="C25">
        <v>41219377</v>
      </c>
      <c r="D25" t="s">
        <v>760</v>
      </c>
      <c r="E25">
        <v>1000</v>
      </c>
      <c r="G25" t="s">
        <v>181</v>
      </c>
      <c r="H25">
        <v>39</v>
      </c>
      <c r="I25">
        <v>0.56000000000000005</v>
      </c>
      <c r="J25">
        <v>560</v>
      </c>
      <c r="K25">
        <v>999.99999999999989</v>
      </c>
      <c r="L25" t="s">
        <v>846</v>
      </c>
    </row>
    <row r="26" spans="2:12" x14ac:dyDescent="0.25">
      <c r="B26">
        <v>1705028586</v>
      </c>
      <c r="C26">
        <v>41219377</v>
      </c>
      <c r="D26" t="s">
        <v>725</v>
      </c>
      <c r="E26">
        <v>5600</v>
      </c>
      <c r="G26" t="s">
        <v>140</v>
      </c>
      <c r="H26">
        <v>40</v>
      </c>
      <c r="I26">
        <v>0.25</v>
      </c>
      <c r="J26">
        <v>1400</v>
      </c>
      <c r="K26">
        <v>5600</v>
      </c>
    </row>
    <row r="27" spans="2:12" x14ac:dyDescent="0.25">
      <c r="E27">
        <v>698</v>
      </c>
      <c r="G27" t="s">
        <v>153</v>
      </c>
      <c r="H27">
        <v>56</v>
      </c>
      <c r="I27">
        <v>1.7</v>
      </c>
      <c r="J27">
        <v>1186.5999999999999</v>
      </c>
      <c r="K27">
        <v>698</v>
      </c>
    </row>
    <row r="28" spans="2:12" x14ac:dyDescent="0.25">
      <c r="B28">
        <v>1705028586</v>
      </c>
      <c r="C28">
        <v>41219444</v>
      </c>
      <c r="D28" t="s">
        <v>726</v>
      </c>
      <c r="E28">
        <v>30</v>
      </c>
      <c r="G28">
        <v>6885</v>
      </c>
      <c r="H28">
        <v>34</v>
      </c>
      <c r="I28">
        <v>1.78</v>
      </c>
      <c r="J28">
        <v>53.4</v>
      </c>
      <c r="K28">
        <v>30</v>
      </c>
    </row>
    <row r="29" spans="2:12" x14ac:dyDescent="0.25">
      <c r="B29">
        <v>1705028586</v>
      </c>
      <c r="C29">
        <v>41220007</v>
      </c>
      <c r="D29" t="s">
        <v>727</v>
      </c>
      <c r="E29">
        <v>40</v>
      </c>
      <c r="G29" t="s">
        <v>148</v>
      </c>
      <c r="H29">
        <v>45</v>
      </c>
      <c r="I29">
        <v>3.8</v>
      </c>
      <c r="J29">
        <v>152</v>
      </c>
      <c r="K29">
        <v>40</v>
      </c>
    </row>
    <row r="30" spans="2:12" x14ac:dyDescent="0.25">
      <c r="E30">
        <v>1200</v>
      </c>
      <c r="G30" t="s">
        <v>120</v>
      </c>
      <c r="H30">
        <v>55</v>
      </c>
      <c r="I30">
        <v>0.25</v>
      </c>
      <c r="J30">
        <v>300</v>
      </c>
      <c r="K30">
        <v>1200</v>
      </c>
    </row>
    <row r="31" spans="2:12" x14ac:dyDescent="0.25">
      <c r="B31">
        <v>1705028586</v>
      </c>
      <c r="C31">
        <v>41220289</v>
      </c>
      <c r="D31" t="s">
        <v>728</v>
      </c>
      <c r="E31">
        <v>500</v>
      </c>
      <c r="G31" t="s">
        <v>158</v>
      </c>
      <c r="H31">
        <v>43</v>
      </c>
      <c r="I31">
        <v>1.7</v>
      </c>
      <c r="J31">
        <v>850</v>
      </c>
      <c r="K31">
        <v>500</v>
      </c>
    </row>
    <row r="32" spans="2:12" x14ac:dyDescent="0.25">
      <c r="E32">
        <v>30</v>
      </c>
      <c r="G32">
        <v>6800</v>
      </c>
      <c r="H32">
        <v>55</v>
      </c>
      <c r="I32">
        <v>94</v>
      </c>
      <c r="J32">
        <v>2820</v>
      </c>
      <c r="K32">
        <v>30</v>
      </c>
    </row>
    <row r="33" spans="2:30" x14ac:dyDescent="0.25">
      <c r="E33">
        <v>1000</v>
      </c>
      <c r="G33" t="s">
        <v>159</v>
      </c>
      <c r="H33">
        <v>60</v>
      </c>
      <c r="I33">
        <v>2.1</v>
      </c>
      <c r="J33">
        <v>2100</v>
      </c>
      <c r="K33">
        <v>1000</v>
      </c>
    </row>
    <row r="34" spans="2:30" x14ac:dyDescent="0.25">
      <c r="B34">
        <v>1705028586</v>
      </c>
      <c r="C34">
        <v>41220281</v>
      </c>
      <c r="D34" t="s">
        <v>729</v>
      </c>
      <c r="E34">
        <v>5000</v>
      </c>
      <c r="G34" t="s">
        <v>163</v>
      </c>
      <c r="H34">
        <v>36</v>
      </c>
      <c r="I34">
        <v>0.33</v>
      </c>
      <c r="J34">
        <v>1650</v>
      </c>
      <c r="K34">
        <v>5000</v>
      </c>
    </row>
    <row r="35" spans="2:30" x14ac:dyDescent="0.25">
      <c r="B35">
        <v>1705028584</v>
      </c>
      <c r="C35">
        <v>41219425</v>
      </c>
      <c r="D35" t="s">
        <v>802</v>
      </c>
      <c r="E35">
        <v>12000</v>
      </c>
      <c r="G35" t="s">
        <v>140</v>
      </c>
      <c r="H35">
        <v>37</v>
      </c>
      <c r="I35">
        <v>0.25</v>
      </c>
      <c r="J35">
        <v>3000</v>
      </c>
      <c r="K35">
        <v>12000</v>
      </c>
    </row>
    <row r="36" spans="2:30" x14ac:dyDescent="0.25">
      <c r="E36">
        <v>250</v>
      </c>
      <c r="G36" t="s">
        <v>172</v>
      </c>
      <c r="H36">
        <v>76</v>
      </c>
      <c r="I36">
        <v>0.51</v>
      </c>
      <c r="J36">
        <v>127.5</v>
      </c>
      <c r="K36">
        <v>250</v>
      </c>
    </row>
    <row r="37" spans="2:30" x14ac:dyDescent="0.25">
      <c r="E37">
        <v>120</v>
      </c>
      <c r="G37" t="s">
        <v>219</v>
      </c>
      <c r="H37">
        <v>125</v>
      </c>
      <c r="I37">
        <v>1.45</v>
      </c>
      <c r="J37">
        <v>174</v>
      </c>
      <c r="K37">
        <v>120</v>
      </c>
    </row>
    <row r="38" spans="2:30" x14ac:dyDescent="0.25">
      <c r="E38">
        <v>2</v>
      </c>
      <c r="G38">
        <v>81066</v>
      </c>
      <c r="H38">
        <v>147</v>
      </c>
      <c r="I38">
        <v>11.75</v>
      </c>
      <c r="J38">
        <v>23.5</v>
      </c>
      <c r="K38">
        <v>2</v>
      </c>
    </row>
    <row r="39" spans="2:30" x14ac:dyDescent="0.25">
      <c r="B39">
        <v>1705028584</v>
      </c>
      <c r="C39">
        <v>41218860</v>
      </c>
      <c r="D39" t="s">
        <v>803</v>
      </c>
      <c r="E39">
        <v>2</v>
      </c>
      <c r="G39" t="s">
        <v>200</v>
      </c>
      <c r="H39">
        <v>37</v>
      </c>
      <c r="I39">
        <v>0.87</v>
      </c>
      <c r="J39">
        <v>476.4</v>
      </c>
      <c r="K39">
        <v>547.58620689655174</v>
      </c>
      <c r="L39" t="s">
        <v>846</v>
      </c>
    </row>
    <row r="40" spans="2:30" x14ac:dyDescent="0.25">
      <c r="E40">
        <v>120</v>
      </c>
      <c r="G40">
        <v>6001</v>
      </c>
      <c r="H40">
        <v>75</v>
      </c>
      <c r="I40">
        <v>3.97</v>
      </c>
    </row>
    <row r="41" spans="2:30" x14ac:dyDescent="0.25">
      <c r="B41">
        <v>1705028584</v>
      </c>
      <c r="C41">
        <v>41219252</v>
      </c>
      <c r="D41" t="s">
        <v>804</v>
      </c>
      <c r="E41">
        <v>1000</v>
      </c>
      <c r="G41" t="s">
        <v>197</v>
      </c>
      <c r="H41">
        <v>76</v>
      </c>
      <c r="I41">
        <v>0.15</v>
      </c>
      <c r="J41">
        <v>150</v>
      </c>
      <c r="K41">
        <v>1000</v>
      </c>
    </row>
    <row r="42" spans="2:30" x14ac:dyDescent="0.25">
      <c r="E42">
        <v>2500</v>
      </c>
      <c r="G42" t="s">
        <v>163</v>
      </c>
      <c r="H42">
        <v>103</v>
      </c>
      <c r="I42">
        <v>0.33</v>
      </c>
      <c r="J42">
        <v>825</v>
      </c>
      <c r="K42">
        <v>2500</v>
      </c>
    </row>
    <row r="43" spans="2:30" x14ac:dyDescent="0.25">
      <c r="B43">
        <v>1705028584</v>
      </c>
      <c r="C43">
        <v>41219949</v>
      </c>
      <c r="D43" t="s">
        <v>805</v>
      </c>
      <c r="E43">
        <v>240</v>
      </c>
      <c r="G43" t="s">
        <v>181</v>
      </c>
      <c r="H43">
        <v>139</v>
      </c>
      <c r="I43">
        <v>0.56000000000000005</v>
      </c>
      <c r="J43">
        <v>134.4</v>
      </c>
      <c r="K43">
        <v>240</v>
      </c>
    </row>
    <row r="44" spans="2:30" x14ac:dyDescent="0.25">
      <c r="E44">
        <v>50</v>
      </c>
      <c r="G44">
        <v>6885</v>
      </c>
      <c r="H44">
        <v>162</v>
      </c>
      <c r="I44">
        <v>1.78</v>
      </c>
      <c r="J44">
        <v>89</v>
      </c>
      <c r="K44">
        <v>50</v>
      </c>
    </row>
    <row r="45" spans="2:30" x14ac:dyDescent="0.25">
      <c r="D45" s="40"/>
      <c r="E45">
        <v>10</v>
      </c>
      <c r="G45">
        <v>6800</v>
      </c>
      <c r="H45">
        <v>184</v>
      </c>
      <c r="I45">
        <v>94</v>
      </c>
      <c r="J45">
        <v>940</v>
      </c>
      <c r="K45">
        <v>10</v>
      </c>
      <c r="AD45">
        <v>32</v>
      </c>
    </row>
    <row r="46" spans="2:30" x14ac:dyDescent="0.25">
      <c r="B46">
        <v>1705028584</v>
      </c>
      <c r="C46">
        <v>41218896</v>
      </c>
      <c r="D46" t="s">
        <v>806</v>
      </c>
      <c r="E46">
        <v>3700</v>
      </c>
      <c r="G46" t="s">
        <v>138</v>
      </c>
      <c r="H46">
        <v>55</v>
      </c>
      <c r="I46">
        <v>0.25</v>
      </c>
      <c r="J46">
        <v>925</v>
      </c>
      <c r="K46">
        <v>3700</v>
      </c>
    </row>
    <row r="47" spans="2:30" x14ac:dyDescent="0.25">
      <c r="E47">
        <v>6</v>
      </c>
      <c r="G47">
        <v>6200</v>
      </c>
      <c r="H47">
        <v>145</v>
      </c>
      <c r="I47">
        <v>8.82</v>
      </c>
      <c r="J47">
        <v>52.92</v>
      </c>
      <c r="K47">
        <v>6</v>
      </c>
    </row>
    <row r="48" spans="2:30" x14ac:dyDescent="0.25">
      <c r="B48">
        <v>1705028584</v>
      </c>
      <c r="C48">
        <v>41219694</v>
      </c>
      <c r="D48" t="s">
        <v>807</v>
      </c>
      <c r="E48">
        <v>175</v>
      </c>
      <c r="G48" t="s">
        <v>150</v>
      </c>
      <c r="H48">
        <v>70</v>
      </c>
      <c r="I48">
        <v>3.4</v>
      </c>
      <c r="J48">
        <v>595</v>
      </c>
      <c r="K48">
        <v>175</v>
      </c>
    </row>
    <row r="49" spans="1:12" x14ac:dyDescent="0.25">
      <c r="E49">
        <v>4</v>
      </c>
      <c r="G49" t="s">
        <v>148</v>
      </c>
      <c r="H49">
        <v>138</v>
      </c>
      <c r="I49">
        <v>3.4</v>
      </c>
      <c r="J49">
        <v>13.6</v>
      </c>
      <c r="K49">
        <v>4</v>
      </c>
    </row>
    <row r="50" spans="1:12" x14ac:dyDescent="0.25">
      <c r="B50">
        <v>1705028584</v>
      </c>
      <c r="C50">
        <v>41217314</v>
      </c>
      <c r="D50" t="s">
        <v>808</v>
      </c>
      <c r="E50">
        <v>144</v>
      </c>
      <c r="G50" t="s">
        <v>157</v>
      </c>
      <c r="H50">
        <v>54</v>
      </c>
      <c r="I50">
        <v>1.7</v>
      </c>
      <c r="J50">
        <v>244.8</v>
      </c>
      <c r="K50">
        <v>144</v>
      </c>
    </row>
    <row r="51" spans="1:12" x14ac:dyDescent="0.25">
      <c r="B51">
        <v>1705028584</v>
      </c>
      <c r="C51">
        <v>41219951</v>
      </c>
      <c r="D51" t="s">
        <v>809</v>
      </c>
      <c r="E51">
        <v>10</v>
      </c>
      <c r="G51" t="s">
        <v>175</v>
      </c>
      <c r="H51">
        <v>44</v>
      </c>
      <c r="I51">
        <v>1.3</v>
      </c>
      <c r="J51">
        <v>13</v>
      </c>
      <c r="K51">
        <v>10</v>
      </c>
    </row>
    <row r="52" spans="1:12" x14ac:dyDescent="0.25">
      <c r="E52">
        <v>200</v>
      </c>
      <c r="G52" t="s">
        <v>170</v>
      </c>
      <c r="H52">
        <v>141</v>
      </c>
      <c r="I52">
        <v>20.99</v>
      </c>
      <c r="J52">
        <v>4198</v>
      </c>
      <c r="K52">
        <v>200.00000000000003</v>
      </c>
      <c r="L52" t="s">
        <v>846</v>
      </c>
    </row>
    <row r="53" spans="1:12" x14ac:dyDescent="0.25">
      <c r="B53">
        <v>1705028584</v>
      </c>
      <c r="C53">
        <v>41217777</v>
      </c>
      <c r="D53" t="s">
        <v>810</v>
      </c>
      <c r="E53">
        <v>10000</v>
      </c>
      <c r="G53" t="s">
        <v>124</v>
      </c>
      <c r="H53">
        <v>32</v>
      </c>
      <c r="I53">
        <v>0.27</v>
      </c>
      <c r="J53">
        <v>2700</v>
      </c>
      <c r="K53">
        <v>10000</v>
      </c>
    </row>
    <row r="54" spans="1:12" x14ac:dyDescent="0.25">
      <c r="E54">
        <v>2</v>
      </c>
    </row>
    <row r="55" spans="1:12" x14ac:dyDescent="0.25">
      <c r="B55">
        <v>1705028584</v>
      </c>
      <c r="C55">
        <v>41220015</v>
      </c>
      <c r="D55" t="s">
        <v>811</v>
      </c>
      <c r="E55">
        <v>12000</v>
      </c>
      <c r="G55" t="s">
        <v>120</v>
      </c>
      <c r="H55">
        <v>61</v>
      </c>
      <c r="I55">
        <v>0.25</v>
      </c>
      <c r="J55">
        <v>0.25</v>
      </c>
      <c r="K55">
        <v>1</v>
      </c>
      <c r="L55" t="s">
        <v>846</v>
      </c>
    </row>
    <row r="56" spans="1:12" x14ac:dyDescent="0.25">
      <c r="E56">
        <v>500</v>
      </c>
      <c r="G56" t="s">
        <v>132</v>
      </c>
      <c r="H56">
        <v>125</v>
      </c>
      <c r="I56">
        <v>0.67</v>
      </c>
      <c r="J56">
        <v>3000</v>
      </c>
      <c r="K56">
        <v>4477.6119402985069</v>
      </c>
      <c r="L56" t="s">
        <v>846</v>
      </c>
    </row>
    <row r="57" spans="1:12" x14ac:dyDescent="0.25">
      <c r="B57">
        <v>1705028584</v>
      </c>
      <c r="C57">
        <v>41217485</v>
      </c>
      <c r="D57" t="s">
        <v>812</v>
      </c>
      <c r="E57">
        <v>130</v>
      </c>
      <c r="G57" t="s">
        <v>168</v>
      </c>
      <c r="H57">
        <v>54</v>
      </c>
      <c r="I57">
        <v>18</v>
      </c>
      <c r="J57">
        <v>2340</v>
      </c>
      <c r="K57">
        <v>130</v>
      </c>
      <c r="L57" t="s">
        <v>846</v>
      </c>
    </row>
    <row r="58" spans="1:12" x14ac:dyDescent="0.25">
      <c r="B58">
        <v>1705028586</v>
      </c>
      <c r="C58">
        <v>41219432</v>
      </c>
      <c r="D58" t="s">
        <v>773</v>
      </c>
      <c r="E58">
        <v>1600</v>
      </c>
      <c r="G58" t="s">
        <v>188</v>
      </c>
      <c r="H58">
        <v>37</v>
      </c>
      <c r="I58">
        <v>0.25</v>
      </c>
      <c r="J58">
        <v>400</v>
      </c>
      <c r="K58">
        <v>1600</v>
      </c>
      <c r="L58" t="s">
        <v>846</v>
      </c>
    </row>
    <row r="59" spans="1:12" x14ac:dyDescent="0.25">
      <c r="E59">
        <v>600</v>
      </c>
      <c r="G59" t="s">
        <v>124</v>
      </c>
      <c r="H59">
        <v>108</v>
      </c>
      <c r="I59">
        <v>0.25</v>
      </c>
      <c r="J59">
        <v>150</v>
      </c>
      <c r="K59">
        <v>600</v>
      </c>
    </row>
    <row r="60" spans="1:12" x14ac:dyDescent="0.25">
      <c r="A60" t="s">
        <v>703</v>
      </c>
      <c r="B60">
        <v>1705028586</v>
      </c>
      <c r="C60">
        <v>41220183</v>
      </c>
      <c r="D60" t="s">
        <v>774</v>
      </c>
      <c r="E60">
        <v>2000</v>
      </c>
      <c r="G60" t="s">
        <v>120</v>
      </c>
      <c r="H60">
        <v>47</v>
      </c>
      <c r="I60">
        <v>0.25</v>
      </c>
      <c r="J60">
        <v>500</v>
      </c>
      <c r="K60">
        <v>2000</v>
      </c>
    </row>
    <row r="61" spans="1:12" x14ac:dyDescent="0.25">
      <c r="A61" t="s">
        <v>703</v>
      </c>
      <c r="B61">
        <v>1705028586</v>
      </c>
      <c r="C61">
        <v>41220183</v>
      </c>
      <c r="D61" t="s">
        <v>782</v>
      </c>
      <c r="E61">
        <v>2000</v>
      </c>
      <c r="G61" t="s">
        <v>120</v>
      </c>
      <c r="H61">
        <v>58</v>
      </c>
      <c r="I61">
        <v>0.25</v>
      </c>
      <c r="J61">
        <v>500</v>
      </c>
      <c r="K61">
        <v>2000</v>
      </c>
    </row>
    <row r="62" spans="1:12" x14ac:dyDescent="0.25">
      <c r="B62">
        <v>1705028586</v>
      </c>
      <c r="C62">
        <v>41220281</v>
      </c>
      <c r="D62" t="s">
        <v>783</v>
      </c>
      <c r="E62">
        <v>5000</v>
      </c>
      <c r="G62" t="s">
        <v>163</v>
      </c>
      <c r="H62">
        <v>53</v>
      </c>
      <c r="I62">
        <v>0.33</v>
      </c>
      <c r="J62">
        <v>1650</v>
      </c>
      <c r="K62">
        <v>5000</v>
      </c>
    </row>
    <row r="63" spans="1:12" x14ac:dyDescent="0.25">
      <c r="E63">
        <v>10</v>
      </c>
      <c r="I63">
        <v>0.87</v>
      </c>
      <c r="J63">
        <v>8.6999999999999993</v>
      </c>
      <c r="K63">
        <v>10</v>
      </c>
    </row>
    <row r="64" spans="1:12" x14ac:dyDescent="0.25">
      <c r="B64">
        <v>1705028586</v>
      </c>
      <c r="C64">
        <v>41220289</v>
      </c>
      <c r="D64" t="s">
        <v>784</v>
      </c>
      <c r="E64">
        <v>30</v>
      </c>
      <c r="G64">
        <v>6800</v>
      </c>
      <c r="H64">
        <v>78</v>
      </c>
      <c r="I64">
        <v>94</v>
      </c>
      <c r="J64">
        <v>2820</v>
      </c>
      <c r="K64">
        <v>30</v>
      </c>
    </row>
    <row r="65" spans="1:11" x14ac:dyDescent="0.25">
      <c r="A65" t="s">
        <v>703</v>
      </c>
      <c r="B65">
        <v>1705028586</v>
      </c>
      <c r="C65">
        <v>41220183</v>
      </c>
      <c r="D65" t="s">
        <v>847</v>
      </c>
      <c r="E65">
        <v>2000</v>
      </c>
      <c r="G65" t="s">
        <v>120</v>
      </c>
      <c r="H65">
        <v>58</v>
      </c>
      <c r="I65">
        <v>0.25</v>
      </c>
      <c r="J65">
        <v>500</v>
      </c>
      <c r="K65">
        <v>2000</v>
      </c>
    </row>
    <row r="66" spans="1:11" x14ac:dyDescent="0.25">
      <c r="B66">
        <v>1705028586</v>
      </c>
      <c r="C66">
        <v>41219002</v>
      </c>
      <c r="D66" t="s">
        <v>848</v>
      </c>
      <c r="E66">
        <v>200</v>
      </c>
      <c r="G66" t="s">
        <v>184</v>
      </c>
      <c r="H66">
        <v>79</v>
      </c>
      <c r="I66">
        <v>3.8</v>
      </c>
      <c r="J66">
        <v>760</v>
      </c>
      <c r="K66">
        <v>200</v>
      </c>
    </row>
    <row r="67" spans="1:11" x14ac:dyDescent="0.25">
      <c r="B67">
        <v>1705028586</v>
      </c>
      <c r="C67">
        <v>41219432</v>
      </c>
      <c r="D67" t="s">
        <v>849</v>
      </c>
      <c r="E67">
        <v>1600</v>
      </c>
      <c r="G67" t="s">
        <v>188</v>
      </c>
      <c r="H67">
        <v>37</v>
      </c>
      <c r="I67">
        <v>0.25</v>
      </c>
      <c r="J67">
        <v>400</v>
      </c>
      <c r="K67">
        <v>1600</v>
      </c>
    </row>
    <row r="68" spans="1:11" x14ac:dyDescent="0.25">
      <c r="B68">
        <v>11705028586</v>
      </c>
      <c r="C68">
        <v>41220281</v>
      </c>
      <c r="D68" t="s">
        <v>850</v>
      </c>
      <c r="E68">
        <v>5000</v>
      </c>
      <c r="G68" t="s">
        <v>163</v>
      </c>
      <c r="H68">
        <v>54</v>
      </c>
      <c r="I68">
        <v>0.33</v>
      </c>
      <c r="J68">
        <v>1650</v>
      </c>
      <c r="K68">
        <v>5000</v>
      </c>
    </row>
    <row r="69" spans="1:11" x14ac:dyDescent="0.25">
      <c r="E69">
        <v>10</v>
      </c>
      <c r="I69">
        <v>0.87</v>
      </c>
      <c r="J69">
        <v>8.6999999999999993</v>
      </c>
      <c r="K69">
        <v>10</v>
      </c>
    </row>
    <row r="70" spans="1:11" x14ac:dyDescent="0.25">
      <c r="E70">
        <v>1000</v>
      </c>
      <c r="I70">
        <v>3.4</v>
      </c>
      <c r="J70">
        <v>3400</v>
      </c>
      <c r="K70">
        <v>1000</v>
      </c>
    </row>
    <row r="71" spans="1:11" x14ac:dyDescent="0.25">
      <c r="B71">
        <v>1705028586</v>
      </c>
      <c r="C71">
        <v>41217317</v>
      </c>
      <c r="D71" t="s">
        <v>851</v>
      </c>
      <c r="E71">
        <v>2</v>
      </c>
      <c r="G71" t="s">
        <v>243</v>
      </c>
      <c r="H71">
        <v>52</v>
      </c>
      <c r="I71">
        <v>13.99</v>
      </c>
      <c r="J71">
        <v>27.98</v>
      </c>
      <c r="K71">
        <v>2</v>
      </c>
    </row>
    <row r="72" spans="1:11" x14ac:dyDescent="0.25">
      <c r="E72">
        <v>14</v>
      </c>
      <c r="G72" t="s">
        <v>244</v>
      </c>
      <c r="H72">
        <v>109</v>
      </c>
      <c r="I72">
        <v>13.99</v>
      </c>
      <c r="J72">
        <v>195.86</v>
      </c>
      <c r="K72">
        <v>14</v>
      </c>
    </row>
    <row r="73" spans="1:11" x14ac:dyDescent="0.25">
      <c r="E73">
        <v>5</v>
      </c>
      <c r="G73" t="s">
        <v>377</v>
      </c>
      <c r="H73">
        <v>168</v>
      </c>
      <c r="I73">
        <v>13.99</v>
      </c>
      <c r="J73">
        <v>69.95</v>
      </c>
      <c r="K73">
        <v>5</v>
      </c>
    </row>
    <row r="74" spans="1:11" x14ac:dyDescent="0.25">
      <c r="E74">
        <v>24</v>
      </c>
      <c r="G74" t="s">
        <v>245</v>
      </c>
      <c r="H74">
        <v>211</v>
      </c>
      <c r="I74">
        <v>13.99</v>
      </c>
      <c r="J74">
        <v>335.76</v>
      </c>
      <c r="K74">
        <v>24</v>
      </c>
    </row>
    <row r="75" spans="1:11" x14ac:dyDescent="0.25">
      <c r="E75">
        <v>40</v>
      </c>
      <c r="G75" t="s">
        <v>234</v>
      </c>
      <c r="H75">
        <v>289</v>
      </c>
      <c r="I75">
        <v>13.99</v>
      </c>
      <c r="J75">
        <v>559.6</v>
      </c>
      <c r="K75">
        <v>40</v>
      </c>
    </row>
    <row r="76" spans="1:11" x14ac:dyDescent="0.25">
      <c r="E76">
        <v>36</v>
      </c>
      <c r="G76" t="s">
        <v>415</v>
      </c>
      <c r="H76">
        <v>349</v>
      </c>
      <c r="I76">
        <v>13.99</v>
      </c>
      <c r="J76">
        <v>503.64</v>
      </c>
      <c r="K76">
        <v>36</v>
      </c>
    </row>
    <row r="77" spans="1:11" x14ac:dyDescent="0.25">
      <c r="B77">
        <v>1705028584</v>
      </c>
      <c r="C77">
        <v>41219425</v>
      </c>
      <c r="D77" t="s">
        <v>852</v>
      </c>
      <c r="E77">
        <v>10000</v>
      </c>
      <c r="G77" t="s">
        <v>140</v>
      </c>
      <c r="H77">
        <v>38</v>
      </c>
      <c r="I77">
        <v>0.25</v>
      </c>
      <c r="J77">
        <v>2500</v>
      </c>
      <c r="K77">
        <v>10000</v>
      </c>
    </row>
    <row r="78" spans="1:11" x14ac:dyDescent="0.25">
      <c r="E78">
        <v>240</v>
      </c>
      <c r="G78" t="s">
        <v>172</v>
      </c>
      <c r="H78">
        <v>126</v>
      </c>
      <c r="I78">
        <v>0.51</v>
      </c>
      <c r="J78">
        <v>122.4</v>
      </c>
      <c r="K78">
        <v>240</v>
      </c>
    </row>
    <row r="79" spans="1:11" x14ac:dyDescent="0.25">
      <c r="E79">
        <v>120</v>
      </c>
      <c r="G79">
        <v>81066</v>
      </c>
      <c r="H79">
        <v>201</v>
      </c>
      <c r="I79">
        <v>1.45</v>
      </c>
      <c r="J79">
        <v>174</v>
      </c>
      <c r="K79">
        <v>120</v>
      </c>
    </row>
    <row r="80" spans="1:11" x14ac:dyDescent="0.25">
      <c r="E80">
        <v>2</v>
      </c>
      <c r="G80" t="s">
        <v>219</v>
      </c>
      <c r="H80">
        <v>241</v>
      </c>
      <c r="I80">
        <v>11.75</v>
      </c>
      <c r="J80">
        <v>23.5</v>
      </c>
      <c r="K80">
        <v>2</v>
      </c>
    </row>
    <row r="81" spans="1:12" x14ac:dyDescent="0.25">
      <c r="B81">
        <v>1705028584</v>
      </c>
      <c r="C81">
        <v>41218860</v>
      </c>
      <c r="D81" t="s">
        <v>853</v>
      </c>
      <c r="E81">
        <v>2</v>
      </c>
      <c r="G81" t="s">
        <v>200</v>
      </c>
      <c r="H81">
        <v>37</v>
      </c>
      <c r="I81">
        <v>0.87</v>
      </c>
      <c r="J81">
        <v>1.74</v>
      </c>
      <c r="K81">
        <v>2</v>
      </c>
    </row>
    <row r="82" spans="1:12" x14ac:dyDescent="0.25">
      <c r="E82">
        <v>120</v>
      </c>
      <c r="G82">
        <v>501</v>
      </c>
      <c r="H82">
        <v>76</v>
      </c>
      <c r="I82">
        <v>1.3</v>
      </c>
      <c r="J82">
        <v>156</v>
      </c>
      <c r="K82">
        <v>120</v>
      </c>
    </row>
    <row r="83" spans="1:12" x14ac:dyDescent="0.25">
      <c r="E83">
        <v>120</v>
      </c>
      <c r="G83">
        <v>6001</v>
      </c>
      <c r="H83">
        <v>96</v>
      </c>
      <c r="I83">
        <v>3.97</v>
      </c>
      <c r="J83">
        <v>476.4</v>
      </c>
      <c r="K83">
        <v>119.99999999999999</v>
      </c>
      <c r="L83" t="s">
        <v>846</v>
      </c>
    </row>
    <row r="84" spans="1:12" x14ac:dyDescent="0.25">
      <c r="B84">
        <v>1705028584</v>
      </c>
      <c r="C84">
        <v>41219949</v>
      </c>
      <c r="D84" t="s">
        <v>854</v>
      </c>
      <c r="E84">
        <v>300</v>
      </c>
      <c r="G84" t="s">
        <v>181</v>
      </c>
      <c r="H84">
        <v>102</v>
      </c>
      <c r="I84">
        <v>0.56000000000000005</v>
      </c>
      <c r="J84">
        <v>168</v>
      </c>
      <c r="K84">
        <v>299.99999999999994</v>
      </c>
      <c r="L84" t="s">
        <v>846</v>
      </c>
    </row>
    <row r="85" spans="1:12" x14ac:dyDescent="0.25">
      <c r="E85">
        <v>20</v>
      </c>
      <c r="G85">
        <v>6885</v>
      </c>
      <c r="H85">
        <v>125</v>
      </c>
      <c r="I85">
        <v>1.78</v>
      </c>
      <c r="J85">
        <v>35.6</v>
      </c>
      <c r="K85">
        <v>20</v>
      </c>
    </row>
    <row r="86" spans="1:12" x14ac:dyDescent="0.25">
      <c r="E86">
        <v>15</v>
      </c>
      <c r="G86">
        <v>6800</v>
      </c>
      <c r="H86">
        <v>147</v>
      </c>
      <c r="I86">
        <v>94</v>
      </c>
      <c r="J86">
        <v>1410</v>
      </c>
      <c r="K86">
        <v>15</v>
      </c>
    </row>
    <row r="87" spans="1:12" x14ac:dyDescent="0.25">
      <c r="E87">
        <v>1</v>
      </c>
    </row>
    <row r="88" spans="1:12" x14ac:dyDescent="0.25">
      <c r="B88">
        <v>1705028584</v>
      </c>
      <c r="C88">
        <v>41218896</v>
      </c>
      <c r="D88" t="s">
        <v>855</v>
      </c>
      <c r="E88">
        <v>3</v>
      </c>
      <c r="G88">
        <v>6200</v>
      </c>
      <c r="H88">
        <v>79</v>
      </c>
      <c r="I88">
        <v>8.82</v>
      </c>
      <c r="J88">
        <v>26.46</v>
      </c>
      <c r="K88">
        <v>3</v>
      </c>
    </row>
    <row r="89" spans="1:12" x14ac:dyDescent="0.25">
      <c r="B89">
        <v>1705028584</v>
      </c>
      <c r="C89">
        <v>41220345</v>
      </c>
      <c r="D89" t="s">
        <v>856</v>
      </c>
      <c r="E89">
        <v>170</v>
      </c>
      <c r="G89" t="s">
        <v>145</v>
      </c>
      <c r="H89">
        <v>97</v>
      </c>
      <c r="I89">
        <v>3.4</v>
      </c>
      <c r="J89">
        <v>578</v>
      </c>
      <c r="K89">
        <v>170</v>
      </c>
    </row>
    <row r="90" spans="1:12" x14ac:dyDescent="0.25">
      <c r="A90" t="s">
        <v>703</v>
      </c>
      <c r="E90">
        <v>170</v>
      </c>
      <c r="G90" t="s">
        <v>148</v>
      </c>
      <c r="H90">
        <v>131</v>
      </c>
      <c r="I90">
        <v>3.4</v>
      </c>
      <c r="J90">
        <v>578</v>
      </c>
      <c r="K90">
        <v>170</v>
      </c>
    </row>
    <row r="91" spans="1:12" x14ac:dyDescent="0.25">
      <c r="B91">
        <v>1705028584</v>
      </c>
      <c r="C91">
        <v>41217314</v>
      </c>
      <c r="D91" t="s">
        <v>857</v>
      </c>
      <c r="E91">
        <v>144</v>
      </c>
      <c r="G91" t="s">
        <v>157</v>
      </c>
      <c r="H91">
        <v>54</v>
      </c>
      <c r="I91">
        <v>1.7</v>
      </c>
      <c r="J91">
        <v>244.8</v>
      </c>
      <c r="K91">
        <v>144</v>
      </c>
    </row>
    <row r="92" spans="1:12" x14ac:dyDescent="0.25">
      <c r="B92">
        <v>11101705028584</v>
      </c>
      <c r="C92">
        <v>41219951</v>
      </c>
      <c r="D92" t="s">
        <v>858</v>
      </c>
      <c r="E92">
        <v>14</v>
      </c>
      <c r="G92" t="s">
        <v>175</v>
      </c>
      <c r="H92">
        <v>36</v>
      </c>
      <c r="I92">
        <v>1.3</v>
      </c>
      <c r="J92">
        <v>18.2</v>
      </c>
      <c r="K92">
        <v>13.999999999999998</v>
      </c>
      <c r="L92" t="s">
        <v>846</v>
      </c>
    </row>
    <row r="93" spans="1:12" x14ac:dyDescent="0.25">
      <c r="E93">
        <v>200</v>
      </c>
      <c r="G93" t="s">
        <v>170</v>
      </c>
      <c r="H93">
        <v>151</v>
      </c>
      <c r="I93">
        <v>20.99</v>
      </c>
      <c r="J93">
        <v>4198</v>
      </c>
      <c r="K93">
        <v>200.00000000000003</v>
      </c>
      <c r="L93" t="s">
        <v>846</v>
      </c>
    </row>
    <row r="94" spans="1:12" x14ac:dyDescent="0.25">
      <c r="B94">
        <v>1705028584</v>
      </c>
      <c r="C94">
        <v>41219252</v>
      </c>
      <c r="D94" t="s">
        <v>859</v>
      </c>
      <c r="E94">
        <v>2000</v>
      </c>
      <c r="G94" t="s">
        <v>197</v>
      </c>
      <c r="H94">
        <v>79</v>
      </c>
      <c r="I94">
        <v>0.15</v>
      </c>
      <c r="J94">
        <v>300</v>
      </c>
      <c r="K94">
        <v>2000</v>
      </c>
    </row>
    <row r="95" spans="1:12" x14ac:dyDescent="0.25">
      <c r="B95">
        <v>1705028584</v>
      </c>
      <c r="C95">
        <v>41220015</v>
      </c>
      <c r="D95" t="s">
        <v>860</v>
      </c>
      <c r="E95">
        <v>15000</v>
      </c>
      <c r="G95" t="s">
        <v>120</v>
      </c>
      <c r="H95">
        <v>70</v>
      </c>
      <c r="I95">
        <v>0.25</v>
      </c>
      <c r="J95">
        <v>3750</v>
      </c>
      <c r="K95">
        <v>15000</v>
      </c>
    </row>
    <row r="96" spans="1:12" x14ac:dyDescent="0.25">
      <c r="B96">
        <v>1705028584</v>
      </c>
      <c r="C96">
        <v>41220347</v>
      </c>
      <c r="D96" t="s">
        <v>861</v>
      </c>
      <c r="E96">
        <v>1000</v>
      </c>
      <c r="G96" t="s">
        <v>138</v>
      </c>
      <c r="H96">
        <v>38</v>
      </c>
      <c r="I96">
        <v>0.25</v>
      </c>
      <c r="J96">
        <v>250</v>
      </c>
      <c r="K96">
        <v>1000</v>
      </c>
    </row>
    <row r="97" spans="1:12" x14ac:dyDescent="0.25">
      <c r="E97">
        <v>500</v>
      </c>
      <c r="G97" t="s">
        <v>132</v>
      </c>
      <c r="H97">
        <v>64</v>
      </c>
      <c r="I97">
        <v>0.67</v>
      </c>
      <c r="J97">
        <v>335</v>
      </c>
      <c r="K97">
        <v>499.99999999999994</v>
      </c>
      <c r="L97" t="s">
        <v>846</v>
      </c>
    </row>
    <row r="98" spans="1:12" x14ac:dyDescent="0.25">
      <c r="A98" t="s">
        <v>703</v>
      </c>
      <c r="E98">
        <v>100</v>
      </c>
      <c r="G98" t="s">
        <v>168</v>
      </c>
      <c r="H98">
        <v>220</v>
      </c>
      <c r="I98">
        <v>18</v>
      </c>
      <c r="J98">
        <v>1800</v>
      </c>
      <c r="K98">
        <v>100</v>
      </c>
    </row>
    <row r="99" spans="1:12" x14ac:dyDescent="0.25">
      <c r="B99">
        <v>1705028584</v>
      </c>
      <c r="C99">
        <v>41217485</v>
      </c>
      <c r="D99" t="s">
        <v>862</v>
      </c>
      <c r="E99">
        <v>100</v>
      </c>
      <c r="G99" t="s">
        <v>168</v>
      </c>
      <c r="H99">
        <v>50</v>
      </c>
      <c r="I99">
        <v>18</v>
      </c>
      <c r="J99">
        <v>1800</v>
      </c>
      <c r="K99">
        <v>100</v>
      </c>
    </row>
    <row r="100" spans="1:12" x14ac:dyDescent="0.25">
      <c r="E100">
        <v>1</v>
      </c>
    </row>
    <row r="101" spans="1:12" x14ac:dyDescent="0.25">
      <c r="B101">
        <v>1705028584</v>
      </c>
      <c r="C101">
        <v>41217700</v>
      </c>
      <c r="D101" t="s">
        <v>863</v>
      </c>
      <c r="E101">
        <v>200</v>
      </c>
      <c r="G101" t="s">
        <v>142</v>
      </c>
      <c r="H101">
        <v>54</v>
      </c>
      <c r="I101">
        <v>0.25</v>
      </c>
      <c r="J101">
        <v>50</v>
      </c>
      <c r="K101">
        <v>200</v>
      </c>
    </row>
    <row r="102" spans="1:12" x14ac:dyDescent="0.25">
      <c r="B102">
        <v>1705028586</v>
      </c>
      <c r="C102">
        <v>41220281</v>
      </c>
      <c r="D102" t="s">
        <v>864</v>
      </c>
      <c r="E102">
        <v>10</v>
      </c>
      <c r="G102" t="s">
        <v>200</v>
      </c>
      <c r="H102">
        <v>122</v>
      </c>
      <c r="I102">
        <v>0.87</v>
      </c>
      <c r="J102">
        <v>8.6999999999999993</v>
      </c>
      <c r="K102">
        <v>10</v>
      </c>
    </row>
    <row r="103" spans="1:12" x14ac:dyDescent="0.25">
      <c r="A103" t="s">
        <v>703</v>
      </c>
      <c r="E103">
        <v>600</v>
      </c>
      <c r="G103" t="s">
        <v>145</v>
      </c>
      <c r="H103">
        <v>153</v>
      </c>
      <c r="I103">
        <v>3.4</v>
      </c>
      <c r="J103">
        <v>2040</v>
      </c>
      <c r="K103">
        <v>600</v>
      </c>
    </row>
    <row r="104" spans="1:12" x14ac:dyDescent="0.25">
      <c r="B104">
        <v>1705028586</v>
      </c>
      <c r="C104">
        <v>41219002</v>
      </c>
      <c r="D104" t="s">
        <v>865</v>
      </c>
      <c r="E104">
        <v>200</v>
      </c>
      <c r="G104" t="s">
        <v>184</v>
      </c>
      <c r="H104">
        <v>80</v>
      </c>
      <c r="I104">
        <v>3.8</v>
      </c>
      <c r="J104">
        <v>760</v>
      </c>
      <c r="K104">
        <v>200</v>
      </c>
    </row>
    <row r="105" spans="1:12" x14ac:dyDescent="0.25">
      <c r="B105">
        <v>1705028586</v>
      </c>
      <c r="C105">
        <v>41219432</v>
      </c>
      <c r="D105" t="s">
        <v>866</v>
      </c>
      <c r="E105">
        <v>1600</v>
      </c>
      <c r="G105" t="s">
        <v>188</v>
      </c>
      <c r="H105">
        <v>76</v>
      </c>
      <c r="I105">
        <v>0.25</v>
      </c>
      <c r="J105">
        <v>400</v>
      </c>
      <c r="K105">
        <v>1600</v>
      </c>
    </row>
    <row r="106" spans="1:12" x14ac:dyDescent="0.25">
      <c r="B106">
        <v>1705028586</v>
      </c>
      <c r="C106">
        <v>41218317</v>
      </c>
      <c r="D106" t="s">
        <v>867</v>
      </c>
      <c r="E106">
        <v>200</v>
      </c>
      <c r="G106" t="s">
        <v>130</v>
      </c>
      <c r="H106">
        <v>88</v>
      </c>
      <c r="I106">
        <v>0.35</v>
      </c>
      <c r="J106">
        <v>70</v>
      </c>
      <c r="K106">
        <v>200</v>
      </c>
    </row>
    <row r="107" spans="1:12" x14ac:dyDescent="0.25">
      <c r="E107">
        <v>800</v>
      </c>
      <c r="G107" t="s">
        <v>134</v>
      </c>
      <c r="H107">
        <v>126</v>
      </c>
      <c r="I107">
        <v>0.35</v>
      </c>
      <c r="J107">
        <v>280</v>
      </c>
      <c r="K107">
        <v>800</v>
      </c>
    </row>
    <row r="108" spans="1:12" x14ac:dyDescent="0.25">
      <c r="B108">
        <v>1705028586</v>
      </c>
      <c r="C108">
        <v>41218317</v>
      </c>
      <c r="D108" t="s">
        <v>868</v>
      </c>
      <c r="E108">
        <v>3400</v>
      </c>
      <c r="G108" t="s">
        <v>130</v>
      </c>
      <c r="H108">
        <v>55</v>
      </c>
      <c r="I108">
        <v>0.35</v>
      </c>
      <c r="J108">
        <v>1190</v>
      </c>
      <c r="K108">
        <v>3400</v>
      </c>
    </row>
    <row r="109" spans="1:12" x14ac:dyDescent="0.25">
      <c r="B109">
        <v>1705028586</v>
      </c>
      <c r="C109">
        <v>41220289</v>
      </c>
      <c r="D109" t="s">
        <v>869</v>
      </c>
      <c r="E109">
        <v>1000</v>
      </c>
      <c r="G109" t="s">
        <v>159</v>
      </c>
      <c r="H109">
        <v>84</v>
      </c>
      <c r="I109">
        <v>2.1</v>
      </c>
      <c r="J109">
        <v>2100</v>
      </c>
      <c r="K109">
        <v>1000</v>
      </c>
    </row>
    <row r="110" spans="1:12" x14ac:dyDescent="0.25">
      <c r="A110" t="s">
        <v>703</v>
      </c>
      <c r="B110">
        <v>1705028586</v>
      </c>
      <c r="C110" t="s">
        <v>870</v>
      </c>
      <c r="D110" t="s">
        <v>871</v>
      </c>
      <c r="E110">
        <v>3000</v>
      </c>
      <c r="G110" t="s">
        <v>134</v>
      </c>
      <c r="H110">
        <v>45</v>
      </c>
      <c r="I110">
        <v>0.35</v>
      </c>
      <c r="J110">
        <v>1050</v>
      </c>
      <c r="K110">
        <v>3000</v>
      </c>
    </row>
    <row r="752" spans="13:13" x14ac:dyDescent="0.25">
      <c r="M752" t="s">
        <v>872</v>
      </c>
    </row>
    <row r="761" spans="13:13" x14ac:dyDescent="0.25">
      <c r="M761" t="s">
        <v>873</v>
      </c>
    </row>
    <row r="766" spans="13:13" x14ac:dyDescent="0.25">
      <c r="M766" t="s">
        <v>874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42E88-B062-499A-A90B-8D9CF7C5AF11}">
  <sheetPr codeName="Hoja7"/>
  <dimension ref="A1:H14"/>
  <sheetViews>
    <sheetView workbookViewId="0">
      <selection activeCell="C16" sqref="C16"/>
    </sheetView>
  </sheetViews>
  <sheetFormatPr baseColWidth="10" defaultRowHeight="15" x14ac:dyDescent="0.25"/>
  <cols>
    <col min="2" max="2" width="29" bestFit="1" customWidth="1"/>
    <col min="3" max="3" width="37.140625" bestFit="1" customWidth="1"/>
  </cols>
  <sheetData>
    <row r="1" spans="1:8" x14ac:dyDescent="0.25">
      <c r="A1" t="s">
        <v>81</v>
      </c>
      <c r="B1" t="s">
        <v>94</v>
      </c>
      <c r="C1" t="s">
        <v>95</v>
      </c>
      <c r="H1" t="s">
        <v>718</v>
      </c>
    </row>
    <row r="6" spans="1:8" x14ac:dyDescent="0.25">
      <c r="A6">
        <v>6</v>
      </c>
      <c r="B6">
        <v>41219432</v>
      </c>
      <c r="C6" t="s">
        <v>773</v>
      </c>
      <c r="D6">
        <v>600</v>
      </c>
      <c r="F6" t="s">
        <v>188</v>
      </c>
    </row>
    <row r="7" spans="1:8" x14ac:dyDescent="0.25">
      <c r="D7">
        <v>1600</v>
      </c>
      <c r="F7" t="s">
        <v>124</v>
      </c>
    </row>
    <row r="8" spans="1:8" x14ac:dyDescent="0.25">
      <c r="A8">
        <v>6</v>
      </c>
      <c r="B8">
        <v>41220183</v>
      </c>
      <c r="C8" t="s">
        <v>774</v>
      </c>
      <c r="D8">
        <v>2000</v>
      </c>
      <c r="F8" t="s">
        <v>120</v>
      </c>
    </row>
    <row r="14" spans="1:8" x14ac:dyDescent="0.25">
      <c r="C14" t="s">
        <v>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54066-C876-49AE-9058-BCF23063DCCB}">
  <sheetPr codeName="Hoja4"/>
  <dimension ref="A1:J4"/>
  <sheetViews>
    <sheetView workbookViewId="0">
      <selection activeCell="D14" sqref="D14"/>
    </sheetView>
  </sheetViews>
  <sheetFormatPr baseColWidth="10" defaultRowHeight="15" x14ac:dyDescent="0.25"/>
  <cols>
    <col min="5" max="6" width="3.140625" customWidth="1"/>
    <col min="7" max="7" width="11.28515625" customWidth="1"/>
    <col min="8" max="8" width="9" customWidth="1"/>
    <col min="9" max="9" width="10.140625" customWidth="1"/>
    <col min="10" max="10" width="99.5703125" bestFit="1" customWidth="1"/>
  </cols>
  <sheetData>
    <row r="1" spans="1:10" x14ac:dyDescent="0.25">
      <c r="A1" s="8" t="s">
        <v>20</v>
      </c>
      <c r="B1" s="8" t="s">
        <v>26</v>
      </c>
      <c r="C1" s="8" t="s">
        <v>26</v>
      </c>
      <c r="D1" s="8" t="s">
        <v>26</v>
      </c>
      <c r="E1" s="8"/>
      <c r="F1" s="8"/>
      <c r="G1" s="8" t="s">
        <v>23</v>
      </c>
      <c r="H1" s="8" t="s">
        <v>27</v>
      </c>
      <c r="I1" s="8" t="s">
        <v>41</v>
      </c>
      <c r="J1" s="8" t="s">
        <v>40</v>
      </c>
    </row>
    <row r="2" spans="1:10" x14ac:dyDescent="0.25">
      <c r="A2" s="8" t="s">
        <v>19</v>
      </c>
      <c r="B2" s="9" t="s">
        <v>25</v>
      </c>
      <c r="C2" s="9" t="s">
        <v>24</v>
      </c>
      <c r="D2" s="9"/>
      <c r="E2" s="1"/>
      <c r="F2" s="1"/>
      <c r="G2" s="1" t="s">
        <v>42</v>
      </c>
      <c r="H2" s="8" t="s">
        <v>27</v>
      </c>
      <c r="I2" s="1" t="s">
        <v>43</v>
      </c>
      <c r="J2" s="9"/>
    </row>
    <row r="3" spans="1:10" x14ac:dyDescent="0.25">
      <c r="A3" s="8" t="s">
        <v>21</v>
      </c>
      <c r="B3" s="9" t="s">
        <v>22</v>
      </c>
      <c r="C3" s="9" t="s">
        <v>29</v>
      </c>
      <c r="D3" s="9" t="s">
        <v>28</v>
      </c>
      <c r="E3" s="1"/>
      <c r="F3" s="1"/>
      <c r="G3" s="1" t="s">
        <v>30</v>
      </c>
      <c r="H3" s="8" t="s">
        <v>27</v>
      </c>
      <c r="I3" s="1"/>
      <c r="J3" s="9"/>
    </row>
    <row r="4" spans="1:10" x14ac:dyDescent="0.25">
      <c r="A4" s="1"/>
      <c r="B4" s="1"/>
      <c r="C4" s="1"/>
      <c r="D4" s="1"/>
      <c r="E4" s="1"/>
      <c r="F4" s="1"/>
      <c r="G4" s="1"/>
      <c r="H4" s="8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784D7-3219-4E36-A471-3B3F77D5706D}">
  <sheetPr codeName="Hoja5"/>
  <dimension ref="A1:K22"/>
  <sheetViews>
    <sheetView workbookViewId="0">
      <selection activeCell="J16" sqref="J16"/>
    </sheetView>
  </sheetViews>
  <sheetFormatPr baseColWidth="10" defaultRowHeight="15" x14ac:dyDescent="0.25"/>
  <cols>
    <col min="1" max="8" width="0.5703125" customWidth="1"/>
    <col min="9" max="9" width="42.140625" customWidth="1"/>
    <col min="10" max="10" width="99.5703125" bestFit="1" customWidth="1"/>
    <col min="11" max="11" width="25.28515625" bestFit="1" customWidth="1"/>
  </cols>
  <sheetData>
    <row r="1" spans="1:11" x14ac:dyDescent="0.25">
      <c r="A1" s="11"/>
      <c r="B1" s="11"/>
      <c r="C1" s="11"/>
      <c r="D1" s="11"/>
      <c r="E1" s="11"/>
      <c r="F1" s="11"/>
      <c r="G1" s="11"/>
      <c r="H1" s="11"/>
      <c r="I1" s="9" t="s">
        <v>45</v>
      </c>
      <c r="J1" s="9" t="s">
        <v>46</v>
      </c>
      <c r="K1" s="8"/>
    </row>
    <row r="2" spans="1:11" x14ac:dyDescent="0.25">
      <c r="A2" s="11"/>
      <c r="B2" s="11"/>
      <c r="C2" s="12"/>
      <c r="D2" s="11"/>
      <c r="E2" s="11"/>
      <c r="F2" s="11"/>
      <c r="G2" s="11"/>
      <c r="H2" s="11"/>
      <c r="I2" s="9" t="s">
        <v>38</v>
      </c>
      <c r="J2" s="9" t="s">
        <v>44</v>
      </c>
      <c r="K2" s="1"/>
    </row>
    <row r="3" spans="1:11" x14ac:dyDescent="0.25">
      <c r="A3" s="11"/>
      <c r="B3" s="11"/>
      <c r="C3" s="11"/>
      <c r="D3" s="11"/>
      <c r="E3" s="11"/>
      <c r="F3" s="11"/>
      <c r="G3" s="11"/>
      <c r="H3" s="11"/>
      <c r="I3" s="13" t="s">
        <v>37</v>
      </c>
    </row>
    <row r="4" spans="1:11" x14ac:dyDescent="0.25">
      <c r="A4" s="11"/>
      <c r="B4" s="11"/>
      <c r="C4" s="11"/>
      <c r="D4" s="11"/>
      <c r="E4" s="11"/>
      <c r="F4" s="11"/>
      <c r="G4" s="11"/>
      <c r="H4" s="11"/>
      <c r="I4" s="7" t="s">
        <v>39</v>
      </c>
    </row>
    <row r="5" spans="1:11" x14ac:dyDescent="0.25">
      <c r="A5" s="11"/>
      <c r="B5" s="11"/>
      <c r="C5" s="11"/>
      <c r="D5" s="11"/>
      <c r="E5" s="11"/>
      <c r="F5" s="11"/>
      <c r="G5" s="11"/>
      <c r="H5" s="11"/>
    </row>
    <row r="6" spans="1:11" x14ac:dyDescent="0.25">
      <c r="A6" s="11"/>
      <c r="B6" s="11"/>
      <c r="C6" s="11"/>
      <c r="D6" s="11"/>
      <c r="E6" s="11"/>
      <c r="F6" s="11"/>
      <c r="G6" s="11"/>
      <c r="H6" s="11"/>
    </row>
    <row r="7" spans="1:11" x14ac:dyDescent="0.25">
      <c r="A7" s="11"/>
      <c r="B7" s="11"/>
      <c r="C7" s="11"/>
      <c r="D7" s="11"/>
      <c r="E7" s="11"/>
      <c r="F7" s="11"/>
      <c r="G7" s="11"/>
      <c r="H7" s="11"/>
    </row>
    <row r="8" spans="1:11" x14ac:dyDescent="0.25">
      <c r="A8" s="11"/>
      <c r="B8" s="11"/>
      <c r="C8" s="11"/>
      <c r="D8" s="11"/>
      <c r="E8" s="11"/>
      <c r="F8" s="11"/>
      <c r="G8" s="11"/>
      <c r="H8" s="11"/>
    </row>
    <row r="9" spans="1:11" x14ac:dyDescent="0.25">
      <c r="A9" s="11"/>
      <c r="B9" s="11"/>
      <c r="C9" s="11"/>
      <c r="D9" s="11"/>
      <c r="E9" s="11"/>
      <c r="F9" s="11"/>
      <c r="G9" s="11"/>
      <c r="H9" s="11"/>
    </row>
    <row r="10" spans="1:11" x14ac:dyDescent="0.25">
      <c r="A10" s="11"/>
      <c r="B10" s="11"/>
      <c r="C10" s="11"/>
      <c r="D10" s="11"/>
      <c r="E10" s="11"/>
      <c r="F10" s="11"/>
      <c r="G10" s="11"/>
      <c r="H10" s="11"/>
    </row>
    <row r="11" spans="1:11" x14ac:dyDescent="0.25">
      <c r="A11" s="11"/>
      <c r="B11" s="11"/>
      <c r="C11" s="11"/>
      <c r="D11" s="11"/>
      <c r="E11" s="11"/>
      <c r="F11" s="11"/>
      <c r="G11" s="11"/>
      <c r="H11" s="11"/>
    </row>
    <row r="12" spans="1:11" x14ac:dyDescent="0.25">
      <c r="A12" s="11"/>
      <c r="B12" s="11"/>
      <c r="C12" s="11"/>
      <c r="D12" s="11"/>
      <c r="E12" s="11"/>
      <c r="F12" s="11"/>
      <c r="G12" s="11"/>
      <c r="H12" s="11"/>
    </row>
    <row r="13" spans="1:11" x14ac:dyDescent="0.25">
      <c r="A13" s="11"/>
      <c r="B13" s="11"/>
      <c r="C13" s="11"/>
      <c r="D13" s="11"/>
      <c r="E13" s="11"/>
      <c r="F13" s="11"/>
      <c r="G13" s="11"/>
      <c r="H13" s="11"/>
    </row>
    <row r="14" spans="1:11" x14ac:dyDescent="0.25">
      <c r="A14" s="11"/>
      <c r="B14" s="11"/>
      <c r="C14" s="11"/>
      <c r="D14" s="11"/>
      <c r="E14" s="11"/>
      <c r="F14" s="11"/>
      <c r="G14" s="11"/>
      <c r="H14" s="11"/>
    </row>
    <row r="15" spans="1:11" x14ac:dyDescent="0.25">
      <c r="A15" s="11"/>
      <c r="B15" s="11"/>
      <c r="C15" s="11"/>
      <c r="D15" s="11"/>
      <c r="E15" s="11"/>
      <c r="F15" s="11"/>
      <c r="G15" s="11"/>
      <c r="H15" s="11"/>
    </row>
    <row r="16" spans="1:11" x14ac:dyDescent="0.25">
      <c r="A16" s="11"/>
      <c r="B16" s="11"/>
      <c r="C16" s="11"/>
      <c r="D16" s="11"/>
      <c r="E16" s="11"/>
      <c r="F16" s="11"/>
      <c r="G16" s="11"/>
      <c r="H16" s="11"/>
    </row>
    <row r="17" spans="1:8" x14ac:dyDescent="0.25">
      <c r="A17" s="11"/>
      <c r="B17" s="11"/>
      <c r="C17" s="11"/>
      <c r="D17" s="11"/>
      <c r="E17" s="11"/>
      <c r="F17" s="11"/>
      <c r="G17" s="11"/>
      <c r="H17" s="11"/>
    </row>
    <row r="18" spans="1:8" x14ac:dyDescent="0.25">
      <c r="A18" s="11"/>
      <c r="B18" s="11"/>
      <c r="C18" s="11"/>
      <c r="D18" s="11"/>
      <c r="E18" s="11"/>
      <c r="F18" s="11"/>
      <c r="G18" s="11"/>
      <c r="H18" s="11"/>
    </row>
    <row r="19" spans="1:8" x14ac:dyDescent="0.25">
      <c r="A19" s="11"/>
      <c r="B19" s="11"/>
      <c r="C19" s="11"/>
      <c r="D19" s="11"/>
      <c r="E19" s="11"/>
      <c r="F19" s="11"/>
      <c r="G19" s="11"/>
      <c r="H19" s="11"/>
    </row>
    <row r="20" spans="1:8" x14ac:dyDescent="0.25">
      <c r="A20" s="11"/>
      <c r="B20" s="11"/>
      <c r="C20" s="11"/>
      <c r="D20" s="11"/>
      <c r="E20" s="11"/>
      <c r="F20" s="11"/>
      <c r="G20" s="11"/>
      <c r="H20" s="11"/>
    </row>
    <row r="21" spans="1:8" x14ac:dyDescent="0.25">
      <c r="A21" s="11"/>
      <c r="B21" s="11"/>
      <c r="C21" s="11"/>
      <c r="D21" s="11"/>
      <c r="E21" s="11"/>
      <c r="F21" s="11"/>
      <c r="G21" s="11"/>
      <c r="H21" s="11"/>
    </row>
    <row r="22" spans="1:8" x14ac:dyDescent="0.25">
      <c r="A22" s="11"/>
      <c r="B22" s="11"/>
      <c r="C22" s="11"/>
      <c r="D22" s="11"/>
      <c r="E22" s="11"/>
      <c r="F22" s="11"/>
      <c r="G22" s="11"/>
      <c r="H22" s="11"/>
    </row>
  </sheetData>
  <sortState xmlns:xlrd2="http://schemas.microsoft.com/office/spreadsheetml/2017/richdata2" ref="A1:A19">
    <sortCondition ref="A1:A1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AA6A8-FD29-443E-A78A-7097A943A5C1}">
  <sheetPr codeName="Hoja3"/>
  <dimension ref="A1"/>
  <sheetViews>
    <sheetView view="pageBreakPreview" zoomScale="60" zoomScaleNormal="100" workbookViewId="0">
      <selection activeCell="H34" sqref="H34"/>
    </sheetView>
  </sheetViews>
  <sheetFormatPr baseColWidth="10" defaultRowHeight="15" x14ac:dyDescent="0.25"/>
  <sheetData>
    <row r="1" spans="1:1" x14ac:dyDescent="0.25">
      <c r="A1" t="str">
        <f>XFILES!G2</f>
        <v>CARPETA 20240201 TIEMPO 144958 P6 ENTREGA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E11E3-DA23-40E1-AE14-C286EEBAA47D}">
  <sheetPr codeName="Hoja8"/>
  <dimension ref="A1:N126"/>
  <sheetViews>
    <sheetView workbookViewId="0">
      <selection activeCell="K18" sqref="K18"/>
    </sheetView>
  </sheetViews>
  <sheetFormatPr baseColWidth="10" defaultRowHeight="15" x14ac:dyDescent="0.25"/>
  <cols>
    <col min="5" max="5" width="16.7109375" customWidth="1"/>
  </cols>
  <sheetData>
    <row r="1" spans="1:5" ht="14.25" customHeight="1" x14ac:dyDescent="0.25">
      <c r="A1" s="6" t="s">
        <v>731</v>
      </c>
      <c r="B1" t="s">
        <v>733</v>
      </c>
      <c r="C1" t="s">
        <v>734</v>
      </c>
    </row>
    <row r="2" spans="1:5" ht="14.25" customHeight="1" x14ac:dyDescent="0.25">
      <c r="A2" s="6" t="s">
        <v>735</v>
      </c>
      <c r="B2">
        <v>1435</v>
      </c>
      <c r="C2">
        <v>12</v>
      </c>
      <c r="E2" t="s">
        <v>734</v>
      </c>
    </row>
    <row r="3" spans="1:5" ht="14.25" customHeight="1" x14ac:dyDescent="0.25">
      <c r="A3" s="6"/>
    </row>
    <row r="4" spans="1:5" ht="14.25" customHeight="1" x14ac:dyDescent="0.25"/>
    <row r="5" spans="1:5" ht="14.25" customHeight="1" x14ac:dyDescent="0.25"/>
    <row r="6" spans="1:5" ht="14.25" customHeight="1" x14ac:dyDescent="0.25"/>
    <row r="7" spans="1:5" ht="14.25" customHeight="1" x14ac:dyDescent="0.25"/>
    <row r="8" spans="1:5" ht="14.25" customHeight="1" x14ac:dyDescent="0.25">
      <c r="C8" s="39"/>
      <c r="D8" s="39"/>
    </row>
    <row r="9" spans="1:5" ht="14.25" customHeight="1" x14ac:dyDescent="0.25">
      <c r="C9" s="6"/>
    </row>
    <row r="10" spans="1:5" ht="14.25" customHeight="1" x14ac:dyDescent="0.25"/>
    <row r="11" spans="1:5" ht="14.25" customHeight="1" x14ac:dyDescent="0.25"/>
    <row r="12" spans="1:5" ht="14.25" customHeight="1" x14ac:dyDescent="0.25"/>
    <row r="13" spans="1:5" ht="14.25" customHeight="1" x14ac:dyDescent="0.25"/>
    <row r="14" spans="1:5" ht="14.25" customHeight="1" x14ac:dyDescent="0.25"/>
    <row r="15" spans="1:5" ht="14.25" customHeight="1" x14ac:dyDescent="0.25"/>
    <row r="16" spans="1:5" ht="14.25" customHeight="1" x14ac:dyDescent="0.25"/>
    <row r="17" spans="9:14" ht="14.25" customHeight="1" x14ac:dyDescent="0.25"/>
    <row r="18" spans="9:14" ht="14.25" customHeight="1" x14ac:dyDescent="0.25"/>
    <row r="19" spans="9:14" ht="14.25" customHeight="1" x14ac:dyDescent="0.25"/>
    <row r="20" spans="9:14" ht="14.25" customHeight="1" x14ac:dyDescent="0.25"/>
    <row r="21" spans="9:14" ht="14.25" customHeight="1" x14ac:dyDescent="0.25"/>
    <row r="22" spans="9:14" ht="14.25" customHeight="1" x14ac:dyDescent="0.25"/>
    <row r="23" spans="9:14" ht="14.25" customHeight="1" x14ac:dyDescent="0.25"/>
    <row r="24" spans="9:14" ht="14.25" customHeight="1" x14ac:dyDescent="0.25"/>
    <row r="25" spans="9:14" ht="14.25" customHeight="1" x14ac:dyDescent="0.25"/>
    <row r="26" spans="9:14" ht="14.25" customHeight="1" x14ac:dyDescent="0.25"/>
    <row r="27" spans="9:14" ht="14.25" customHeight="1" x14ac:dyDescent="0.25">
      <c r="I27" s="39" t="s">
        <v>724</v>
      </c>
      <c r="J27" s="44" t="s">
        <v>720</v>
      </c>
      <c r="L27" s="39">
        <v>2</v>
      </c>
      <c r="M27" s="39"/>
      <c r="N27" s="39">
        <v>81066</v>
      </c>
    </row>
    <row r="28" spans="9:14" ht="14.25" customHeight="1" x14ac:dyDescent="0.25">
      <c r="I28" s="39"/>
      <c r="J28" s="39"/>
      <c r="L28" s="39">
        <v>120</v>
      </c>
      <c r="M28" s="39"/>
      <c r="N28" s="39" t="s">
        <v>721</v>
      </c>
    </row>
    <row r="29" spans="9:14" ht="14.25" customHeight="1" x14ac:dyDescent="0.25">
      <c r="I29" s="39"/>
      <c r="J29" s="39"/>
      <c r="L29" s="39">
        <v>250</v>
      </c>
      <c r="M29" s="39"/>
      <c r="N29" s="39" t="s">
        <v>722</v>
      </c>
    </row>
    <row r="30" spans="9:14" ht="14.25" customHeight="1" x14ac:dyDescent="0.25">
      <c r="I30" s="39"/>
      <c r="J30" s="39"/>
      <c r="L30" s="39">
        <v>12000</v>
      </c>
      <c r="M30" s="39"/>
      <c r="N30" s="39" t="s">
        <v>723</v>
      </c>
    </row>
    <row r="31" spans="9:14" ht="14.25" customHeight="1" x14ac:dyDescent="0.25"/>
    <row r="32" spans="9:14" ht="14.25" customHeight="1" x14ac:dyDescent="0.25"/>
    <row r="33" spans="9:14" ht="14.25" customHeight="1" x14ac:dyDescent="0.25">
      <c r="I33" s="39" t="s">
        <v>724</v>
      </c>
      <c r="J33" s="44" t="s">
        <v>719</v>
      </c>
      <c r="L33" s="39"/>
      <c r="M33" s="39"/>
      <c r="N33" s="39"/>
    </row>
    <row r="34" spans="9:14" ht="14.25" customHeight="1" x14ac:dyDescent="0.25">
      <c r="I34" s="39"/>
      <c r="J34" s="39"/>
      <c r="L34" s="39">
        <v>2500</v>
      </c>
      <c r="M34" s="39"/>
      <c r="N34" s="39" t="s">
        <v>163</v>
      </c>
    </row>
    <row r="35" spans="9:14" ht="14.25" customHeight="1" x14ac:dyDescent="0.25">
      <c r="I35" s="39"/>
      <c r="J35" s="39"/>
      <c r="L35" s="39">
        <v>1000</v>
      </c>
      <c r="M35" s="39"/>
      <c r="N35" s="39" t="s">
        <v>197</v>
      </c>
    </row>
    <row r="36" spans="9:14" ht="14.25" customHeight="1" x14ac:dyDescent="0.25"/>
    <row r="37" spans="9:14" ht="14.25" customHeight="1" x14ac:dyDescent="0.25"/>
    <row r="38" spans="9:14" ht="14.25" customHeight="1" x14ac:dyDescent="0.25"/>
    <row r="39" spans="9:14" ht="14.25" customHeight="1" x14ac:dyDescent="0.25"/>
    <row r="40" spans="9:14" ht="14.25" customHeight="1" x14ac:dyDescent="0.25"/>
    <row r="41" spans="9:14" ht="14.25" customHeight="1" x14ac:dyDescent="0.25"/>
    <row r="42" spans="9:14" ht="14.25" customHeight="1" x14ac:dyDescent="0.25"/>
    <row r="43" spans="9:14" ht="14.25" customHeight="1" x14ac:dyDescent="0.25"/>
    <row r="44" spans="9:14" ht="14.25" customHeight="1" x14ac:dyDescent="0.25"/>
    <row r="45" spans="9:14" ht="14.25" customHeight="1" x14ac:dyDescent="0.25"/>
    <row r="46" spans="9:14" ht="14.25" customHeight="1" x14ac:dyDescent="0.25"/>
    <row r="47" spans="9:14" ht="14.25" customHeight="1" x14ac:dyDescent="0.25"/>
    <row r="48" spans="9:14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4417-8D53-443D-A386-0A558FE2F5C2}">
  <sheetPr codeName="Hoja1"/>
  <dimension ref="A1:Z284"/>
  <sheetViews>
    <sheetView topLeftCell="A2" workbookViewId="0">
      <selection activeCell="G16" sqref="G16"/>
    </sheetView>
  </sheetViews>
  <sheetFormatPr baseColWidth="10" defaultRowHeight="15" x14ac:dyDescent="0.25"/>
  <cols>
    <col min="1" max="1" width="53.85546875" bestFit="1" customWidth="1"/>
    <col min="2" max="3" width="12.7109375" customWidth="1"/>
    <col min="4" max="4" width="6" customWidth="1"/>
    <col min="5" max="5" width="6.85546875" customWidth="1"/>
    <col min="6" max="6" width="6.5703125" customWidth="1"/>
    <col min="7" max="7" width="25.5703125" bestFit="1" customWidth="1"/>
    <col min="8" max="8" width="30.85546875" bestFit="1" customWidth="1"/>
    <col min="9" max="9" width="19.5703125" customWidth="1"/>
  </cols>
  <sheetData>
    <row r="1" spans="1:26" ht="16.5" customHeight="1" x14ac:dyDescent="0.25">
      <c r="A1" s="5" t="s">
        <v>12</v>
      </c>
      <c r="B1" s="4" t="s">
        <v>55</v>
      </c>
      <c r="C1" s="4" t="s">
        <v>56</v>
      </c>
      <c r="D1" s="2" t="s">
        <v>1</v>
      </c>
      <c r="E1" s="2" t="s">
        <v>0</v>
      </c>
      <c r="F1" s="14" t="s">
        <v>32</v>
      </c>
      <c r="G1" s="10" t="s">
        <v>54</v>
      </c>
      <c r="H1" s="28" t="s">
        <v>718</v>
      </c>
      <c r="I1" s="10" t="s">
        <v>33</v>
      </c>
      <c r="J1" s="9" t="s">
        <v>36</v>
      </c>
    </row>
    <row r="2" spans="1:26" x14ac:dyDescent="0.25">
      <c r="A2" s="29" t="s">
        <v>88</v>
      </c>
      <c r="C2" s="1"/>
      <c r="D2" s="2">
        <v>1366</v>
      </c>
      <c r="E2" s="3">
        <v>768</v>
      </c>
      <c r="F2" s="15"/>
      <c r="G2" s="9">
        <v>811</v>
      </c>
      <c r="H2" s="29" t="s">
        <v>15</v>
      </c>
      <c r="I2" s="9" t="s">
        <v>92</v>
      </c>
      <c r="J2" s="9" t="s">
        <v>34</v>
      </c>
      <c r="P2" t="s">
        <v>68</v>
      </c>
      <c r="V2">
        <v>7760</v>
      </c>
      <c r="Y2" t="s">
        <v>840</v>
      </c>
      <c r="Z2" t="s">
        <v>839</v>
      </c>
    </row>
    <row r="3" spans="1:26" x14ac:dyDescent="0.25">
      <c r="A3" s="26" t="s">
        <v>89</v>
      </c>
      <c r="B3" s="1">
        <v>111</v>
      </c>
      <c r="G3" s="10" t="s">
        <v>53</v>
      </c>
      <c r="H3" s="29" t="s">
        <v>16</v>
      </c>
      <c r="I3" s="9">
        <v>1</v>
      </c>
      <c r="J3" s="9" t="s">
        <v>35</v>
      </c>
      <c r="O3" t="s">
        <v>730</v>
      </c>
    </row>
    <row r="4" spans="1:26" x14ac:dyDescent="0.25">
      <c r="A4" t="s">
        <v>31</v>
      </c>
      <c r="B4" t="s">
        <v>84</v>
      </c>
      <c r="D4" t="s">
        <v>86</v>
      </c>
      <c r="G4" s="10"/>
      <c r="H4" s="29"/>
      <c r="I4" s="27"/>
      <c r="J4" s="27"/>
    </row>
    <row r="5" spans="1:26" x14ac:dyDescent="0.25">
      <c r="A5" s="26" t="s">
        <v>89</v>
      </c>
      <c r="B5" s="1">
        <v>1111</v>
      </c>
      <c r="C5" s="1"/>
      <c r="G5" s="10"/>
      <c r="H5" s="29"/>
      <c r="I5" s="27"/>
      <c r="J5" s="27"/>
    </row>
    <row r="6" spans="1:26" x14ac:dyDescent="0.25">
      <c r="A6" s="29" t="s">
        <v>90</v>
      </c>
      <c r="H6" s="29"/>
      <c r="I6" s="27"/>
      <c r="J6" s="27"/>
    </row>
    <row r="7" spans="1:26" x14ac:dyDescent="0.25">
      <c r="A7" s="26" t="s">
        <v>89</v>
      </c>
      <c r="B7" s="1">
        <v>111</v>
      </c>
      <c r="G7" s="10"/>
      <c r="H7" s="26" t="s">
        <v>82</v>
      </c>
      <c r="I7" s="27"/>
      <c r="J7" s="27"/>
    </row>
    <row r="8" spans="1:26" x14ac:dyDescent="0.25">
      <c r="A8" s="1" t="s">
        <v>91</v>
      </c>
      <c r="G8" s="10"/>
      <c r="H8" s="29" t="s">
        <v>7</v>
      </c>
    </row>
    <row r="9" spans="1:26" x14ac:dyDescent="0.25">
      <c r="A9" s="26" t="s">
        <v>89</v>
      </c>
      <c r="B9" s="1">
        <v>555</v>
      </c>
      <c r="G9" s="1">
        <v>1181966</v>
      </c>
      <c r="H9" s="29" t="s">
        <v>3</v>
      </c>
    </row>
    <row r="10" spans="1:26" x14ac:dyDescent="0.25">
      <c r="A10" s="26" t="s">
        <v>47</v>
      </c>
      <c r="C10" s="1"/>
      <c r="D10" s="1"/>
      <c r="E10" s="1"/>
      <c r="F10" s="1"/>
      <c r="G10" s="1"/>
      <c r="H10" s="29" t="s">
        <v>14</v>
      </c>
    </row>
    <row r="11" spans="1:26" x14ac:dyDescent="0.25">
      <c r="A11" s="26" t="s">
        <v>3</v>
      </c>
      <c r="B11" s="1">
        <v>555</v>
      </c>
      <c r="C11" s="1"/>
      <c r="D11" s="1"/>
      <c r="E11" s="1"/>
      <c r="F11" s="1"/>
      <c r="G11" s="1"/>
      <c r="H11" s="29" t="s">
        <v>2</v>
      </c>
    </row>
    <row r="12" spans="1:26" x14ac:dyDescent="0.25">
      <c r="A12" s="26" t="s">
        <v>845</v>
      </c>
      <c r="B12" s="1">
        <v>28593.601756954613</v>
      </c>
      <c r="C12" s="1">
        <v>2815.95703125</v>
      </c>
      <c r="D12" s="1" t="s">
        <v>51</v>
      </c>
      <c r="E12" s="1" t="s">
        <v>74</v>
      </c>
      <c r="F12" s="1"/>
      <c r="G12" s="1"/>
      <c r="H12" s="29" t="s">
        <v>10</v>
      </c>
    </row>
    <row r="13" spans="1:26" x14ac:dyDescent="0.25">
      <c r="A13" s="26" t="s">
        <v>3</v>
      </c>
      <c r="B13" s="1">
        <v>555</v>
      </c>
      <c r="C13" s="1"/>
      <c r="D13" s="1"/>
      <c r="E13" s="1"/>
      <c r="F13" s="1"/>
      <c r="G13" s="1"/>
      <c r="H13" s="29" t="s">
        <v>31</v>
      </c>
    </row>
    <row r="14" spans="1:26" x14ac:dyDescent="0.25">
      <c r="A14" s="26" t="s">
        <v>71</v>
      </c>
      <c r="B14" s="1">
        <v>39388.166178623716</v>
      </c>
      <c r="C14" s="1">
        <v>13055.80078125</v>
      </c>
      <c r="D14" s="1"/>
      <c r="E14" s="1"/>
      <c r="F14" s="1"/>
      <c r="G14" s="1"/>
      <c r="H14" s="29" t="s">
        <v>6</v>
      </c>
    </row>
    <row r="15" spans="1:26" x14ac:dyDescent="0.25">
      <c r="A15" s="26" t="s">
        <v>69</v>
      </c>
      <c r="B15" s="1"/>
      <c r="C15" s="1"/>
      <c r="D15" s="1"/>
      <c r="E15" s="1"/>
      <c r="F15" s="1"/>
      <c r="G15" s="1"/>
      <c r="H15" s="29" t="s">
        <v>18</v>
      </c>
    </row>
    <row r="16" spans="1:26" x14ac:dyDescent="0.25">
      <c r="A16" s="26" t="s">
        <v>71</v>
      </c>
      <c r="B16" s="1">
        <v>49990.827232796488</v>
      </c>
      <c r="C16" s="1">
        <v>23210.3125</v>
      </c>
      <c r="D16" s="1"/>
      <c r="E16" s="1"/>
      <c r="F16" s="1"/>
      <c r="G16" s="1"/>
      <c r="H16" s="29" t="s">
        <v>8</v>
      </c>
    </row>
    <row r="17" spans="1:9" x14ac:dyDescent="0.25">
      <c r="A17" s="26" t="s">
        <v>70</v>
      </c>
      <c r="B17" s="1"/>
      <c r="C17" s="1"/>
      <c r="D17" s="1"/>
      <c r="E17" s="1"/>
      <c r="F17" s="1"/>
      <c r="G17" s="1"/>
      <c r="H17" s="29" t="s">
        <v>17</v>
      </c>
      <c r="I17" s="1" t="s">
        <v>85</v>
      </c>
    </row>
    <row r="18" spans="1:9" x14ac:dyDescent="0.25">
      <c r="A18" s="26" t="s">
        <v>3</v>
      </c>
      <c r="B18" s="26">
        <v>2222</v>
      </c>
      <c r="C18" s="26"/>
      <c r="D18" s="26"/>
      <c r="E18" s="26"/>
      <c r="F18" s="26"/>
      <c r="G18" s="1"/>
      <c r="H18" s="29" t="s">
        <v>13</v>
      </c>
    </row>
    <row r="19" spans="1:9" x14ac:dyDescent="0.25">
      <c r="A19" s="26" t="s">
        <v>2</v>
      </c>
      <c r="B19" s="26">
        <v>58290.64787701318</v>
      </c>
      <c r="C19" s="26">
        <v>37631.42578125</v>
      </c>
      <c r="D19" s="26" t="s">
        <v>51</v>
      </c>
      <c r="E19" s="26" t="s">
        <v>49</v>
      </c>
      <c r="F19" s="26"/>
      <c r="G19" s="1"/>
      <c r="H19" s="29" t="s">
        <v>4</v>
      </c>
    </row>
    <row r="20" spans="1:9" x14ac:dyDescent="0.25">
      <c r="A20" s="26" t="s">
        <v>3</v>
      </c>
      <c r="B20" s="26">
        <v>555</v>
      </c>
      <c r="C20" s="26"/>
      <c r="D20" s="26"/>
      <c r="E20" s="26"/>
      <c r="F20" s="26"/>
      <c r="G20" s="1"/>
      <c r="H20" s="29" t="s">
        <v>11</v>
      </c>
    </row>
    <row r="21" spans="1:9" x14ac:dyDescent="0.25">
      <c r="A21" s="26" t="s">
        <v>2</v>
      </c>
      <c r="B21" s="26">
        <v>42026.837481698392</v>
      </c>
      <c r="C21" s="26">
        <v>62975.0390625</v>
      </c>
      <c r="D21" s="26" t="s">
        <v>51</v>
      </c>
      <c r="E21" s="26" t="s">
        <v>61</v>
      </c>
      <c r="F21" s="26"/>
      <c r="G21" s="9"/>
      <c r="H21" s="30" t="s">
        <v>5</v>
      </c>
    </row>
    <row r="22" spans="1:9" x14ac:dyDescent="0.25">
      <c r="A22" s="26" t="s">
        <v>2</v>
      </c>
      <c r="B22" s="26">
        <v>45577.049780380672</v>
      </c>
      <c r="C22" s="26">
        <v>39594.0625</v>
      </c>
      <c r="D22" s="26" t="s">
        <v>51</v>
      </c>
      <c r="E22" s="26" t="s">
        <v>60</v>
      </c>
      <c r="F22" s="26"/>
      <c r="G22" s="1"/>
      <c r="H22" s="29" t="s">
        <v>9</v>
      </c>
    </row>
    <row r="23" spans="1:9" x14ac:dyDescent="0.25">
      <c r="A23" s="26" t="s">
        <v>3</v>
      </c>
      <c r="B23" s="26">
        <v>1111</v>
      </c>
      <c r="C23" s="26"/>
      <c r="D23" s="26"/>
      <c r="E23" s="26"/>
      <c r="F23" s="26"/>
      <c r="G23" s="1"/>
      <c r="H23" t="s">
        <v>47</v>
      </c>
    </row>
    <row r="24" spans="1:9" x14ac:dyDescent="0.25">
      <c r="A24" s="26" t="s">
        <v>59</v>
      </c>
      <c r="B24" s="26">
        <v>47352.155929721819</v>
      </c>
      <c r="C24" s="26">
        <v>22527.65625</v>
      </c>
      <c r="D24" s="26"/>
      <c r="E24" s="26" t="s">
        <v>58</v>
      </c>
      <c r="F24" s="26"/>
      <c r="H24" s="29" t="s">
        <v>48</v>
      </c>
    </row>
    <row r="25" spans="1:9" x14ac:dyDescent="0.25">
      <c r="A25" s="26" t="s">
        <v>89</v>
      </c>
      <c r="B25" s="26">
        <v>1111</v>
      </c>
      <c r="C25" s="26"/>
      <c r="D25" s="26" t="s">
        <v>87</v>
      </c>
      <c r="E25" s="26"/>
      <c r="F25" s="26"/>
      <c r="G25" s="1"/>
      <c r="H25" s="29" t="s">
        <v>57</v>
      </c>
    </row>
    <row r="26" spans="1:9" x14ac:dyDescent="0.25">
      <c r="A26" s="26" t="s">
        <v>2</v>
      </c>
      <c r="B26" s="1">
        <v>36941.398243045391</v>
      </c>
      <c r="C26" s="1">
        <v>4095.9375</v>
      </c>
      <c r="D26" s="1" t="s">
        <v>51</v>
      </c>
      <c r="E26" s="1" t="s">
        <v>50</v>
      </c>
      <c r="F26" s="1"/>
      <c r="G26" s="1"/>
    </row>
    <row r="27" spans="1:9" x14ac:dyDescent="0.25">
      <c r="A27" s="26" t="s">
        <v>3</v>
      </c>
      <c r="B27" s="1">
        <v>1234</v>
      </c>
      <c r="C27" s="1"/>
      <c r="D27" s="1"/>
      <c r="E27" s="1"/>
      <c r="F27" s="1"/>
      <c r="G27" s="26" t="s">
        <v>3</v>
      </c>
      <c r="H27" t="s">
        <v>59</v>
      </c>
    </row>
    <row r="28" spans="1:9" x14ac:dyDescent="0.25">
      <c r="A28" s="26" t="s">
        <v>2</v>
      </c>
      <c r="B28" s="1">
        <v>27825.988286969256</v>
      </c>
      <c r="C28" s="1">
        <v>8703.8671875</v>
      </c>
      <c r="D28" s="1" t="s">
        <v>51</v>
      </c>
      <c r="E28" s="1" t="s">
        <v>52</v>
      </c>
      <c r="F28" s="1"/>
      <c r="G28" s="26" t="s">
        <v>2</v>
      </c>
      <c r="H28" t="s">
        <v>72</v>
      </c>
    </row>
    <row r="29" spans="1:9" x14ac:dyDescent="0.25">
      <c r="A29" s="26" t="s">
        <v>73</v>
      </c>
      <c r="B29" s="1"/>
      <c r="C29" s="1"/>
      <c r="D29" s="1"/>
      <c r="E29" s="1"/>
      <c r="F29" s="1"/>
      <c r="G29" s="26" t="s">
        <v>3</v>
      </c>
    </row>
    <row r="30" spans="1:9" x14ac:dyDescent="0.25">
      <c r="A30" s="26" t="s">
        <v>3</v>
      </c>
      <c r="B30" s="1">
        <v>333</v>
      </c>
      <c r="G30" s="1"/>
    </row>
    <row r="31" spans="1:9" x14ac:dyDescent="0.25">
      <c r="A31" s="1" t="s">
        <v>31</v>
      </c>
      <c r="B31" s="1" t="s">
        <v>76</v>
      </c>
      <c r="C31" s="1"/>
      <c r="D31" s="1"/>
      <c r="E31" s="1"/>
      <c r="F31" s="1"/>
    </row>
    <row r="32" spans="1:9" x14ac:dyDescent="0.25">
      <c r="A32" s="26" t="s">
        <v>47</v>
      </c>
      <c r="B32" s="1"/>
      <c r="C32" s="1"/>
      <c r="D32" s="1"/>
      <c r="E32" s="1"/>
      <c r="F32" s="1"/>
      <c r="H32" t="s">
        <v>83</v>
      </c>
    </row>
    <row r="33" spans="1:8" x14ac:dyDescent="0.25">
      <c r="A33" s="1"/>
      <c r="B33" s="1">
        <v>555</v>
      </c>
      <c r="C33" s="1"/>
      <c r="D33" s="1"/>
      <c r="E33" s="1"/>
      <c r="F33" s="1"/>
      <c r="H33" s="26" t="s">
        <v>3</v>
      </c>
    </row>
    <row r="34" spans="1:8" x14ac:dyDescent="0.25">
      <c r="A34" s="26" t="s">
        <v>71</v>
      </c>
      <c r="B34" s="1">
        <v>14440.728404099562</v>
      </c>
      <c r="C34" s="1">
        <v>30036.875</v>
      </c>
      <c r="D34" s="1" t="s">
        <v>51</v>
      </c>
      <c r="E34" s="1" t="s">
        <v>74</v>
      </c>
      <c r="F34" s="1"/>
      <c r="H34" s="26" t="s">
        <v>82</v>
      </c>
    </row>
    <row r="35" spans="1:8" x14ac:dyDescent="0.25">
      <c r="A35" s="26" t="s">
        <v>69</v>
      </c>
      <c r="B35" s="1"/>
      <c r="C35" s="1"/>
      <c r="D35" s="1"/>
      <c r="E35" s="1"/>
      <c r="F35" s="1"/>
    </row>
    <row r="36" spans="1:8" x14ac:dyDescent="0.25">
      <c r="A36" s="26" t="s">
        <v>71</v>
      </c>
      <c r="B36" s="1">
        <v>23028.404099560761</v>
      </c>
      <c r="C36" s="1">
        <v>61268.3984375</v>
      </c>
      <c r="D36" s="1" t="s">
        <v>51</v>
      </c>
      <c r="E36" s="1" t="s">
        <v>74</v>
      </c>
      <c r="F36" s="1"/>
    </row>
    <row r="37" spans="1:8" x14ac:dyDescent="0.25">
      <c r="A37" s="26" t="s">
        <v>70</v>
      </c>
      <c r="B37" s="1"/>
      <c r="C37" s="1"/>
      <c r="D37" s="1"/>
      <c r="E37" s="1"/>
      <c r="F37" s="1"/>
    </row>
    <row r="38" spans="1:8" x14ac:dyDescent="0.25">
      <c r="A38" s="26" t="s">
        <v>3</v>
      </c>
      <c r="B38" s="26">
        <f>B$18</f>
        <v>2222</v>
      </c>
      <c r="C38" s="26"/>
      <c r="D38" s="26"/>
      <c r="E38" s="26"/>
      <c r="F38" s="26"/>
    </row>
    <row r="39" spans="1:8" x14ac:dyDescent="0.25">
      <c r="A39" s="26" t="s">
        <v>2</v>
      </c>
      <c r="B39" s="26">
        <v>58290.64787701318</v>
      </c>
      <c r="C39" s="26">
        <v>37631.42578125</v>
      </c>
      <c r="D39" s="26" t="s">
        <v>51</v>
      </c>
      <c r="E39" s="26" t="s">
        <v>49</v>
      </c>
      <c r="F39" s="26"/>
    </row>
    <row r="40" spans="1:8" x14ac:dyDescent="0.25">
      <c r="A40" s="26" t="s">
        <v>3</v>
      </c>
      <c r="B40" s="26">
        <v>1111</v>
      </c>
      <c r="C40" s="26"/>
      <c r="D40" s="26"/>
      <c r="E40" s="26"/>
      <c r="F40" s="26"/>
    </row>
    <row r="41" spans="1:8" x14ac:dyDescent="0.25">
      <c r="A41" s="26" t="s">
        <v>2</v>
      </c>
      <c r="B41" s="26">
        <f>B$21</f>
        <v>42026.837481698392</v>
      </c>
      <c r="C41" s="26">
        <f>C$21</f>
        <v>62975.0390625</v>
      </c>
      <c r="D41" s="26" t="s">
        <v>51</v>
      </c>
      <c r="E41" s="26" t="s">
        <v>61</v>
      </c>
      <c r="F41" s="26"/>
    </row>
    <row r="42" spans="1:8" x14ac:dyDescent="0.25">
      <c r="A42" s="26" t="s">
        <v>2</v>
      </c>
      <c r="B42" s="26">
        <v>45577.049780380672</v>
      </c>
      <c r="C42" s="26">
        <v>39594.0625</v>
      </c>
      <c r="D42" s="26" t="s">
        <v>51</v>
      </c>
      <c r="E42" s="26" t="s">
        <v>60</v>
      </c>
      <c r="F42" s="26"/>
    </row>
    <row r="43" spans="1:8" x14ac:dyDescent="0.25">
      <c r="A43" s="26" t="s">
        <v>3</v>
      </c>
      <c r="B43" s="26">
        <v>1111</v>
      </c>
      <c r="C43" s="26"/>
      <c r="D43" s="26"/>
      <c r="E43" s="26"/>
      <c r="F43" s="26"/>
    </row>
    <row r="44" spans="1:8" x14ac:dyDescent="0.25">
      <c r="A44" s="26" t="s">
        <v>59</v>
      </c>
      <c r="B44" s="26"/>
      <c r="C44" s="26"/>
      <c r="D44" s="26"/>
      <c r="E44" s="26" t="s">
        <v>58</v>
      </c>
      <c r="F44" s="26"/>
    </row>
    <row r="45" spans="1:8" x14ac:dyDescent="0.25">
      <c r="A45" s="26" t="s">
        <v>89</v>
      </c>
      <c r="B45" s="26">
        <v>1111</v>
      </c>
      <c r="C45" s="26"/>
      <c r="D45" s="26" t="s">
        <v>87</v>
      </c>
      <c r="E45" s="26"/>
      <c r="F45" s="26"/>
    </row>
    <row r="46" spans="1:8" x14ac:dyDescent="0.25">
      <c r="A46" s="26" t="s">
        <v>2</v>
      </c>
      <c r="B46" s="1">
        <v>36941.398243045391</v>
      </c>
      <c r="C46" s="1">
        <v>4095.9375</v>
      </c>
      <c r="D46" s="1" t="s">
        <v>51</v>
      </c>
      <c r="E46" s="1" t="s">
        <v>50</v>
      </c>
      <c r="F46" s="1"/>
    </row>
    <row r="47" spans="1:8" x14ac:dyDescent="0.25">
      <c r="A47" s="26" t="s">
        <v>3</v>
      </c>
      <c r="B47" s="1">
        <v>1234</v>
      </c>
      <c r="C47" s="1"/>
      <c r="D47" s="1"/>
      <c r="E47" s="1"/>
      <c r="F47" s="1"/>
    </row>
    <row r="48" spans="1:8" x14ac:dyDescent="0.25">
      <c r="A48" s="26" t="s">
        <v>2</v>
      </c>
      <c r="B48" s="1">
        <v>27825.988286969256</v>
      </c>
      <c r="C48" s="1">
        <v>8703.8671875</v>
      </c>
      <c r="D48" s="1" t="s">
        <v>51</v>
      </c>
      <c r="E48" s="1" t="s">
        <v>52</v>
      </c>
      <c r="F48" s="1"/>
    </row>
    <row r="49" spans="1:12" x14ac:dyDescent="0.25">
      <c r="A49" s="26" t="s">
        <v>73</v>
      </c>
      <c r="B49" s="1"/>
      <c r="C49" s="1"/>
      <c r="D49" s="1"/>
      <c r="E49" s="1"/>
      <c r="F49" s="1"/>
    </row>
    <row r="50" spans="1:12" x14ac:dyDescent="0.25">
      <c r="A50" s="26" t="s">
        <v>3</v>
      </c>
      <c r="B50" s="1">
        <v>333</v>
      </c>
      <c r="C50" s="1"/>
      <c r="D50" s="1"/>
      <c r="E50" s="1"/>
      <c r="F50" s="1"/>
    </row>
    <row r="51" spans="1:12" x14ac:dyDescent="0.25">
      <c r="A51" s="1" t="s">
        <v>31</v>
      </c>
      <c r="B51" s="1" t="s">
        <v>75</v>
      </c>
      <c r="C51" s="1"/>
      <c r="D51" s="1"/>
      <c r="E51" s="1"/>
      <c r="F51" s="1"/>
    </row>
    <row r="52" spans="1:12" x14ac:dyDescent="0.25">
      <c r="A52" s="26" t="s">
        <v>47</v>
      </c>
      <c r="B52" s="1"/>
      <c r="C52" s="1"/>
      <c r="D52" s="1"/>
      <c r="E52" s="1"/>
      <c r="F52" s="1"/>
      <c r="J52" s="1"/>
      <c r="K52" s="1"/>
      <c r="L52" s="1"/>
    </row>
    <row r="53" spans="1:12" x14ac:dyDescent="0.25">
      <c r="A53" s="1"/>
      <c r="B53" s="1">
        <v>555</v>
      </c>
      <c r="C53" s="1"/>
      <c r="D53" s="1"/>
      <c r="E53" s="1"/>
      <c r="F53" s="1"/>
      <c r="J53" s="1"/>
      <c r="K53" s="1"/>
      <c r="L53" s="1"/>
    </row>
    <row r="54" spans="1:12" x14ac:dyDescent="0.25">
      <c r="A54" s="1"/>
      <c r="B54" s="1">
        <v>28593.601756954613</v>
      </c>
      <c r="C54" s="1">
        <v>2815.95703125</v>
      </c>
      <c r="D54" s="1" t="s">
        <v>51</v>
      </c>
      <c r="E54" s="1" t="s">
        <v>74</v>
      </c>
      <c r="F54" s="1"/>
      <c r="J54" s="1"/>
      <c r="K54" s="1"/>
      <c r="L54" s="1"/>
    </row>
    <row r="55" spans="1:12" x14ac:dyDescent="0.25">
      <c r="A55" s="1"/>
      <c r="B55" s="1">
        <v>555</v>
      </c>
      <c r="C55" s="1"/>
      <c r="D55" s="1"/>
      <c r="E55" s="1"/>
      <c r="F55" s="1"/>
      <c r="J55" s="1"/>
      <c r="K55" s="1"/>
      <c r="L55" s="1"/>
    </row>
    <row r="56" spans="1:12" x14ac:dyDescent="0.25">
      <c r="A56" s="26" t="s">
        <v>71</v>
      </c>
      <c r="B56" s="1">
        <v>18614.626647144949</v>
      </c>
      <c r="C56" s="1">
        <v>30463.53515625</v>
      </c>
      <c r="D56" s="1"/>
      <c r="E56" s="1"/>
      <c r="F56" s="1"/>
    </row>
    <row r="57" spans="1:12" x14ac:dyDescent="0.25">
      <c r="A57" s="26" t="s">
        <v>69</v>
      </c>
      <c r="B57" s="1"/>
      <c r="C57" s="1"/>
      <c r="D57" s="1"/>
      <c r="E57" s="1"/>
      <c r="F57" s="1"/>
    </row>
    <row r="58" spans="1:12" x14ac:dyDescent="0.25">
      <c r="A58" s="26" t="s">
        <v>71</v>
      </c>
      <c r="B58" s="1">
        <v>30176.804538799413</v>
      </c>
      <c r="C58" s="1">
        <v>61609.7265625</v>
      </c>
      <c r="D58" s="1"/>
      <c r="E58" s="1"/>
      <c r="F58" s="1"/>
    </row>
    <row r="59" spans="1:12" x14ac:dyDescent="0.25">
      <c r="A59" s="26" t="s">
        <v>70</v>
      </c>
      <c r="B59" s="1"/>
      <c r="C59" s="1"/>
      <c r="D59" s="1"/>
      <c r="E59" s="1"/>
      <c r="F59" s="1"/>
    </row>
    <row r="60" spans="1:12" x14ac:dyDescent="0.25">
      <c r="A60" s="26" t="s">
        <v>3</v>
      </c>
      <c r="B60" s="26">
        <f>B$18</f>
        <v>2222</v>
      </c>
      <c r="C60" s="26"/>
      <c r="D60" s="26"/>
      <c r="E60" s="26"/>
      <c r="F60" s="26"/>
    </row>
    <row r="61" spans="1:12" x14ac:dyDescent="0.25">
      <c r="A61" s="26" t="s">
        <v>2</v>
      </c>
      <c r="B61" s="26">
        <v>58290.64787701318</v>
      </c>
      <c r="C61" s="26">
        <v>37631.42578125</v>
      </c>
      <c r="D61" s="26" t="s">
        <v>51</v>
      </c>
      <c r="E61" s="26" t="s">
        <v>49</v>
      </c>
      <c r="F61" s="26"/>
    </row>
    <row r="62" spans="1:12" x14ac:dyDescent="0.25">
      <c r="A62" s="26" t="s">
        <v>3</v>
      </c>
      <c r="B62" s="26">
        <v>555</v>
      </c>
      <c r="C62" s="26"/>
      <c r="D62" s="26"/>
      <c r="E62" s="26"/>
      <c r="F62" s="26"/>
    </row>
    <row r="63" spans="1:12" x14ac:dyDescent="0.25">
      <c r="A63" s="26" t="s">
        <v>2</v>
      </c>
      <c r="B63" s="26">
        <f>B$21</f>
        <v>42026.837481698392</v>
      </c>
      <c r="C63" s="26">
        <f>C$21</f>
        <v>62975.0390625</v>
      </c>
      <c r="D63" s="26" t="s">
        <v>51</v>
      </c>
      <c r="E63" s="26" t="s">
        <v>61</v>
      </c>
      <c r="F63" s="26"/>
    </row>
    <row r="64" spans="1:12" x14ac:dyDescent="0.25">
      <c r="A64" s="26" t="s">
        <v>2</v>
      </c>
      <c r="B64" s="26">
        <v>45577.049780380672</v>
      </c>
      <c r="C64" s="26">
        <v>39594.0625</v>
      </c>
      <c r="D64" s="26" t="s">
        <v>51</v>
      </c>
      <c r="E64" s="26" t="s">
        <v>60</v>
      </c>
      <c r="F64" s="26"/>
    </row>
    <row r="65" spans="1:6" x14ac:dyDescent="0.25">
      <c r="A65" s="26" t="s">
        <v>3</v>
      </c>
      <c r="B65" s="26">
        <v>555</v>
      </c>
      <c r="C65" s="26"/>
      <c r="D65" s="26"/>
      <c r="E65" s="26"/>
      <c r="F65" s="26"/>
    </row>
    <row r="66" spans="1:6" x14ac:dyDescent="0.25">
      <c r="A66" s="26" t="s">
        <v>59</v>
      </c>
      <c r="B66" s="26"/>
      <c r="C66" s="26"/>
      <c r="D66" s="26"/>
      <c r="E66" s="26" t="s">
        <v>58</v>
      </c>
      <c r="F66" s="26"/>
    </row>
    <row r="67" spans="1:6" x14ac:dyDescent="0.25">
      <c r="A67" s="26" t="s">
        <v>89</v>
      </c>
      <c r="B67" s="26">
        <v>1111</v>
      </c>
      <c r="C67" s="26"/>
      <c r="D67" s="26" t="s">
        <v>87</v>
      </c>
      <c r="E67" s="26"/>
      <c r="F67" s="26"/>
    </row>
    <row r="68" spans="1:6" x14ac:dyDescent="0.25">
      <c r="A68" s="26" t="s">
        <v>2</v>
      </c>
      <c r="B68" s="1">
        <v>36941.398243045391</v>
      </c>
      <c r="C68" s="1">
        <v>4095.9375</v>
      </c>
      <c r="D68" s="1" t="s">
        <v>51</v>
      </c>
      <c r="E68" s="1" t="s">
        <v>50</v>
      </c>
      <c r="F68" s="1"/>
    </row>
    <row r="69" spans="1:6" x14ac:dyDescent="0.25">
      <c r="A69" s="26" t="s">
        <v>3</v>
      </c>
      <c r="B69" s="1">
        <v>1234</v>
      </c>
      <c r="C69" s="1"/>
      <c r="D69" s="1"/>
      <c r="E69" s="1"/>
      <c r="F69" s="1"/>
    </row>
    <row r="70" spans="1:6" x14ac:dyDescent="0.25">
      <c r="A70" s="26" t="s">
        <v>2</v>
      </c>
      <c r="B70" s="1">
        <v>27825.988286969256</v>
      </c>
      <c r="C70" s="1">
        <v>8703.8671875</v>
      </c>
      <c r="D70" s="1" t="s">
        <v>51</v>
      </c>
      <c r="E70" s="1" t="s">
        <v>52</v>
      </c>
      <c r="F70" s="1"/>
    </row>
    <row r="71" spans="1:6" x14ac:dyDescent="0.25">
      <c r="A71" s="26" t="s">
        <v>73</v>
      </c>
      <c r="B71" s="1"/>
      <c r="C71" s="1"/>
      <c r="D71" s="1"/>
      <c r="E71" s="1"/>
      <c r="F71" s="1"/>
    </row>
    <row r="72" spans="1:6" x14ac:dyDescent="0.25">
      <c r="A72" s="26" t="s">
        <v>3</v>
      </c>
      <c r="B72" s="1">
        <v>333</v>
      </c>
      <c r="C72" s="1"/>
      <c r="D72" s="1"/>
      <c r="E72" s="1"/>
      <c r="F72" s="1"/>
    </row>
    <row r="73" spans="1:6" x14ac:dyDescent="0.25">
      <c r="A73" s="1" t="s">
        <v>31</v>
      </c>
      <c r="B73" s="1" t="s">
        <v>77</v>
      </c>
      <c r="C73" s="1"/>
      <c r="D73" s="1"/>
      <c r="E73" s="1"/>
      <c r="F73" s="1"/>
    </row>
    <row r="74" spans="1:6" x14ac:dyDescent="0.25">
      <c r="A74" s="26" t="s">
        <v>47</v>
      </c>
      <c r="B74" s="1"/>
      <c r="C74" s="1"/>
      <c r="D74" s="1"/>
      <c r="E74" s="1"/>
      <c r="F74" s="1"/>
    </row>
    <row r="75" spans="1:6" x14ac:dyDescent="0.25">
      <c r="A75" s="1"/>
      <c r="B75" s="1">
        <v>4000</v>
      </c>
      <c r="C75" s="1"/>
      <c r="D75" s="1"/>
      <c r="E75" s="1"/>
      <c r="F75" s="1"/>
    </row>
    <row r="76" spans="1:6" x14ac:dyDescent="0.25">
      <c r="A76" s="1"/>
      <c r="B76" s="1">
        <v>28593.601756954613</v>
      </c>
      <c r="C76" s="1">
        <v>2815.95703125</v>
      </c>
      <c r="D76" s="1"/>
      <c r="E76" s="1"/>
      <c r="F76" s="1"/>
    </row>
    <row r="77" spans="1:6" x14ac:dyDescent="0.25">
      <c r="A77" s="1"/>
      <c r="B77" s="1">
        <v>555</v>
      </c>
      <c r="C77" s="1"/>
      <c r="D77" s="1"/>
      <c r="E77" s="1"/>
      <c r="F77" s="1"/>
    </row>
    <row r="78" spans="1:6" x14ac:dyDescent="0.25">
      <c r="A78" s="26" t="s">
        <v>71</v>
      </c>
      <c r="B78" s="1">
        <v>41115.296486090774</v>
      </c>
      <c r="C78" s="1">
        <v>30122.20703125</v>
      </c>
      <c r="D78" s="1" t="s">
        <v>51</v>
      </c>
      <c r="E78" s="1" t="s">
        <v>74</v>
      </c>
      <c r="F78" s="1"/>
    </row>
    <row r="79" spans="1:6" x14ac:dyDescent="0.25">
      <c r="A79" s="26" t="s">
        <v>69</v>
      </c>
      <c r="B79" s="1"/>
      <c r="C79" s="1"/>
      <c r="D79" s="1"/>
      <c r="E79" s="1"/>
      <c r="F79" s="1"/>
    </row>
    <row r="80" spans="1:6" x14ac:dyDescent="0.25">
      <c r="A80" s="26" t="s">
        <v>71</v>
      </c>
      <c r="B80" s="1">
        <v>47160.252562225476</v>
      </c>
      <c r="C80" s="1">
        <v>61268.3984375</v>
      </c>
      <c r="D80" s="1" t="s">
        <v>51</v>
      </c>
      <c r="E80" s="1" t="s">
        <v>74</v>
      </c>
      <c r="F80" s="1"/>
    </row>
    <row r="81" spans="1:6" x14ac:dyDescent="0.25">
      <c r="A81" s="26" t="s">
        <v>70</v>
      </c>
      <c r="B81" s="1"/>
      <c r="C81" s="1"/>
      <c r="D81" s="1"/>
      <c r="E81" s="1"/>
      <c r="F81" s="1"/>
    </row>
    <row r="82" spans="1:6" x14ac:dyDescent="0.25">
      <c r="A82" s="26" t="s">
        <v>3</v>
      </c>
      <c r="B82" s="26">
        <f>B$18</f>
        <v>2222</v>
      </c>
      <c r="C82" s="26"/>
      <c r="D82" s="26"/>
      <c r="E82" s="26"/>
      <c r="F82" s="26"/>
    </row>
    <row r="83" spans="1:6" x14ac:dyDescent="0.25">
      <c r="A83" s="26" t="s">
        <v>2</v>
      </c>
      <c r="B83" s="26">
        <v>58290.64787701318</v>
      </c>
      <c r="C83" s="26">
        <v>37631.42578125</v>
      </c>
      <c r="D83" s="26" t="s">
        <v>51</v>
      </c>
      <c r="E83" s="26" t="s">
        <v>49</v>
      </c>
      <c r="F83" s="26"/>
    </row>
    <row r="84" spans="1:6" x14ac:dyDescent="0.25">
      <c r="A84" s="26" t="s">
        <v>3</v>
      </c>
      <c r="B84" s="26">
        <v>1111</v>
      </c>
      <c r="C84" s="26"/>
      <c r="D84" s="26"/>
      <c r="E84" s="26"/>
      <c r="F84" s="26"/>
    </row>
    <row r="85" spans="1:6" x14ac:dyDescent="0.25">
      <c r="A85" s="26" t="s">
        <v>2</v>
      </c>
      <c r="B85" s="26">
        <f>B$21</f>
        <v>42026.837481698392</v>
      </c>
      <c r="C85" s="26">
        <f>C$21</f>
        <v>62975.0390625</v>
      </c>
      <c r="D85" s="26" t="s">
        <v>51</v>
      </c>
      <c r="E85" s="26" t="s">
        <v>61</v>
      </c>
      <c r="F85" s="26"/>
    </row>
    <row r="86" spans="1:6" x14ac:dyDescent="0.25">
      <c r="A86" s="26" t="s">
        <v>2</v>
      </c>
      <c r="B86" s="26">
        <v>45577.049780380672</v>
      </c>
      <c r="C86" s="26">
        <v>39594.0625</v>
      </c>
      <c r="D86" s="26" t="s">
        <v>51</v>
      </c>
      <c r="E86" s="26" t="s">
        <v>60</v>
      </c>
      <c r="F86" s="26"/>
    </row>
    <row r="87" spans="1:6" x14ac:dyDescent="0.25">
      <c r="A87" s="26" t="s">
        <v>3</v>
      </c>
      <c r="B87" s="26">
        <v>1111</v>
      </c>
      <c r="C87" s="26"/>
      <c r="D87" s="26"/>
      <c r="E87" s="26"/>
      <c r="F87" s="26"/>
    </row>
    <row r="88" spans="1:6" x14ac:dyDescent="0.25">
      <c r="A88" s="26" t="s">
        <v>59</v>
      </c>
      <c r="B88" s="26"/>
      <c r="C88" s="26"/>
      <c r="D88" s="26"/>
      <c r="E88" s="26" t="s">
        <v>58</v>
      </c>
      <c r="F88" s="26"/>
    </row>
    <row r="89" spans="1:6" x14ac:dyDescent="0.25">
      <c r="A89" s="26" t="s">
        <v>89</v>
      </c>
      <c r="B89" s="26">
        <v>1111</v>
      </c>
      <c r="C89" s="26"/>
      <c r="D89" s="26" t="s">
        <v>87</v>
      </c>
      <c r="E89" s="26"/>
      <c r="F89" s="26"/>
    </row>
    <row r="90" spans="1:6" x14ac:dyDescent="0.25">
      <c r="A90" s="26" t="s">
        <v>2</v>
      </c>
      <c r="B90" s="1">
        <v>36941.398243045391</v>
      </c>
      <c r="C90" s="1">
        <v>4095.9375</v>
      </c>
      <c r="D90" s="1" t="s">
        <v>51</v>
      </c>
      <c r="E90" s="1" t="s">
        <v>50</v>
      </c>
      <c r="F90" s="1"/>
    </row>
    <row r="91" spans="1:6" x14ac:dyDescent="0.25">
      <c r="A91" s="26" t="s">
        <v>3</v>
      </c>
      <c r="B91" s="1">
        <v>1234</v>
      </c>
      <c r="C91" s="1"/>
      <c r="D91" s="1"/>
      <c r="E91" s="1"/>
      <c r="F91" s="1"/>
    </row>
    <row r="92" spans="1:6" x14ac:dyDescent="0.25">
      <c r="A92" s="26" t="s">
        <v>2</v>
      </c>
      <c r="B92" s="1">
        <v>27825.988286969256</v>
      </c>
      <c r="C92" s="1">
        <v>8703.8671875</v>
      </c>
      <c r="D92" s="1" t="s">
        <v>51</v>
      </c>
      <c r="E92" s="1" t="s">
        <v>52</v>
      </c>
      <c r="F92" s="1"/>
    </row>
    <row r="93" spans="1:6" x14ac:dyDescent="0.25">
      <c r="A93" s="26" t="s">
        <v>73</v>
      </c>
      <c r="B93" s="1"/>
      <c r="C93" s="1"/>
      <c r="D93" s="1"/>
      <c r="E93" s="1"/>
      <c r="F93" s="1"/>
    </row>
    <row r="94" spans="1:6" x14ac:dyDescent="0.25">
      <c r="A94" s="26" t="s">
        <v>3</v>
      </c>
      <c r="B94" s="1">
        <v>333</v>
      </c>
      <c r="C94" s="1"/>
      <c r="D94" s="1"/>
      <c r="E94" s="1"/>
      <c r="F94" s="1"/>
    </row>
    <row r="95" spans="1:6" x14ac:dyDescent="0.25">
      <c r="A95" s="1" t="s">
        <v>31</v>
      </c>
      <c r="B95" s="1" t="s">
        <v>78</v>
      </c>
      <c r="C95" s="1"/>
      <c r="D95" s="1"/>
      <c r="E95" s="1"/>
      <c r="F95" s="1"/>
    </row>
    <row r="96" spans="1:6" x14ac:dyDescent="0.25">
      <c r="A96" s="26" t="s">
        <v>47</v>
      </c>
      <c r="B96" s="1"/>
      <c r="C96" s="1"/>
      <c r="D96" s="1"/>
      <c r="E96" s="1"/>
      <c r="F96" s="1"/>
    </row>
    <row r="97" spans="1:6" x14ac:dyDescent="0.25">
      <c r="A97" s="1"/>
      <c r="B97" s="1">
        <v>4000</v>
      </c>
      <c r="C97" s="1"/>
      <c r="D97" s="1"/>
      <c r="E97" s="1"/>
      <c r="F97" s="1"/>
    </row>
    <row r="98" spans="1:6" x14ac:dyDescent="0.25">
      <c r="A98" s="1"/>
      <c r="B98" s="1">
        <v>28593.601756954613</v>
      </c>
      <c r="C98" s="1">
        <v>2815.95703125</v>
      </c>
      <c r="D98" s="1"/>
      <c r="E98" s="1"/>
      <c r="F98" s="1"/>
    </row>
    <row r="99" spans="1:6" x14ac:dyDescent="0.25">
      <c r="A99" s="1"/>
      <c r="B99" s="1">
        <v>555</v>
      </c>
      <c r="C99" s="1"/>
      <c r="D99" s="1"/>
      <c r="E99" s="1"/>
      <c r="F99" s="1"/>
    </row>
    <row r="100" spans="1:6" x14ac:dyDescent="0.25">
      <c r="A100" s="26" t="s">
        <v>71</v>
      </c>
      <c r="B100" s="1">
        <v>45912.880673499269</v>
      </c>
      <c r="C100" s="1">
        <v>30207.5390625</v>
      </c>
      <c r="D100" s="1" t="s">
        <v>51</v>
      </c>
      <c r="E100" s="1" t="s">
        <v>74</v>
      </c>
      <c r="F100" s="1"/>
    </row>
    <row r="101" spans="1:6" x14ac:dyDescent="0.25">
      <c r="A101" s="26" t="s">
        <v>69</v>
      </c>
      <c r="B101" s="1"/>
      <c r="C101" s="1"/>
      <c r="D101" s="1"/>
      <c r="E101" s="1"/>
      <c r="F101" s="1"/>
    </row>
    <row r="102" spans="1:6" x14ac:dyDescent="0.25">
      <c r="A102" s="26" t="s">
        <v>71</v>
      </c>
      <c r="B102" s="1">
        <v>51669.981698389456</v>
      </c>
      <c r="C102" s="1">
        <v>61353.73046875</v>
      </c>
      <c r="D102" s="1" t="s">
        <v>51</v>
      </c>
      <c r="E102" s="1" t="s">
        <v>74</v>
      </c>
      <c r="F102" s="1"/>
    </row>
    <row r="103" spans="1:6" x14ac:dyDescent="0.25">
      <c r="A103" s="26" t="s">
        <v>70</v>
      </c>
      <c r="B103" s="1"/>
      <c r="C103" s="1"/>
      <c r="D103" s="1"/>
      <c r="E103" s="1"/>
      <c r="F103" s="1"/>
    </row>
    <row r="104" spans="1:6" x14ac:dyDescent="0.25">
      <c r="A104" s="26" t="s">
        <v>3</v>
      </c>
      <c r="B104" s="26">
        <f>B$18</f>
        <v>2222</v>
      </c>
      <c r="C104" s="26"/>
      <c r="D104" s="26"/>
      <c r="E104" s="26"/>
      <c r="F104" s="26"/>
    </row>
    <row r="105" spans="1:6" x14ac:dyDescent="0.25">
      <c r="A105" s="26" t="s">
        <v>2</v>
      </c>
      <c r="B105" s="26">
        <v>58290.64787701318</v>
      </c>
      <c r="C105" s="26">
        <v>37631.42578125</v>
      </c>
      <c r="D105" s="26" t="s">
        <v>51</v>
      </c>
      <c r="E105" s="26" t="s">
        <v>49</v>
      </c>
      <c r="F105" s="26"/>
    </row>
    <row r="106" spans="1:6" x14ac:dyDescent="0.25">
      <c r="A106" s="26" t="s">
        <v>3</v>
      </c>
      <c r="B106" s="26">
        <v>1111</v>
      </c>
      <c r="C106" s="26"/>
      <c r="D106" s="26"/>
      <c r="E106" s="26"/>
      <c r="F106" s="26"/>
    </row>
    <row r="107" spans="1:6" x14ac:dyDescent="0.25">
      <c r="A107" s="26" t="s">
        <v>2</v>
      </c>
      <c r="B107" s="26">
        <f>B$21</f>
        <v>42026.837481698392</v>
      </c>
      <c r="C107" s="26">
        <f>C$21</f>
        <v>62975.0390625</v>
      </c>
      <c r="D107" s="26" t="s">
        <v>51</v>
      </c>
      <c r="E107" s="26" t="s">
        <v>61</v>
      </c>
      <c r="F107" s="26"/>
    </row>
    <row r="108" spans="1:6" x14ac:dyDescent="0.25">
      <c r="A108" s="26" t="s">
        <v>2</v>
      </c>
      <c r="B108" s="26">
        <v>45577.049780380672</v>
      </c>
      <c r="C108" s="26">
        <v>39594.0625</v>
      </c>
      <c r="D108" s="26" t="s">
        <v>51</v>
      </c>
      <c r="E108" s="26" t="s">
        <v>60</v>
      </c>
      <c r="F108" s="26"/>
    </row>
    <row r="109" spans="1:6" x14ac:dyDescent="0.25">
      <c r="A109" s="26" t="s">
        <v>3</v>
      </c>
      <c r="B109" s="26">
        <v>1111</v>
      </c>
      <c r="C109" s="26"/>
      <c r="D109" s="26"/>
      <c r="E109" s="26"/>
      <c r="F109" s="26"/>
    </row>
    <row r="110" spans="1:6" x14ac:dyDescent="0.25">
      <c r="A110" s="26" t="s">
        <v>59</v>
      </c>
      <c r="B110" s="26"/>
      <c r="C110" s="26"/>
      <c r="D110" s="26"/>
      <c r="E110" s="26" t="s">
        <v>58</v>
      </c>
      <c r="F110" s="26"/>
    </row>
    <row r="111" spans="1:6" x14ac:dyDescent="0.25">
      <c r="A111" s="26" t="s">
        <v>89</v>
      </c>
      <c r="B111" s="26">
        <v>1111</v>
      </c>
      <c r="C111" s="26"/>
      <c r="D111" s="26" t="s">
        <v>87</v>
      </c>
      <c r="E111" s="26"/>
      <c r="F111" s="26"/>
    </row>
    <row r="112" spans="1:6" x14ac:dyDescent="0.25">
      <c r="A112" s="26" t="s">
        <v>2</v>
      </c>
      <c r="B112" s="1">
        <v>36941.398243045391</v>
      </c>
      <c r="C112" s="1">
        <v>4095.9375</v>
      </c>
      <c r="D112" s="1" t="s">
        <v>51</v>
      </c>
      <c r="E112" s="1" t="s">
        <v>50</v>
      </c>
      <c r="F112" s="1"/>
    </row>
    <row r="113" spans="1:6" x14ac:dyDescent="0.25">
      <c r="A113" s="26" t="s">
        <v>3</v>
      </c>
      <c r="B113" s="1">
        <v>1234</v>
      </c>
      <c r="C113" s="1"/>
      <c r="D113" s="1"/>
      <c r="E113" s="1"/>
      <c r="F113" s="1"/>
    </row>
    <row r="114" spans="1:6" x14ac:dyDescent="0.25">
      <c r="A114" s="26" t="s">
        <v>2</v>
      </c>
      <c r="B114" s="1">
        <v>27825.988286969256</v>
      </c>
      <c r="C114" s="1">
        <v>8703.8671875</v>
      </c>
      <c r="D114" s="1" t="s">
        <v>51</v>
      </c>
      <c r="E114" s="1" t="s">
        <v>52</v>
      </c>
      <c r="F114" s="1"/>
    </row>
    <row r="115" spans="1:6" x14ac:dyDescent="0.25">
      <c r="A115" s="26" t="s">
        <v>73</v>
      </c>
      <c r="B115" s="1"/>
      <c r="C115" s="1"/>
      <c r="D115" s="1"/>
      <c r="E115" s="1"/>
      <c r="F115" s="1"/>
    </row>
    <row r="116" spans="1:6" x14ac:dyDescent="0.25">
      <c r="A116" s="26" t="s">
        <v>3</v>
      </c>
      <c r="B116" s="1">
        <v>333</v>
      </c>
      <c r="C116" s="1"/>
      <c r="D116" s="1"/>
      <c r="E116" s="1"/>
      <c r="F116" s="1"/>
    </row>
    <row r="117" spans="1:6" x14ac:dyDescent="0.25">
      <c r="A117" s="1" t="s">
        <v>31</v>
      </c>
      <c r="B117" s="1" t="s">
        <v>79</v>
      </c>
      <c r="C117" s="1"/>
      <c r="D117" s="1" t="s">
        <v>80</v>
      </c>
      <c r="E117" s="1"/>
      <c r="F117" s="1"/>
    </row>
    <row r="118" spans="1:6" x14ac:dyDescent="0.25">
      <c r="A118" s="26" t="s">
        <v>47</v>
      </c>
      <c r="B118" s="1"/>
      <c r="C118" s="1"/>
      <c r="D118" s="1"/>
      <c r="E118" s="1"/>
      <c r="F118" s="1"/>
    </row>
    <row r="119" spans="1:6" x14ac:dyDescent="0.25">
      <c r="A119" s="1"/>
      <c r="B119" s="1">
        <v>4000</v>
      </c>
      <c r="C119" s="1"/>
      <c r="D119" s="1"/>
      <c r="E119" s="1"/>
      <c r="F119" s="1"/>
    </row>
    <row r="120" spans="1:6" x14ac:dyDescent="0.25">
      <c r="A120" s="1"/>
      <c r="B120" s="1">
        <v>28593.601756954613</v>
      </c>
      <c r="C120" s="1">
        <v>2815.95703125</v>
      </c>
      <c r="D120" s="1"/>
      <c r="E120" s="1"/>
      <c r="F120" s="1"/>
    </row>
    <row r="121" spans="1:6" x14ac:dyDescent="0.25">
      <c r="A121" s="1"/>
      <c r="B121" s="1">
        <v>555</v>
      </c>
      <c r="C121" s="1"/>
      <c r="D121" s="1"/>
      <c r="E121" s="1"/>
      <c r="F121" s="1"/>
    </row>
    <row r="122" spans="1:6" x14ac:dyDescent="0.25">
      <c r="A122" s="26" t="s">
        <v>71</v>
      </c>
      <c r="B122" s="1">
        <v>13529.187408491947</v>
      </c>
      <c r="C122" s="1">
        <v>26196.93359375</v>
      </c>
      <c r="D122" s="1" t="s">
        <v>51</v>
      </c>
      <c r="E122" s="1" t="s">
        <v>74</v>
      </c>
      <c r="F122" s="1"/>
    </row>
    <row r="123" spans="1:6" x14ac:dyDescent="0.25">
      <c r="A123" s="26" t="s">
        <v>69</v>
      </c>
      <c r="B123" s="1"/>
      <c r="C123" s="1"/>
      <c r="D123" s="1"/>
      <c r="E123" s="1"/>
      <c r="F123" s="1"/>
    </row>
    <row r="124" spans="1:6" x14ac:dyDescent="0.25">
      <c r="A124" s="26" t="s">
        <v>71</v>
      </c>
      <c r="B124" s="1">
        <v>27442.181551976573</v>
      </c>
      <c r="C124" s="1">
        <v>34474.140625</v>
      </c>
      <c r="D124" s="1" t="s">
        <v>51</v>
      </c>
      <c r="E124" s="1" t="s">
        <v>74</v>
      </c>
      <c r="F124" s="1"/>
    </row>
    <row r="125" spans="1:6" x14ac:dyDescent="0.25">
      <c r="A125" s="26" t="s">
        <v>70</v>
      </c>
      <c r="B125" s="1"/>
      <c r="C125" s="1"/>
      <c r="D125" s="1"/>
      <c r="E125" s="1"/>
      <c r="F125" s="1"/>
    </row>
    <row r="126" spans="1:6" x14ac:dyDescent="0.25">
      <c r="A126" s="26" t="s">
        <v>3</v>
      </c>
      <c r="B126" s="26">
        <f>B$18</f>
        <v>2222</v>
      </c>
      <c r="C126" s="26"/>
      <c r="D126" s="26"/>
      <c r="E126" s="26"/>
      <c r="F126" s="26"/>
    </row>
    <row r="127" spans="1:6" x14ac:dyDescent="0.25">
      <c r="A127" s="26" t="s">
        <v>2</v>
      </c>
      <c r="B127" s="26">
        <v>58290.64787701318</v>
      </c>
      <c r="C127" s="26">
        <v>37631.42578125</v>
      </c>
      <c r="D127" s="26" t="s">
        <v>51</v>
      </c>
      <c r="E127" s="26" t="s">
        <v>49</v>
      </c>
      <c r="F127" s="26"/>
    </row>
    <row r="128" spans="1:6" x14ac:dyDescent="0.25">
      <c r="A128" s="26" t="s">
        <v>3</v>
      </c>
      <c r="B128" s="26">
        <v>1111</v>
      </c>
      <c r="C128" s="26"/>
      <c r="D128" s="26"/>
      <c r="E128" s="26"/>
      <c r="F128" s="26"/>
    </row>
    <row r="129" spans="1:9" x14ac:dyDescent="0.25">
      <c r="A129" s="26" t="s">
        <v>2</v>
      </c>
      <c r="B129" s="26">
        <f>B$21</f>
        <v>42026.837481698392</v>
      </c>
      <c r="C129" s="26">
        <f>C$21</f>
        <v>62975.0390625</v>
      </c>
      <c r="D129" s="26" t="s">
        <v>51</v>
      </c>
      <c r="E129" s="26" t="s">
        <v>61</v>
      </c>
      <c r="F129" s="26"/>
    </row>
    <row r="130" spans="1:9" x14ac:dyDescent="0.25">
      <c r="A130" s="26" t="s">
        <v>2</v>
      </c>
      <c r="B130" s="26">
        <v>45577.049780380672</v>
      </c>
      <c r="C130" s="26">
        <v>39594.0625</v>
      </c>
      <c r="D130" s="26" t="s">
        <v>51</v>
      </c>
      <c r="E130" s="26" t="s">
        <v>60</v>
      </c>
      <c r="F130" s="26"/>
    </row>
    <row r="131" spans="1:9" x14ac:dyDescent="0.25">
      <c r="A131" s="26" t="s">
        <v>3</v>
      </c>
      <c r="B131" s="26">
        <v>1111</v>
      </c>
      <c r="C131" s="26"/>
      <c r="D131" s="26"/>
      <c r="E131" s="26"/>
      <c r="F131" s="26"/>
    </row>
    <row r="132" spans="1:9" x14ac:dyDescent="0.25">
      <c r="A132" s="26" t="s">
        <v>59</v>
      </c>
      <c r="B132" s="26"/>
      <c r="C132" s="26"/>
      <c r="D132" s="26"/>
      <c r="E132" s="26" t="s">
        <v>58</v>
      </c>
      <c r="F132" s="26"/>
    </row>
    <row r="133" spans="1:9" x14ac:dyDescent="0.25">
      <c r="A133" s="26" t="s">
        <v>89</v>
      </c>
      <c r="B133" s="26">
        <v>1111</v>
      </c>
      <c r="C133" s="26"/>
      <c r="D133" s="26" t="s">
        <v>87</v>
      </c>
      <c r="E133" s="26"/>
      <c r="F133" s="26"/>
    </row>
    <row r="134" spans="1:9" x14ac:dyDescent="0.25">
      <c r="A134" s="26" t="s">
        <v>2</v>
      </c>
      <c r="B134" s="1">
        <v>36941.398243045391</v>
      </c>
      <c r="C134" s="1">
        <v>4095.9375</v>
      </c>
      <c r="D134" s="1" t="s">
        <v>51</v>
      </c>
      <c r="E134" s="1" t="s">
        <v>50</v>
      </c>
      <c r="F134" s="1"/>
    </row>
    <row r="135" spans="1:9" x14ac:dyDescent="0.25">
      <c r="A135" s="26" t="s">
        <v>3</v>
      </c>
      <c r="B135" s="1">
        <v>1234</v>
      </c>
      <c r="C135" s="1"/>
      <c r="D135" s="1"/>
      <c r="E135" s="1"/>
      <c r="F135" s="1"/>
    </row>
    <row r="136" spans="1:9" x14ac:dyDescent="0.25">
      <c r="A136" s="26" t="s">
        <v>2</v>
      </c>
      <c r="B136" s="1">
        <v>27825.988286969256</v>
      </c>
      <c r="C136" s="1">
        <v>8703.8671875</v>
      </c>
      <c r="D136" s="1" t="s">
        <v>51</v>
      </c>
      <c r="E136" s="1" t="s">
        <v>52</v>
      </c>
      <c r="F136" s="1"/>
    </row>
    <row r="137" spans="1:9" x14ac:dyDescent="0.25">
      <c r="A137" s="26" t="s">
        <v>73</v>
      </c>
      <c r="B137" s="1"/>
      <c r="C137" s="1"/>
      <c r="D137" s="1"/>
      <c r="E137" s="1"/>
      <c r="F137" s="1"/>
    </row>
    <row r="138" spans="1:9" x14ac:dyDescent="0.25">
      <c r="A138" s="26" t="s">
        <v>3</v>
      </c>
      <c r="B138" s="1">
        <v>1234</v>
      </c>
    </row>
    <row r="139" spans="1:9" x14ac:dyDescent="0.25">
      <c r="A139" s="1" t="s">
        <v>31</v>
      </c>
      <c r="B139" t="s">
        <v>843</v>
      </c>
      <c r="D139" t="s">
        <v>844</v>
      </c>
    </row>
    <row r="140" spans="1:9" x14ac:dyDescent="0.25">
      <c r="A140" s="26" t="s">
        <v>3</v>
      </c>
      <c r="B140" s="1">
        <v>1234</v>
      </c>
    </row>
    <row r="141" spans="1:9" x14ac:dyDescent="0.25">
      <c r="A141" s="26" t="s">
        <v>2</v>
      </c>
      <c r="B141">
        <v>64383.579795021964</v>
      </c>
      <c r="C141">
        <v>1450.64453125</v>
      </c>
      <c r="D141" t="s">
        <v>841</v>
      </c>
      <c r="I141" s="6"/>
    </row>
    <row r="142" spans="1:9" x14ac:dyDescent="0.25">
      <c r="A142" s="26" t="s">
        <v>3</v>
      </c>
      <c r="B142" s="1">
        <v>1234</v>
      </c>
    </row>
    <row r="143" spans="1:9" x14ac:dyDescent="0.25">
      <c r="C143" t="s">
        <v>67</v>
      </c>
      <c r="D143" t="s">
        <v>67</v>
      </c>
    </row>
    <row r="284" spans="9:9" x14ac:dyDescent="0.25">
      <c r="I284" t="s">
        <v>842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4809-5588-42AF-866F-4BEFE82BAE2D}">
  <sheetPr codeName="Hoja9" filterMode="1"/>
  <dimension ref="A1:AB889"/>
  <sheetViews>
    <sheetView topLeftCell="H1" zoomScaleNormal="100" workbookViewId="0">
      <pane ySplit="1" topLeftCell="A2" activePane="bottomLeft" state="frozen"/>
      <selection pane="bottomLeft" activeCell="M60" sqref="M60"/>
    </sheetView>
  </sheetViews>
  <sheetFormatPr baseColWidth="10" defaultRowHeight="15" x14ac:dyDescent="0.25"/>
  <cols>
    <col min="1" max="1" width="3.7109375" style="1" customWidth="1"/>
    <col min="2" max="2" width="15.42578125" style="20" customWidth="1"/>
    <col min="3" max="3" width="9.28515625" style="20" bestFit="1" customWidth="1"/>
    <col min="4" max="4" width="13.140625" style="20" customWidth="1"/>
    <col min="5" max="5" width="11.85546875" style="21" bestFit="1" customWidth="1"/>
    <col min="6" max="6" width="4.85546875" style="1" customWidth="1"/>
    <col min="7" max="7" width="15.7109375" style="1" customWidth="1"/>
    <col min="8" max="8" width="23.28515625" style="1" customWidth="1"/>
    <col min="9" max="9" width="7.5703125" style="1" customWidth="1"/>
    <col min="10" max="10" width="11.85546875" style="21" customWidth="1"/>
    <col min="11" max="11" width="18.28515625" style="1" bestFit="1" customWidth="1"/>
    <col min="12" max="12" width="8.28515625" style="23" customWidth="1"/>
    <col min="13" max="13" width="6.5703125" style="1" customWidth="1"/>
    <col min="14" max="14" width="7.85546875" style="1" customWidth="1"/>
    <col min="15" max="15" width="6.140625" style="54" customWidth="1"/>
    <col min="16" max="16" width="6.140625" style="33" customWidth="1"/>
    <col min="17" max="17" width="7.5703125" style="33" customWidth="1"/>
    <col min="18" max="18" width="12" style="55" customWidth="1"/>
    <col min="19" max="19" width="7.5703125" style="33" customWidth="1"/>
    <col min="20" max="20" width="15" style="1" customWidth="1"/>
    <col min="21" max="21" width="15.42578125" style="20" customWidth="1"/>
    <col min="22" max="22" width="15" style="1" customWidth="1"/>
    <col min="23" max="28" width="11.42578125" style="1"/>
  </cols>
  <sheetData>
    <row r="1" spans="1:28" ht="60" customHeight="1" x14ac:dyDescent="0.25">
      <c r="A1" s="18" t="s">
        <v>97</v>
      </c>
      <c r="B1" s="16" t="s">
        <v>98</v>
      </c>
      <c r="C1" s="16" t="s">
        <v>99</v>
      </c>
      <c r="D1" s="16" t="s">
        <v>100</v>
      </c>
      <c r="E1" s="17" t="s">
        <v>101</v>
      </c>
      <c r="F1" s="18" t="s">
        <v>102</v>
      </c>
      <c r="G1" s="18" t="s">
        <v>103</v>
      </c>
      <c r="H1" s="18" t="s">
        <v>104</v>
      </c>
      <c r="I1" s="18" t="s">
        <v>105</v>
      </c>
      <c r="J1" s="17" t="s">
        <v>106</v>
      </c>
      <c r="K1" s="19" t="s">
        <v>107</v>
      </c>
      <c r="L1" s="19" t="s">
        <v>108</v>
      </c>
      <c r="M1" s="1" t="s">
        <v>109</v>
      </c>
      <c r="N1" s="18" t="s">
        <v>110</v>
      </c>
      <c r="O1" s="47" t="s">
        <v>111</v>
      </c>
      <c r="P1" s="48" t="s">
        <v>112</v>
      </c>
      <c r="Q1" s="48" t="s">
        <v>113</v>
      </c>
      <c r="R1" s="48" t="s">
        <v>817</v>
      </c>
      <c r="S1" s="49" t="s">
        <v>818</v>
      </c>
      <c r="T1" s="41" t="s">
        <v>114</v>
      </c>
      <c r="U1" s="43" t="s">
        <v>115</v>
      </c>
      <c r="V1" s="50" t="s">
        <v>819</v>
      </c>
      <c r="W1" s="51" t="s">
        <v>116</v>
      </c>
      <c r="X1" s="52" t="s">
        <v>117</v>
      </c>
      <c r="Y1" s="53" t="s">
        <v>118</v>
      </c>
      <c r="Z1" s="48" t="s">
        <v>119</v>
      </c>
      <c r="AA1" s="9" t="s">
        <v>820</v>
      </c>
      <c r="AB1" s="9" t="s">
        <v>821</v>
      </c>
    </row>
    <row r="2" spans="1:28" hidden="1" x14ac:dyDescent="0.25">
      <c r="A2" s="1">
        <v>2400</v>
      </c>
      <c r="B2" s="45"/>
      <c r="C2" s="45"/>
      <c r="D2" s="31"/>
      <c r="E2" s="32"/>
      <c r="G2" s="25"/>
      <c r="J2" s="33"/>
      <c r="K2" s="22"/>
      <c r="N2" s="23"/>
      <c r="T2" s="42"/>
      <c r="U2" s="46"/>
      <c r="V2" s="21"/>
    </row>
    <row r="3" spans="1:28" hidden="1" x14ac:dyDescent="0.25">
      <c r="A3" s="1">
        <v>1200</v>
      </c>
      <c r="B3" s="45"/>
      <c r="C3" s="45"/>
      <c r="D3" s="31"/>
      <c r="E3" s="35"/>
      <c r="G3" s="25"/>
      <c r="J3" s="33"/>
      <c r="K3" s="22"/>
      <c r="T3" s="42"/>
      <c r="U3" s="46"/>
      <c r="V3" s="21"/>
    </row>
    <row r="4" spans="1:28" hidden="1" x14ac:dyDescent="0.25">
      <c r="A4" s="1">
        <v>1200</v>
      </c>
      <c r="B4" s="45"/>
      <c r="C4" s="45"/>
      <c r="G4" s="25"/>
      <c r="J4" s="33"/>
      <c r="K4" s="22"/>
      <c r="T4" s="42"/>
      <c r="U4" s="56"/>
    </row>
    <row r="5" spans="1:28" hidden="1" x14ac:dyDescent="0.25">
      <c r="A5" s="1">
        <v>3000</v>
      </c>
      <c r="B5" s="45"/>
      <c r="C5" s="45"/>
      <c r="D5" s="31"/>
      <c r="G5" s="25"/>
      <c r="J5" s="33"/>
      <c r="K5" s="24"/>
      <c r="N5" s="25"/>
      <c r="O5" s="57"/>
      <c r="P5" s="58"/>
      <c r="Q5" s="58"/>
      <c r="R5" s="59"/>
      <c r="S5" s="58"/>
      <c r="T5" s="25"/>
      <c r="V5" s="25"/>
    </row>
    <row r="6" spans="1:28" hidden="1" x14ac:dyDescent="0.25">
      <c r="A6" s="1">
        <v>1200</v>
      </c>
      <c r="B6" s="45"/>
      <c r="C6" s="45"/>
      <c r="D6" s="34"/>
      <c r="G6" s="25"/>
      <c r="J6" s="33"/>
      <c r="K6" s="22"/>
    </row>
    <row r="7" spans="1:28" hidden="1" x14ac:dyDescent="0.25">
      <c r="B7" s="45"/>
      <c r="C7" s="45"/>
      <c r="D7" s="31"/>
      <c r="G7" s="25"/>
      <c r="J7" s="33"/>
      <c r="K7" s="22"/>
    </row>
    <row r="8" spans="1:28" hidden="1" x14ac:dyDescent="0.25">
      <c r="B8" s="45"/>
      <c r="C8" s="45"/>
      <c r="E8" s="35"/>
      <c r="G8" s="25"/>
      <c r="J8" s="33"/>
      <c r="K8" s="22"/>
    </row>
    <row r="9" spans="1:28" hidden="1" x14ac:dyDescent="0.25">
      <c r="A9" s="1">
        <v>3000</v>
      </c>
      <c r="B9" s="45"/>
      <c r="C9" s="45"/>
      <c r="D9" s="26"/>
      <c r="G9" s="25"/>
      <c r="J9" s="33"/>
      <c r="K9" s="22"/>
    </row>
    <row r="10" spans="1:28" hidden="1" x14ac:dyDescent="0.25">
      <c r="A10" s="1">
        <v>2400</v>
      </c>
      <c r="B10" s="45"/>
      <c r="C10" s="45"/>
      <c r="D10" s="31"/>
      <c r="G10" s="25"/>
      <c r="J10" s="33"/>
      <c r="K10" s="22"/>
      <c r="N10" s="21"/>
    </row>
    <row r="11" spans="1:28" hidden="1" x14ac:dyDescent="0.25">
      <c r="B11" s="45"/>
      <c r="C11" s="45"/>
      <c r="E11" s="35"/>
      <c r="G11" s="25"/>
      <c r="J11" s="33"/>
      <c r="K11" s="22"/>
    </row>
    <row r="12" spans="1:28" hidden="1" x14ac:dyDescent="0.25">
      <c r="A12" s="1">
        <v>10</v>
      </c>
      <c r="B12" s="45"/>
      <c r="C12" s="45"/>
      <c r="D12" s="31"/>
      <c r="E12" s="35"/>
      <c r="G12" s="25"/>
      <c r="J12" s="33"/>
      <c r="K12" s="22"/>
    </row>
    <row r="13" spans="1:28" hidden="1" x14ac:dyDescent="0.25">
      <c r="A13" s="1">
        <v>10</v>
      </c>
      <c r="B13" s="45"/>
      <c r="C13" s="45"/>
      <c r="E13" s="32"/>
      <c r="G13" s="25"/>
      <c r="J13" s="33"/>
      <c r="K13" s="22"/>
    </row>
    <row r="14" spans="1:28" hidden="1" x14ac:dyDescent="0.25">
      <c r="A14" s="1">
        <v>10</v>
      </c>
      <c r="B14" s="45"/>
      <c r="C14" s="45"/>
      <c r="D14" s="31"/>
      <c r="E14" s="32"/>
      <c r="G14" s="25"/>
      <c r="J14" s="33"/>
      <c r="K14" s="24"/>
    </row>
    <row r="15" spans="1:28" hidden="1" x14ac:dyDescent="0.25">
      <c r="A15" s="1">
        <v>144</v>
      </c>
      <c r="B15" s="45"/>
      <c r="C15" s="45"/>
      <c r="E15" s="35"/>
      <c r="G15" s="25"/>
      <c r="J15" s="33"/>
      <c r="K15" s="24"/>
    </row>
    <row r="16" spans="1:28" hidden="1" x14ac:dyDescent="0.25">
      <c r="A16" s="1">
        <v>144</v>
      </c>
      <c r="B16" s="45"/>
      <c r="C16" s="45"/>
      <c r="D16" s="31"/>
      <c r="G16" s="25"/>
      <c r="J16" s="33"/>
      <c r="K16" s="24"/>
    </row>
    <row r="17" spans="1:23" hidden="1" x14ac:dyDescent="0.25">
      <c r="A17" s="1">
        <v>144</v>
      </c>
      <c r="B17" s="45"/>
      <c r="C17" s="45"/>
      <c r="E17" s="35"/>
      <c r="G17" s="25"/>
      <c r="J17" s="33"/>
      <c r="K17" s="24"/>
      <c r="M17" s="23"/>
    </row>
    <row r="18" spans="1:23" hidden="1" x14ac:dyDescent="0.25">
      <c r="A18" s="1">
        <v>144</v>
      </c>
      <c r="B18" s="45"/>
      <c r="C18" s="45"/>
      <c r="E18" s="35"/>
      <c r="G18" s="25"/>
      <c r="J18" s="33"/>
      <c r="K18" s="24"/>
    </row>
    <row r="19" spans="1:23" hidden="1" x14ac:dyDescent="0.25">
      <c r="A19" s="1">
        <v>24</v>
      </c>
      <c r="B19" s="45"/>
      <c r="C19" s="45"/>
      <c r="D19" s="36"/>
      <c r="E19" s="35"/>
      <c r="G19" s="25"/>
      <c r="J19" s="33"/>
      <c r="K19" s="24"/>
    </row>
    <row r="20" spans="1:23" hidden="1" x14ac:dyDescent="0.25">
      <c r="A20" s="1">
        <v>440</v>
      </c>
      <c r="B20" s="45"/>
      <c r="C20" s="46"/>
      <c r="D20" s="35"/>
      <c r="G20" s="25"/>
      <c r="J20" s="33"/>
      <c r="K20" s="22"/>
    </row>
    <row r="21" spans="1:23" hidden="1" x14ac:dyDescent="0.25">
      <c r="A21" s="1">
        <v>500</v>
      </c>
      <c r="B21" s="45"/>
      <c r="C21" s="45"/>
      <c r="D21" s="36"/>
      <c r="E21" s="35"/>
      <c r="G21" s="25"/>
      <c r="J21" s="33"/>
      <c r="K21" s="22"/>
      <c r="V21" s="55"/>
    </row>
    <row r="22" spans="1:23" hidden="1" x14ac:dyDescent="0.25">
      <c r="A22" s="1">
        <v>24</v>
      </c>
      <c r="B22" s="45"/>
      <c r="C22" s="45"/>
      <c r="E22" s="32"/>
      <c r="G22" s="25"/>
      <c r="J22" s="33"/>
      <c r="K22" s="24"/>
    </row>
    <row r="23" spans="1:23" hidden="1" x14ac:dyDescent="0.25">
      <c r="A23" s="1">
        <v>60</v>
      </c>
      <c r="B23" s="45"/>
      <c r="C23" s="45"/>
      <c r="G23" s="25"/>
      <c r="J23" s="33"/>
      <c r="K23" s="22"/>
    </row>
    <row r="24" spans="1:23" hidden="1" x14ac:dyDescent="0.25">
      <c r="A24" s="1">
        <v>4</v>
      </c>
      <c r="B24" s="45"/>
      <c r="C24" s="45"/>
      <c r="D24" s="31"/>
      <c r="E24" s="35"/>
      <c r="G24" s="25"/>
      <c r="J24" s="33"/>
      <c r="K24" s="22"/>
    </row>
    <row r="25" spans="1:23" hidden="1" x14ac:dyDescent="0.25">
      <c r="A25" s="1">
        <v>200</v>
      </c>
      <c r="B25" s="45"/>
      <c r="C25" s="45"/>
      <c r="D25" s="31"/>
      <c r="G25" s="25"/>
      <c r="J25" s="33"/>
      <c r="K25" s="22"/>
    </row>
    <row r="26" spans="1:23" hidden="1" x14ac:dyDescent="0.25">
      <c r="A26" s="1">
        <v>100</v>
      </c>
      <c r="B26" s="45"/>
      <c r="C26" s="45"/>
      <c r="E26" s="32"/>
      <c r="G26" s="25"/>
      <c r="J26" s="33"/>
      <c r="K26" s="22"/>
    </row>
    <row r="27" spans="1:23" hidden="1" x14ac:dyDescent="0.25">
      <c r="B27" s="45"/>
      <c r="C27" s="45"/>
      <c r="D27" s="37"/>
      <c r="E27" s="35"/>
      <c r="G27" s="25"/>
      <c r="J27" s="33"/>
      <c r="K27" s="22"/>
    </row>
    <row r="28" spans="1:23" hidden="1" x14ac:dyDescent="0.25">
      <c r="B28" s="45"/>
      <c r="C28" s="45"/>
      <c r="D28" s="37"/>
      <c r="G28" s="25"/>
      <c r="J28" s="33"/>
      <c r="K28" s="22"/>
    </row>
    <row r="29" spans="1:23" hidden="1" x14ac:dyDescent="0.25">
      <c r="A29" s="1">
        <v>36</v>
      </c>
      <c r="B29" s="45"/>
      <c r="C29" s="45"/>
      <c r="D29" s="37"/>
      <c r="E29" s="35"/>
      <c r="G29" s="25"/>
      <c r="J29" s="33"/>
      <c r="K29" s="22"/>
      <c r="N29" s="38"/>
      <c r="O29" s="57"/>
      <c r="P29" s="58"/>
      <c r="Q29" s="58"/>
      <c r="R29" s="59"/>
      <c r="S29" s="58"/>
      <c r="T29" s="38"/>
      <c r="V29" s="38"/>
    </row>
    <row r="30" spans="1:23" hidden="1" x14ac:dyDescent="0.25">
      <c r="A30" s="1">
        <v>96</v>
      </c>
      <c r="B30" s="45"/>
      <c r="C30" s="45"/>
      <c r="D30" s="31"/>
      <c r="G30" s="25"/>
      <c r="J30" s="33"/>
      <c r="K30" s="24"/>
    </row>
    <row r="31" spans="1:23" hidden="1" x14ac:dyDescent="0.25">
      <c r="A31" s="1">
        <v>300</v>
      </c>
      <c r="B31" s="45"/>
      <c r="C31" s="45"/>
      <c r="D31" s="31"/>
      <c r="E31" s="35"/>
      <c r="G31" s="25"/>
      <c r="J31" s="33"/>
      <c r="K31" s="24"/>
      <c r="S31" s="55"/>
    </row>
    <row r="32" spans="1:23" hidden="1" x14ac:dyDescent="0.25">
      <c r="A32" s="1">
        <v>4</v>
      </c>
      <c r="B32" s="45"/>
      <c r="C32" s="45"/>
      <c r="D32" s="31"/>
      <c r="E32" s="35"/>
      <c r="G32" s="25"/>
      <c r="J32" s="33"/>
      <c r="K32" s="24"/>
      <c r="M32" s="23"/>
      <c r="W32" s="22"/>
    </row>
    <row r="33" spans="1:15" hidden="1" x14ac:dyDescent="0.25">
      <c r="A33" s="1">
        <v>500</v>
      </c>
      <c r="B33" s="45"/>
      <c r="C33" s="45"/>
      <c r="D33" s="31"/>
      <c r="G33" s="25"/>
      <c r="J33" s="33"/>
      <c r="K33" s="24"/>
    </row>
    <row r="34" spans="1:15" hidden="1" x14ac:dyDescent="0.25">
      <c r="A34" s="1">
        <v>100</v>
      </c>
      <c r="B34" s="45"/>
      <c r="C34" s="45"/>
      <c r="D34" s="31"/>
      <c r="E34" s="32"/>
      <c r="G34" s="25"/>
      <c r="J34" s="33"/>
      <c r="K34" s="24"/>
    </row>
    <row r="35" spans="1:15" hidden="1" x14ac:dyDescent="0.25">
      <c r="A35" s="1">
        <v>2400</v>
      </c>
      <c r="B35" s="45"/>
      <c r="C35" s="45"/>
      <c r="D35" s="31"/>
      <c r="E35" s="35"/>
      <c r="G35" s="25"/>
      <c r="J35" s="33"/>
      <c r="K35" s="24"/>
    </row>
    <row r="36" spans="1:15" hidden="1" x14ac:dyDescent="0.25">
      <c r="B36" s="45"/>
      <c r="C36" s="45"/>
      <c r="D36" s="31"/>
      <c r="E36" s="35"/>
      <c r="G36" s="25"/>
      <c r="J36" s="33"/>
      <c r="K36" s="22"/>
    </row>
    <row r="37" spans="1:15" hidden="1" x14ac:dyDescent="0.25">
      <c r="A37" s="1">
        <v>20</v>
      </c>
      <c r="B37" s="45"/>
      <c r="C37" s="45"/>
      <c r="D37" s="31"/>
      <c r="E37" s="32"/>
      <c r="G37" s="25"/>
      <c r="J37" s="33"/>
      <c r="K37" s="22"/>
    </row>
    <row r="38" spans="1:15" hidden="1" x14ac:dyDescent="0.25">
      <c r="A38" s="1">
        <v>100</v>
      </c>
      <c r="B38" s="45"/>
      <c r="C38" s="45"/>
      <c r="D38" s="31"/>
      <c r="G38" s="25"/>
      <c r="J38" s="33"/>
      <c r="K38" s="22"/>
    </row>
    <row r="39" spans="1:15" hidden="1" x14ac:dyDescent="0.25">
      <c r="A39" s="1">
        <v>2000</v>
      </c>
      <c r="B39" s="45"/>
      <c r="C39" s="45"/>
      <c r="D39" s="31"/>
      <c r="E39" s="35"/>
      <c r="G39" s="25"/>
      <c r="J39" s="33"/>
      <c r="K39" s="22"/>
    </row>
    <row r="40" spans="1:15" hidden="1" x14ac:dyDescent="0.25">
      <c r="A40" s="1">
        <v>40</v>
      </c>
      <c r="B40" s="45"/>
      <c r="C40" s="45"/>
      <c r="D40" s="31"/>
      <c r="E40" s="35"/>
      <c r="G40" s="25"/>
      <c r="J40" s="33"/>
      <c r="K40" s="22"/>
    </row>
    <row r="41" spans="1:15" ht="30" hidden="1" x14ac:dyDescent="0.25">
      <c r="A41" s="1">
        <v>36</v>
      </c>
      <c r="B41" s="45"/>
      <c r="C41" s="45"/>
      <c r="D41" s="31"/>
      <c r="E41" s="35"/>
      <c r="G41" s="25"/>
      <c r="J41" s="18" t="s">
        <v>103</v>
      </c>
      <c r="K41" s="22"/>
    </row>
    <row r="42" spans="1:15" x14ac:dyDescent="0.25">
      <c r="B42" s="45" t="s">
        <v>321</v>
      </c>
      <c r="C42" s="45" t="s">
        <v>265</v>
      </c>
      <c r="D42" s="20">
        <v>431</v>
      </c>
      <c r="E42" s="21">
        <v>900</v>
      </c>
      <c r="F42" s="1" t="s">
        <v>68</v>
      </c>
      <c r="G42" s="25" t="s">
        <v>132</v>
      </c>
      <c r="H42" s="1" t="s">
        <v>202</v>
      </c>
      <c r="I42" s="1">
        <f>MAX((G$42:G$889=J42)*E$42:E$889)</f>
        <v>0</v>
      </c>
      <c r="J42" s="25" t="s">
        <v>120</v>
      </c>
      <c r="K42" s="22">
        <v>45224</v>
      </c>
      <c r="O42" s="54">
        <v>100</v>
      </c>
    </row>
    <row r="43" spans="1:15" x14ac:dyDescent="0.25">
      <c r="B43" s="45" t="s">
        <v>321</v>
      </c>
      <c r="C43" s="45" t="s">
        <v>265</v>
      </c>
      <c r="D43" s="20">
        <v>432</v>
      </c>
      <c r="E43" s="21">
        <v>2500</v>
      </c>
      <c r="F43" s="1" t="s">
        <v>68</v>
      </c>
      <c r="G43" s="25" t="s">
        <v>138</v>
      </c>
      <c r="H43" s="1" t="s">
        <v>203</v>
      </c>
      <c r="I43" s="1">
        <f t="shared" ref="I43:I106" si="0">MAX((G$42:G$889=J43)*E$42:E$889)</f>
        <v>0</v>
      </c>
      <c r="J43" s="25" t="s">
        <v>124</v>
      </c>
      <c r="K43" s="22">
        <v>45224</v>
      </c>
      <c r="O43" s="54">
        <v>1</v>
      </c>
    </row>
    <row r="44" spans="1:15" x14ac:dyDescent="0.25">
      <c r="B44" s="45" t="s">
        <v>321</v>
      </c>
      <c r="C44" s="45" t="s">
        <v>406</v>
      </c>
      <c r="D44" s="20">
        <v>432</v>
      </c>
      <c r="E44" s="21">
        <v>800</v>
      </c>
      <c r="F44" s="1" t="s">
        <v>68</v>
      </c>
      <c r="G44" s="25" t="s">
        <v>142</v>
      </c>
      <c r="H44" s="1" t="s">
        <v>143</v>
      </c>
      <c r="I44" s="1">
        <f t="shared" si="0"/>
        <v>0</v>
      </c>
      <c r="J44" s="25" t="s">
        <v>127</v>
      </c>
      <c r="K44" s="22">
        <v>45224</v>
      </c>
      <c r="O44" s="54">
        <v>1</v>
      </c>
    </row>
    <row r="45" spans="1:15" x14ac:dyDescent="0.25">
      <c r="B45" s="45" t="s">
        <v>321</v>
      </c>
      <c r="C45" s="45" t="s">
        <v>267</v>
      </c>
      <c r="D45" s="20">
        <v>433</v>
      </c>
      <c r="E45" s="21">
        <v>300</v>
      </c>
      <c r="F45" s="1" t="s">
        <v>144</v>
      </c>
      <c r="G45" s="25" t="s">
        <v>145</v>
      </c>
      <c r="H45" s="1" t="s">
        <v>204</v>
      </c>
      <c r="I45" s="1">
        <f t="shared" si="0"/>
        <v>0</v>
      </c>
      <c r="J45" s="25" t="s">
        <v>130</v>
      </c>
      <c r="K45" s="22">
        <v>45224</v>
      </c>
      <c r="O45" s="54">
        <v>1</v>
      </c>
    </row>
    <row r="46" spans="1:15" x14ac:dyDescent="0.25">
      <c r="B46" s="45" t="s">
        <v>321</v>
      </c>
      <c r="C46" s="45" t="s">
        <v>267</v>
      </c>
      <c r="D46" s="20">
        <v>433</v>
      </c>
      <c r="E46" s="21">
        <v>350</v>
      </c>
      <c r="F46" s="1" t="s">
        <v>68</v>
      </c>
      <c r="G46" s="25" t="s">
        <v>177</v>
      </c>
      <c r="H46" s="1" t="s">
        <v>205</v>
      </c>
      <c r="I46" s="1">
        <f t="shared" si="0"/>
        <v>0</v>
      </c>
      <c r="J46" s="25" t="s">
        <v>132</v>
      </c>
      <c r="K46" s="22">
        <v>45224</v>
      </c>
      <c r="O46" s="54">
        <v>1</v>
      </c>
    </row>
    <row r="47" spans="1:15" x14ac:dyDescent="0.25">
      <c r="B47" s="45" t="s">
        <v>321</v>
      </c>
      <c r="C47" s="45" t="s">
        <v>267</v>
      </c>
      <c r="D47" s="20">
        <v>433</v>
      </c>
      <c r="E47" s="21">
        <v>25000</v>
      </c>
      <c r="F47" s="1" t="s">
        <v>68</v>
      </c>
      <c r="G47" s="25" t="s">
        <v>120</v>
      </c>
      <c r="H47" s="1" t="s">
        <v>206</v>
      </c>
      <c r="I47" s="1">
        <f t="shared" si="0"/>
        <v>0</v>
      </c>
      <c r="J47" s="25" t="s">
        <v>134</v>
      </c>
      <c r="K47" s="22">
        <v>45224</v>
      </c>
      <c r="O47" s="54">
        <v>1</v>
      </c>
    </row>
    <row r="48" spans="1:15" x14ac:dyDescent="0.25">
      <c r="B48" s="45" t="s">
        <v>321</v>
      </c>
      <c r="C48" s="45" t="s">
        <v>267</v>
      </c>
      <c r="D48" s="20">
        <v>433</v>
      </c>
      <c r="E48" s="21">
        <v>5</v>
      </c>
      <c r="F48" s="1" t="s">
        <v>68</v>
      </c>
      <c r="G48" s="25" t="s">
        <v>200</v>
      </c>
      <c r="H48" s="1" t="s">
        <v>201</v>
      </c>
      <c r="I48" s="1">
        <f t="shared" si="0"/>
        <v>0</v>
      </c>
      <c r="J48" s="25" t="s">
        <v>136</v>
      </c>
      <c r="K48" s="22">
        <v>45224</v>
      </c>
      <c r="O48" s="54">
        <v>1</v>
      </c>
    </row>
    <row r="49" spans="1:15" x14ac:dyDescent="0.25">
      <c r="B49" s="45" t="s">
        <v>321</v>
      </c>
      <c r="C49" s="45" t="s">
        <v>525</v>
      </c>
      <c r="D49" s="20">
        <v>434</v>
      </c>
      <c r="E49" s="21">
        <v>2000</v>
      </c>
      <c r="F49" s="1" t="s">
        <v>68</v>
      </c>
      <c r="G49" s="25" t="s">
        <v>159</v>
      </c>
      <c r="H49" s="1" t="s">
        <v>160</v>
      </c>
      <c r="I49" s="1">
        <f t="shared" si="0"/>
        <v>0</v>
      </c>
      <c r="J49" s="25" t="s">
        <v>138</v>
      </c>
      <c r="O49" s="54">
        <v>1</v>
      </c>
    </row>
    <row r="50" spans="1:15" x14ac:dyDescent="0.25">
      <c r="B50" s="45" t="s">
        <v>321</v>
      </c>
      <c r="C50" s="45" t="s">
        <v>343</v>
      </c>
      <c r="D50" s="20">
        <v>438</v>
      </c>
      <c r="E50" s="21">
        <v>20000</v>
      </c>
      <c r="F50" s="1" t="s">
        <v>68</v>
      </c>
      <c r="G50" s="25" t="s">
        <v>140</v>
      </c>
      <c r="H50" s="1" t="s">
        <v>141</v>
      </c>
      <c r="I50" s="1">
        <f t="shared" si="0"/>
        <v>20000</v>
      </c>
      <c r="J50" s="25" t="s">
        <v>140</v>
      </c>
      <c r="K50" s="24">
        <v>45229.493993055556</v>
      </c>
      <c r="O50" s="54">
        <v>1</v>
      </c>
    </row>
    <row r="51" spans="1:15" x14ac:dyDescent="0.25">
      <c r="B51" s="45" t="s">
        <v>321</v>
      </c>
      <c r="C51" s="45" t="s">
        <v>343</v>
      </c>
      <c r="D51" s="20">
        <v>435</v>
      </c>
      <c r="E51" s="21">
        <v>3000</v>
      </c>
      <c r="F51" s="1" t="s">
        <v>68</v>
      </c>
      <c r="G51" s="25" t="s">
        <v>124</v>
      </c>
      <c r="H51" s="1" t="s">
        <v>207</v>
      </c>
      <c r="I51" s="1">
        <f t="shared" si="0"/>
        <v>0</v>
      </c>
      <c r="J51" s="25" t="s">
        <v>142</v>
      </c>
      <c r="K51" s="24">
        <v>45229.480821759258</v>
      </c>
      <c r="O51" s="54">
        <v>1</v>
      </c>
    </row>
    <row r="52" spans="1:15" x14ac:dyDescent="0.25">
      <c r="B52" s="45" t="s">
        <v>208</v>
      </c>
      <c r="C52" s="45" t="s">
        <v>209</v>
      </c>
      <c r="E52" s="21">
        <v>2000</v>
      </c>
      <c r="F52" s="1" t="s">
        <v>144</v>
      </c>
      <c r="G52" s="25" t="s">
        <v>148</v>
      </c>
      <c r="H52" s="1" t="s">
        <v>210</v>
      </c>
      <c r="I52" s="1">
        <f t="shared" si="0"/>
        <v>0</v>
      </c>
      <c r="J52" s="25" t="s">
        <v>145</v>
      </c>
      <c r="K52" s="24">
        <v>45229.506006944444</v>
      </c>
      <c r="N52" s="1" t="s">
        <v>211</v>
      </c>
      <c r="O52" s="54">
        <v>1</v>
      </c>
    </row>
    <row r="53" spans="1:15" x14ac:dyDescent="0.25">
      <c r="B53" s="45" t="s">
        <v>790</v>
      </c>
      <c r="C53" s="45" t="s">
        <v>212</v>
      </c>
      <c r="D53" s="20">
        <v>797576</v>
      </c>
      <c r="E53" s="21">
        <v>20000</v>
      </c>
      <c r="F53" s="1" t="s">
        <v>68</v>
      </c>
      <c r="G53" s="25" t="s">
        <v>163</v>
      </c>
      <c r="H53" s="1" t="s">
        <v>213</v>
      </c>
      <c r="I53" s="1">
        <f t="shared" si="0"/>
        <v>0</v>
      </c>
      <c r="J53" s="25" t="s">
        <v>148</v>
      </c>
      <c r="K53" s="24">
        <v>45229.613541666666</v>
      </c>
      <c r="N53" s="1" t="s">
        <v>214</v>
      </c>
      <c r="O53" s="54">
        <v>1</v>
      </c>
    </row>
    <row r="54" spans="1:15" x14ac:dyDescent="0.25">
      <c r="B54" s="45" t="s">
        <v>791</v>
      </c>
      <c r="C54" s="45" t="s">
        <v>215</v>
      </c>
      <c r="D54" s="20">
        <v>793970</v>
      </c>
      <c r="E54" s="21">
        <v>300</v>
      </c>
      <c r="F54" s="1" t="s">
        <v>68</v>
      </c>
      <c r="G54" s="25" t="s">
        <v>789</v>
      </c>
      <c r="H54" s="1" t="s">
        <v>216</v>
      </c>
      <c r="I54" s="1">
        <f t="shared" si="0"/>
        <v>0</v>
      </c>
      <c r="J54" s="25" t="s">
        <v>150</v>
      </c>
      <c r="K54" s="24">
        <v>45229.616666666669</v>
      </c>
      <c r="O54" s="54">
        <v>1</v>
      </c>
    </row>
    <row r="55" spans="1:15" x14ac:dyDescent="0.25">
      <c r="B55" s="45" t="s">
        <v>792</v>
      </c>
      <c r="C55" s="45" t="s">
        <v>212</v>
      </c>
      <c r="D55" s="20">
        <v>789278</v>
      </c>
      <c r="E55" s="21">
        <v>600</v>
      </c>
      <c r="F55" s="1" t="s">
        <v>68</v>
      </c>
      <c r="G55" s="25" t="s">
        <v>788</v>
      </c>
      <c r="H55" s="1" t="s">
        <v>217</v>
      </c>
      <c r="I55" s="1">
        <f t="shared" si="0"/>
        <v>0</v>
      </c>
      <c r="J55" s="25" t="s">
        <v>153</v>
      </c>
      <c r="K55" s="24">
        <v>45229.619004629632</v>
      </c>
      <c r="N55" s="1" t="s">
        <v>218</v>
      </c>
      <c r="O55" s="54">
        <v>1</v>
      </c>
    </row>
    <row r="56" spans="1:15" hidden="1" x14ac:dyDescent="0.25">
      <c r="A56" s="1">
        <v>100</v>
      </c>
      <c r="B56" s="45"/>
      <c r="C56" s="45"/>
      <c r="D56" s="31"/>
      <c r="G56" s="25"/>
      <c r="I56" s="1">
        <f t="shared" si="0"/>
        <v>0</v>
      </c>
      <c r="J56" s="25" t="s">
        <v>156</v>
      </c>
      <c r="K56" s="22"/>
    </row>
    <row r="57" spans="1:15" x14ac:dyDescent="0.25">
      <c r="B57" s="45" t="s">
        <v>793</v>
      </c>
      <c r="C57" s="45" t="s">
        <v>215</v>
      </c>
      <c r="D57" s="20">
        <v>782092</v>
      </c>
      <c r="E57" s="21">
        <v>700</v>
      </c>
      <c r="F57" s="1" t="s">
        <v>68</v>
      </c>
      <c r="G57" s="25" t="s">
        <v>789</v>
      </c>
      <c r="H57" s="1" t="s">
        <v>216</v>
      </c>
      <c r="I57" s="1">
        <f t="shared" si="0"/>
        <v>0</v>
      </c>
      <c r="J57" s="25" t="s">
        <v>157</v>
      </c>
      <c r="K57" s="24">
        <v>45229.636782407404</v>
      </c>
      <c r="O57" s="54">
        <v>1</v>
      </c>
    </row>
    <row r="58" spans="1:15" x14ac:dyDescent="0.25">
      <c r="B58" s="45" t="s">
        <v>793</v>
      </c>
      <c r="C58" s="45" t="s">
        <v>215</v>
      </c>
      <c r="D58" s="20">
        <v>782092</v>
      </c>
      <c r="E58" s="21">
        <v>2000</v>
      </c>
      <c r="F58" s="1" t="s">
        <v>68</v>
      </c>
      <c r="G58" s="25" t="s">
        <v>219</v>
      </c>
      <c r="H58" s="1" t="s">
        <v>220</v>
      </c>
      <c r="I58" s="1">
        <f t="shared" si="0"/>
        <v>0</v>
      </c>
      <c r="J58" s="25" t="s">
        <v>158</v>
      </c>
      <c r="K58" s="24">
        <v>45229.641840277778</v>
      </c>
      <c r="O58" s="54">
        <v>1</v>
      </c>
    </row>
    <row r="59" spans="1:15" x14ac:dyDescent="0.25">
      <c r="B59" s="45" t="s">
        <v>793</v>
      </c>
      <c r="C59" s="45" t="s">
        <v>215</v>
      </c>
      <c r="D59" s="20">
        <v>782092</v>
      </c>
      <c r="E59" s="21">
        <v>1680</v>
      </c>
      <c r="F59" s="1" t="s">
        <v>68</v>
      </c>
      <c r="G59" s="25" t="s">
        <v>427</v>
      </c>
      <c r="H59" s="1" t="s">
        <v>221</v>
      </c>
      <c r="I59" s="1">
        <f t="shared" si="0"/>
        <v>0</v>
      </c>
      <c r="J59" s="25" t="s">
        <v>159</v>
      </c>
      <c r="K59" s="24">
        <v>45229.643807870372</v>
      </c>
      <c r="O59" s="54">
        <v>100</v>
      </c>
    </row>
    <row r="60" spans="1:15" x14ac:dyDescent="0.25">
      <c r="B60" s="45" t="s">
        <v>321</v>
      </c>
      <c r="C60" s="45" t="s">
        <v>267</v>
      </c>
      <c r="D60" s="20">
        <v>1061</v>
      </c>
      <c r="E60" s="21">
        <v>600</v>
      </c>
      <c r="F60" s="1" t="s">
        <v>68</v>
      </c>
      <c r="G60" s="25" t="s">
        <v>132</v>
      </c>
      <c r="H60" s="1" t="s">
        <v>222</v>
      </c>
      <c r="I60" s="1">
        <f t="shared" si="0"/>
        <v>0</v>
      </c>
      <c r="J60" s="25" t="s">
        <v>785</v>
      </c>
      <c r="K60" s="24">
        <v>45231.507141203707</v>
      </c>
    </row>
    <row r="61" spans="1:15" x14ac:dyDescent="0.25">
      <c r="B61" s="45" t="s">
        <v>321</v>
      </c>
      <c r="C61" s="45" t="s">
        <v>267</v>
      </c>
      <c r="D61" s="20">
        <v>1061</v>
      </c>
      <c r="E61" s="21">
        <v>240</v>
      </c>
      <c r="F61" s="1" t="s">
        <v>68</v>
      </c>
      <c r="G61" s="25" t="s">
        <v>789</v>
      </c>
      <c r="H61" s="1" t="s">
        <v>223</v>
      </c>
      <c r="I61" s="1">
        <f t="shared" si="0"/>
        <v>0</v>
      </c>
      <c r="J61" s="25" t="s">
        <v>163</v>
      </c>
      <c r="K61" s="24">
        <v>45231.510972222219</v>
      </c>
    </row>
    <row r="62" spans="1:15" x14ac:dyDescent="0.25">
      <c r="B62" s="45" t="s">
        <v>321</v>
      </c>
      <c r="C62" s="45" t="s">
        <v>267</v>
      </c>
      <c r="D62" s="20">
        <v>1061</v>
      </c>
      <c r="E62" s="21">
        <v>60</v>
      </c>
      <c r="F62" s="1" t="s">
        <v>68</v>
      </c>
      <c r="G62" s="25" t="s">
        <v>788</v>
      </c>
      <c r="H62" s="1" t="s">
        <v>187</v>
      </c>
      <c r="I62" s="1">
        <f t="shared" si="0"/>
        <v>0</v>
      </c>
      <c r="J62" s="25" t="s">
        <v>786</v>
      </c>
      <c r="K62" s="24">
        <v>45231.51253472222</v>
      </c>
    </row>
    <row r="63" spans="1:15" x14ac:dyDescent="0.25">
      <c r="B63" s="45" t="s">
        <v>321</v>
      </c>
      <c r="C63" s="45" t="s">
        <v>267</v>
      </c>
      <c r="D63" s="20">
        <v>1061</v>
      </c>
      <c r="E63" s="21">
        <v>24</v>
      </c>
      <c r="F63" s="1" t="s">
        <v>68</v>
      </c>
      <c r="G63" s="25" t="s">
        <v>787</v>
      </c>
      <c r="H63" s="1" t="s">
        <v>167</v>
      </c>
      <c r="I63" s="1">
        <f t="shared" si="0"/>
        <v>0</v>
      </c>
      <c r="J63" s="25" t="s">
        <v>427</v>
      </c>
      <c r="K63" s="24">
        <v>45231.513194444444</v>
      </c>
    </row>
    <row r="64" spans="1:15" x14ac:dyDescent="0.25">
      <c r="B64" s="45" t="s">
        <v>321</v>
      </c>
      <c r="C64" s="45" t="s">
        <v>266</v>
      </c>
      <c r="D64" s="20">
        <v>1062</v>
      </c>
      <c r="E64" s="21">
        <v>422</v>
      </c>
      <c r="F64" s="1" t="s">
        <v>68</v>
      </c>
      <c r="G64" s="25" t="s">
        <v>172</v>
      </c>
      <c r="H64" s="1" t="s">
        <v>173</v>
      </c>
      <c r="I64" s="1">
        <f t="shared" si="0"/>
        <v>0</v>
      </c>
      <c r="J64" s="25" t="s">
        <v>787</v>
      </c>
      <c r="K64" s="24">
        <v>45231.516064814816</v>
      </c>
    </row>
    <row r="65" spans="2:22" x14ac:dyDescent="0.25">
      <c r="B65" s="45" t="s">
        <v>321</v>
      </c>
      <c r="C65" s="45" t="s">
        <v>266</v>
      </c>
      <c r="D65" s="20">
        <v>1062</v>
      </c>
      <c r="E65" s="21">
        <v>10</v>
      </c>
      <c r="F65" s="1" t="s">
        <v>68</v>
      </c>
      <c r="G65" s="25" t="s">
        <v>175</v>
      </c>
      <c r="H65" s="1" t="s">
        <v>173</v>
      </c>
      <c r="I65" s="1">
        <f t="shared" si="0"/>
        <v>0</v>
      </c>
      <c r="J65" s="25" t="s">
        <v>168</v>
      </c>
      <c r="K65" s="24">
        <v>45231.516967592594</v>
      </c>
    </row>
    <row r="66" spans="2:22" x14ac:dyDescent="0.25">
      <c r="B66" s="45" t="s">
        <v>321</v>
      </c>
      <c r="C66" s="45" t="s">
        <v>266</v>
      </c>
      <c r="D66" s="20">
        <v>1062</v>
      </c>
      <c r="E66" s="21">
        <v>300</v>
      </c>
      <c r="F66" s="1" t="s">
        <v>68</v>
      </c>
      <c r="G66" s="25" t="s">
        <v>168</v>
      </c>
      <c r="H66" s="1" t="s">
        <v>224</v>
      </c>
      <c r="I66" s="1">
        <f t="shared" si="0"/>
        <v>0</v>
      </c>
      <c r="J66" s="25" t="s">
        <v>170</v>
      </c>
      <c r="K66" s="24">
        <v>45231.519120370373</v>
      </c>
    </row>
    <row r="67" spans="2:22" x14ac:dyDescent="0.25">
      <c r="B67" s="45" t="s">
        <v>176</v>
      </c>
      <c r="C67" s="45" t="s">
        <v>260</v>
      </c>
      <c r="D67" s="20">
        <v>1063</v>
      </c>
      <c r="E67" s="21">
        <v>12</v>
      </c>
      <c r="F67" s="1" t="s">
        <v>68</v>
      </c>
      <c r="G67" s="25" t="s">
        <v>786</v>
      </c>
      <c r="H67" s="1" t="s">
        <v>225</v>
      </c>
      <c r="I67" s="1">
        <f t="shared" si="0"/>
        <v>0</v>
      </c>
      <c r="J67" s="25" t="s">
        <v>172</v>
      </c>
      <c r="K67" s="24">
        <v>45231.658310185187</v>
      </c>
    </row>
    <row r="68" spans="2:22" x14ac:dyDescent="0.25">
      <c r="B68" s="45" t="s">
        <v>176</v>
      </c>
      <c r="C68" s="45" t="s">
        <v>395</v>
      </c>
      <c r="D68" s="20">
        <v>1064</v>
      </c>
      <c r="E68" s="21">
        <v>4</v>
      </c>
      <c r="F68" s="1" t="s">
        <v>152</v>
      </c>
      <c r="G68" s="25" t="s">
        <v>64</v>
      </c>
      <c r="H68" s="1" t="s">
        <v>226</v>
      </c>
      <c r="I68" s="1">
        <f t="shared" si="0"/>
        <v>0</v>
      </c>
      <c r="J68" s="25" t="s">
        <v>175</v>
      </c>
      <c r="K68" s="24">
        <v>45231.658356481479</v>
      </c>
      <c r="N68" s="1" t="s">
        <v>228</v>
      </c>
    </row>
    <row r="69" spans="2:22" x14ac:dyDescent="0.25">
      <c r="B69" s="45" t="s">
        <v>176</v>
      </c>
      <c r="C69" s="45" t="s">
        <v>390</v>
      </c>
      <c r="D69" s="20">
        <v>1065</v>
      </c>
      <c r="E69" s="21">
        <v>198</v>
      </c>
      <c r="F69" s="1" t="s">
        <v>152</v>
      </c>
      <c r="G69" s="25" t="s">
        <v>158</v>
      </c>
      <c r="H69" s="1" t="s">
        <v>154</v>
      </c>
      <c r="I69" s="1">
        <f t="shared" si="0"/>
        <v>0</v>
      </c>
      <c r="J69" s="25" t="s">
        <v>177</v>
      </c>
      <c r="K69" s="24">
        <v>45231.658692129633</v>
      </c>
    </row>
    <row r="70" spans="2:22" x14ac:dyDescent="0.25">
      <c r="B70" s="45" t="s">
        <v>176</v>
      </c>
      <c r="C70" s="45" t="s">
        <v>262</v>
      </c>
      <c r="D70" s="20">
        <v>1066</v>
      </c>
      <c r="E70" s="21">
        <v>1000</v>
      </c>
      <c r="F70" s="1" t="s">
        <v>68</v>
      </c>
      <c r="G70" s="25" t="s">
        <v>138</v>
      </c>
      <c r="H70" s="1" t="s">
        <v>229</v>
      </c>
      <c r="I70" s="1">
        <f t="shared" si="0"/>
        <v>0</v>
      </c>
      <c r="J70" s="25" t="s">
        <v>126</v>
      </c>
      <c r="K70" s="24">
        <v>45231.659155092595</v>
      </c>
    </row>
    <row r="71" spans="2:22" x14ac:dyDescent="0.25">
      <c r="B71" s="45" t="s">
        <v>176</v>
      </c>
      <c r="C71" s="45" t="s">
        <v>262</v>
      </c>
      <c r="D71" s="20">
        <v>1066</v>
      </c>
      <c r="E71" s="21">
        <v>12</v>
      </c>
      <c r="F71" s="1" t="s">
        <v>144</v>
      </c>
      <c r="G71" s="25" t="s">
        <v>150</v>
      </c>
      <c r="H71" s="1" t="s">
        <v>230</v>
      </c>
      <c r="I71" s="1">
        <f t="shared" si="0"/>
        <v>0</v>
      </c>
      <c r="J71" s="25" t="s">
        <v>181</v>
      </c>
      <c r="K71" s="24">
        <v>45231.661168981482</v>
      </c>
    </row>
    <row r="72" spans="2:22" x14ac:dyDescent="0.25">
      <c r="B72" s="45" t="s">
        <v>176</v>
      </c>
      <c r="C72" s="45" t="s">
        <v>262</v>
      </c>
      <c r="D72" s="20">
        <v>1066</v>
      </c>
      <c r="E72" s="21">
        <v>6</v>
      </c>
      <c r="F72" s="1" t="s">
        <v>144</v>
      </c>
      <c r="G72" s="25" t="s">
        <v>148</v>
      </c>
      <c r="H72" s="1" t="s">
        <v>230</v>
      </c>
      <c r="I72" s="1">
        <f t="shared" si="0"/>
        <v>0</v>
      </c>
      <c r="J72" s="25" t="s">
        <v>184</v>
      </c>
      <c r="K72" s="24">
        <v>45231.662118055552</v>
      </c>
    </row>
    <row r="73" spans="2:22" x14ac:dyDescent="0.25">
      <c r="B73" s="45" t="s">
        <v>321</v>
      </c>
      <c r="C73" s="45" t="s">
        <v>263</v>
      </c>
      <c r="D73" s="20">
        <v>1067</v>
      </c>
      <c r="E73" s="21">
        <v>100</v>
      </c>
      <c r="F73" s="1" t="s">
        <v>192</v>
      </c>
      <c r="G73" s="25" t="s">
        <v>193</v>
      </c>
      <c r="H73" s="1" t="s">
        <v>194</v>
      </c>
      <c r="I73" s="1">
        <f t="shared" si="0"/>
        <v>0</v>
      </c>
      <c r="J73" s="25" t="s">
        <v>186</v>
      </c>
      <c r="K73" s="24">
        <v>45231.659317129626</v>
      </c>
      <c r="N73" s="61" t="s">
        <v>231</v>
      </c>
      <c r="T73" s="61"/>
      <c r="V73" s="61"/>
    </row>
    <row r="74" spans="2:22" x14ac:dyDescent="0.25">
      <c r="B74" s="45" t="s">
        <v>176</v>
      </c>
      <c r="C74" s="45" t="s">
        <v>261</v>
      </c>
      <c r="D74" s="20">
        <v>1068</v>
      </c>
      <c r="E74" s="21">
        <v>480</v>
      </c>
      <c r="F74" s="1" t="s">
        <v>68</v>
      </c>
      <c r="G74" s="25" t="s">
        <v>181</v>
      </c>
      <c r="H74" s="1" t="s">
        <v>232</v>
      </c>
      <c r="I74" s="1">
        <f t="shared" si="0"/>
        <v>0</v>
      </c>
      <c r="J74" s="25" t="s">
        <v>788</v>
      </c>
      <c r="K74" s="24">
        <v>45232.418055555558</v>
      </c>
    </row>
    <row r="75" spans="2:22" x14ac:dyDescent="0.25">
      <c r="B75" s="45" t="s">
        <v>176</v>
      </c>
      <c r="C75" s="45" t="s">
        <v>261</v>
      </c>
      <c r="D75" s="20">
        <v>1068</v>
      </c>
      <c r="E75" s="21">
        <v>360</v>
      </c>
      <c r="F75" s="1" t="s">
        <v>152</v>
      </c>
      <c r="G75" s="25" t="s">
        <v>153</v>
      </c>
      <c r="H75" s="1" t="s">
        <v>154</v>
      </c>
      <c r="I75" s="1">
        <f t="shared" si="0"/>
        <v>0</v>
      </c>
      <c r="J75" s="25" t="s">
        <v>188</v>
      </c>
      <c r="K75" s="24">
        <v>45232.419178240743</v>
      </c>
    </row>
    <row r="76" spans="2:22" x14ac:dyDescent="0.25">
      <c r="B76" s="45" t="s">
        <v>176</v>
      </c>
      <c r="C76" s="45" t="s">
        <v>261</v>
      </c>
      <c r="D76" s="20">
        <v>1068</v>
      </c>
      <c r="E76" s="21">
        <v>360</v>
      </c>
      <c r="F76" s="1" t="s">
        <v>152</v>
      </c>
      <c r="G76" s="25" t="s">
        <v>156</v>
      </c>
      <c r="H76" s="1" t="s">
        <v>154</v>
      </c>
      <c r="I76" s="1">
        <f t="shared" si="0"/>
        <v>0</v>
      </c>
      <c r="J76" s="25" t="s">
        <v>190</v>
      </c>
      <c r="K76" s="24">
        <v>45232.419722222221</v>
      </c>
    </row>
    <row r="77" spans="2:22" x14ac:dyDescent="0.25">
      <c r="B77" s="45" t="s">
        <v>176</v>
      </c>
      <c r="C77" s="45" t="s">
        <v>261</v>
      </c>
      <c r="D77" s="20">
        <v>1068</v>
      </c>
      <c r="E77" s="21">
        <v>360</v>
      </c>
      <c r="F77" s="1" t="s">
        <v>152</v>
      </c>
      <c r="G77" s="25" t="s">
        <v>157</v>
      </c>
      <c r="H77" s="1" t="s">
        <v>154</v>
      </c>
      <c r="I77" s="1">
        <f t="shared" si="0"/>
        <v>0</v>
      </c>
      <c r="J77" s="25" t="s">
        <v>193</v>
      </c>
      <c r="K77" s="24">
        <v>45232.42019675926</v>
      </c>
    </row>
    <row r="78" spans="2:22" x14ac:dyDescent="0.25">
      <c r="B78" s="45" t="s">
        <v>321</v>
      </c>
      <c r="C78" s="45" t="s">
        <v>525</v>
      </c>
      <c r="D78" s="20">
        <v>1070</v>
      </c>
      <c r="E78" s="21">
        <v>2000</v>
      </c>
      <c r="F78" s="1" t="s">
        <v>68</v>
      </c>
      <c r="G78" s="25" t="s">
        <v>159</v>
      </c>
      <c r="H78" s="1" t="s">
        <v>160</v>
      </c>
      <c r="I78" s="1">
        <f t="shared" si="0"/>
        <v>0</v>
      </c>
      <c r="J78" s="25" t="s">
        <v>789</v>
      </c>
      <c r="K78" s="24">
        <v>45232.545243055552</v>
      </c>
    </row>
    <row r="79" spans="2:22" x14ac:dyDescent="0.25">
      <c r="B79" s="45" t="s">
        <v>321</v>
      </c>
      <c r="C79" s="45" t="s">
        <v>550</v>
      </c>
      <c r="D79" s="20">
        <v>1069</v>
      </c>
      <c r="E79" s="21">
        <v>2</v>
      </c>
      <c r="F79" s="1" t="s">
        <v>152</v>
      </c>
      <c r="G79" s="25" t="s">
        <v>233</v>
      </c>
      <c r="H79" s="1" t="s">
        <v>226</v>
      </c>
      <c r="I79" s="1">
        <f t="shared" si="0"/>
        <v>0</v>
      </c>
      <c r="J79" s="25" t="s">
        <v>197</v>
      </c>
      <c r="K79" s="24">
        <v>45232.545312499999</v>
      </c>
      <c r="N79" s="1" t="s">
        <v>228</v>
      </c>
    </row>
    <row r="80" spans="2:22" x14ac:dyDescent="0.25">
      <c r="B80" s="45" t="s">
        <v>321</v>
      </c>
      <c r="C80" s="45" t="s">
        <v>550</v>
      </c>
      <c r="D80" s="20">
        <v>1069</v>
      </c>
      <c r="E80" s="21">
        <v>10</v>
      </c>
      <c r="F80" s="1" t="s">
        <v>152</v>
      </c>
      <c r="G80" s="25" t="s">
        <v>234</v>
      </c>
      <c r="H80" s="1" t="s">
        <v>226</v>
      </c>
      <c r="I80" s="1">
        <f t="shared" si="0"/>
        <v>0</v>
      </c>
      <c r="J80" s="25" t="s">
        <v>430</v>
      </c>
      <c r="K80" s="24">
        <v>45232.545381944445</v>
      </c>
      <c r="N80" s="1" t="s">
        <v>228</v>
      </c>
    </row>
    <row r="81" spans="1:14" x14ac:dyDescent="0.25">
      <c r="B81" s="45" t="s">
        <v>321</v>
      </c>
      <c r="C81" s="45" t="s">
        <v>550</v>
      </c>
      <c r="D81" s="20">
        <v>1069</v>
      </c>
      <c r="E81" s="21">
        <v>10</v>
      </c>
      <c r="F81" s="1" t="s">
        <v>152</v>
      </c>
      <c r="G81" s="25" t="s">
        <v>235</v>
      </c>
      <c r="H81" s="1" t="s">
        <v>226</v>
      </c>
      <c r="I81" s="1">
        <f t="shared" si="0"/>
        <v>0</v>
      </c>
      <c r="J81" s="25" t="s">
        <v>200</v>
      </c>
      <c r="K81" s="24">
        <v>45232.545405092591</v>
      </c>
      <c r="N81" s="1" t="s">
        <v>228</v>
      </c>
    </row>
    <row r="82" spans="1:14" x14ac:dyDescent="0.25">
      <c r="B82" s="45" t="s">
        <v>321</v>
      </c>
      <c r="C82" s="45" t="s">
        <v>550</v>
      </c>
      <c r="D82" s="20">
        <v>1069</v>
      </c>
      <c r="E82" s="21">
        <v>20</v>
      </c>
      <c r="F82" s="1" t="s">
        <v>152</v>
      </c>
      <c r="G82" s="25" t="s">
        <v>236</v>
      </c>
      <c r="H82" s="1" t="s">
        <v>226</v>
      </c>
      <c r="I82" s="1">
        <f t="shared" si="0"/>
        <v>0</v>
      </c>
      <c r="J82" s="25" t="s">
        <v>219</v>
      </c>
      <c r="K82" s="24">
        <v>45232.545439814814</v>
      </c>
      <c r="N82" s="1" t="s">
        <v>228</v>
      </c>
    </row>
    <row r="83" spans="1:14" x14ac:dyDescent="0.25">
      <c r="B83" s="45" t="s">
        <v>321</v>
      </c>
      <c r="C83" s="45" t="s">
        <v>550</v>
      </c>
      <c r="D83" s="20">
        <v>1069</v>
      </c>
      <c r="E83" s="21">
        <v>2</v>
      </c>
      <c r="F83" s="1" t="s">
        <v>152</v>
      </c>
      <c r="G83" s="25" t="s">
        <v>237</v>
      </c>
      <c r="H83" s="1" t="s">
        <v>226</v>
      </c>
      <c r="I83" s="1">
        <f t="shared" si="0"/>
        <v>0</v>
      </c>
      <c r="J83" s="25" t="s">
        <v>243</v>
      </c>
      <c r="K83" s="24">
        <v>45232.54550925926</v>
      </c>
      <c r="N83" s="1" t="s">
        <v>228</v>
      </c>
    </row>
    <row r="84" spans="1:14" x14ac:dyDescent="0.25">
      <c r="B84" s="45" t="s">
        <v>321</v>
      </c>
      <c r="C84" s="45" t="s">
        <v>550</v>
      </c>
      <c r="D84" s="20">
        <v>1069</v>
      </c>
      <c r="E84" s="21">
        <v>1</v>
      </c>
      <c r="F84" s="1" t="s">
        <v>152</v>
      </c>
      <c r="G84" s="25" t="s">
        <v>238</v>
      </c>
      <c r="H84" s="1" t="s">
        <v>226</v>
      </c>
      <c r="I84" s="1">
        <f t="shared" si="0"/>
        <v>0</v>
      </c>
      <c r="J84" s="25" t="s">
        <v>244</v>
      </c>
      <c r="K84" s="24">
        <v>45232.545532407406</v>
      </c>
      <c r="N84" s="1" t="s">
        <v>228</v>
      </c>
    </row>
    <row r="85" spans="1:14" x14ac:dyDescent="0.25">
      <c r="B85" s="45" t="s">
        <v>321</v>
      </c>
      <c r="C85" s="45" t="s">
        <v>266</v>
      </c>
      <c r="D85" s="20">
        <v>1072</v>
      </c>
      <c r="E85" s="21">
        <v>50</v>
      </c>
      <c r="F85" s="1" t="s">
        <v>68</v>
      </c>
      <c r="G85" s="25" t="s">
        <v>175</v>
      </c>
      <c r="H85" s="1" t="s">
        <v>173</v>
      </c>
      <c r="I85" s="1">
        <f t="shared" si="0"/>
        <v>0</v>
      </c>
      <c r="J85" s="25" t="s">
        <v>62</v>
      </c>
      <c r="K85" s="24">
        <v>45233.506597222222</v>
      </c>
      <c r="N85" s="1" t="s">
        <v>239</v>
      </c>
    </row>
    <row r="86" spans="1:14" x14ac:dyDescent="0.25">
      <c r="B86" s="45" t="s">
        <v>321</v>
      </c>
      <c r="C86" s="45" t="s">
        <v>267</v>
      </c>
      <c r="D86" s="20">
        <v>1073</v>
      </c>
      <c r="E86" s="21">
        <v>350</v>
      </c>
      <c r="F86" s="1" t="s">
        <v>144</v>
      </c>
      <c r="G86" s="25" t="s">
        <v>145</v>
      </c>
      <c r="H86" s="1" t="s">
        <v>146</v>
      </c>
      <c r="I86" s="1">
        <f t="shared" si="0"/>
        <v>0</v>
      </c>
      <c r="J86" s="25" t="s">
        <v>245</v>
      </c>
      <c r="K86" s="24">
        <v>45233.50922453704</v>
      </c>
    </row>
    <row r="87" spans="1:14" x14ac:dyDescent="0.25">
      <c r="B87" s="45" t="s">
        <v>321</v>
      </c>
      <c r="C87" s="45" t="s">
        <v>368</v>
      </c>
      <c r="D87" s="20">
        <v>1071</v>
      </c>
      <c r="E87" s="21">
        <v>5000</v>
      </c>
      <c r="F87" s="1" t="s">
        <v>68</v>
      </c>
      <c r="G87" s="25" t="s">
        <v>124</v>
      </c>
      <c r="H87" s="1" t="s">
        <v>207</v>
      </c>
      <c r="I87" s="1">
        <f t="shared" si="0"/>
        <v>0</v>
      </c>
      <c r="J87" s="25" t="s">
        <v>63</v>
      </c>
      <c r="K87" s="24">
        <v>45233.51021990741</v>
      </c>
    </row>
    <row r="88" spans="1:14" x14ac:dyDescent="0.25">
      <c r="B88" s="45" t="s">
        <v>176</v>
      </c>
      <c r="C88" s="45" t="s">
        <v>260</v>
      </c>
      <c r="D88" s="20">
        <v>1074</v>
      </c>
      <c r="E88" s="21">
        <v>24</v>
      </c>
      <c r="F88" s="1" t="s">
        <v>68</v>
      </c>
      <c r="G88" s="25" t="s">
        <v>786</v>
      </c>
      <c r="H88" s="1" t="s">
        <v>165</v>
      </c>
      <c r="I88" s="1">
        <f t="shared" si="0"/>
        <v>0</v>
      </c>
      <c r="J88" s="25" t="s">
        <v>246</v>
      </c>
      <c r="K88" s="24">
        <v>45233.654537037037</v>
      </c>
    </row>
    <row r="89" spans="1:14" x14ac:dyDescent="0.25">
      <c r="B89" s="45" t="s">
        <v>176</v>
      </c>
      <c r="C89" s="45" t="s">
        <v>261</v>
      </c>
      <c r="D89" s="20">
        <v>1077</v>
      </c>
      <c r="E89" s="21">
        <v>100</v>
      </c>
      <c r="F89" s="1" t="s">
        <v>152</v>
      </c>
      <c r="G89" s="25" t="s">
        <v>153</v>
      </c>
      <c r="H89" s="1" t="s">
        <v>154</v>
      </c>
      <c r="I89" s="1">
        <f t="shared" si="0"/>
        <v>0</v>
      </c>
      <c r="J89" s="25" t="s">
        <v>247</v>
      </c>
      <c r="K89" s="24">
        <v>45233.654675925929</v>
      </c>
    </row>
    <row r="90" spans="1:14" x14ac:dyDescent="0.25">
      <c r="B90" s="45" t="s">
        <v>176</v>
      </c>
      <c r="C90" s="45" t="s">
        <v>347</v>
      </c>
      <c r="D90" s="20">
        <v>1078</v>
      </c>
      <c r="E90" s="21">
        <v>1200</v>
      </c>
      <c r="F90" s="1" t="s">
        <v>68</v>
      </c>
      <c r="G90" s="25" t="s">
        <v>134</v>
      </c>
      <c r="H90" s="1" t="s">
        <v>135</v>
      </c>
      <c r="I90" s="1">
        <f t="shared" si="0"/>
        <v>0</v>
      </c>
      <c r="J90" s="25" t="s">
        <v>248</v>
      </c>
      <c r="K90" s="24">
        <v>45233.654849537037</v>
      </c>
    </row>
    <row r="91" spans="1:14" x14ac:dyDescent="0.25">
      <c r="B91" s="45" t="s">
        <v>176</v>
      </c>
      <c r="C91" s="45" t="s">
        <v>262</v>
      </c>
      <c r="D91" s="20">
        <v>1075</v>
      </c>
      <c r="E91" s="21">
        <v>2000</v>
      </c>
      <c r="F91" s="1" t="s">
        <v>68</v>
      </c>
      <c r="G91" s="25" t="s">
        <v>138</v>
      </c>
      <c r="H91" s="1" t="s">
        <v>229</v>
      </c>
      <c r="I91" s="1">
        <f t="shared" si="0"/>
        <v>0</v>
      </c>
      <c r="J91" s="25" t="s">
        <v>64</v>
      </c>
      <c r="K91" s="24">
        <v>45233.654999999999</v>
      </c>
    </row>
    <row r="92" spans="1:14" x14ac:dyDescent="0.25">
      <c r="B92" s="45" t="s">
        <v>176</v>
      </c>
      <c r="C92" s="45" t="s">
        <v>262</v>
      </c>
      <c r="D92" s="20">
        <v>1075</v>
      </c>
      <c r="E92" s="21">
        <v>10</v>
      </c>
      <c r="F92" s="1" t="s">
        <v>144</v>
      </c>
      <c r="G92" s="25" t="s">
        <v>148</v>
      </c>
      <c r="H92" s="1" t="s">
        <v>149</v>
      </c>
      <c r="I92" s="1">
        <f t="shared" si="0"/>
        <v>0</v>
      </c>
      <c r="J92" s="25" t="s">
        <v>233</v>
      </c>
      <c r="K92" s="24">
        <v>45233.655486111114</v>
      </c>
    </row>
    <row r="93" spans="1:14" x14ac:dyDescent="0.25">
      <c r="B93" s="45" t="s">
        <v>176</v>
      </c>
      <c r="C93" s="45" t="s">
        <v>329</v>
      </c>
      <c r="D93" s="20">
        <v>1076</v>
      </c>
      <c r="E93" s="21">
        <v>2000</v>
      </c>
      <c r="F93" s="1" t="s">
        <v>68</v>
      </c>
      <c r="G93" s="25" t="s">
        <v>163</v>
      </c>
      <c r="H93" s="1" t="s">
        <v>240</v>
      </c>
      <c r="I93" s="1">
        <f t="shared" si="0"/>
        <v>0</v>
      </c>
      <c r="J93" s="25" t="s">
        <v>234</v>
      </c>
      <c r="K93" s="24">
        <v>45233.655729166669</v>
      </c>
    </row>
    <row r="94" spans="1:14" x14ac:dyDescent="0.25">
      <c r="B94" s="45" t="s">
        <v>241</v>
      </c>
      <c r="C94" s="45" t="s">
        <v>209</v>
      </c>
      <c r="D94" s="20" t="s">
        <v>242</v>
      </c>
      <c r="E94" s="21">
        <f>220*10</f>
        <v>2200</v>
      </c>
      <c r="F94" s="1" t="s">
        <v>144</v>
      </c>
      <c r="G94" s="25" t="s">
        <v>145</v>
      </c>
      <c r="H94" s="1" t="s">
        <v>146</v>
      </c>
      <c r="I94" s="1">
        <f t="shared" si="0"/>
        <v>0</v>
      </c>
      <c r="J94" s="25" t="s">
        <v>235</v>
      </c>
      <c r="K94" s="24">
        <v>45236.532256944447</v>
      </c>
    </row>
    <row r="95" spans="1:14" x14ac:dyDescent="0.25">
      <c r="B95" s="45" t="s">
        <v>241</v>
      </c>
      <c r="C95" s="45" t="s">
        <v>209</v>
      </c>
      <c r="D95" s="20" t="s">
        <v>242</v>
      </c>
      <c r="E95" s="21">
        <f>240*10</f>
        <v>2400</v>
      </c>
      <c r="F95" s="1" t="s">
        <v>144</v>
      </c>
      <c r="G95" s="25" t="s">
        <v>148</v>
      </c>
      <c r="H95" s="1" t="s">
        <v>149</v>
      </c>
      <c r="I95" s="1">
        <f t="shared" si="0"/>
        <v>0</v>
      </c>
      <c r="J95" s="25" t="s">
        <v>236</v>
      </c>
      <c r="K95" s="24">
        <v>45236.532187500001</v>
      </c>
    </row>
    <row r="96" spans="1:14" hidden="1" x14ac:dyDescent="0.25">
      <c r="A96" s="1">
        <v>1</v>
      </c>
      <c r="B96" s="45"/>
      <c r="C96" s="45"/>
      <c r="E96" s="35"/>
      <c r="G96" s="25"/>
      <c r="I96" s="1">
        <f t="shared" si="0"/>
        <v>0</v>
      </c>
      <c r="J96" s="25" t="s">
        <v>237</v>
      </c>
      <c r="K96" s="22"/>
    </row>
    <row r="97" spans="1:15" hidden="1" x14ac:dyDescent="0.25">
      <c r="A97" s="1">
        <v>1</v>
      </c>
      <c r="B97" s="45"/>
      <c r="C97" s="45"/>
      <c r="E97" s="35"/>
      <c r="G97" s="25"/>
      <c r="I97" s="1">
        <f t="shared" si="0"/>
        <v>0</v>
      </c>
      <c r="J97" s="25" t="s">
        <v>238</v>
      </c>
      <c r="K97" s="22"/>
    </row>
    <row r="98" spans="1:15" hidden="1" x14ac:dyDescent="0.25">
      <c r="A98" s="1">
        <v>1</v>
      </c>
      <c r="B98" s="45"/>
      <c r="C98" s="45"/>
      <c r="E98" s="35"/>
      <c r="G98" s="25"/>
      <c r="I98" s="1">
        <f t="shared" si="0"/>
        <v>0</v>
      </c>
      <c r="J98" s="25" t="s">
        <v>794</v>
      </c>
      <c r="K98" s="22"/>
    </row>
    <row r="99" spans="1:15" hidden="1" x14ac:dyDescent="0.25">
      <c r="A99" s="1">
        <v>1</v>
      </c>
      <c r="B99" s="45"/>
      <c r="C99" s="45"/>
      <c r="E99" s="35"/>
      <c r="G99" s="25"/>
      <c r="I99" s="1">
        <f t="shared" si="0"/>
        <v>0</v>
      </c>
      <c r="J99" s="25" t="s">
        <v>296</v>
      </c>
      <c r="K99" s="22"/>
    </row>
    <row r="100" spans="1:15" hidden="1" x14ac:dyDescent="0.25">
      <c r="A100" s="1">
        <v>1</v>
      </c>
      <c r="B100" s="45"/>
      <c r="C100" s="45"/>
      <c r="E100" s="35"/>
      <c r="G100" s="25"/>
      <c r="I100" s="1">
        <f t="shared" si="0"/>
        <v>0</v>
      </c>
      <c r="J100" s="25" t="s">
        <v>300</v>
      </c>
      <c r="K100" s="22"/>
    </row>
    <row r="101" spans="1:15" hidden="1" x14ac:dyDescent="0.25">
      <c r="A101" s="1">
        <v>1</v>
      </c>
      <c r="B101" s="45"/>
      <c r="C101" s="45"/>
      <c r="E101" s="35"/>
      <c r="G101" s="25"/>
      <c r="I101" s="1">
        <f t="shared" si="0"/>
        <v>0</v>
      </c>
      <c r="J101" s="25" t="s">
        <v>129</v>
      </c>
      <c r="K101" s="22"/>
    </row>
    <row r="102" spans="1:15" hidden="1" x14ac:dyDescent="0.25">
      <c r="A102" s="1">
        <v>1</v>
      </c>
      <c r="B102" s="45"/>
      <c r="C102" s="45"/>
      <c r="E102" s="35"/>
      <c r="G102" s="25"/>
      <c r="I102" s="1">
        <f t="shared" si="0"/>
        <v>0</v>
      </c>
      <c r="J102" s="38" t="s">
        <v>376</v>
      </c>
      <c r="K102" s="22"/>
    </row>
    <row r="103" spans="1:15" hidden="1" x14ac:dyDescent="0.25">
      <c r="A103" s="1">
        <v>1</v>
      </c>
      <c r="B103" s="45"/>
      <c r="C103" s="45"/>
      <c r="E103" s="35"/>
      <c r="G103" s="25"/>
      <c r="I103" s="1">
        <f t="shared" si="0"/>
        <v>0</v>
      </c>
      <c r="J103" s="38" t="s">
        <v>377</v>
      </c>
      <c r="K103" s="22"/>
    </row>
    <row r="104" spans="1:15" hidden="1" x14ac:dyDescent="0.25">
      <c r="A104" s="1">
        <v>1</v>
      </c>
      <c r="B104" s="45"/>
      <c r="C104" s="45"/>
      <c r="E104" s="35"/>
      <c r="G104" s="25"/>
      <c r="I104" s="1">
        <f t="shared" si="0"/>
        <v>0</v>
      </c>
      <c r="J104" s="38" t="s">
        <v>65</v>
      </c>
      <c r="K104" s="22"/>
    </row>
    <row r="105" spans="1:15" hidden="1" x14ac:dyDescent="0.25">
      <c r="A105" s="1">
        <v>1</v>
      </c>
      <c r="B105" s="45"/>
      <c r="C105" s="45"/>
      <c r="E105" s="35"/>
      <c r="G105" s="25"/>
      <c r="I105" s="1">
        <f t="shared" si="0"/>
        <v>0</v>
      </c>
      <c r="J105" s="38" t="s">
        <v>378</v>
      </c>
      <c r="K105" s="22"/>
    </row>
    <row r="106" spans="1:15" hidden="1" x14ac:dyDescent="0.25">
      <c r="A106" s="1">
        <v>1</v>
      </c>
      <c r="B106" s="45"/>
      <c r="C106" s="45"/>
      <c r="E106" s="35"/>
      <c r="G106" s="25"/>
      <c r="I106" s="1">
        <f t="shared" si="0"/>
        <v>0</v>
      </c>
      <c r="J106" s="38" t="s">
        <v>379</v>
      </c>
      <c r="K106" s="22"/>
    </row>
    <row r="107" spans="1:15" hidden="1" x14ac:dyDescent="0.25">
      <c r="A107" s="1">
        <v>1</v>
      </c>
      <c r="B107" s="45"/>
      <c r="C107" s="45"/>
      <c r="E107" s="35"/>
      <c r="G107" s="25"/>
      <c r="I107" s="1">
        <f t="shared" ref="I107" si="1">MAX((G$42:G$889=J107)*E$42:E$889)</f>
        <v>0</v>
      </c>
      <c r="J107" s="25" t="s">
        <v>415</v>
      </c>
      <c r="K107" s="24"/>
    </row>
    <row r="108" spans="1:15" hidden="1" x14ac:dyDescent="0.25">
      <c r="A108" s="1">
        <v>1</v>
      </c>
      <c r="B108" s="45"/>
      <c r="C108" s="45"/>
      <c r="E108" s="35"/>
      <c r="G108" s="25"/>
      <c r="K108" s="22"/>
    </row>
    <row r="109" spans="1:15" hidden="1" x14ac:dyDescent="0.25">
      <c r="A109" s="1">
        <v>1</v>
      </c>
      <c r="B109" s="45"/>
      <c r="C109" s="45"/>
      <c r="E109" s="35"/>
      <c r="G109" s="25"/>
      <c r="K109" s="22"/>
    </row>
    <row r="110" spans="1:15" hidden="1" x14ac:dyDescent="0.25">
      <c r="A110" s="1">
        <v>1</v>
      </c>
      <c r="B110" s="45"/>
      <c r="C110" s="45"/>
      <c r="E110" s="35"/>
      <c r="G110" s="25"/>
      <c r="K110" s="22"/>
    </row>
    <row r="111" spans="1:15" x14ac:dyDescent="0.25">
      <c r="B111" s="45" t="s">
        <v>761</v>
      </c>
      <c r="C111" s="45" t="s">
        <v>249</v>
      </c>
      <c r="D111" s="20" t="s">
        <v>67</v>
      </c>
      <c r="E111" s="21">
        <v>3456</v>
      </c>
      <c r="F111" s="1" t="s">
        <v>68</v>
      </c>
      <c r="G111" s="25" t="s">
        <v>172</v>
      </c>
      <c r="H111" s="1" t="s">
        <v>173</v>
      </c>
      <c r="I111" s="1" t="s">
        <v>250</v>
      </c>
      <c r="J111" s="33">
        <v>1</v>
      </c>
      <c r="K111" s="24">
        <v>45237.457673611112</v>
      </c>
      <c r="O111" s="54">
        <v>3000</v>
      </c>
    </row>
    <row r="112" spans="1:15" hidden="1" x14ac:dyDescent="0.25">
      <c r="A112" s="1">
        <v>1</v>
      </c>
      <c r="B112" s="45"/>
      <c r="C112" s="45"/>
      <c r="E112" s="35"/>
      <c r="G112" s="25"/>
      <c r="J112" s="33"/>
      <c r="K112" s="24"/>
    </row>
    <row r="113" spans="2:15" x14ac:dyDescent="0.25">
      <c r="B113" s="45" t="s">
        <v>253</v>
      </c>
      <c r="C113" s="45" t="s">
        <v>66</v>
      </c>
      <c r="D113" s="20" t="s">
        <v>66</v>
      </c>
      <c r="E113" s="21">
        <v>2000</v>
      </c>
      <c r="F113" s="1" t="s">
        <v>68</v>
      </c>
      <c r="G113" s="25" t="s">
        <v>170</v>
      </c>
      <c r="H113" s="1" t="s">
        <v>171</v>
      </c>
      <c r="I113" s="1" t="s">
        <v>122</v>
      </c>
      <c r="J113" s="33">
        <v>1</v>
      </c>
      <c r="K113" s="24">
        <v>45238.746886574074</v>
      </c>
      <c r="M113" s="22">
        <v>45232</v>
      </c>
    </row>
    <row r="114" spans="2:15" x14ac:dyDescent="0.25">
      <c r="B114" s="45" t="s">
        <v>321</v>
      </c>
      <c r="C114" s="45" t="s">
        <v>344</v>
      </c>
      <c r="D114" s="20">
        <v>1104</v>
      </c>
      <c r="E114" s="21">
        <v>360</v>
      </c>
      <c r="F114" s="1" t="s">
        <v>68</v>
      </c>
      <c r="G114" s="25" t="s">
        <v>181</v>
      </c>
      <c r="H114" s="1" t="s">
        <v>232</v>
      </c>
      <c r="I114" s="1">
        <f t="shared" ref="I114:I135" si="2">MAX((G114:G961=D74)*E114:E961)</f>
        <v>0</v>
      </c>
      <c r="J114" s="60">
        <v>0</v>
      </c>
      <c r="K114" s="24">
        <v>45238.748333333337</v>
      </c>
    </row>
    <row r="115" spans="2:15" x14ac:dyDescent="0.25">
      <c r="B115" s="45" t="s">
        <v>321</v>
      </c>
      <c r="C115" s="45" t="s">
        <v>364</v>
      </c>
      <c r="D115" s="20">
        <v>1103</v>
      </c>
      <c r="E115" s="21">
        <v>240</v>
      </c>
      <c r="F115" s="1" t="s">
        <v>152</v>
      </c>
      <c r="G115" s="25" t="s">
        <v>157</v>
      </c>
      <c r="H115" s="1" t="s">
        <v>154</v>
      </c>
      <c r="I115" s="1">
        <f t="shared" si="2"/>
        <v>0</v>
      </c>
      <c r="J115" s="60">
        <v>0</v>
      </c>
      <c r="K115" s="24">
        <v>45238.749212962961</v>
      </c>
      <c r="O115" s="54">
        <v>3000</v>
      </c>
    </row>
    <row r="116" spans="2:15" x14ac:dyDescent="0.25">
      <c r="B116" s="45" t="s">
        <v>321</v>
      </c>
      <c r="C116" s="45" t="s">
        <v>762</v>
      </c>
      <c r="D116" s="20">
        <v>1102</v>
      </c>
      <c r="E116" s="21">
        <v>1000</v>
      </c>
      <c r="F116" s="1" t="s">
        <v>68</v>
      </c>
      <c r="G116" s="25" t="s">
        <v>197</v>
      </c>
      <c r="H116" s="1" t="s">
        <v>198</v>
      </c>
      <c r="I116" s="1">
        <f t="shared" si="2"/>
        <v>0</v>
      </c>
      <c r="J116" s="60">
        <v>0</v>
      </c>
      <c r="K116" s="24">
        <v>45238.750486111108</v>
      </c>
      <c r="O116" s="54">
        <v>2400</v>
      </c>
    </row>
    <row r="117" spans="2:15" x14ac:dyDescent="0.25">
      <c r="B117" s="45" t="s">
        <v>321</v>
      </c>
      <c r="C117" s="45" t="s">
        <v>368</v>
      </c>
      <c r="D117" s="20">
        <v>1101</v>
      </c>
      <c r="E117" s="21">
        <v>3500</v>
      </c>
      <c r="F117" s="1" t="s">
        <v>68</v>
      </c>
      <c r="G117" s="25" t="s">
        <v>124</v>
      </c>
      <c r="H117" s="1" t="s">
        <v>125</v>
      </c>
      <c r="I117" s="1">
        <f t="shared" si="2"/>
        <v>0</v>
      </c>
      <c r="J117" s="60">
        <v>0</v>
      </c>
      <c r="K117" s="24">
        <v>45238.751608796294</v>
      </c>
    </row>
    <row r="118" spans="2:15" x14ac:dyDescent="0.25">
      <c r="B118" s="45" t="s">
        <v>321</v>
      </c>
      <c r="C118" s="45" t="s">
        <v>267</v>
      </c>
      <c r="D118" s="20">
        <v>1100</v>
      </c>
      <c r="E118" s="21">
        <v>16500</v>
      </c>
      <c r="F118" s="1" t="s">
        <v>68</v>
      </c>
      <c r="G118" s="25" t="s">
        <v>120</v>
      </c>
      <c r="H118" s="1" t="s">
        <v>121</v>
      </c>
      <c r="I118" s="1">
        <f t="shared" si="2"/>
        <v>0</v>
      </c>
      <c r="J118" s="60">
        <v>0</v>
      </c>
      <c r="K118" s="24">
        <v>45238.752418981479</v>
      </c>
      <c r="O118" s="54">
        <v>10</v>
      </c>
    </row>
    <row r="119" spans="2:15" x14ac:dyDescent="0.25">
      <c r="B119" s="45" t="s">
        <v>321</v>
      </c>
      <c r="C119" s="45" t="s">
        <v>267</v>
      </c>
      <c r="D119" s="20">
        <v>1100</v>
      </c>
      <c r="E119" s="21">
        <v>40</v>
      </c>
      <c r="F119" s="1" t="s">
        <v>68</v>
      </c>
      <c r="G119" s="25" t="s">
        <v>788</v>
      </c>
      <c r="H119" s="1" t="s">
        <v>187</v>
      </c>
      <c r="I119" s="1">
        <f t="shared" si="2"/>
        <v>0</v>
      </c>
      <c r="J119" s="60">
        <v>0</v>
      </c>
      <c r="K119" s="24">
        <v>45238.752743055556</v>
      </c>
      <c r="O119" s="54">
        <v>10</v>
      </c>
    </row>
    <row r="120" spans="2:15" x14ac:dyDescent="0.25">
      <c r="B120" s="45" t="s">
        <v>321</v>
      </c>
      <c r="C120" s="45" t="s">
        <v>267</v>
      </c>
      <c r="D120" s="20">
        <v>1100</v>
      </c>
      <c r="E120" s="21">
        <v>60</v>
      </c>
      <c r="F120" s="1" t="s">
        <v>68</v>
      </c>
      <c r="G120" s="25" t="s">
        <v>184</v>
      </c>
      <c r="H120" s="1" t="s">
        <v>185</v>
      </c>
      <c r="I120" s="1">
        <f t="shared" si="2"/>
        <v>0</v>
      </c>
      <c r="J120" s="60">
        <v>0</v>
      </c>
      <c r="K120" s="24">
        <v>45238.752951388888</v>
      </c>
      <c r="O120" s="54">
        <v>10</v>
      </c>
    </row>
    <row r="121" spans="2:15" x14ac:dyDescent="0.25">
      <c r="B121" s="45" t="s">
        <v>321</v>
      </c>
      <c r="C121" s="45" t="s">
        <v>267</v>
      </c>
      <c r="D121" s="20">
        <v>1100</v>
      </c>
      <c r="E121" s="21">
        <v>24</v>
      </c>
      <c r="F121" s="1" t="s">
        <v>68</v>
      </c>
      <c r="G121" s="25" t="s">
        <v>787</v>
      </c>
      <c r="H121" s="1" t="s">
        <v>167</v>
      </c>
      <c r="I121" s="1">
        <f t="shared" si="2"/>
        <v>0</v>
      </c>
      <c r="J121" s="60">
        <v>0</v>
      </c>
      <c r="K121" s="24">
        <v>45238.753159722219</v>
      </c>
      <c r="O121" s="54">
        <v>144</v>
      </c>
    </row>
    <row r="122" spans="2:15" x14ac:dyDescent="0.25">
      <c r="B122" s="45" t="s">
        <v>176</v>
      </c>
      <c r="C122" s="45" t="s">
        <v>263</v>
      </c>
      <c r="D122" s="20">
        <v>1106</v>
      </c>
      <c r="E122" s="21">
        <v>160</v>
      </c>
      <c r="F122" s="1" t="s">
        <v>192</v>
      </c>
      <c r="G122" s="25" t="s">
        <v>193</v>
      </c>
      <c r="H122" s="1" t="s">
        <v>194</v>
      </c>
      <c r="I122" s="1">
        <f t="shared" si="2"/>
        <v>0</v>
      </c>
      <c r="J122" s="60">
        <v>0</v>
      </c>
      <c r="K122" s="24">
        <v>45238.753935185188</v>
      </c>
      <c r="O122" s="54">
        <v>144</v>
      </c>
    </row>
    <row r="123" spans="2:15" x14ac:dyDescent="0.25">
      <c r="B123" s="45" t="s">
        <v>176</v>
      </c>
      <c r="C123" s="45" t="s">
        <v>261</v>
      </c>
      <c r="D123" s="20">
        <v>1109</v>
      </c>
      <c r="E123" s="21">
        <v>480</v>
      </c>
      <c r="F123" s="1" t="s">
        <v>68</v>
      </c>
      <c r="G123" s="25" t="s">
        <v>181</v>
      </c>
      <c r="H123" s="1" t="s">
        <v>232</v>
      </c>
      <c r="I123" s="1">
        <f t="shared" si="2"/>
        <v>0</v>
      </c>
      <c r="J123" s="60">
        <v>0</v>
      </c>
      <c r="K123" s="24">
        <v>45238.756006944444</v>
      </c>
      <c r="O123" s="54">
        <v>144</v>
      </c>
    </row>
    <row r="124" spans="2:15" x14ac:dyDescent="0.25">
      <c r="B124" s="45" t="s">
        <v>176</v>
      </c>
      <c r="C124" s="45" t="s">
        <v>261</v>
      </c>
      <c r="D124" s="20">
        <v>1109</v>
      </c>
      <c r="E124" s="21">
        <v>480</v>
      </c>
      <c r="F124" s="1" t="s">
        <v>152</v>
      </c>
      <c r="G124" s="25" t="s">
        <v>153</v>
      </c>
      <c r="H124" s="1" t="s">
        <v>154</v>
      </c>
      <c r="I124" s="1">
        <f t="shared" si="2"/>
        <v>0</v>
      </c>
      <c r="J124" s="60">
        <v>0</v>
      </c>
      <c r="K124" s="24">
        <v>45238.75644675926</v>
      </c>
      <c r="O124" s="54">
        <v>144</v>
      </c>
    </row>
    <row r="125" spans="2:15" x14ac:dyDescent="0.25">
      <c r="B125" s="45" t="s">
        <v>176</v>
      </c>
      <c r="C125" s="45" t="s">
        <v>262</v>
      </c>
      <c r="D125" s="20">
        <v>1108</v>
      </c>
      <c r="E125" s="21">
        <v>1500</v>
      </c>
      <c r="F125" s="1" t="s">
        <v>68</v>
      </c>
      <c r="G125" s="25" t="s">
        <v>138</v>
      </c>
      <c r="H125" s="1" t="s">
        <v>229</v>
      </c>
      <c r="I125" s="1">
        <f t="shared" si="2"/>
        <v>0</v>
      </c>
      <c r="J125" s="60">
        <v>0</v>
      </c>
      <c r="K125" s="24">
        <v>45238.757870370369</v>
      </c>
      <c r="O125" s="54">
        <v>24</v>
      </c>
    </row>
    <row r="126" spans="2:15" x14ac:dyDescent="0.25">
      <c r="B126" s="45" t="s">
        <v>176</v>
      </c>
      <c r="C126" s="45" t="s">
        <v>262</v>
      </c>
      <c r="D126" s="20">
        <v>1108</v>
      </c>
      <c r="E126" s="21">
        <v>10</v>
      </c>
      <c r="F126" s="1" t="s">
        <v>144</v>
      </c>
      <c r="G126" s="25" t="s">
        <v>148</v>
      </c>
      <c r="H126" s="1" t="s">
        <v>149</v>
      </c>
      <c r="I126" s="1">
        <f t="shared" si="2"/>
        <v>0</v>
      </c>
      <c r="J126" s="60">
        <v>0</v>
      </c>
      <c r="K126" s="24">
        <v>45238.758252314816</v>
      </c>
      <c r="O126" s="54">
        <v>440</v>
      </c>
    </row>
    <row r="127" spans="2:15" x14ac:dyDescent="0.25">
      <c r="B127" s="45" t="s">
        <v>176</v>
      </c>
      <c r="C127" s="45" t="s">
        <v>262</v>
      </c>
      <c r="D127" s="20">
        <v>1108</v>
      </c>
      <c r="E127" s="21">
        <v>10</v>
      </c>
      <c r="F127" s="1" t="s">
        <v>144</v>
      </c>
      <c r="G127" s="25" t="s">
        <v>150</v>
      </c>
      <c r="H127" s="1" t="s">
        <v>151</v>
      </c>
      <c r="I127" s="1">
        <f t="shared" si="2"/>
        <v>0</v>
      </c>
      <c r="J127" s="60">
        <v>0</v>
      </c>
      <c r="K127" s="24">
        <v>45238.758530092593</v>
      </c>
      <c r="O127" s="54">
        <v>500</v>
      </c>
    </row>
    <row r="128" spans="2:15" x14ac:dyDescent="0.25">
      <c r="B128" s="45" t="s">
        <v>176</v>
      </c>
      <c r="C128" s="45" t="s">
        <v>260</v>
      </c>
      <c r="D128" s="20">
        <v>1107</v>
      </c>
      <c r="E128" s="21">
        <v>15</v>
      </c>
      <c r="F128" s="1" t="s">
        <v>68</v>
      </c>
      <c r="G128" s="25" t="s">
        <v>786</v>
      </c>
      <c r="H128" s="1" t="s">
        <v>165</v>
      </c>
      <c r="I128" s="1">
        <f t="shared" si="2"/>
        <v>0</v>
      </c>
      <c r="J128" s="60">
        <v>0</v>
      </c>
      <c r="K128" s="24">
        <v>45238.759120370371</v>
      </c>
      <c r="O128" s="54">
        <v>24</v>
      </c>
    </row>
    <row r="129" spans="2:15" x14ac:dyDescent="0.25">
      <c r="B129" s="45" t="s">
        <v>176</v>
      </c>
      <c r="C129" s="45" t="s">
        <v>270</v>
      </c>
      <c r="D129" s="20">
        <v>1110</v>
      </c>
      <c r="E129" s="21">
        <v>3000</v>
      </c>
      <c r="F129" s="1" t="s">
        <v>68</v>
      </c>
      <c r="G129" s="25" t="s">
        <v>163</v>
      </c>
      <c r="H129" s="1" t="s">
        <v>240</v>
      </c>
      <c r="I129" s="1">
        <f t="shared" si="2"/>
        <v>0</v>
      </c>
      <c r="J129" s="60">
        <v>0</v>
      </c>
      <c r="K129" s="24">
        <v>45239.48946759259</v>
      </c>
      <c r="O129" s="54">
        <v>60</v>
      </c>
    </row>
    <row r="130" spans="2:15" x14ac:dyDescent="0.25">
      <c r="B130" s="45" t="s">
        <v>176</v>
      </c>
      <c r="C130" s="45" t="s">
        <v>347</v>
      </c>
      <c r="D130" s="20">
        <v>1111</v>
      </c>
      <c r="E130" s="21">
        <v>2000</v>
      </c>
      <c r="F130" s="1" t="s">
        <v>68</v>
      </c>
      <c r="G130" s="25" t="s">
        <v>136</v>
      </c>
      <c r="H130" s="1" t="s">
        <v>137</v>
      </c>
      <c r="I130" s="1">
        <f t="shared" si="2"/>
        <v>0</v>
      </c>
      <c r="J130" s="60">
        <v>0</v>
      </c>
      <c r="K130" s="24">
        <v>45240.715162037035</v>
      </c>
      <c r="O130" s="54">
        <v>4</v>
      </c>
    </row>
    <row r="131" spans="2:15" x14ac:dyDescent="0.25">
      <c r="B131" s="45" t="s">
        <v>176</v>
      </c>
      <c r="C131" s="45" t="s">
        <v>264</v>
      </c>
      <c r="D131" s="20">
        <v>1112</v>
      </c>
      <c r="E131" s="21">
        <v>8000</v>
      </c>
      <c r="F131" s="1" t="s">
        <v>68</v>
      </c>
      <c r="G131" s="25" t="s">
        <v>120</v>
      </c>
      <c r="H131" s="1" t="s">
        <v>121</v>
      </c>
      <c r="I131" s="1">
        <f t="shared" si="2"/>
        <v>0</v>
      </c>
      <c r="J131" s="60">
        <v>0</v>
      </c>
      <c r="K131" s="24">
        <v>45240.715231481481</v>
      </c>
      <c r="O131" s="54">
        <v>200</v>
      </c>
    </row>
    <row r="132" spans="2:15" x14ac:dyDescent="0.25">
      <c r="B132" s="45" t="s">
        <v>176</v>
      </c>
      <c r="C132" s="45" t="s">
        <v>262</v>
      </c>
      <c r="D132" s="20">
        <v>1113</v>
      </c>
      <c r="E132" s="21">
        <v>2000</v>
      </c>
      <c r="F132" s="1" t="s">
        <v>68</v>
      </c>
      <c r="G132" s="25" t="s">
        <v>138</v>
      </c>
      <c r="H132" s="1" t="s">
        <v>229</v>
      </c>
      <c r="I132" s="1">
        <f t="shared" si="2"/>
        <v>0</v>
      </c>
      <c r="J132" s="60">
        <v>0</v>
      </c>
      <c r="K132" s="24">
        <v>45240.715289351851</v>
      </c>
      <c r="O132" s="54">
        <v>100</v>
      </c>
    </row>
    <row r="133" spans="2:15" x14ac:dyDescent="0.25">
      <c r="B133" s="45" t="s">
        <v>176</v>
      </c>
      <c r="C133" s="45" t="s">
        <v>262</v>
      </c>
      <c r="D133" s="20">
        <v>1113</v>
      </c>
      <c r="E133" s="21">
        <v>10</v>
      </c>
      <c r="F133" s="1" t="s">
        <v>144</v>
      </c>
      <c r="G133" s="25" t="s">
        <v>148</v>
      </c>
      <c r="H133" s="1" t="s">
        <v>149</v>
      </c>
      <c r="I133" s="1">
        <f t="shared" si="2"/>
        <v>0</v>
      </c>
      <c r="J133" s="60">
        <v>0</v>
      </c>
      <c r="K133" s="24">
        <v>45240.71534722222</v>
      </c>
    </row>
    <row r="134" spans="2:15" x14ac:dyDescent="0.25">
      <c r="B134" s="45" t="s">
        <v>176</v>
      </c>
      <c r="C134" s="45" t="s">
        <v>262</v>
      </c>
      <c r="D134" s="20">
        <v>1113</v>
      </c>
      <c r="E134" s="21">
        <v>10</v>
      </c>
      <c r="F134" s="1" t="s">
        <v>144</v>
      </c>
      <c r="G134" s="25" t="s">
        <v>150</v>
      </c>
      <c r="H134" s="1" t="s">
        <v>151</v>
      </c>
      <c r="I134" s="1">
        <f t="shared" si="2"/>
        <v>0</v>
      </c>
      <c r="J134" s="60">
        <v>0</v>
      </c>
      <c r="K134" s="24">
        <v>45240.71539351852</v>
      </c>
    </row>
    <row r="135" spans="2:15" x14ac:dyDescent="0.25">
      <c r="B135" s="45" t="s">
        <v>176</v>
      </c>
      <c r="C135" s="45" t="s">
        <v>261</v>
      </c>
      <c r="D135" s="20">
        <v>1114</v>
      </c>
      <c r="E135" s="21">
        <v>68</v>
      </c>
      <c r="F135" s="1" t="s">
        <v>152</v>
      </c>
      <c r="G135" s="25" t="s">
        <v>153</v>
      </c>
      <c r="H135" s="1" t="s">
        <v>154</v>
      </c>
      <c r="I135" s="1">
        <f t="shared" si="2"/>
        <v>0</v>
      </c>
      <c r="J135" s="60">
        <v>0</v>
      </c>
      <c r="K135" s="24">
        <v>45240.715462962966</v>
      </c>
      <c r="O135" s="54">
        <v>36</v>
      </c>
    </row>
    <row r="136" spans="2:15" x14ac:dyDescent="0.25">
      <c r="B136" s="45" t="s">
        <v>254</v>
      </c>
      <c r="C136" s="25" t="s">
        <v>763</v>
      </c>
      <c r="D136" s="20">
        <v>789363</v>
      </c>
      <c r="E136" s="21">
        <v>2000</v>
      </c>
      <c r="F136" s="1" t="s">
        <v>68</v>
      </c>
      <c r="G136" s="25" t="s">
        <v>219</v>
      </c>
      <c r="H136" s="1" t="s">
        <v>220</v>
      </c>
      <c r="I136" s="1" t="s">
        <v>161</v>
      </c>
      <c r="J136" s="33">
        <v>1</v>
      </c>
      <c r="K136" s="24">
        <v>45244.428923611114</v>
      </c>
      <c r="M136" s="22">
        <v>45180</v>
      </c>
      <c r="O136" s="54">
        <v>96</v>
      </c>
    </row>
    <row r="137" spans="2:15" x14ac:dyDescent="0.25">
      <c r="B137" s="45" t="s">
        <v>255</v>
      </c>
      <c r="C137" s="25" t="s">
        <v>764</v>
      </c>
      <c r="D137" s="20">
        <v>797939</v>
      </c>
      <c r="E137" s="21">
        <v>6000</v>
      </c>
      <c r="F137" s="1" t="s">
        <v>152</v>
      </c>
      <c r="G137" s="25" t="s">
        <v>197</v>
      </c>
      <c r="H137" s="1" t="s">
        <v>198</v>
      </c>
      <c r="I137" s="1" t="s">
        <v>161</v>
      </c>
      <c r="J137" s="33">
        <v>1</v>
      </c>
      <c r="K137" s="24">
        <v>45244.42863425926</v>
      </c>
      <c r="M137" s="22">
        <v>45180</v>
      </c>
      <c r="O137" s="54">
        <v>300</v>
      </c>
    </row>
    <row r="138" spans="2:15" x14ac:dyDescent="0.25">
      <c r="B138" s="45" t="s">
        <v>256</v>
      </c>
      <c r="C138" s="45" t="s">
        <v>257</v>
      </c>
      <c r="D138" s="20" t="s">
        <v>249</v>
      </c>
      <c r="E138" s="21">
        <v>720</v>
      </c>
      <c r="F138" s="1" t="s">
        <v>152</v>
      </c>
      <c r="G138" s="25" t="s">
        <v>158</v>
      </c>
      <c r="H138" s="1" t="s">
        <v>154</v>
      </c>
      <c r="I138" s="1" t="s">
        <v>155</v>
      </c>
      <c r="J138" s="33">
        <v>1</v>
      </c>
      <c r="K138" s="24">
        <v>45244.428148148145</v>
      </c>
      <c r="M138" s="22">
        <v>45210</v>
      </c>
      <c r="O138" s="54">
        <v>4</v>
      </c>
    </row>
    <row r="139" spans="2:15" x14ac:dyDescent="0.25">
      <c r="B139" s="45" t="s">
        <v>176</v>
      </c>
      <c r="C139" s="45" t="s">
        <v>258</v>
      </c>
      <c r="D139" s="20">
        <v>1118</v>
      </c>
      <c r="E139" s="21">
        <v>40</v>
      </c>
      <c r="F139" s="1" t="s">
        <v>68</v>
      </c>
      <c r="G139" s="25" t="s">
        <v>126</v>
      </c>
      <c r="H139" s="1" t="s">
        <v>259</v>
      </c>
      <c r="I139" s="1">
        <f t="shared" ref="I139:I151" si="3">MAX((G139:G986=D99)*E139:E986)</f>
        <v>0</v>
      </c>
      <c r="J139" s="60">
        <v>0</v>
      </c>
      <c r="K139" s="24">
        <v>45244.724849537037</v>
      </c>
      <c r="O139" s="54">
        <v>500</v>
      </c>
    </row>
    <row r="140" spans="2:15" x14ac:dyDescent="0.25">
      <c r="B140" s="45" t="s">
        <v>176</v>
      </c>
      <c r="C140" s="45" t="s">
        <v>260</v>
      </c>
      <c r="D140" s="20">
        <v>1120</v>
      </c>
      <c r="E140" s="21">
        <v>26</v>
      </c>
      <c r="F140" s="1" t="s">
        <v>68</v>
      </c>
      <c r="G140" s="25" t="s">
        <v>786</v>
      </c>
      <c r="H140" s="1" t="s">
        <v>165</v>
      </c>
      <c r="I140" s="1">
        <f t="shared" si="3"/>
        <v>0</v>
      </c>
      <c r="J140" s="60">
        <v>0</v>
      </c>
      <c r="K140" s="24">
        <v>45244.724803240744</v>
      </c>
      <c r="O140" s="54">
        <v>100</v>
      </c>
    </row>
    <row r="141" spans="2:15" x14ac:dyDescent="0.25">
      <c r="B141" s="45" t="s">
        <v>176</v>
      </c>
      <c r="C141" s="45" t="s">
        <v>261</v>
      </c>
      <c r="D141" s="20">
        <v>1119</v>
      </c>
      <c r="E141" s="21">
        <v>480</v>
      </c>
      <c r="F141" s="1" t="s">
        <v>68</v>
      </c>
      <c r="G141" s="25" t="s">
        <v>181</v>
      </c>
      <c r="H141" s="1" t="s">
        <v>232</v>
      </c>
      <c r="I141" s="1">
        <f t="shared" si="3"/>
        <v>0</v>
      </c>
      <c r="J141" s="60">
        <v>0</v>
      </c>
      <c r="K141" s="24">
        <v>45244.724710648145</v>
      </c>
      <c r="O141" s="54">
        <v>2400</v>
      </c>
    </row>
    <row r="142" spans="2:15" x14ac:dyDescent="0.25">
      <c r="B142" s="45" t="s">
        <v>176</v>
      </c>
      <c r="C142" s="45" t="s">
        <v>262</v>
      </c>
      <c r="D142" s="20">
        <v>1121</v>
      </c>
      <c r="E142" s="21">
        <v>3600</v>
      </c>
      <c r="F142" s="1" t="s">
        <v>68</v>
      </c>
      <c r="G142" s="25" t="s">
        <v>138</v>
      </c>
      <c r="H142" s="1" t="s">
        <v>229</v>
      </c>
      <c r="I142" s="1">
        <f t="shared" si="3"/>
        <v>0</v>
      </c>
      <c r="J142" s="60">
        <v>0</v>
      </c>
      <c r="K142" s="24">
        <v>45244.724618055552</v>
      </c>
    </row>
    <row r="143" spans="2:15" x14ac:dyDescent="0.25">
      <c r="B143" s="45" t="s">
        <v>176</v>
      </c>
      <c r="C143" s="45" t="s">
        <v>262</v>
      </c>
      <c r="D143" s="20">
        <v>1121</v>
      </c>
      <c r="E143" s="21">
        <v>5</v>
      </c>
      <c r="F143" s="1" t="s">
        <v>144</v>
      </c>
      <c r="G143" s="25" t="s">
        <v>148</v>
      </c>
      <c r="H143" s="1" t="s">
        <v>149</v>
      </c>
      <c r="I143" s="1">
        <f t="shared" si="3"/>
        <v>0</v>
      </c>
      <c r="J143" s="60">
        <v>0</v>
      </c>
      <c r="K143" s="24">
        <v>45244.724560185183</v>
      </c>
      <c r="O143" s="54">
        <v>20</v>
      </c>
    </row>
    <row r="144" spans="2:15" x14ac:dyDescent="0.25">
      <c r="B144" s="45" t="s">
        <v>176</v>
      </c>
      <c r="C144" s="45" t="s">
        <v>262</v>
      </c>
      <c r="D144" s="20">
        <v>1121</v>
      </c>
      <c r="E144" s="21">
        <v>150</v>
      </c>
      <c r="F144" s="1" t="s">
        <v>68</v>
      </c>
      <c r="G144" s="25" t="s">
        <v>184</v>
      </c>
      <c r="H144" s="1" t="s">
        <v>185</v>
      </c>
      <c r="I144" s="1">
        <f t="shared" si="3"/>
        <v>0</v>
      </c>
      <c r="J144" s="60">
        <v>0</v>
      </c>
      <c r="K144" s="24">
        <v>45244.724930555552</v>
      </c>
      <c r="O144" s="54">
        <v>100</v>
      </c>
    </row>
    <row r="145" spans="2:15" x14ac:dyDescent="0.25">
      <c r="B145" s="45" t="s">
        <v>176</v>
      </c>
      <c r="C145" s="45" t="s">
        <v>263</v>
      </c>
      <c r="D145" s="20">
        <v>1122</v>
      </c>
      <c r="E145" s="21">
        <v>408</v>
      </c>
      <c r="F145" s="1" t="s">
        <v>68</v>
      </c>
      <c r="G145" s="25" t="s">
        <v>159</v>
      </c>
      <c r="H145" s="1" t="s">
        <v>160</v>
      </c>
      <c r="I145" s="1">
        <f t="shared" si="3"/>
        <v>0</v>
      </c>
      <c r="J145" s="60">
        <v>0</v>
      </c>
      <c r="K145" s="24">
        <v>45244.724999999999</v>
      </c>
      <c r="O145" s="54">
        <v>2000</v>
      </c>
    </row>
    <row r="146" spans="2:15" x14ac:dyDescent="0.25">
      <c r="B146" s="45" t="s">
        <v>176</v>
      </c>
      <c r="C146" s="45" t="s">
        <v>264</v>
      </c>
      <c r="D146" s="20">
        <v>1123</v>
      </c>
      <c r="E146" s="21">
        <v>2000</v>
      </c>
      <c r="F146" s="1" t="s">
        <v>68</v>
      </c>
      <c r="G146" s="25" t="s">
        <v>142</v>
      </c>
      <c r="H146" s="1" t="s">
        <v>143</v>
      </c>
      <c r="I146" s="1">
        <f t="shared" si="3"/>
        <v>0</v>
      </c>
      <c r="J146" s="60">
        <v>0</v>
      </c>
      <c r="K146" s="24">
        <v>45244.725057870368</v>
      </c>
      <c r="O146" s="54">
        <v>40</v>
      </c>
    </row>
    <row r="147" spans="2:15" x14ac:dyDescent="0.25">
      <c r="B147" s="45" t="s">
        <v>321</v>
      </c>
      <c r="C147" s="45" t="s">
        <v>265</v>
      </c>
      <c r="D147" s="20">
        <v>1115</v>
      </c>
      <c r="E147" s="21">
        <v>900</v>
      </c>
      <c r="F147" s="1" t="s">
        <v>68</v>
      </c>
      <c r="G147" s="25" t="s">
        <v>132</v>
      </c>
      <c r="H147" s="1" t="s">
        <v>133</v>
      </c>
      <c r="I147" s="1">
        <f t="shared" si="3"/>
        <v>0</v>
      </c>
      <c r="J147" s="60">
        <v>0</v>
      </c>
      <c r="K147" s="24">
        <v>45245.736203703702</v>
      </c>
      <c r="O147" s="54">
        <v>36</v>
      </c>
    </row>
    <row r="148" spans="2:15" x14ac:dyDescent="0.25">
      <c r="B148" s="45" t="s">
        <v>321</v>
      </c>
      <c r="C148" s="45" t="s">
        <v>265</v>
      </c>
      <c r="D148" s="20">
        <v>1115</v>
      </c>
      <c r="E148" s="21">
        <v>15</v>
      </c>
      <c r="F148" s="1" t="s">
        <v>68</v>
      </c>
      <c r="G148" s="25" t="s">
        <v>786</v>
      </c>
      <c r="H148" s="1" t="s">
        <v>165</v>
      </c>
      <c r="I148" s="1">
        <f t="shared" si="3"/>
        <v>0</v>
      </c>
      <c r="J148" s="60">
        <v>0</v>
      </c>
      <c r="K148" s="24">
        <v>45245.736238425925</v>
      </c>
      <c r="O148" s="54">
        <v>100</v>
      </c>
    </row>
    <row r="149" spans="2:15" x14ac:dyDescent="0.25">
      <c r="B149" s="45" t="s">
        <v>321</v>
      </c>
      <c r="C149" s="45" t="s">
        <v>266</v>
      </c>
      <c r="D149" s="20">
        <v>1116</v>
      </c>
      <c r="E149" s="21">
        <v>520</v>
      </c>
      <c r="F149" s="1" t="s">
        <v>68</v>
      </c>
      <c r="G149" s="25" t="s">
        <v>172</v>
      </c>
      <c r="H149" s="1" t="s">
        <v>173</v>
      </c>
      <c r="I149" s="1">
        <f t="shared" si="3"/>
        <v>0</v>
      </c>
      <c r="J149" s="60">
        <v>0</v>
      </c>
      <c r="K149" s="24">
        <v>45245.736273148148</v>
      </c>
      <c r="O149" s="54">
        <v>1</v>
      </c>
    </row>
    <row r="150" spans="2:15" x14ac:dyDescent="0.25">
      <c r="B150" s="45" t="s">
        <v>321</v>
      </c>
      <c r="C150" s="45" t="s">
        <v>266</v>
      </c>
      <c r="D150" s="20">
        <v>1116</v>
      </c>
      <c r="E150" s="21">
        <v>34</v>
      </c>
      <c r="F150" s="1" t="s">
        <v>68</v>
      </c>
      <c r="G150" s="25" t="s">
        <v>126</v>
      </c>
      <c r="H150" s="1" t="s">
        <v>259</v>
      </c>
      <c r="I150" s="1">
        <f t="shared" si="3"/>
        <v>0</v>
      </c>
      <c r="J150" s="60">
        <v>0</v>
      </c>
      <c r="K150" s="24">
        <v>45245.736319444448</v>
      </c>
      <c r="O150" s="54">
        <v>1</v>
      </c>
    </row>
    <row r="151" spans="2:15" x14ac:dyDescent="0.25">
      <c r="B151" s="45" t="s">
        <v>321</v>
      </c>
      <c r="C151" s="45" t="s">
        <v>267</v>
      </c>
      <c r="D151" s="20">
        <v>1117</v>
      </c>
      <c r="E151" s="21">
        <v>300</v>
      </c>
      <c r="F151" s="1" t="s">
        <v>144</v>
      </c>
      <c r="G151" s="25" t="s">
        <v>145</v>
      </c>
      <c r="H151" s="1" t="s">
        <v>146</v>
      </c>
      <c r="I151" s="1">
        <f t="shared" si="3"/>
        <v>0</v>
      </c>
      <c r="J151" s="60">
        <v>0</v>
      </c>
      <c r="K151" s="24">
        <v>45245.73636574074</v>
      </c>
      <c r="O151" s="54">
        <v>1</v>
      </c>
    </row>
    <row r="152" spans="2:15" x14ac:dyDescent="0.25">
      <c r="B152" s="45" t="s">
        <v>795</v>
      </c>
      <c r="C152" s="45" t="s">
        <v>268</v>
      </c>
      <c r="D152" s="20">
        <v>134952</v>
      </c>
      <c r="E152" s="21">
        <v>100000</v>
      </c>
      <c r="F152" s="1" t="s">
        <v>68</v>
      </c>
      <c r="G152" s="25" t="s">
        <v>120</v>
      </c>
      <c r="H152" s="1" t="s">
        <v>121</v>
      </c>
      <c r="I152" s="1" t="s">
        <v>122</v>
      </c>
      <c r="J152" s="33">
        <v>1</v>
      </c>
      <c r="K152" s="24">
        <v>45245.542384259257</v>
      </c>
      <c r="M152" s="22">
        <v>44937</v>
      </c>
      <c r="O152" s="54">
        <v>1</v>
      </c>
    </row>
    <row r="153" spans="2:15" x14ac:dyDescent="0.25">
      <c r="B153" s="45" t="s">
        <v>795</v>
      </c>
      <c r="C153" s="45" t="s">
        <v>268</v>
      </c>
      <c r="D153" s="20">
        <v>134952</v>
      </c>
      <c r="E153" s="21">
        <v>60000</v>
      </c>
      <c r="F153" s="1" t="s">
        <v>68</v>
      </c>
      <c r="G153" s="25" t="s">
        <v>140</v>
      </c>
      <c r="H153" s="1" t="s">
        <v>141</v>
      </c>
      <c r="I153" s="1" t="s">
        <v>122</v>
      </c>
      <c r="J153" s="33">
        <v>1</v>
      </c>
      <c r="K153" s="24">
        <v>45245.542638888888</v>
      </c>
      <c r="M153" s="22">
        <v>44937</v>
      </c>
      <c r="O153" s="54">
        <v>1</v>
      </c>
    </row>
    <row r="154" spans="2:15" x14ac:dyDescent="0.25">
      <c r="B154" s="45" t="s">
        <v>795</v>
      </c>
      <c r="C154" s="45" t="s">
        <v>268</v>
      </c>
      <c r="D154" s="20">
        <v>134952</v>
      </c>
      <c r="E154" s="21">
        <v>15000</v>
      </c>
      <c r="F154" s="1" t="s">
        <v>68</v>
      </c>
      <c r="G154" s="25" t="s">
        <v>138</v>
      </c>
      <c r="H154" s="1" t="s">
        <v>229</v>
      </c>
      <c r="I154" s="1" t="s">
        <v>122</v>
      </c>
      <c r="J154" s="33">
        <v>1</v>
      </c>
      <c r="K154" s="24">
        <v>45245.542731481481</v>
      </c>
      <c r="M154" s="22">
        <v>44937</v>
      </c>
      <c r="O154" s="54">
        <v>1</v>
      </c>
    </row>
    <row r="155" spans="2:15" x14ac:dyDescent="0.25">
      <c r="B155" s="45" t="s">
        <v>795</v>
      </c>
      <c r="C155" s="45" t="s">
        <v>268</v>
      </c>
      <c r="D155" s="20">
        <v>134952</v>
      </c>
      <c r="E155" s="21">
        <v>3000</v>
      </c>
      <c r="F155" s="1" t="s">
        <v>68</v>
      </c>
      <c r="G155" s="25" t="s">
        <v>127</v>
      </c>
      <c r="H155" s="1" t="s">
        <v>128</v>
      </c>
      <c r="I155" s="1" t="s">
        <v>122</v>
      </c>
      <c r="J155" s="33">
        <v>1</v>
      </c>
      <c r="K155" s="24">
        <v>45245.542916666665</v>
      </c>
      <c r="M155" s="22">
        <v>44937</v>
      </c>
      <c r="O155" s="54">
        <v>1</v>
      </c>
    </row>
    <row r="156" spans="2:15" x14ac:dyDescent="0.25">
      <c r="B156" s="45" t="s">
        <v>795</v>
      </c>
      <c r="C156" s="45" t="s">
        <v>268</v>
      </c>
      <c r="D156" s="20">
        <v>134952</v>
      </c>
      <c r="E156" s="21">
        <v>3000</v>
      </c>
      <c r="F156" s="1" t="s">
        <v>68</v>
      </c>
      <c r="G156" s="25" t="s">
        <v>132</v>
      </c>
      <c r="H156" s="1" t="s">
        <v>133</v>
      </c>
      <c r="I156" s="1" t="s">
        <v>122</v>
      </c>
      <c r="J156" s="33">
        <v>1</v>
      </c>
      <c r="K156" s="24">
        <v>45245.543935185182</v>
      </c>
      <c r="M156" s="22">
        <v>44937</v>
      </c>
      <c r="O156" s="54">
        <v>1</v>
      </c>
    </row>
    <row r="157" spans="2:15" x14ac:dyDescent="0.25">
      <c r="B157" s="45" t="s">
        <v>176</v>
      </c>
      <c r="C157" s="25" t="s">
        <v>261</v>
      </c>
      <c r="D157" s="20">
        <v>1128</v>
      </c>
      <c r="E157" s="21">
        <v>480</v>
      </c>
      <c r="F157" s="1" t="s">
        <v>68</v>
      </c>
      <c r="G157" s="25" t="s">
        <v>181</v>
      </c>
      <c r="H157" s="1" t="s">
        <v>232</v>
      </c>
      <c r="I157" s="1">
        <f t="shared" ref="I157:I163" si="4">MAX((G157:G1004=D117)*E157:E1004)</f>
        <v>0</v>
      </c>
      <c r="J157" s="60">
        <v>0</v>
      </c>
      <c r="K157" s="24">
        <v>45245.737060185187</v>
      </c>
      <c r="O157" s="54">
        <v>1</v>
      </c>
    </row>
    <row r="158" spans="2:15" x14ac:dyDescent="0.25">
      <c r="B158" s="45" t="s">
        <v>176</v>
      </c>
      <c r="C158" s="45" t="s">
        <v>269</v>
      </c>
      <c r="D158" s="20">
        <v>1129</v>
      </c>
      <c r="E158" s="21">
        <v>300</v>
      </c>
      <c r="F158" s="1" t="s">
        <v>68</v>
      </c>
      <c r="G158" s="25" t="s">
        <v>159</v>
      </c>
      <c r="H158" s="1" t="s">
        <v>160</v>
      </c>
      <c r="I158" s="1">
        <f t="shared" si="4"/>
        <v>0</v>
      </c>
      <c r="J158" s="60">
        <v>0</v>
      </c>
      <c r="K158" s="24">
        <v>45245.73777777778</v>
      </c>
      <c r="O158" s="54">
        <v>1</v>
      </c>
    </row>
    <row r="159" spans="2:15" x14ac:dyDescent="0.25">
      <c r="B159" s="45" t="s">
        <v>176</v>
      </c>
      <c r="C159" s="45" t="s">
        <v>264</v>
      </c>
      <c r="D159" s="20">
        <v>1130</v>
      </c>
      <c r="E159" s="21">
        <v>3200</v>
      </c>
      <c r="F159" s="1" t="s">
        <v>68</v>
      </c>
      <c r="G159" s="25" t="s">
        <v>142</v>
      </c>
      <c r="H159" s="1" t="s">
        <v>143</v>
      </c>
      <c r="I159" s="1">
        <f t="shared" si="4"/>
        <v>0</v>
      </c>
      <c r="J159" s="60">
        <v>0</v>
      </c>
      <c r="K159" s="24">
        <v>45245.738275462965</v>
      </c>
      <c r="O159" s="54">
        <v>1</v>
      </c>
    </row>
    <row r="160" spans="2:15" x14ac:dyDescent="0.25">
      <c r="B160" s="45" t="s">
        <v>176</v>
      </c>
      <c r="C160" s="45" t="s">
        <v>270</v>
      </c>
      <c r="D160" s="20">
        <v>1132</v>
      </c>
      <c r="E160" s="21">
        <v>4000</v>
      </c>
      <c r="F160" s="1" t="s">
        <v>68</v>
      </c>
      <c r="G160" s="25" t="s">
        <v>163</v>
      </c>
      <c r="H160" s="1" t="s">
        <v>240</v>
      </c>
      <c r="I160" s="1">
        <f t="shared" si="4"/>
        <v>0</v>
      </c>
      <c r="J160" s="60">
        <v>0</v>
      </c>
      <c r="K160" s="24">
        <v>45245.738900462966</v>
      </c>
      <c r="O160" s="54">
        <v>1</v>
      </c>
    </row>
    <row r="161" spans="2:15" x14ac:dyDescent="0.25">
      <c r="B161" s="45" t="s">
        <v>176</v>
      </c>
      <c r="C161" s="45" t="s">
        <v>262</v>
      </c>
      <c r="D161" s="20">
        <v>1131</v>
      </c>
      <c r="E161" s="21">
        <v>2000</v>
      </c>
      <c r="F161" s="1" t="s">
        <v>68</v>
      </c>
      <c r="G161" s="25" t="s">
        <v>138</v>
      </c>
      <c r="H161" s="1" t="s">
        <v>229</v>
      </c>
      <c r="I161" s="1">
        <f t="shared" si="4"/>
        <v>0</v>
      </c>
      <c r="J161" s="60">
        <v>0</v>
      </c>
      <c r="K161" s="24">
        <v>45245.739421296297</v>
      </c>
      <c r="O161" s="54">
        <v>1</v>
      </c>
    </row>
    <row r="162" spans="2:15" x14ac:dyDescent="0.25">
      <c r="B162" s="45" t="s">
        <v>176</v>
      </c>
      <c r="C162" s="45" t="s">
        <v>262</v>
      </c>
      <c r="D162" s="20">
        <v>1131</v>
      </c>
      <c r="E162" s="21">
        <v>6</v>
      </c>
      <c r="F162" s="1" t="s">
        <v>144</v>
      </c>
      <c r="G162" s="25" t="s">
        <v>150</v>
      </c>
      <c r="H162" s="1" t="s">
        <v>151</v>
      </c>
      <c r="I162" s="1">
        <f t="shared" si="4"/>
        <v>0</v>
      </c>
      <c r="J162" s="60">
        <v>0</v>
      </c>
      <c r="K162" s="24">
        <v>45245.739942129629</v>
      </c>
      <c r="O162" s="54">
        <v>1</v>
      </c>
    </row>
    <row r="163" spans="2:15" x14ac:dyDescent="0.25">
      <c r="B163" s="45" t="s">
        <v>176</v>
      </c>
      <c r="C163" s="45" t="s">
        <v>262</v>
      </c>
      <c r="D163" s="20">
        <v>1131</v>
      </c>
      <c r="E163" s="21">
        <v>300</v>
      </c>
      <c r="F163" s="1" t="s">
        <v>68</v>
      </c>
      <c r="G163" s="25" t="s">
        <v>184</v>
      </c>
      <c r="H163" s="1" t="s">
        <v>185</v>
      </c>
      <c r="I163" s="1">
        <f t="shared" si="4"/>
        <v>0</v>
      </c>
      <c r="J163" s="60">
        <v>0</v>
      </c>
      <c r="K163" s="24">
        <v>45245.740405092591</v>
      </c>
      <c r="O163" s="54">
        <v>1</v>
      </c>
    </row>
    <row r="164" spans="2:15" x14ac:dyDescent="0.25">
      <c r="B164" s="45" t="s">
        <v>796</v>
      </c>
      <c r="C164" s="45" t="s">
        <v>271</v>
      </c>
      <c r="D164" s="20">
        <v>32575</v>
      </c>
      <c r="E164" s="21">
        <v>600</v>
      </c>
      <c r="F164" s="1" t="s">
        <v>68</v>
      </c>
      <c r="G164" s="25" t="s">
        <v>184</v>
      </c>
      <c r="H164" s="1" t="s">
        <v>185</v>
      </c>
      <c r="J164" s="33">
        <v>1</v>
      </c>
      <c r="K164" s="24">
        <v>45246.527881944443</v>
      </c>
      <c r="M164" s="1" t="s">
        <v>272</v>
      </c>
      <c r="O164" s="54">
        <v>1</v>
      </c>
    </row>
    <row r="165" spans="2:15" x14ac:dyDescent="0.25">
      <c r="B165" s="45" t="s">
        <v>176</v>
      </c>
      <c r="C165" s="25" t="s">
        <v>368</v>
      </c>
      <c r="D165" s="20" t="s">
        <v>273</v>
      </c>
      <c r="E165" s="21">
        <v>6000</v>
      </c>
      <c r="F165" s="1" t="s">
        <v>68</v>
      </c>
      <c r="G165" s="25" t="s">
        <v>124</v>
      </c>
      <c r="H165" s="1" t="s">
        <v>125</v>
      </c>
      <c r="I165" s="1">
        <f t="shared" ref="I165:I174" si="5">MAX((G165:G1012=D125)*E165:E1012)</f>
        <v>0</v>
      </c>
      <c r="J165" s="60">
        <v>0</v>
      </c>
      <c r="K165" s="24">
        <v>45246.536562499998</v>
      </c>
      <c r="O165" s="54">
        <v>100</v>
      </c>
    </row>
    <row r="166" spans="2:15" x14ac:dyDescent="0.25">
      <c r="B166" s="45" t="s">
        <v>176</v>
      </c>
      <c r="C166" s="25" t="s">
        <v>265</v>
      </c>
      <c r="D166" s="20" t="s">
        <v>274</v>
      </c>
      <c r="E166" s="21">
        <v>2000</v>
      </c>
      <c r="F166" s="1" t="s">
        <v>68</v>
      </c>
      <c r="G166" s="25" t="s">
        <v>138</v>
      </c>
      <c r="H166" s="1" t="s">
        <v>229</v>
      </c>
      <c r="I166" s="1">
        <f t="shared" si="5"/>
        <v>0</v>
      </c>
      <c r="J166" s="60">
        <v>0</v>
      </c>
      <c r="K166" s="24">
        <v>45246.536504629628</v>
      </c>
    </row>
    <row r="167" spans="2:15" x14ac:dyDescent="0.25">
      <c r="B167" s="45" t="s">
        <v>176</v>
      </c>
      <c r="C167" s="25" t="s">
        <v>265</v>
      </c>
      <c r="D167" s="20" t="s">
        <v>274</v>
      </c>
      <c r="E167" s="21">
        <v>100</v>
      </c>
      <c r="F167" s="1" t="s">
        <v>68</v>
      </c>
      <c r="G167" s="25" t="s">
        <v>132</v>
      </c>
      <c r="H167" s="1" t="s">
        <v>133</v>
      </c>
      <c r="I167" s="1">
        <f t="shared" si="5"/>
        <v>0</v>
      </c>
      <c r="J167" s="60">
        <v>0</v>
      </c>
      <c r="K167" s="24">
        <v>45246.539189814815</v>
      </c>
      <c r="M167" s="1" t="s">
        <v>275</v>
      </c>
    </row>
    <row r="168" spans="2:15" x14ac:dyDescent="0.25">
      <c r="B168" s="45" t="s">
        <v>176</v>
      </c>
      <c r="C168" s="25" t="s">
        <v>265</v>
      </c>
      <c r="D168" s="20" t="s">
        <v>274</v>
      </c>
      <c r="E168" s="21">
        <v>15</v>
      </c>
      <c r="F168" s="1" t="s">
        <v>68</v>
      </c>
      <c r="G168" s="25" t="s">
        <v>786</v>
      </c>
      <c r="H168" s="1" t="s">
        <v>165</v>
      </c>
      <c r="I168" s="1">
        <f t="shared" si="5"/>
        <v>0</v>
      </c>
      <c r="J168" s="60">
        <v>0</v>
      </c>
      <c r="K168" s="24">
        <v>45246.53533564815</v>
      </c>
    </row>
    <row r="169" spans="2:15" x14ac:dyDescent="0.25">
      <c r="B169" s="45" t="s">
        <v>176</v>
      </c>
      <c r="C169" s="25" t="s">
        <v>267</v>
      </c>
      <c r="D169" s="20" t="s">
        <v>276</v>
      </c>
      <c r="E169" s="21">
        <v>18000</v>
      </c>
      <c r="F169" s="1" t="s">
        <v>68</v>
      </c>
      <c r="G169" s="25" t="s">
        <v>120</v>
      </c>
      <c r="H169" s="1" t="s">
        <v>121</v>
      </c>
      <c r="I169" s="1">
        <f t="shared" si="5"/>
        <v>0</v>
      </c>
      <c r="J169" s="60">
        <v>0</v>
      </c>
      <c r="K169" s="24">
        <v>45246.535243055558</v>
      </c>
    </row>
    <row r="170" spans="2:15" x14ac:dyDescent="0.25">
      <c r="B170" s="45" t="s">
        <v>176</v>
      </c>
      <c r="C170" s="25" t="s">
        <v>267</v>
      </c>
      <c r="D170" s="20" t="s">
        <v>276</v>
      </c>
      <c r="E170" s="21">
        <v>4</v>
      </c>
      <c r="F170" s="1" t="s">
        <v>68</v>
      </c>
      <c r="G170" s="25" t="s">
        <v>200</v>
      </c>
      <c r="H170" s="1" t="s">
        <v>201</v>
      </c>
      <c r="I170" s="1">
        <f t="shared" si="5"/>
        <v>0</v>
      </c>
      <c r="J170" s="60">
        <v>0</v>
      </c>
      <c r="K170" s="24">
        <v>45246.535162037035</v>
      </c>
    </row>
    <row r="171" spans="2:15" x14ac:dyDescent="0.25">
      <c r="B171" s="45" t="s">
        <v>176</v>
      </c>
      <c r="C171" s="25" t="s">
        <v>267</v>
      </c>
      <c r="D171" s="20" t="s">
        <v>276</v>
      </c>
      <c r="E171" s="21">
        <v>600</v>
      </c>
      <c r="F171" s="1" t="s">
        <v>68</v>
      </c>
      <c r="G171" s="25" t="s">
        <v>177</v>
      </c>
      <c r="H171" s="1" t="s">
        <v>277</v>
      </c>
      <c r="I171" s="1">
        <f t="shared" si="5"/>
        <v>0</v>
      </c>
      <c r="J171" s="60">
        <v>0</v>
      </c>
      <c r="K171" s="24">
        <v>45246.534629629627</v>
      </c>
    </row>
    <row r="172" spans="2:15" x14ac:dyDescent="0.25">
      <c r="B172" s="45" t="s">
        <v>176</v>
      </c>
      <c r="C172" s="25" t="s">
        <v>267</v>
      </c>
      <c r="D172" s="20" t="s">
        <v>276</v>
      </c>
      <c r="E172" s="21">
        <v>200</v>
      </c>
      <c r="F172" s="1" t="s">
        <v>68</v>
      </c>
      <c r="G172" s="25" t="s">
        <v>789</v>
      </c>
      <c r="H172" s="1" t="s">
        <v>196</v>
      </c>
      <c r="I172" s="1">
        <f t="shared" si="5"/>
        <v>0</v>
      </c>
      <c r="J172" s="60">
        <v>0</v>
      </c>
      <c r="K172" s="24">
        <v>45246.534583333334</v>
      </c>
    </row>
    <row r="173" spans="2:15" x14ac:dyDescent="0.25">
      <c r="B173" s="45" t="s">
        <v>176</v>
      </c>
      <c r="C173" s="25" t="s">
        <v>267</v>
      </c>
      <c r="D173" s="20" t="s">
        <v>276</v>
      </c>
      <c r="E173" s="21">
        <v>300</v>
      </c>
      <c r="F173" s="1" t="s">
        <v>144</v>
      </c>
      <c r="G173" s="25" t="s">
        <v>145</v>
      </c>
      <c r="H173" s="1" t="s">
        <v>146</v>
      </c>
      <c r="I173" s="1">
        <f t="shared" si="5"/>
        <v>0</v>
      </c>
      <c r="J173" s="60">
        <v>0</v>
      </c>
      <c r="K173" s="24">
        <v>45246.534537037034</v>
      </c>
    </row>
    <row r="174" spans="2:15" x14ac:dyDescent="0.25">
      <c r="B174" s="45" t="s">
        <v>176</v>
      </c>
      <c r="C174" s="25" t="s">
        <v>765</v>
      </c>
      <c r="D174" s="20" t="s">
        <v>278</v>
      </c>
      <c r="E174" s="21">
        <v>900</v>
      </c>
      <c r="F174" s="1" t="s">
        <v>68</v>
      </c>
      <c r="G174" s="25" t="s">
        <v>142</v>
      </c>
      <c r="H174" s="1" t="s">
        <v>143</v>
      </c>
      <c r="I174" s="1">
        <f t="shared" si="5"/>
        <v>0</v>
      </c>
      <c r="J174" s="60">
        <v>0</v>
      </c>
      <c r="K174" s="24">
        <v>45246.534490740742</v>
      </c>
    </row>
    <row r="175" spans="2:15" x14ac:dyDescent="0.25">
      <c r="B175" s="45" t="s">
        <v>66</v>
      </c>
      <c r="C175" s="25" t="s">
        <v>279</v>
      </c>
      <c r="D175" s="20" t="s">
        <v>279</v>
      </c>
      <c r="E175" s="21">
        <v>24</v>
      </c>
      <c r="F175" s="1" t="s">
        <v>68</v>
      </c>
      <c r="G175" s="25" t="s">
        <v>172</v>
      </c>
      <c r="H175" s="1" t="s">
        <v>173</v>
      </c>
      <c r="J175" s="60">
        <v>0</v>
      </c>
      <c r="K175" s="24">
        <v>45246.560069444444</v>
      </c>
      <c r="M175" s="22">
        <v>45237</v>
      </c>
      <c r="N175" s="20" t="s">
        <v>280</v>
      </c>
    </row>
    <row r="176" spans="2:15" x14ac:dyDescent="0.25">
      <c r="B176" s="45" t="s">
        <v>176</v>
      </c>
      <c r="C176" s="45" t="s">
        <v>270</v>
      </c>
      <c r="D176" s="20">
        <v>1140</v>
      </c>
      <c r="E176" s="21">
        <v>2000</v>
      </c>
      <c r="F176" s="1" t="s">
        <v>68</v>
      </c>
      <c r="G176" s="25" t="s">
        <v>163</v>
      </c>
      <c r="H176" s="1" t="s">
        <v>240</v>
      </c>
      <c r="I176" s="1">
        <f t="shared" ref="I176:I199" si="6">MAX((G176:G1023=D136)*E176:E1023)</f>
        <v>0</v>
      </c>
      <c r="J176" s="60">
        <v>0</v>
      </c>
      <c r="K176" s="24">
        <v>45246.694791666669</v>
      </c>
    </row>
    <row r="177" spans="2:11" x14ac:dyDescent="0.25">
      <c r="B177" s="45" t="s">
        <v>176</v>
      </c>
      <c r="C177" s="45" t="s">
        <v>263</v>
      </c>
      <c r="D177" s="20">
        <v>1139</v>
      </c>
      <c r="E177" s="21">
        <v>500</v>
      </c>
      <c r="F177" s="1" t="s">
        <v>68</v>
      </c>
      <c r="G177" s="25" t="s">
        <v>159</v>
      </c>
      <c r="H177" s="1" t="s">
        <v>160</v>
      </c>
      <c r="I177" s="1">
        <f t="shared" si="6"/>
        <v>0</v>
      </c>
      <c r="J177" s="60">
        <v>0</v>
      </c>
      <c r="K177" s="24">
        <v>45246.697210648148</v>
      </c>
    </row>
    <row r="178" spans="2:11" x14ac:dyDescent="0.25">
      <c r="B178" s="45" t="s">
        <v>176</v>
      </c>
      <c r="C178" s="45" t="s">
        <v>262</v>
      </c>
      <c r="D178" s="20">
        <v>1138</v>
      </c>
      <c r="E178" s="21">
        <v>1200</v>
      </c>
      <c r="F178" s="1" t="s">
        <v>68</v>
      </c>
      <c r="G178" s="25" t="s">
        <v>138</v>
      </c>
      <c r="H178" s="1" t="s">
        <v>229</v>
      </c>
      <c r="I178" s="1">
        <f t="shared" si="6"/>
        <v>0</v>
      </c>
      <c r="J178" s="60">
        <v>0</v>
      </c>
      <c r="K178" s="24">
        <v>45246.697175925925</v>
      </c>
    </row>
    <row r="179" spans="2:11" x14ac:dyDescent="0.25">
      <c r="B179" s="45" t="s">
        <v>176</v>
      </c>
      <c r="C179" s="45" t="s">
        <v>262</v>
      </c>
      <c r="D179" s="20">
        <v>1138</v>
      </c>
      <c r="E179" s="21">
        <v>8</v>
      </c>
      <c r="F179" s="1" t="s">
        <v>144</v>
      </c>
      <c r="G179" s="25" t="s">
        <v>150</v>
      </c>
      <c r="H179" s="1" t="s">
        <v>151</v>
      </c>
      <c r="I179" s="1">
        <f t="shared" si="6"/>
        <v>0</v>
      </c>
      <c r="J179" s="60">
        <v>0</v>
      </c>
      <c r="K179" s="24">
        <v>45246.697141203702</v>
      </c>
    </row>
    <row r="180" spans="2:11" x14ac:dyDescent="0.25">
      <c r="B180" s="45" t="s">
        <v>176</v>
      </c>
      <c r="C180" s="45" t="s">
        <v>262</v>
      </c>
      <c r="D180" s="20">
        <v>1138</v>
      </c>
      <c r="E180" s="21">
        <v>8</v>
      </c>
      <c r="F180" s="1" t="s">
        <v>144</v>
      </c>
      <c r="G180" s="25" t="s">
        <v>148</v>
      </c>
      <c r="H180" s="1" t="s">
        <v>149</v>
      </c>
      <c r="I180" s="1">
        <f t="shared" si="6"/>
        <v>0</v>
      </c>
      <c r="J180" s="60">
        <v>0</v>
      </c>
      <c r="K180" s="24">
        <v>45246.697118055556</v>
      </c>
    </row>
    <row r="181" spans="2:11" x14ac:dyDescent="0.25">
      <c r="B181" s="45" t="s">
        <v>176</v>
      </c>
      <c r="C181" s="45" t="s">
        <v>258</v>
      </c>
      <c r="D181" s="20">
        <v>1137</v>
      </c>
      <c r="E181" s="21">
        <v>105</v>
      </c>
      <c r="F181" s="1" t="s">
        <v>68</v>
      </c>
      <c r="G181" s="25" t="s">
        <v>788</v>
      </c>
      <c r="H181" s="1" t="s">
        <v>187</v>
      </c>
      <c r="I181" s="1">
        <f t="shared" si="6"/>
        <v>0</v>
      </c>
      <c r="J181" s="60">
        <v>0</v>
      </c>
      <c r="K181" s="24">
        <v>45246.697060185186</v>
      </c>
    </row>
    <row r="182" spans="2:11" x14ac:dyDescent="0.25">
      <c r="B182" s="45" t="s">
        <v>321</v>
      </c>
      <c r="C182" s="45" t="s">
        <v>281</v>
      </c>
      <c r="D182" s="20">
        <v>441</v>
      </c>
      <c r="E182" s="21">
        <v>25000</v>
      </c>
      <c r="F182" s="1" t="s">
        <v>68</v>
      </c>
      <c r="G182" s="25" t="s">
        <v>140</v>
      </c>
      <c r="H182" s="1" t="s">
        <v>141</v>
      </c>
      <c r="I182" s="1">
        <f t="shared" si="6"/>
        <v>0</v>
      </c>
      <c r="J182" s="60">
        <v>0</v>
      </c>
      <c r="K182" s="24">
        <v>45247.5784375</v>
      </c>
    </row>
    <row r="183" spans="2:11" x14ac:dyDescent="0.25">
      <c r="B183" s="45" t="s">
        <v>321</v>
      </c>
      <c r="C183" s="45" t="s">
        <v>282</v>
      </c>
      <c r="D183" s="20">
        <v>439</v>
      </c>
      <c r="E183" s="21">
        <v>400</v>
      </c>
      <c r="F183" s="1" t="s">
        <v>68</v>
      </c>
      <c r="G183" s="25" t="s">
        <v>170</v>
      </c>
      <c r="H183" s="1" t="s">
        <v>171</v>
      </c>
      <c r="I183" s="1">
        <f t="shared" si="6"/>
        <v>0</v>
      </c>
      <c r="J183" s="60">
        <v>0</v>
      </c>
      <c r="K183" s="24">
        <v>45247.5783912037</v>
      </c>
    </row>
    <row r="184" spans="2:11" x14ac:dyDescent="0.25">
      <c r="B184" s="45" t="s">
        <v>321</v>
      </c>
      <c r="C184" s="45" t="s">
        <v>283</v>
      </c>
      <c r="D184" s="20">
        <v>440</v>
      </c>
      <c r="E184" s="21">
        <v>250</v>
      </c>
      <c r="F184" s="1" t="s">
        <v>68</v>
      </c>
      <c r="G184" s="25" t="s">
        <v>157</v>
      </c>
      <c r="H184" s="1" t="s">
        <v>154</v>
      </c>
      <c r="I184" s="1">
        <f t="shared" si="6"/>
        <v>0</v>
      </c>
      <c r="J184" s="60">
        <v>0</v>
      </c>
      <c r="K184" s="24">
        <v>45247.578368055554</v>
      </c>
    </row>
    <row r="185" spans="2:11" x14ac:dyDescent="0.25">
      <c r="B185" s="45" t="s">
        <v>321</v>
      </c>
      <c r="C185" s="45" t="s">
        <v>284</v>
      </c>
      <c r="D185" s="20">
        <v>442</v>
      </c>
      <c r="E185" s="21">
        <v>40</v>
      </c>
      <c r="F185" s="1" t="s">
        <v>68</v>
      </c>
      <c r="G185" s="25" t="s">
        <v>788</v>
      </c>
      <c r="H185" s="1" t="s">
        <v>187</v>
      </c>
      <c r="I185" s="1">
        <f t="shared" si="6"/>
        <v>0</v>
      </c>
      <c r="J185" s="60">
        <v>0</v>
      </c>
      <c r="K185" s="24">
        <v>45247.578321759262</v>
      </c>
    </row>
    <row r="186" spans="2:11" x14ac:dyDescent="0.25">
      <c r="B186" s="45" t="s">
        <v>321</v>
      </c>
      <c r="C186" s="45" t="s">
        <v>284</v>
      </c>
      <c r="D186" s="20">
        <v>442</v>
      </c>
      <c r="E186" s="21">
        <v>180</v>
      </c>
      <c r="F186" s="1" t="s">
        <v>144</v>
      </c>
      <c r="G186" s="25" t="s">
        <v>145</v>
      </c>
      <c r="H186" s="1" t="s">
        <v>146</v>
      </c>
      <c r="I186" s="1">
        <f t="shared" si="6"/>
        <v>0</v>
      </c>
      <c r="J186" s="60">
        <v>0</v>
      </c>
      <c r="K186" s="24">
        <v>45247.578275462962</v>
      </c>
    </row>
    <row r="187" spans="2:11" x14ac:dyDescent="0.25">
      <c r="B187" s="45" t="s">
        <v>321</v>
      </c>
      <c r="C187" s="45" t="s">
        <v>284</v>
      </c>
      <c r="D187" s="20">
        <v>442</v>
      </c>
      <c r="E187" s="21">
        <v>6</v>
      </c>
      <c r="F187" s="1" t="s">
        <v>68</v>
      </c>
      <c r="G187" s="25" t="s">
        <v>200</v>
      </c>
      <c r="H187" s="1" t="s">
        <v>201</v>
      </c>
      <c r="I187" s="1">
        <f t="shared" si="6"/>
        <v>0</v>
      </c>
      <c r="J187" s="60">
        <v>0</v>
      </c>
      <c r="K187" s="24">
        <v>45247.577835648146</v>
      </c>
    </row>
    <row r="188" spans="2:11" x14ac:dyDescent="0.25">
      <c r="B188" s="45" t="s">
        <v>321</v>
      </c>
      <c r="C188" s="45" t="s">
        <v>285</v>
      </c>
      <c r="D188" s="20">
        <v>1135</v>
      </c>
      <c r="E188" s="21">
        <v>178</v>
      </c>
      <c r="F188" s="1" t="s">
        <v>68</v>
      </c>
      <c r="G188" s="25" t="s">
        <v>181</v>
      </c>
      <c r="H188" s="1" t="s">
        <v>232</v>
      </c>
      <c r="I188" s="1">
        <f t="shared" si="6"/>
        <v>0</v>
      </c>
      <c r="J188" s="60">
        <v>0</v>
      </c>
      <c r="K188" s="24">
        <v>45247.578206018516</v>
      </c>
    </row>
    <row r="189" spans="2:11" x14ac:dyDescent="0.25">
      <c r="B189" s="45" t="s">
        <v>321</v>
      </c>
      <c r="C189" s="45" t="s">
        <v>286</v>
      </c>
      <c r="D189" s="20">
        <v>1134</v>
      </c>
      <c r="E189" s="21">
        <v>6500</v>
      </c>
      <c r="F189" s="1" t="s">
        <v>68</v>
      </c>
      <c r="G189" s="25" t="s">
        <v>124</v>
      </c>
      <c r="H189" s="1" t="s">
        <v>125</v>
      </c>
      <c r="I189" s="1">
        <f t="shared" si="6"/>
        <v>0</v>
      </c>
      <c r="J189" s="60">
        <v>0</v>
      </c>
      <c r="K189" s="24">
        <v>45247.577650462961</v>
      </c>
    </row>
    <row r="190" spans="2:11" x14ac:dyDescent="0.25">
      <c r="B190" s="45" t="s">
        <v>321</v>
      </c>
      <c r="C190" s="45" t="s">
        <v>282</v>
      </c>
      <c r="D190" s="20">
        <v>1136</v>
      </c>
      <c r="E190" s="21">
        <v>2500</v>
      </c>
      <c r="F190" s="1" t="s">
        <v>68</v>
      </c>
      <c r="G190" s="25" t="s">
        <v>138</v>
      </c>
      <c r="H190" s="1" t="s">
        <v>229</v>
      </c>
      <c r="I190" s="1">
        <f t="shared" si="6"/>
        <v>0</v>
      </c>
      <c r="J190" s="60">
        <v>0</v>
      </c>
      <c r="K190" s="24">
        <v>45247.577604166669</v>
      </c>
    </row>
    <row r="191" spans="2:11" x14ac:dyDescent="0.25">
      <c r="B191" s="45" t="s">
        <v>321</v>
      </c>
      <c r="C191" s="45" t="s">
        <v>284</v>
      </c>
      <c r="D191" s="20">
        <v>1133</v>
      </c>
      <c r="E191" s="21">
        <v>20000</v>
      </c>
      <c r="F191" s="1" t="s">
        <v>68</v>
      </c>
      <c r="G191" s="25" t="s">
        <v>120</v>
      </c>
      <c r="H191" s="1" t="s">
        <v>121</v>
      </c>
      <c r="I191" s="1">
        <f t="shared" si="6"/>
        <v>0</v>
      </c>
      <c r="J191" s="60">
        <v>0</v>
      </c>
      <c r="K191" s="24">
        <v>45247.577534722222</v>
      </c>
    </row>
    <row r="192" spans="2:11" x14ac:dyDescent="0.25">
      <c r="B192" s="45" t="s">
        <v>321</v>
      </c>
      <c r="C192" s="45" t="s">
        <v>284</v>
      </c>
      <c r="D192" s="20">
        <v>1133</v>
      </c>
      <c r="E192" s="21">
        <v>650</v>
      </c>
      <c r="F192" s="1" t="s">
        <v>68</v>
      </c>
      <c r="G192" s="25" t="s">
        <v>177</v>
      </c>
      <c r="H192" s="1" t="s">
        <v>287</v>
      </c>
      <c r="I192" s="1">
        <f t="shared" si="6"/>
        <v>0</v>
      </c>
      <c r="J192" s="60">
        <v>0</v>
      </c>
      <c r="K192" s="24">
        <v>45247.577453703707</v>
      </c>
    </row>
    <row r="193" spans="1:15" x14ac:dyDescent="0.25">
      <c r="B193" s="45" t="s">
        <v>321</v>
      </c>
      <c r="C193" s="45" t="s">
        <v>284</v>
      </c>
      <c r="D193" s="20">
        <v>1133</v>
      </c>
      <c r="E193" s="21">
        <v>200</v>
      </c>
      <c r="F193" s="1" t="s">
        <v>68</v>
      </c>
      <c r="G193" s="25" t="s">
        <v>789</v>
      </c>
      <c r="H193" s="1" t="s">
        <v>196</v>
      </c>
      <c r="I193" s="1">
        <f t="shared" si="6"/>
        <v>0</v>
      </c>
      <c r="J193" s="60">
        <v>0</v>
      </c>
      <c r="K193" s="24">
        <v>45247.577384259261</v>
      </c>
    </row>
    <row r="194" spans="1:15" x14ac:dyDescent="0.25">
      <c r="B194" s="45" t="s">
        <v>321</v>
      </c>
      <c r="C194" s="45" t="s">
        <v>284</v>
      </c>
      <c r="D194" s="20">
        <v>1133</v>
      </c>
      <c r="E194" s="21">
        <v>80</v>
      </c>
      <c r="F194" s="1" t="s">
        <v>68</v>
      </c>
      <c r="G194" s="25" t="s">
        <v>184</v>
      </c>
      <c r="H194" s="1" t="s">
        <v>185</v>
      </c>
      <c r="I194" s="1">
        <f t="shared" si="6"/>
        <v>0</v>
      </c>
      <c r="J194" s="60">
        <v>0</v>
      </c>
      <c r="K194" s="24">
        <v>45247.577291666668</v>
      </c>
    </row>
    <row r="195" spans="1:15" x14ac:dyDescent="0.25">
      <c r="B195" s="45" t="s">
        <v>176</v>
      </c>
      <c r="C195" s="45" t="s">
        <v>288</v>
      </c>
      <c r="D195" s="20">
        <v>445</v>
      </c>
      <c r="E195" s="21">
        <v>2000</v>
      </c>
      <c r="F195" s="1" t="s">
        <v>68</v>
      </c>
      <c r="G195" s="25" t="s">
        <v>163</v>
      </c>
      <c r="H195" s="1" t="s">
        <v>240</v>
      </c>
      <c r="I195" s="1">
        <f t="shared" si="6"/>
        <v>0</v>
      </c>
      <c r="J195" s="60">
        <v>0</v>
      </c>
      <c r="K195" s="24">
        <v>45247.602060185185</v>
      </c>
    </row>
    <row r="196" spans="1:15" x14ac:dyDescent="0.25">
      <c r="B196" s="45" t="s">
        <v>176</v>
      </c>
      <c r="C196" s="45" t="s">
        <v>289</v>
      </c>
      <c r="D196" s="20">
        <v>444</v>
      </c>
      <c r="E196" s="21">
        <v>15</v>
      </c>
      <c r="F196" s="1" t="s">
        <v>68</v>
      </c>
      <c r="G196" s="25" t="s">
        <v>787</v>
      </c>
      <c r="H196" s="1" t="s">
        <v>167</v>
      </c>
      <c r="I196" s="1">
        <f t="shared" si="6"/>
        <v>0</v>
      </c>
      <c r="J196" s="60">
        <v>0</v>
      </c>
      <c r="K196" s="24">
        <v>45247.605520833335</v>
      </c>
      <c r="M196" s="1" t="s">
        <v>290</v>
      </c>
    </row>
    <row r="197" spans="1:15" x14ac:dyDescent="0.25">
      <c r="B197" s="45" t="s">
        <v>176</v>
      </c>
      <c r="C197" s="45" t="s">
        <v>291</v>
      </c>
      <c r="D197" s="20">
        <v>443</v>
      </c>
      <c r="E197" s="21">
        <v>240</v>
      </c>
      <c r="F197" s="1" t="s">
        <v>68</v>
      </c>
      <c r="G197" s="25" t="s">
        <v>159</v>
      </c>
      <c r="H197" s="1" t="s">
        <v>160</v>
      </c>
      <c r="I197" s="1">
        <f t="shared" si="6"/>
        <v>0</v>
      </c>
      <c r="J197" s="60">
        <v>0</v>
      </c>
      <c r="K197" s="24">
        <v>45247.603402777779</v>
      </c>
    </row>
    <row r="198" spans="1:15" x14ac:dyDescent="0.25">
      <c r="B198" s="45" t="s">
        <v>321</v>
      </c>
      <c r="C198" s="45" t="s">
        <v>292</v>
      </c>
      <c r="D198" s="20">
        <v>446</v>
      </c>
      <c r="E198" s="21">
        <v>5500</v>
      </c>
      <c r="F198" s="1" t="s">
        <v>68</v>
      </c>
      <c r="G198" s="25" t="s">
        <v>163</v>
      </c>
      <c r="H198" s="1" t="s">
        <v>240</v>
      </c>
      <c r="I198" s="1">
        <f t="shared" si="6"/>
        <v>0</v>
      </c>
      <c r="J198" s="60">
        <v>0</v>
      </c>
      <c r="K198" s="24">
        <v>45247.607858796298</v>
      </c>
    </row>
    <row r="199" spans="1:15" x14ac:dyDescent="0.25">
      <c r="B199" s="45" t="s">
        <v>321</v>
      </c>
      <c r="C199" s="45" t="s">
        <v>292</v>
      </c>
      <c r="D199" s="20">
        <v>446</v>
      </c>
      <c r="E199" s="21">
        <v>2400</v>
      </c>
      <c r="F199" s="1" t="s">
        <v>68</v>
      </c>
      <c r="G199" s="25" t="s">
        <v>197</v>
      </c>
      <c r="H199" s="1" t="s">
        <v>198</v>
      </c>
      <c r="I199" s="1">
        <f t="shared" si="6"/>
        <v>0</v>
      </c>
      <c r="J199" s="60">
        <v>0</v>
      </c>
      <c r="K199" s="24">
        <v>45247.607812499999</v>
      </c>
    </row>
    <row r="200" spans="1:15" x14ac:dyDescent="0.25">
      <c r="B200" s="45" t="s">
        <v>797</v>
      </c>
      <c r="C200" s="45" t="s">
        <v>293</v>
      </c>
      <c r="D200" s="20" t="s">
        <v>294</v>
      </c>
      <c r="E200" s="21">
        <v>1512</v>
      </c>
      <c r="F200" s="1" t="s">
        <v>68</v>
      </c>
      <c r="G200" s="25" t="s">
        <v>177</v>
      </c>
      <c r="H200" s="1" t="s">
        <v>287</v>
      </c>
      <c r="I200" s="1" t="s">
        <v>179</v>
      </c>
      <c r="J200" s="33">
        <v>1</v>
      </c>
      <c r="K200" s="24">
        <v>45250.391331018516</v>
      </c>
      <c r="M200" s="1" t="s">
        <v>295</v>
      </c>
    </row>
    <row r="201" spans="1:15" hidden="1" x14ac:dyDescent="0.25">
      <c r="A201" s="1">
        <v>100</v>
      </c>
      <c r="B201" s="45"/>
      <c r="C201" s="45"/>
      <c r="D201" s="31"/>
      <c r="E201" s="35"/>
      <c r="G201" s="25"/>
      <c r="K201" s="24"/>
    </row>
    <row r="202" spans="1:15" x14ac:dyDescent="0.25">
      <c r="B202" s="45" t="s">
        <v>298</v>
      </c>
      <c r="C202" s="45" t="s">
        <v>266</v>
      </c>
      <c r="D202" s="20">
        <v>386</v>
      </c>
      <c r="E202" s="21">
        <f>26*2</f>
        <v>52</v>
      </c>
      <c r="F202" s="1" t="s">
        <v>152</v>
      </c>
      <c r="G202" s="25" t="s">
        <v>126</v>
      </c>
      <c r="H202" s="1" t="s">
        <v>180</v>
      </c>
      <c r="J202" s="21">
        <v>1</v>
      </c>
      <c r="K202" s="22">
        <v>45190</v>
      </c>
      <c r="L202" s="23">
        <v>52</v>
      </c>
      <c r="M202" s="22">
        <v>45188</v>
      </c>
      <c r="N202" s="1" t="s">
        <v>299</v>
      </c>
    </row>
    <row r="203" spans="1:15" hidden="1" x14ac:dyDescent="0.25">
      <c r="B203" s="45"/>
      <c r="C203" s="45"/>
      <c r="D203" s="31"/>
      <c r="E203" s="1"/>
      <c r="G203" s="25"/>
      <c r="K203" s="24"/>
    </row>
    <row r="204" spans="1:15" x14ac:dyDescent="0.25">
      <c r="B204" s="45" t="s">
        <v>302</v>
      </c>
      <c r="C204" s="45" t="s">
        <v>303</v>
      </c>
      <c r="D204" s="20" t="s">
        <v>66</v>
      </c>
      <c r="E204" s="21">
        <v>4000</v>
      </c>
      <c r="F204" s="1" t="s">
        <v>68</v>
      </c>
      <c r="G204" s="25" t="s">
        <v>181</v>
      </c>
      <c r="H204" s="1" t="s">
        <v>232</v>
      </c>
      <c r="I204" s="1" t="s">
        <v>183</v>
      </c>
      <c r="J204" s="33">
        <v>1</v>
      </c>
      <c r="K204" s="24">
        <v>45251.562847222223</v>
      </c>
      <c r="M204" s="1" t="s">
        <v>275</v>
      </c>
    </row>
    <row r="205" spans="1:15" x14ac:dyDescent="0.25">
      <c r="B205" s="45" t="s">
        <v>304</v>
      </c>
      <c r="C205" s="45" t="s">
        <v>305</v>
      </c>
      <c r="D205" s="20" t="s">
        <v>306</v>
      </c>
      <c r="E205" s="21">
        <v>400</v>
      </c>
      <c r="F205" s="1" t="s">
        <v>68</v>
      </c>
      <c r="G205" s="25" t="s">
        <v>788</v>
      </c>
      <c r="H205" s="1" t="s">
        <v>187</v>
      </c>
      <c r="I205" s="1" t="s">
        <v>161</v>
      </c>
      <c r="J205" s="33">
        <v>1</v>
      </c>
      <c r="K205" s="24">
        <v>45251.639594907407</v>
      </c>
      <c r="M205" s="1" t="s">
        <v>307</v>
      </c>
      <c r="O205" s="54">
        <v>100</v>
      </c>
    </row>
    <row r="206" spans="1:15" x14ac:dyDescent="0.25">
      <c r="B206" s="45" t="s">
        <v>304</v>
      </c>
      <c r="C206" s="45" t="s">
        <v>305</v>
      </c>
      <c r="D206" s="20" t="s">
        <v>306</v>
      </c>
      <c r="E206" s="21">
        <v>240</v>
      </c>
      <c r="F206" s="1" t="s">
        <v>68</v>
      </c>
      <c r="G206" s="25" t="s">
        <v>786</v>
      </c>
      <c r="H206" s="1" t="s">
        <v>165</v>
      </c>
      <c r="I206" s="1" t="s">
        <v>161</v>
      </c>
      <c r="J206" s="33">
        <v>1</v>
      </c>
      <c r="K206" s="24">
        <v>45251.640868055554</v>
      </c>
      <c r="M206" s="1" t="s">
        <v>307</v>
      </c>
    </row>
    <row r="207" spans="1:15" x14ac:dyDescent="0.25">
      <c r="B207" s="45" t="s">
        <v>176</v>
      </c>
      <c r="C207" s="45" t="s">
        <v>260</v>
      </c>
      <c r="D207" s="20" t="s">
        <v>308</v>
      </c>
      <c r="E207" s="21">
        <v>15</v>
      </c>
      <c r="F207" s="1" t="s">
        <v>68</v>
      </c>
      <c r="G207" s="25" t="s">
        <v>787</v>
      </c>
      <c r="H207" s="1" t="s">
        <v>167</v>
      </c>
      <c r="I207" s="1" t="s">
        <v>161</v>
      </c>
      <c r="J207" s="60">
        <v>0</v>
      </c>
      <c r="K207" s="24">
        <v>45251.727060185185</v>
      </c>
    </row>
    <row r="208" spans="1:15" x14ac:dyDescent="0.25">
      <c r="B208" s="45" t="s">
        <v>176</v>
      </c>
      <c r="C208" s="45" t="s">
        <v>261</v>
      </c>
      <c r="D208" s="20" t="s">
        <v>309</v>
      </c>
      <c r="E208" s="21">
        <v>720</v>
      </c>
      <c r="F208" s="1" t="s">
        <v>152</v>
      </c>
      <c r="G208" s="25" t="s">
        <v>157</v>
      </c>
      <c r="H208" s="1" t="s">
        <v>154</v>
      </c>
      <c r="I208" s="1" t="s">
        <v>155</v>
      </c>
      <c r="J208" s="60">
        <v>0</v>
      </c>
      <c r="K208" s="24">
        <v>45251.824074074073</v>
      </c>
    </row>
    <row r="209" spans="2:13" x14ac:dyDescent="0.25">
      <c r="B209" s="45" t="s">
        <v>176</v>
      </c>
      <c r="C209" s="45" t="s">
        <v>310</v>
      </c>
      <c r="D209" s="20" t="s">
        <v>311</v>
      </c>
      <c r="E209" s="21">
        <v>3600</v>
      </c>
      <c r="F209" s="1" t="s">
        <v>68</v>
      </c>
      <c r="G209" s="25" t="s">
        <v>140</v>
      </c>
      <c r="H209" s="1" t="s">
        <v>141</v>
      </c>
      <c r="I209" s="1" t="s">
        <v>122</v>
      </c>
      <c r="J209" s="60">
        <v>0</v>
      </c>
      <c r="K209" s="24">
        <v>45251.824895833335</v>
      </c>
    </row>
    <row r="210" spans="2:13" x14ac:dyDescent="0.25">
      <c r="B210" s="45" t="s">
        <v>176</v>
      </c>
      <c r="C210" s="45" t="s">
        <v>312</v>
      </c>
      <c r="D210" s="20" t="s">
        <v>313</v>
      </c>
      <c r="E210" s="21">
        <v>3600</v>
      </c>
      <c r="F210" s="1" t="s">
        <v>68</v>
      </c>
      <c r="G210" s="25" t="s">
        <v>120</v>
      </c>
      <c r="H210" s="1" t="s">
        <v>121</v>
      </c>
      <c r="I210" s="1" t="s">
        <v>122</v>
      </c>
      <c r="J210" s="60">
        <v>0</v>
      </c>
      <c r="K210" s="24">
        <v>45251.82540509259</v>
      </c>
    </row>
    <row r="211" spans="2:13" x14ac:dyDescent="0.25">
      <c r="B211" s="45" t="s">
        <v>176</v>
      </c>
      <c r="C211" s="45" t="s">
        <v>263</v>
      </c>
      <c r="D211" s="20" t="s">
        <v>314</v>
      </c>
      <c r="E211" s="21">
        <v>1000</v>
      </c>
      <c r="F211" s="1" t="s">
        <v>68</v>
      </c>
      <c r="G211" s="25" t="s">
        <v>159</v>
      </c>
      <c r="H211" s="1" t="s">
        <v>160</v>
      </c>
      <c r="I211" s="1" t="s">
        <v>161</v>
      </c>
      <c r="J211" s="60">
        <v>0</v>
      </c>
      <c r="K211" s="24">
        <v>45251.825891203705</v>
      </c>
    </row>
    <row r="212" spans="2:13" x14ac:dyDescent="0.25">
      <c r="B212" s="45" t="s">
        <v>176</v>
      </c>
      <c r="C212" s="45" t="s">
        <v>262</v>
      </c>
      <c r="D212" s="20" t="s">
        <v>315</v>
      </c>
      <c r="E212" s="21">
        <v>8</v>
      </c>
      <c r="F212" s="1" t="s">
        <v>144</v>
      </c>
      <c r="G212" s="25" t="s">
        <v>150</v>
      </c>
      <c r="H212" s="1" t="s">
        <v>151</v>
      </c>
      <c r="I212" s="1" t="s">
        <v>147</v>
      </c>
      <c r="J212" s="60">
        <v>0</v>
      </c>
      <c r="K212" s="24">
        <v>45251.826608796298</v>
      </c>
    </row>
    <row r="213" spans="2:13" x14ac:dyDescent="0.25">
      <c r="B213" s="45" t="s">
        <v>176</v>
      </c>
      <c r="C213" s="45" t="s">
        <v>316</v>
      </c>
      <c r="D213" s="20">
        <v>453</v>
      </c>
      <c r="E213" s="21">
        <v>1000</v>
      </c>
      <c r="F213" s="1" t="s">
        <v>68</v>
      </c>
      <c r="G213" s="25" t="s">
        <v>136</v>
      </c>
      <c r="H213" s="1" t="s">
        <v>137</v>
      </c>
      <c r="I213" s="1" t="s">
        <v>122</v>
      </c>
      <c r="J213" s="60">
        <v>0</v>
      </c>
      <c r="K213" s="24">
        <v>45252.7580787037</v>
      </c>
    </row>
    <row r="214" spans="2:13" x14ac:dyDescent="0.25">
      <c r="B214" s="45" t="s">
        <v>176</v>
      </c>
      <c r="C214" s="45" t="s">
        <v>317</v>
      </c>
      <c r="D214" s="20">
        <v>454</v>
      </c>
      <c r="E214" s="21">
        <v>8</v>
      </c>
      <c r="F214" s="1" t="s">
        <v>144</v>
      </c>
      <c r="G214" s="25" t="s">
        <v>148</v>
      </c>
      <c r="H214" s="1" t="s">
        <v>149</v>
      </c>
      <c r="I214" s="1" t="s">
        <v>147</v>
      </c>
      <c r="J214" s="60">
        <v>0</v>
      </c>
      <c r="K214" s="24">
        <v>45252.760335648149</v>
      </c>
    </row>
    <row r="215" spans="2:13" x14ac:dyDescent="0.25">
      <c r="B215" s="45" t="s">
        <v>176</v>
      </c>
      <c r="C215" s="45" t="s">
        <v>318</v>
      </c>
      <c r="D215" s="20">
        <v>456</v>
      </c>
      <c r="E215" s="21">
        <v>720</v>
      </c>
      <c r="F215" s="1" t="s">
        <v>152</v>
      </c>
      <c r="G215" s="25" t="s">
        <v>157</v>
      </c>
      <c r="H215" s="1" t="s">
        <v>154</v>
      </c>
      <c r="I215" s="1" t="s">
        <v>155</v>
      </c>
      <c r="J215" s="60">
        <v>0</v>
      </c>
      <c r="K215" s="24">
        <v>45252.761111111111</v>
      </c>
    </row>
    <row r="216" spans="2:13" x14ac:dyDescent="0.25">
      <c r="B216" s="45" t="s">
        <v>176</v>
      </c>
      <c r="C216" s="45" t="s">
        <v>289</v>
      </c>
      <c r="D216" s="20">
        <v>455</v>
      </c>
      <c r="E216" s="21">
        <v>20</v>
      </c>
      <c r="F216" s="1" t="s">
        <v>68</v>
      </c>
      <c r="G216" s="25" t="s">
        <v>787</v>
      </c>
      <c r="H216" s="1" t="s">
        <v>167</v>
      </c>
      <c r="I216" s="1" t="s">
        <v>161</v>
      </c>
      <c r="J216" s="60">
        <v>0</v>
      </c>
      <c r="K216" s="24">
        <v>45252.76185185185</v>
      </c>
    </row>
    <row r="217" spans="2:13" x14ac:dyDescent="0.25">
      <c r="B217" s="45" t="s">
        <v>319</v>
      </c>
      <c r="C217" s="45" t="s">
        <v>320</v>
      </c>
      <c r="D217" s="20" t="s">
        <v>66</v>
      </c>
      <c r="E217" s="21">
        <v>1008</v>
      </c>
      <c r="F217" s="1" t="s">
        <v>152</v>
      </c>
      <c r="G217" s="25" t="s">
        <v>153</v>
      </c>
      <c r="H217" s="1" t="s">
        <v>154</v>
      </c>
      <c r="I217" s="1" t="s">
        <v>155</v>
      </c>
      <c r="J217" s="33">
        <v>1</v>
      </c>
      <c r="K217" s="24">
        <v>45252.767546296294</v>
      </c>
      <c r="M217" s="1" t="s">
        <v>275</v>
      </c>
    </row>
    <row r="218" spans="2:13" x14ac:dyDescent="0.25">
      <c r="B218" s="45" t="s">
        <v>321</v>
      </c>
      <c r="C218" s="45" t="s">
        <v>292</v>
      </c>
      <c r="D218" s="20" t="s">
        <v>322</v>
      </c>
      <c r="E218" s="21">
        <v>2600</v>
      </c>
      <c r="F218" s="1" t="s">
        <v>68</v>
      </c>
      <c r="G218" s="25" t="s">
        <v>163</v>
      </c>
      <c r="H218" s="1" t="s">
        <v>164</v>
      </c>
      <c r="I218" s="1" t="s">
        <v>161</v>
      </c>
      <c r="J218" s="60">
        <v>0</v>
      </c>
      <c r="K218" s="24">
        <v>45253.641493055555</v>
      </c>
    </row>
    <row r="219" spans="2:13" x14ac:dyDescent="0.25">
      <c r="B219" s="45" t="s">
        <v>321</v>
      </c>
      <c r="C219" s="45" t="s">
        <v>292</v>
      </c>
      <c r="D219" s="20" t="s">
        <v>322</v>
      </c>
      <c r="E219" s="21">
        <v>350</v>
      </c>
      <c r="F219" s="1" t="s">
        <v>68</v>
      </c>
      <c r="G219" s="25" t="s">
        <v>172</v>
      </c>
      <c r="H219" s="1" t="s">
        <v>173</v>
      </c>
      <c r="J219" s="60">
        <v>0</v>
      </c>
      <c r="K219" s="24">
        <v>45253.641886574071</v>
      </c>
    </row>
    <row r="220" spans="2:13" x14ac:dyDescent="0.25">
      <c r="B220" s="45" t="s">
        <v>321</v>
      </c>
      <c r="C220" s="45" t="s">
        <v>292</v>
      </c>
      <c r="D220" s="20" t="s">
        <v>322</v>
      </c>
      <c r="E220" s="21">
        <v>1200</v>
      </c>
      <c r="F220" s="1" t="s">
        <v>68</v>
      </c>
      <c r="G220" s="25" t="s">
        <v>197</v>
      </c>
      <c r="H220" s="1" t="s">
        <v>198</v>
      </c>
      <c r="I220" s="1" t="s">
        <v>161</v>
      </c>
      <c r="J220" s="60">
        <v>0</v>
      </c>
      <c r="K220" s="24">
        <v>45253.642233796294</v>
      </c>
    </row>
    <row r="221" spans="2:13" x14ac:dyDescent="0.25">
      <c r="B221" s="45" t="s">
        <v>321</v>
      </c>
      <c r="C221" s="45" t="s">
        <v>284</v>
      </c>
      <c r="D221" s="20" t="s">
        <v>323</v>
      </c>
      <c r="E221" s="21">
        <v>35</v>
      </c>
      <c r="F221" s="1" t="s">
        <v>68</v>
      </c>
      <c r="G221" s="25" t="s">
        <v>788</v>
      </c>
      <c r="H221" s="1" t="s">
        <v>187</v>
      </c>
      <c r="I221" s="1" t="s">
        <v>161</v>
      </c>
      <c r="J221" s="60">
        <v>0</v>
      </c>
      <c r="K221" s="24">
        <v>45253.642858796295</v>
      </c>
      <c r="L221" s="23">
        <v>720</v>
      </c>
      <c r="M221" s="23">
        <f>L221-60</f>
        <v>660</v>
      </c>
    </row>
    <row r="222" spans="2:13" x14ac:dyDescent="0.25">
      <c r="B222" s="45" t="s">
        <v>324</v>
      </c>
      <c r="C222" s="45" t="s">
        <v>268</v>
      </c>
      <c r="D222" s="20">
        <v>136592</v>
      </c>
      <c r="E222" s="21">
        <v>2400</v>
      </c>
      <c r="F222" s="1" t="s">
        <v>68</v>
      </c>
      <c r="G222" s="25" t="s">
        <v>136</v>
      </c>
      <c r="H222" s="1" t="s">
        <v>137</v>
      </c>
      <c r="I222" s="1" t="s">
        <v>122</v>
      </c>
      <c r="J222" s="33">
        <v>1</v>
      </c>
      <c r="K222" s="24">
        <v>45254.461793981478</v>
      </c>
      <c r="M222" s="1" t="s">
        <v>307</v>
      </c>
    </row>
    <row r="223" spans="2:13" x14ac:dyDescent="0.25">
      <c r="B223" s="45" t="s">
        <v>324</v>
      </c>
      <c r="C223" s="45" t="s">
        <v>268</v>
      </c>
      <c r="D223" s="20">
        <v>136592</v>
      </c>
      <c r="E223" s="21">
        <v>2400</v>
      </c>
      <c r="F223" s="1" t="s">
        <v>68</v>
      </c>
      <c r="G223" s="25" t="s">
        <v>134</v>
      </c>
      <c r="H223" s="1" t="s">
        <v>135</v>
      </c>
      <c r="I223" s="1" t="s">
        <v>122</v>
      </c>
      <c r="J223" s="33">
        <v>1</v>
      </c>
      <c r="K223" s="24">
        <v>45254.463599537034</v>
      </c>
      <c r="M223" s="1" t="s">
        <v>307</v>
      </c>
    </row>
    <row r="224" spans="2:13" x14ac:dyDescent="0.25">
      <c r="B224" s="45" t="s">
        <v>324</v>
      </c>
      <c r="C224" s="45" t="s">
        <v>268</v>
      </c>
      <c r="D224" s="20">
        <v>136592</v>
      </c>
      <c r="E224" s="21">
        <v>1000</v>
      </c>
      <c r="F224" s="1" t="s">
        <v>68</v>
      </c>
      <c r="G224" s="25" t="s">
        <v>168</v>
      </c>
      <c r="H224" s="1" t="s">
        <v>325</v>
      </c>
      <c r="I224" s="1" t="s">
        <v>122</v>
      </c>
      <c r="J224" s="33">
        <v>1</v>
      </c>
      <c r="K224" s="24">
        <v>45254.470868055556</v>
      </c>
      <c r="M224" s="1" t="s">
        <v>307</v>
      </c>
    </row>
    <row r="225" spans="2:14" x14ac:dyDescent="0.25">
      <c r="B225" s="45" t="s">
        <v>326</v>
      </c>
      <c r="C225" s="45" t="s">
        <v>268</v>
      </c>
      <c r="D225" s="20">
        <v>136351</v>
      </c>
      <c r="E225" s="21">
        <v>5000</v>
      </c>
      <c r="F225" s="1" t="s">
        <v>68</v>
      </c>
      <c r="G225" s="25" t="s">
        <v>134</v>
      </c>
      <c r="H225" s="1" t="s">
        <v>135</v>
      </c>
      <c r="I225" s="1" t="s">
        <v>122</v>
      </c>
      <c r="J225" s="33">
        <v>1</v>
      </c>
      <c r="K225" s="24">
        <v>45254.473067129627</v>
      </c>
      <c r="M225" s="22">
        <v>45241</v>
      </c>
    </row>
    <row r="226" spans="2:14" x14ac:dyDescent="0.25">
      <c r="B226" s="45" t="s">
        <v>176</v>
      </c>
      <c r="C226" s="45" t="s">
        <v>312</v>
      </c>
      <c r="D226" s="20" t="s">
        <v>327</v>
      </c>
      <c r="E226" s="21">
        <v>3600</v>
      </c>
      <c r="F226" s="1" t="s">
        <v>68</v>
      </c>
      <c r="G226" s="25" t="s">
        <v>120</v>
      </c>
      <c r="H226" s="1" t="s">
        <v>121</v>
      </c>
      <c r="I226" s="1" t="s">
        <v>122</v>
      </c>
      <c r="J226" s="60">
        <v>0</v>
      </c>
      <c r="K226" s="24">
        <v>45257.594629629632</v>
      </c>
    </row>
    <row r="227" spans="2:14" x14ac:dyDescent="0.25">
      <c r="B227" s="45" t="s">
        <v>66</v>
      </c>
      <c r="C227" s="45" t="s">
        <v>263</v>
      </c>
      <c r="D227" s="20" t="s">
        <v>328</v>
      </c>
      <c r="E227" s="21">
        <v>360</v>
      </c>
      <c r="F227" s="1" t="s">
        <v>68</v>
      </c>
      <c r="G227" s="25" t="s">
        <v>159</v>
      </c>
      <c r="H227" s="1" t="s">
        <v>160</v>
      </c>
      <c r="I227" s="1" t="s">
        <v>161</v>
      </c>
      <c r="J227" s="60">
        <v>0</v>
      </c>
      <c r="K227" s="24">
        <v>45257.595289351855</v>
      </c>
    </row>
    <row r="228" spans="2:14" x14ac:dyDescent="0.25">
      <c r="B228" s="45" t="s">
        <v>66</v>
      </c>
      <c r="C228" s="45" t="s">
        <v>329</v>
      </c>
      <c r="D228" s="20" t="s">
        <v>330</v>
      </c>
      <c r="E228" s="21">
        <v>700</v>
      </c>
      <c r="F228" s="1" t="s">
        <v>68</v>
      </c>
      <c r="G228" s="25" t="s">
        <v>219</v>
      </c>
      <c r="H228" s="1" t="s">
        <v>220</v>
      </c>
      <c r="I228" s="1" t="s">
        <v>161</v>
      </c>
      <c r="J228" s="60">
        <v>0</v>
      </c>
      <c r="K228" s="24">
        <v>45257.595925925925</v>
      </c>
    </row>
    <row r="229" spans="2:14" x14ac:dyDescent="0.25">
      <c r="B229" s="45" t="s">
        <v>331</v>
      </c>
      <c r="C229" s="45" t="s">
        <v>332</v>
      </c>
      <c r="D229" s="20" t="s">
        <v>333</v>
      </c>
      <c r="E229" s="21">
        <v>1000</v>
      </c>
      <c r="F229" s="1" t="s">
        <v>68</v>
      </c>
      <c r="G229" s="25" t="s">
        <v>789</v>
      </c>
      <c r="H229" s="1" t="s">
        <v>196</v>
      </c>
      <c r="I229" s="1" t="s">
        <v>161</v>
      </c>
      <c r="J229" s="33">
        <v>1</v>
      </c>
      <c r="K229" s="24">
        <v>45257.599270833336</v>
      </c>
      <c r="M229" s="1" t="s">
        <v>334</v>
      </c>
    </row>
    <row r="230" spans="2:14" x14ac:dyDescent="0.25">
      <c r="B230" s="45" t="s">
        <v>331</v>
      </c>
      <c r="C230" s="45" t="s">
        <v>332</v>
      </c>
      <c r="D230" s="20" t="s">
        <v>333</v>
      </c>
      <c r="E230" s="21">
        <v>700</v>
      </c>
      <c r="F230" s="1" t="s">
        <v>68</v>
      </c>
      <c r="G230" s="25" t="s">
        <v>219</v>
      </c>
      <c r="H230" s="1" t="s">
        <v>220</v>
      </c>
      <c r="I230" s="1" t="s">
        <v>161</v>
      </c>
      <c r="J230" s="33">
        <v>1</v>
      </c>
      <c r="K230" s="24">
        <v>45257.600856481484</v>
      </c>
      <c r="M230" s="1" t="s">
        <v>334</v>
      </c>
    </row>
    <row r="231" spans="2:14" x14ac:dyDescent="0.25">
      <c r="B231" s="45" t="s">
        <v>335</v>
      </c>
      <c r="C231" s="45" t="s">
        <v>336</v>
      </c>
      <c r="D231" s="20" t="s">
        <v>333</v>
      </c>
      <c r="E231" s="21">
        <v>1300</v>
      </c>
      <c r="F231" s="1" t="s">
        <v>68</v>
      </c>
      <c r="G231" s="25" t="s">
        <v>219</v>
      </c>
      <c r="H231" s="1" t="s">
        <v>220</v>
      </c>
      <c r="I231" s="1" t="s">
        <v>161</v>
      </c>
      <c r="J231" s="33">
        <v>1</v>
      </c>
      <c r="K231" s="24">
        <v>45257.602662037039</v>
      </c>
      <c r="M231" s="1" t="s">
        <v>334</v>
      </c>
    </row>
    <row r="232" spans="2:14" x14ac:dyDescent="0.25">
      <c r="B232" s="45" t="s">
        <v>337</v>
      </c>
      <c r="C232" s="45" t="s">
        <v>338</v>
      </c>
      <c r="D232" s="20" t="s">
        <v>212</v>
      </c>
      <c r="E232" s="21">
        <v>400</v>
      </c>
      <c r="F232" s="1" t="s">
        <v>68</v>
      </c>
      <c r="G232" s="25" t="s">
        <v>219</v>
      </c>
      <c r="H232" s="1" t="s">
        <v>220</v>
      </c>
      <c r="I232" s="1" t="s">
        <v>161</v>
      </c>
      <c r="J232" s="33">
        <v>1</v>
      </c>
      <c r="K232" s="24">
        <v>45257.604351851849</v>
      </c>
      <c r="M232" s="1" t="s">
        <v>334</v>
      </c>
    </row>
    <row r="233" spans="2:14" x14ac:dyDescent="0.25">
      <c r="B233" s="45" t="s">
        <v>339</v>
      </c>
      <c r="C233" s="45" t="s">
        <v>340</v>
      </c>
      <c r="D233" s="20" t="s">
        <v>341</v>
      </c>
      <c r="E233" s="21">
        <v>1000</v>
      </c>
      <c r="F233" s="1" t="s">
        <v>68</v>
      </c>
      <c r="G233" s="25" t="s">
        <v>789</v>
      </c>
      <c r="H233" s="1" t="s">
        <v>196</v>
      </c>
      <c r="I233" s="1" t="s">
        <v>161</v>
      </c>
      <c r="J233" s="33">
        <v>1</v>
      </c>
      <c r="K233" s="24">
        <v>45257.605196759258</v>
      </c>
      <c r="M233" s="1" t="s">
        <v>334</v>
      </c>
    </row>
    <row r="234" spans="2:14" x14ac:dyDescent="0.25">
      <c r="B234" s="45" t="s">
        <v>176</v>
      </c>
      <c r="C234" s="45" t="s">
        <v>288</v>
      </c>
      <c r="D234" s="20" t="s">
        <v>342</v>
      </c>
      <c r="E234" s="21">
        <v>4000</v>
      </c>
      <c r="F234" s="1" t="s">
        <v>68</v>
      </c>
      <c r="G234" s="25" t="s">
        <v>163</v>
      </c>
      <c r="H234" s="1" t="s">
        <v>164</v>
      </c>
      <c r="I234" s="1" t="s">
        <v>161</v>
      </c>
      <c r="J234" s="60">
        <v>0</v>
      </c>
      <c r="K234" s="24">
        <v>45258.596377314818</v>
      </c>
    </row>
    <row r="235" spans="2:14" x14ac:dyDescent="0.25">
      <c r="B235" s="45" t="s">
        <v>321</v>
      </c>
      <c r="C235" s="45" t="s">
        <v>267</v>
      </c>
      <c r="D235" s="20">
        <v>459</v>
      </c>
      <c r="E235" s="21">
        <v>13</v>
      </c>
      <c r="F235" s="1" t="s">
        <v>68</v>
      </c>
      <c r="G235" s="25" t="s">
        <v>787</v>
      </c>
      <c r="H235" s="1" t="s">
        <v>167</v>
      </c>
      <c r="I235" s="1" t="s">
        <v>161</v>
      </c>
      <c r="J235" s="60">
        <v>0</v>
      </c>
      <c r="K235" s="24">
        <v>45258.598379629628</v>
      </c>
      <c r="N235" s="1">
        <f>91+72</f>
        <v>163</v>
      </c>
    </row>
    <row r="236" spans="2:14" x14ac:dyDescent="0.25">
      <c r="B236" s="45" t="s">
        <v>321</v>
      </c>
      <c r="C236" s="45" t="s">
        <v>267</v>
      </c>
      <c r="D236" s="20">
        <v>459</v>
      </c>
      <c r="E236" s="21">
        <v>36</v>
      </c>
      <c r="F236" s="1" t="s">
        <v>68</v>
      </c>
      <c r="G236" s="25" t="s">
        <v>184</v>
      </c>
      <c r="H236" s="1" t="s">
        <v>185</v>
      </c>
      <c r="J236" s="60">
        <v>0</v>
      </c>
      <c r="K236" s="24">
        <v>45258.599722222221</v>
      </c>
    </row>
    <row r="237" spans="2:14" x14ac:dyDescent="0.25">
      <c r="B237" s="45" t="s">
        <v>321</v>
      </c>
      <c r="C237" s="45" t="s">
        <v>267</v>
      </c>
      <c r="D237" s="20">
        <v>459</v>
      </c>
      <c r="E237" s="21">
        <v>30</v>
      </c>
      <c r="F237" s="1" t="s">
        <v>68</v>
      </c>
      <c r="G237" s="25" t="s">
        <v>788</v>
      </c>
      <c r="H237" s="1" t="s">
        <v>187</v>
      </c>
      <c r="I237" s="1" t="s">
        <v>161</v>
      </c>
      <c r="J237" s="60">
        <v>0</v>
      </c>
      <c r="K237" s="24">
        <v>45258.600092592591</v>
      </c>
    </row>
    <row r="238" spans="2:14" x14ac:dyDescent="0.25">
      <c r="B238" s="45" t="s">
        <v>321</v>
      </c>
      <c r="C238" s="45" t="s">
        <v>267</v>
      </c>
      <c r="D238" s="20">
        <v>459</v>
      </c>
      <c r="E238" s="21">
        <v>300</v>
      </c>
      <c r="F238" s="1" t="s">
        <v>144</v>
      </c>
      <c r="G238" s="25" t="s">
        <v>145</v>
      </c>
      <c r="H238" s="1" t="s">
        <v>146</v>
      </c>
      <c r="I238" s="1" t="s">
        <v>147</v>
      </c>
      <c r="J238" s="60">
        <v>0</v>
      </c>
      <c r="K238" s="24">
        <v>45258.601111111115</v>
      </c>
    </row>
    <row r="239" spans="2:14" x14ac:dyDescent="0.25">
      <c r="B239" s="45" t="s">
        <v>321</v>
      </c>
      <c r="C239" s="45" t="s">
        <v>343</v>
      </c>
      <c r="D239" s="20">
        <v>461</v>
      </c>
      <c r="E239" s="21">
        <v>8100</v>
      </c>
      <c r="F239" s="1" t="s">
        <v>68</v>
      </c>
      <c r="G239" s="25" t="s">
        <v>140</v>
      </c>
      <c r="H239" s="1" t="s">
        <v>141</v>
      </c>
      <c r="I239" s="1" t="s">
        <v>122</v>
      </c>
      <c r="J239" s="60">
        <v>0</v>
      </c>
      <c r="K239" s="24">
        <v>45258.598379629628</v>
      </c>
    </row>
    <row r="240" spans="2:14" x14ac:dyDescent="0.25">
      <c r="B240" s="45" t="s">
        <v>321</v>
      </c>
      <c r="C240" s="45" t="s">
        <v>344</v>
      </c>
      <c r="D240" s="20">
        <v>460</v>
      </c>
      <c r="E240" s="21">
        <v>228</v>
      </c>
      <c r="F240" s="1" t="s">
        <v>68</v>
      </c>
      <c r="G240" s="25" t="s">
        <v>181</v>
      </c>
      <c r="H240" s="1" t="s">
        <v>182</v>
      </c>
      <c r="I240" s="1" t="s">
        <v>183</v>
      </c>
      <c r="J240" s="60">
        <v>0</v>
      </c>
      <c r="K240" s="24">
        <v>45258.599722222221</v>
      </c>
      <c r="N240" s="1">
        <f>12*300+100+74</f>
        <v>3774</v>
      </c>
    </row>
    <row r="241" spans="2:14" x14ac:dyDescent="0.25">
      <c r="B241" s="45" t="s">
        <v>321</v>
      </c>
      <c r="C241" s="45" t="s">
        <v>345</v>
      </c>
      <c r="D241" s="20">
        <v>462</v>
      </c>
      <c r="E241" s="21">
        <v>12</v>
      </c>
      <c r="F241" s="1" t="s">
        <v>68</v>
      </c>
      <c r="G241" s="25" t="s">
        <v>126</v>
      </c>
      <c r="H241" s="26" t="s">
        <v>180</v>
      </c>
      <c r="J241" s="60">
        <v>0</v>
      </c>
      <c r="K241" s="24">
        <v>45258.600092592591</v>
      </c>
      <c r="N241" s="1" t="s">
        <v>346</v>
      </c>
    </row>
    <row r="242" spans="2:14" x14ac:dyDescent="0.25">
      <c r="B242" s="45" t="s">
        <v>321</v>
      </c>
      <c r="C242" s="45" t="s">
        <v>345</v>
      </c>
      <c r="D242" s="20">
        <v>462</v>
      </c>
      <c r="E242" s="21">
        <v>1200</v>
      </c>
      <c r="F242" s="1" t="s">
        <v>68</v>
      </c>
      <c r="G242" s="25" t="s">
        <v>197</v>
      </c>
      <c r="H242" s="1" t="s">
        <v>198</v>
      </c>
      <c r="I242" s="1" t="s">
        <v>161</v>
      </c>
      <c r="J242" s="60">
        <v>0</v>
      </c>
      <c r="K242" s="24">
        <v>45258.601111111115</v>
      </c>
    </row>
    <row r="243" spans="2:14" x14ac:dyDescent="0.25">
      <c r="B243" s="45" t="s">
        <v>176</v>
      </c>
      <c r="C243" s="45" t="s">
        <v>263</v>
      </c>
      <c r="D243" s="20">
        <v>467</v>
      </c>
      <c r="E243" s="21">
        <v>240</v>
      </c>
      <c r="F243" s="1" t="s">
        <v>68</v>
      </c>
      <c r="G243" s="25" t="s">
        <v>159</v>
      </c>
      <c r="H243" s="1" t="s">
        <v>160</v>
      </c>
      <c r="I243" s="1" t="s">
        <v>161</v>
      </c>
      <c r="J243" s="60">
        <v>0</v>
      </c>
      <c r="K243" s="24">
        <v>45259.468148148146</v>
      </c>
    </row>
    <row r="244" spans="2:14" x14ac:dyDescent="0.25">
      <c r="B244" s="45" t="s">
        <v>176</v>
      </c>
      <c r="C244" s="45" t="s">
        <v>264</v>
      </c>
      <c r="D244" s="20">
        <v>466</v>
      </c>
      <c r="E244" s="21">
        <v>4400</v>
      </c>
      <c r="F244" s="1" t="s">
        <v>68</v>
      </c>
      <c r="G244" s="25" t="s">
        <v>120</v>
      </c>
      <c r="H244" s="1" t="s">
        <v>121</v>
      </c>
      <c r="I244" s="1" t="s">
        <v>122</v>
      </c>
      <c r="J244" s="60">
        <v>0</v>
      </c>
      <c r="K244" s="24">
        <v>45259.469189814816</v>
      </c>
    </row>
    <row r="245" spans="2:14" x14ac:dyDescent="0.25">
      <c r="B245" s="45" t="s">
        <v>176</v>
      </c>
      <c r="C245" s="45" t="s">
        <v>310</v>
      </c>
      <c r="D245" s="20">
        <v>464</v>
      </c>
      <c r="E245" s="21">
        <v>3600</v>
      </c>
      <c r="F245" s="1" t="s">
        <v>68</v>
      </c>
      <c r="G245" s="25" t="s">
        <v>140</v>
      </c>
      <c r="H245" s="1" t="s">
        <v>141</v>
      </c>
      <c r="I245" s="1" t="s">
        <v>122</v>
      </c>
      <c r="J245" s="60">
        <v>0</v>
      </c>
      <c r="K245" s="24">
        <v>45259.470590277779</v>
      </c>
    </row>
    <row r="246" spans="2:14" x14ac:dyDescent="0.25">
      <c r="B246" s="45" t="s">
        <v>176</v>
      </c>
      <c r="C246" s="45" t="s">
        <v>347</v>
      </c>
      <c r="D246" s="20">
        <v>465</v>
      </c>
      <c r="E246" s="21">
        <v>1600</v>
      </c>
      <c r="F246" s="1" t="s">
        <v>68</v>
      </c>
      <c r="G246" s="25" t="s">
        <v>134</v>
      </c>
      <c r="H246" s="1" t="s">
        <v>135</v>
      </c>
      <c r="I246" s="1" t="s">
        <v>122</v>
      </c>
      <c r="J246" s="60">
        <v>0</v>
      </c>
      <c r="K246" s="24">
        <v>45259.47934027778</v>
      </c>
    </row>
    <row r="247" spans="2:14" x14ac:dyDescent="0.25">
      <c r="B247" s="45" t="s">
        <v>348</v>
      </c>
      <c r="C247" s="45" t="s">
        <v>271</v>
      </c>
      <c r="D247" s="20">
        <v>32575</v>
      </c>
      <c r="E247" s="21">
        <v>600</v>
      </c>
      <c r="F247" s="1" t="s">
        <v>68</v>
      </c>
      <c r="G247" s="25" t="s">
        <v>184</v>
      </c>
      <c r="H247" s="1" t="s">
        <v>185</v>
      </c>
      <c r="J247" s="33">
        <v>1</v>
      </c>
      <c r="K247" s="24">
        <v>45259.561909722222</v>
      </c>
      <c r="M247" s="1" t="s">
        <v>349</v>
      </c>
    </row>
    <row r="248" spans="2:14" x14ac:dyDescent="0.25">
      <c r="B248" s="45" t="s">
        <v>350</v>
      </c>
      <c r="C248" s="45" t="s">
        <v>351</v>
      </c>
      <c r="D248" s="20" t="s">
        <v>67</v>
      </c>
      <c r="E248" s="21">
        <v>9000</v>
      </c>
      <c r="F248" s="1" t="s">
        <v>68</v>
      </c>
      <c r="G248" s="25" t="s">
        <v>132</v>
      </c>
      <c r="H248" s="1" t="s">
        <v>133</v>
      </c>
      <c r="I248" s="1" t="s">
        <v>122</v>
      </c>
      <c r="J248" s="33">
        <v>1</v>
      </c>
      <c r="K248" s="24">
        <v>45260.416608796295</v>
      </c>
      <c r="M248" s="1" t="s">
        <v>352</v>
      </c>
    </row>
    <row r="249" spans="2:14" x14ac:dyDescent="0.25">
      <c r="B249" s="45" t="s">
        <v>176</v>
      </c>
      <c r="C249" s="45" t="s">
        <v>353</v>
      </c>
      <c r="D249" s="20">
        <v>472</v>
      </c>
      <c r="E249" s="21">
        <v>720</v>
      </c>
      <c r="F249" s="1" t="s">
        <v>68</v>
      </c>
      <c r="G249" s="25" t="s">
        <v>181</v>
      </c>
      <c r="H249" s="1" t="s">
        <v>182</v>
      </c>
      <c r="I249" s="1" t="s">
        <v>183</v>
      </c>
      <c r="J249" s="60">
        <v>0</v>
      </c>
      <c r="K249" s="24">
        <v>45260.54011574074</v>
      </c>
      <c r="L249" s="23">
        <v>720</v>
      </c>
    </row>
    <row r="250" spans="2:14" x14ac:dyDescent="0.25">
      <c r="B250" s="45" t="s">
        <v>321</v>
      </c>
      <c r="C250" s="45" t="s">
        <v>286</v>
      </c>
      <c r="D250" s="20">
        <v>468</v>
      </c>
      <c r="E250" s="21">
        <v>3000</v>
      </c>
      <c r="F250" s="1" t="s">
        <v>68</v>
      </c>
      <c r="G250" s="25" t="s">
        <v>124</v>
      </c>
      <c r="H250" s="1" t="s">
        <v>125</v>
      </c>
      <c r="I250" s="1" t="s">
        <v>122</v>
      </c>
      <c r="J250" s="60">
        <v>0</v>
      </c>
      <c r="K250" s="24">
        <v>45260.542592592596</v>
      </c>
      <c r="L250" s="23">
        <v>3000</v>
      </c>
    </row>
    <row r="251" spans="2:14" x14ac:dyDescent="0.25">
      <c r="B251" s="45" t="s">
        <v>321</v>
      </c>
      <c r="C251" s="45" t="s">
        <v>344</v>
      </c>
      <c r="D251" s="20">
        <v>469</v>
      </c>
      <c r="E251" s="21">
        <v>228</v>
      </c>
      <c r="F251" s="1" t="s">
        <v>68</v>
      </c>
      <c r="G251" s="25" t="s">
        <v>181</v>
      </c>
      <c r="H251" s="1" t="s">
        <v>182</v>
      </c>
      <c r="I251" s="1" t="s">
        <v>183</v>
      </c>
      <c r="J251" s="60">
        <v>0</v>
      </c>
      <c r="K251" s="24">
        <v>45260.543391203704</v>
      </c>
      <c r="L251" s="23">
        <v>228</v>
      </c>
    </row>
    <row r="252" spans="2:14" x14ac:dyDescent="0.25">
      <c r="B252" s="45" t="s">
        <v>321</v>
      </c>
      <c r="C252" s="45" t="s">
        <v>282</v>
      </c>
      <c r="D252" s="20">
        <v>470</v>
      </c>
      <c r="E252" s="21">
        <v>250</v>
      </c>
      <c r="F252" s="1" t="s">
        <v>68</v>
      </c>
      <c r="G252" s="25" t="s">
        <v>132</v>
      </c>
      <c r="H252" s="1" t="s">
        <v>133</v>
      </c>
      <c r="I252" s="1" t="s">
        <v>122</v>
      </c>
      <c r="J252" s="60">
        <v>0</v>
      </c>
      <c r="K252" s="24">
        <v>45260.544560185182</v>
      </c>
      <c r="L252" s="23">
        <v>250</v>
      </c>
    </row>
    <row r="253" spans="2:14" x14ac:dyDescent="0.25">
      <c r="B253" s="45" t="s">
        <v>321</v>
      </c>
      <c r="C253" s="45" t="s">
        <v>284</v>
      </c>
      <c r="D253" s="20">
        <v>471</v>
      </c>
      <c r="E253" s="21">
        <v>12</v>
      </c>
      <c r="F253" s="1" t="s">
        <v>68</v>
      </c>
      <c r="G253" s="25" t="s">
        <v>787</v>
      </c>
      <c r="H253" s="1" t="s">
        <v>167</v>
      </c>
      <c r="I253" s="1" t="s">
        <v>161</v>
      </c>
      <c r="J253" s="60">
        <v>0</v>
      </c>
      <c r="K253" s="24">
        <v>45260.545451388891</v>
      </c>
      <c r="L253" s="23">
        <v>12</v>
      </c>
    </row>
    <row r="254" spans="2:14" x14ac:dyDescent="0.25">
      <c r="B254" s="45" t="s">
        <v>321</v>
      </c>
      <c r="C254" s="45" t="s">
        <v>284</v>
      </c>
      <c r="D254" s="20">
        <v>471</v>
      </c>
      <c r="E254" s="21">
        <v>30</v>
      </c>
      <c r="F254" s="1" t="s">
        <v>68</v>
      </c>
      <c r="G254" s="25" t="s">
        <v>788</v>
      </c>
      <c r="H254" s="1" t="s">
        <v>187</v>
      </c>
      <c r="I254" s="1" t="s">
        <v>161</v>
      </c>
      <c r="J254" s="60">
        <v>0</v>
      </c>
      <c r="K254" s="24">
        <v>45260.546203703707</v>
      </c>
      <c r="L254" s="23">
        <v>30</v>
      </c>
      <c r="N254" s="1" t="s">
        <v>354</v>
      </c>
    </row>
    <row r="255" spans="2:14" x14ac:dyDescent="0.25">
      <c r="B255" s="45" t="s">
        <v>355</v>
      </c>
      <c r="C255" s="45" t="s">
        <v>356</v>
      </c>
      <c r="D255" s="20" t="s">
        <v>66</v>
      </c>
      <c r="E255" s="21">
        <v>100000</v>
      </c>
      <c r="F255" s="1" t="s">
        <v>68</v>
      </c>
      <c r="G255" s="25" t="s">
        <v>120</v>
      </c>
      <c r="H255" s="1" t="s">
        <v>121</v>
      </c>
      <c r="I255" s="1" t="s">
        <v>122</v>
      </c>
      <c r="J255" s="33">
        <v>1</v>
      </c>
      <c r="K255" s="24">
        <v>45260.593645833331</v>
      </c>
      <c r="M255" s="1" t="s">
        <v>334</v>
      </c>
    </row>
    <row r="256" spans="2:14" x14ac:dyDescent="0.25">
      <c r="B256" s="45" t="s">
        <v>355</v>
      </c>
      <c r="C256" s="45" t="s">
        <v>356</v>
      </c>
      <c r="D256" s="20" t="s">
        <v>66</v>
      </c>
      <c r="E256" s="21">
        <v>15000</v>
      </c>
      <c r="F256" s="1" t="s">
        <v>68</v>
      </c>
      <c r="G256" s="25" t="s">
        <v>138</v>
      </c>
      <c r="H256" s="1" t="s">
        <v>139</v>
      </c>
      <c r="I256" s="1" t="s">
        <v>122</v>
      </c>
      <c r="J256" s="33">
        <v>1</v>
      </c>
      <c r="K256" s="24">
        <v>45260.593645833331</v>
      </c>
      <c r="M256" s="1" t="s">
        <v>334</v>
      </c>
    </row>
    <row r="257" spans="2:17" x14ac:dyDescent="0.25">
      <c r="B257" s="45" t="s">
        <v>355</v>
      </c>
      <c r="C257" s="45" t="s">
        <v>356</v>
      </c>
      <c r="D257" s="20" t="s">
        <v>66</v>
      </c>
      <c r="E257" s="21">
        <v>3000</v>
      </c>
      <c r="F257" s="1" t="s">
        <v>68</v>
      </c>
      <c r="G257" s="25" t="s">
        <v>132</v>
      </c>
      <c r="H257" s="1" t="s">
        <v>133</v>
      </c>
      <c r="I257" s="1" t="s">
        <v>122</v>
      </c>
      <c r="J257" s="33">
        <v>1</v>
      </c>
      <c r="K257" s="24">
        <v>45260.604097222225</v>
      </c>
      <c r="M257" s="1" t="s">
        <v>334</v>
      </c>
    </row>
    <row r="258" spans="2:17" x14ac:dyDescent="0.25">
      <c r="B258" s="45" t="s">
        <v>176</v>
      </c>
      <c r="C258" s="45" t="s">
        <v>310</v>
      </c>
      <c r="D258" s="20" t="s">
        <v>357</v>
      </c>
      <c r="E258" s="21">
        <v>48</v>
      </c>
      <c r="F258" s="1" t="s">
        <v>68</v>
      </c>
      <c r="G258" s="25" t="s">
        <v>786</v>
      </c>
      <c r="H258" s="1" t="s">
        <v>165</v>
      </c>
      <c r="I258" s="1" t="s">
        <v>161</v>
      </c>
      <c r="J258" s="60">
        <v>0</v>
      </c>
      <c r="K258" s="24">
        <v>45260.693067129629</v>
      </c>
    </row>
    <row r="259" spans="2:17" hidden="1" x14ac:dyDescent="0.25">
      <c r="B259" s="45"/>
      <c r="C259" s="45"/>
      <c r="G259" s="25"/>
      <c r="J259" s="33"/>
      <c r="K259" s="24"/>
    </row>
    <row r="260" spans="2:17" x14ac:dyDescent="0.25">
      <c r="B260" s="45" t="s">
        <v>66</v>
      </c>
      <c r="C260" s="45" t="s">
        <v>66</v>
      </c>
      <c r="D260" s="20" t="s">
        <v>66</v>
      </c>
      <c r="E260" s="21">
        <v>257</v>
      </c>
      <c r="F260" s="1" t="s">
        <v>68</v>
      </c>
      <c r="G260" s="25" t="s">
        <v>129</v>
      </c>
      <c r="H260" s="1" t="s">
        <v>358</v>
      </c>
      <c r="I260" s="1" t="s">
        <v>66</v>
      </c>
      <c r="J260" s="33">
        <v>1</v>
      </c>
      <c r="K260" s="24">
        <v>45267.503125000003</v>
      </c>
      <c r="L260" s="23">
        <v>9999</v>
      </c>
      <c r="M260" s="1" t="s">
        <v>359</v>
      </c>
      <c r="O260" s="54">
        <v>100</v>
      </c>
      <c r="P260" s="33">
        <v>2</v>
      </c>
      <c r="Q260" s="33">
        <v>56.999999999999986</v>
      </c>
    </row>
    <row r="261" spans="2:17" x14ac:dyDescent="0.25">
      <c r="B261" s="45" t="s">
        <v>176</v>
      </c>
      <c r="C261" s="45" t="s">
        <v>260</v>
      </c>
      <c r="D261" s="20" t="s">
        <v>360</v>
      </c>
      <c r="E261" s="21">
        <v>14</v>
      </c>
      <c r="F261" s="1" t="s">
        <v>68</v>
      </c>
      <c r="G261" s="25" t="s">
        <v>787</v>
      </c>
      <c r="H261" s="1" t="s">
        <v>167</v>
      </c>
      <c r="I261" s="1" t="s">
        <v>161</v>
      </c>
      <c r="J261" s="60">
        <v>0</v>
      </c>
      <c r="K261" s="24">
        <v>45261.531099537038</v>
      </c>
      <c r="L261" s="23">
        <v>137</v>
      </c>
    </row>
    <row r="262" spans="2:17" x14ac:dyDescent="0.25">
      <c r="B262" s="45" t="s">
        <v>176</v>
      </c>
      <c r="C262" s="45" t="s">
        <v>261</v>
      </c>
      <c r="D262" s="20" t="s">
        <v>361</v>
      </c>
      <c r="E262" s="21">
        <v>1200</v>
      </c>
      <c r="F262" s="20" t="s">
        <v>152</v>
      </c>
      <c r="G262" s="25" t="s">
        <v>156</v>
      </c>
      <c r="H262" s="1" t="s">
        <v>154</v>
      </c>
      <c r="I262" s="1" t="s">
        <v>155</v>
      </c>
      <c r="J262" s="60">
        <v>0</v>
      </c>
      <c r="K262" s="24">
        <v>45261.613807870373</v>
      </c>
      <c r="L262" s="23">
        <v>5528</v>
      </c>
    </row>
    <row r="263" spans="2:17" x14ac:dyDescent="0.25">
      <c r="B263" s="45" t="s">
        <v>176</v>
      </c>
      <c r="C263" s="45" t="s">
        <v>362</v>
      </c>
      <c r="D263" s="20" t="s">
        <v>363</v>
      </c>
      <c r="E263" s="21">
        <v>1200</v>
      </c>
      <c r="F263" s="1" t="s">
        <v>68</v>
      </c>
      <c r="G263" s="25" t="s">
        <v>190</v>
      </c>
      <c r="H263" s="1" t="s">
        <v>191</v>
      </c>
      <c r="I263" s="1" t="s">
        <v>122</v>
      </c>
      <c r="J263" s="60">
        <v>0</v>
      </c>
      <c r="K263" s="24">
        <v>45261.644594907404</v>
      </c>
      <c r="L263" s="23">
        <v>1200</v>
      </c>
    </row>
    <row r="264" spans="2:17" x14ac:dyDescent="0.25">
      <c r="B264" s="45" t="s">
        <v>321</v>
      </c>
      <c r="C264" s="45" t="s">
        <v>364</v>
      </c>
      <c r="D264" s="20" t="s">
        <v>365</v>
      </c>
      <c r="E264" s="21">
        <v>482</v>
      </c>
      <c r="F264" s="20" t="s">
        <v>152</v>
      </c>
      <c r="G264" s="25" t="s">
        <v>157</v>
      </c>
      <c r="H264" s="1" t="s">
        <v>154</v>
      </c>
      <c r="I264" s="1" t="s">
        <v>155</v>
      </c>
      <c r="J264" s="60">
        <v>0</v>
      </c>
      <c r="K264" s="24">
        <v>45264.645266203705</v>
      </c>
      <c r="L264" s="23">
        <v>0</v>
      </c>
    </row>
    <row r="265" spans="2:17" x14ac:dyDescent="0.25">
      <c r="B265" s="45" t="s">
        <v>321</v>
      </c>
      <c r="C265" s="45" t="s">
        <v>267</v>
      </c>
      <c r="D265" s="20" t="s">
        <v>366</v>
      </c>
      <c r="E265" s="21">
        <v>16500</v>
      </c>
      <c r="F265" s="20" t="s">
        <v>68</v>
      </c>
      <c r="G265" s="25" t="s">
        <v>120</v>
      </c>
      <c r="H265" s="1" t="s">
        <v>121</v>
      </c>
      <c r="I265" s="1" t="s">
        <v>122</v>
      </c>
      <c r="J265" s="60">
        <v>0</v>
      </c>
      <c r="K265" s="24">
        <v>45264.645439814813</v>
      </c>
      <c r="L265" s="23">
        <v>212200</v>
      </c>
      <c r="N265" s="1">
        <v>672000</v>
      </c>
    </row>
    <row r="266" spans="2:17" x14ac:dyDescent="0.25">
      <c r="B266" s="45" t="s">
        <v>321</v>
      </c>
      <c r="C266" s="45" t="s">
        <v>267</v>
      </c>
      <c r="D266" s="20" t="s">
        <v>366</v>
      </c>
      <c r="E266" s="21">
        <v>100</v>
      </c>
      <c r="F266" s="1" t="s">
        <v>68</v>
      </c>
      <c r="G266" s="25" t="s">
        <v>789</v>
      </c>
      <c r="H266" s="1" t="s">
        <v>196</v>
      </c>
      <c r="I266" s="1" t="s">
        <v>161</v>
      </c>
      <c r="J266" s="60">
        <v>0</v>
      </c>
      <c r="K266" s="24">
        <v>45264.645729166667</v>
      </c>
      <c r="L266" s="23">
        <v>2260</v>
      </c>
    </row>
    <row r="267" spans="2:17" x14ac:dyDescent="0.25">
      <c r="B267" s="45" t="s">
        <v>321</v>
      </c>
      <c r="C267" s="45" t="s">
        <v>267</v>
      </c>
      <c r="D267" s="20" t="s">
        <v>366</v>
      </c>
      <c r="E267" s="21">
        <v>25</v>
      </c>
      <c r="F267" s="1" t="s">
        <v>68</v>
      </c>
      <c r="G267" s="25" t="s">
        <v>788</v>
      </c>
      <c r="H267" s="1" t="s">
        <v>187</v>
      </c>
      <c r="I267" s="1" t="s">
        <v>161</v>
      </c>
      <c r="J267" s="60">
        <v>0</v>
      </c>
      <c r="K267" s="24">
        <v>45264.645879629628</v>
      </c>
      <c r="L267" s="23">
        <v>635</v>
      </c>
    </row>
    <row r="268" spans="2:17" x14ac:dyDescent="0.25">
      <c r="B268" s="45" t="s">
        <v>321</v>
      </c>
      <c r="C268" s="45" t="s">
        <v>267</v>
      </c>
      <c r="D268" s="20" t="s">
        <v>366</v>
      </c>
      <c r="E268" s="21">
        <v>230</v>
      </c>
      <c r="F268" s="1" t="s">
        <v>144</v>
      </c>
      <c r="G268" s="25" t="s">
        <v>145</v>
      </c>
      <c r="H268" s="1" t="s">
        <v>146</v>
      </c>
      <c r="I268" s="1" t="s">
        <v>147</v>
      </c>
      <c r="J268" s="60">
        <v>0</v>
      </c>
      <c r="K268" s="24">
        <v>45264.645949074074</v>
      </c>
      <c r="L268" s="23">
        <v>2118</v>
      </c>
    </row>
    <row r="269" spans="2:17" x14ac:dyDescent="0.25">
      <c r="B269" s="45" t="s">
        <v>321</v>
      </c>
      <c r="C269" s="45" t="s">
        <v>267</v>
      </c>
      <c r="D269" s="20" t="s">
        <v>366</v>
      </c>
      <c r="E269" s="21">
        <v>24</v>
      </c>
      <c r="F269" s="1" t="s">
        <v>68</v>
      </c>
      <c r="G269" s="25" t="s">
        <v>787</v>
      </c>
      <c r="H269" s="1" t="s">
        <v>167</v>
      </c>
      <c r="I269" s="1" t="s">
        <v>161</v>
      </c>
      <c r="J269" s="60">
        <v>0</v>
      </c>
      <c r="K269" s="24">
        <v>45264.646145833336</v>
      </c>
      <c r="L269" s="23">
        <v>113</v>
      </c>
    </row>
    <row r="270" spans="2:17" x14ac:dyDescent="0.25">
      <c r="B270" s="45" t="s">
        <v>321</v>
      </c>
      <c r="C270" s="45" t="s">
        <v>265</v>
      </c>
      <c r="D270" s="20" t="s">
        <v>367</v>
      </c>
      <c r="E270" s="21">
        <v>250</v>
      </c>
      <c r="F270" s="1" t="s">
        <v>68</v>
      </c>
      <c r="G270" s="25" t="s">
        <v>132</v>
      </c>
      <c r="H270" s="1" t="s">
        <v>133</v>
      </c>
      <c r="I270" s="1" t="s">
        <v>122</v>
      </c>
      <c r="J270" s="60">
        <v>0</v>
      </c>
      <c r="K270" s="24">
        <v>45264.646238425928</v>
      </c>
      <c r="L270" s="23">
        <v>14500</v>
      </c>
    </row>
    <row r="271" spans="2:17" x14ac:dyDescent="0.25">
      <c r="B271" s="45" t="s">
        <v>321</v>
      </c>
      <c r="C271" s="45" t="s">
        <v>368</v>
      </c>
      <c r="D271" s="20" t="s">
        <v>369</v>
      </c>
      <c r="E271" s="21">
        <v>6000</v>
      </c>
      <c r="F271" s="1" t="s">
        <v>68</v>
      </c>
      <c r="G271" s="25" t="s">
        <v>124</v>
      </c>
      <c r="H271" s="1" t="s">
        <v>125</v>
      </c>
      <c r="I271" s="1" t="s">
        <v>122</v>
      </c>
      <c r="J271" s="60">
        <v>0</v>
      </c>
      <c r="K271" s="24">
        <v>45264.646296296298</v>
      </c>
      <c r="L271" s="23">
        <v>61000</v>
      </c>
    </row>
    <row r="272" spans="2:17" x14ac:dyDescent="0.25">
      <c r="B272" s="45" t="s">
        <v>176</v>
      </c>
      <c r="C272" s="45" t="s">
        <v>262</v>
      </c>
      <c r="D272" s="20" t="s">
        <v>370</v>
      </c>
      <c r="E272" s="21">
        <v>10</v>
      </c>
      <c r="F272" s="1" t="s">
        <v>144</v>
      </c>
      <c r="G272" s="25" t="s">
        <v>148</v>
      </c>
      <c r="H272" s="1" t="s">
        <v>149</v>
      </c>
      <c r="I272" s="1" t="s">
        <v>147</v>
      </c>
      <c r="J272" s="60">
        <v>0</v>
      </c>
      <c r="K272" s="24">
        <v>45264.646365740744</v>
      </c>
      <c r="L272" s="23">
        <v>6293</v>
      </c>
    </row>
    <row r="273" spans="2:13" x14ac:dyDescent="0.25">
      <c r="B273" s="45" t="s">
        <v>176</v>
      </c>
      <c r="C273" s="45" t="s">
        <v>263</v>
      </c>
      <c r="D273" s="20" t="s">
        <v>371</v>
      </c>
      <c r="E273" s="21">
        <v>360</v>
      </c>
      <c r="F273" s="1" t="s">
        <v>68</v>
      </c>
      <c r="G273" s="25" t="s">
        <v>159</v>
      </c>
      <c r="H273" s="1" t="s">
        <v>160</v>
      </c>
      <c r="I273" s="1" t="s">
        <v>161</v>
      </c>
      <c r="J273" s="60">
        <v>0</v>
      </c>
      <c r="K273" s="24">
        <v>45264.646469907406</v>
      </c>
      <c r="L273" s="23">
        <v>7172</v>
      </c>
    </row>
    <row r="274" spans="2:13" x14ac:dyDescent="0.25">
      <c r="B274" s="45" t="s">
        <v>176</v>
      </c>
      <c r="C274" s="45" t="s">
        <v>310</v>
      </c>
      <c r="D274" s="20" t="s">
        <v>372</v>
      </c>
      <c r="E274" s="21">
        <v>3600</v>
      </c>
      <c r="F274" s="1" t="s">
        <v>68</v>
      </c>
      <c r="G274" s="25" t="s">
        <v>140</v>
      </c>
      <c r="H274" s="1" t="s">
        <v>141</v>
      </c>
      <c r="I274" s="1" t="s">
        <v>122</v>
      </c>
      <c r="J274" s="60">
        <v>0</v>
      </c>
      <c r="K274" s="24">
        <v>45264.646539351852</v>
      </c>
      <c r="L274" s="23">
        <v>158600</v>
      </c>
    </row>
    <row r="275" spans="2:13" x14ac:dyDescent="0.25">
      <c r="B275" s="45" t="s">
        <v>373</v>
      </c>
      <c r="C275" s="45" t="s">
        <v>306</v>
      </c>
      <c r="D275" s="20" t="s">
        <v>66</v>
      </c>
      <c r="E275" s="21">
        <v>200</v>
      </c>
      <c r="F275" s="1" t="s">
        <v>68</v>
      </c>
      <c r="G275" s="25" t="s">
        <v>787</v>
      </c>
      <c r="H275" s="1" t="s">
        <v>167</v>
      </c>
      <c r="I275" s="1" t="s">
        <v>161</v>
      </c>
      <c r="J275" s="33">
        <v>1</v>
      </c>
      <c r="K275" s="24">
        <v>45264.648055555554</v>
      </c>
      <c r="L275" s="23">
        <v>313</v>
      </c>
      <c r="M275" s="1" t="s">
        <v>374</v>
      </c>
    </row>
    <row r="276" spans="2:13" x14ac:dyDescent="0.25">
      <c r="B276" s="45" t="s">
        <v>373</v>
      </c>
      <c r="C276" s="45" t="s">
        <v>306</v>
      </c>
      <c r="D276" s="20" t="s">
        <v>66</v>
      </c>
      <c r="E276" s="21">
        <v>6000</v>
      </c>
      <c r="F276" s="1" t="s">
        <v>68</v>
      </c>
      <c r="G276" s="25" t="s">
        <v>197</v>
      </c>
      <c r="H276" s="1" t="s">
        <v>198</v>
      </c>
      <c r="I276" s="1" t="s">
        <v>161</v>
      </c>
      <c r="J276" s="33">
        <v>1</v>
      </c>
      <c r="K276" s="24">
        <v>45264.648715277777</v>
      </c>
      <c r="L276" s="23">
        <v>7200</v>
      </c>
      <c r="M276" s="1" t="s">
        <v>374</v>
      </c>
    </row>
    <row r="277" spans="2:13" hidden="1" x14ac:dyDescent="0.25">
      <c r="B277" s="45"/>
      <c r="C277" s="45"/>
      <c r="E277" s="26"/>
      <c r="G277" s="38"/>
      <c r="J277" s="33"/>
      <c r="K277" s="24"/>
    </row>
    <row r="278" spans="2:13" hidden="1" x14ac:dyDescent="0.25">
      <c r="B278" s="45"/>
      <c r="C278" s="45"/>
      <c r="E278" s="26"/>
      <c r="G278" s="38"/>
      <c r="J278" s="33"/>
      <c r="K278" s="24"/>
    </row>
    <row r="279" spans="2:13" hidden="1" x14ac:dyDescent="0.25">
      <c r="B279" s="45"/>
      <c r="C279" s="45"/>
      <c r="E279" s="26"/>
      <c r="G279" s="38"/>
      <c r="J279" s="33"/>
      <c r="K279" s="24"/>
    </row>
    <row r="280" spans="2:13" hidden="1" x14ac:dyDescent="0.25">
      <c r="B280" s="45"/>
      <c r="C280" s="45"/>
      <c r="E280" s="26"/>
      <c r="G280" s="38"/>
      <c r="J280" s="33"/>
      <c r="K280" s="24"/>
    </row>
    <row r="281" spans="2:13" hidden="1" x14ac:dyDescent="0.25">
      <c r="B281" s="45"/>
      <c r="C281" s="45"/>
      <c r="E281" s="26"/>
      <c r="G281" s="38"/>
      <c r="J281" s="33"/>
      <c r="K281" s="24"/>
      <c r="M281" s="22"/>
    </row>
    <row r="282" spans="2:13" x14ac:dyDescent="0.25">
      <c r="B282" s="45" t="s">
        <v>375</v>
      </c>
      <c r="C282" s="45" t="s">
        <v>271</v>
      </c>
      <c r="D282" s="20" t="s">
        <v>380</v>
      </c>
      <c r="E282" s="1">
        <v>20</v>
      </c>
      <c r="F282" s="1" t="s">
        <v>152</v>
      </c>
      <c r="G282" s="25" t="s">
        <v>245</v>
      </c>
      <c r="H282" s="1" t="s">
        <v>226</v>
      </c>
      <c r="I282" s="1" t="s">
        <v>227</v>
      </c>
      <c r="J282" s="33">
        <v>1</v>
      </c>
      <c r="K282" s="24">
        <v>45265.520289351851</v>
      </c>
      <c r="L282" s="23">
        <v>26</v>
      </c>
      <c r="M282" s="1" t="s">
        <v>381</v>
      </c>
    </row>
    <row r="283" spans="2:13" x14ac:dyDescent="0.25">
      <c r="B283" s="45" t="s">
        <v>375</v>
      </c>
      <c r="C283" s="45" t="s">
        <v>271</v>
      </c>
      <c r="D283" s="20" t="s">
        <v>380</v>
      </c>
      <c r="E283" s="1">
        <v>13</v>
      </c>
      <c r="F283" s="1" t="s">
        <v>152</v>
      </c>
      <c r="G283" s="25" t="s">
        <v>243</v>
      </c>
      <c r="H283" s="1" t="s">
        <v>226</v>
      </c>
      <c r="I283" s="1" t="s">
        <v>227</v>
      </c>
      <c r="J283" s="33">
        <v>1</v>
      </c>
      <c r="K283" s="24">
        <v>45265.520543981482</v>
      </c>
      <c r="L283" s="23">
        <v>19</v>
      </c>
      <c r="M283" s="1" t="s">
        <v>381</v>
      </c>
    </row>
    <row r="284" spans="2:13" x14ac:dyDescent="0.25">
      <c r="B284" s="45" t="s">
        <v>375</v>
      </c>
      <c r="C284" s="45" t="s">
        <v>271</v>
      </c>
      <c r="D284" s="20" t="s">
        <v>380</v>
      </c>
      <c r="E284" s="1">
        <v>4</v>
      </c>
      <c r="F284" s="1" t="s">
        <v>152</v>
      </c>
      <c r="G284" s="25" t="s">
        <v>63</v>
      </c>
      <c r="H284" s="1" t="s">
        <v>226</v>
      </c>
      <c r="I284" s="1" t="s">
        <v>227</v>
      </c>
      <c r="J284" s="33">
        <v>1</v>
      </c>
      <c r="K284" s="24">
        <v>45265.520925925928</v>
      </c>
      <c r="L284" s="23">
        <v>5</v>
      </c>
      <c r="M284" s="1" t="s">
        <v>381</v>
      </c>
    </row>
    <row r="285" spans="2:13" x14ac:dyDescent="0.25">
      <c r="B285" s="45" t="s">
        <v>375</v>
      </c>
      <c r="C285" s="45" t="s">
        <v>271</v>
      </c>
      <c r="D285" s="20" t="s">
        <v>380</v>
      </c>
      <c r="E285" s="1">
        <v>24</v>
      </c>
      <c r="F285" s="1" t="s">
        <v>152</v>
      </c>
      <c r="G285" s="25" t="s">
        <v>233</v>
      </c>
      <c r="H285" s="1" t="s">
        <v>226</v>
      </c>
      <c r="I285" s="1" t="s">
        <v>227</v>
      </c>
      <c r="J285" s="33">
        <v>1</v>
      </c>
      <c r="K285" s="24">
        <v>45265.521006944444</v>
      </c>
      <c r="L285" s="23">
        <v>24</v>
      </c>
      <c r="M285" s="1" t="s">
        <v>381</v>
      </c>
    </row>
    <row r="286" spans="2:13" x14ac:dyDescent="0.25">
      <c r="B286" s="45" t="s">
        <v>375</v>
      </c>
      <c r="C286" s="45" t="s">
        <v>271</v>
      </c>
      <c r="D286" s="20" t="s">
        <v>380</v>
      </c>
      <c r="E286" s="1">
        <v>5</v>
      </c>
      <c r="F286" s="1" t="s">
        <v>152</v>
      </c>
      <c r="G286" s="25" t="s">
        <v>238</v>
      </c>
      <c r="H286" s="1" t="s">
        <v>226</v>
      </c>
      <c r="I286" s="1" t="s">
        <v>227</v>
      </c>
      <c r="J286" s="33">
        <v>1</v>
      </c>
      <c r="K286" s="24">
        <v>45265.521087962959</v>
      </c>
      <c r="L286" s="23">
        <v>5</v>
      </c>
      <c r="M286" s="1" t="s">
        <v>381</v>
      </c>
    </row>
    <row r="287" spans="2:13" x14ac:dyDescent="0.25">
      <c r="B287" s="45" t="s">
        <v>375</v>
      </c>
      <c r="C287" s="45" t="s">
        <v>271</v>
      </c>
      <c r="D287" s="20" t="s">
        <v>380</v>
      </c>
      <c r="E287" s="1">
        <v>43</v>
      </c>
      <c r="F287" s="1" t="s">
        <v>152</v>
      </c>
      <c r="G287" s="25" t="s">
        <v>64</v>
      </c>
      <c r="H287" s="1" t="s">
        <v>226</v>
      </c>
      <c r="I287" s="1" t="s">
        <v>227</v>
      </c>
      <c r="J287" s="33">
        <v>1</v>
      </c>
      <c r="K287" s="24">
        <v>45265.521180555559</v>
      </c>
      <c r="L287" s="23">
        <v>43</v>
      </c>
      <c r="M287" s="1" t="s">
        <v>381</v>
      </c>
    </row>
    <row r="288" spans="2:13" x14ac:dyDescent="0.25">
      <c r="B288" s="45" t="s">
        <v>375</v>
      </c>
      <c r="C288" s="45" t="s">
        <v>271</v>
      </c>
      <c r="D288" s="20" t="s">
        <v>380</v>
      </c>
      <c r="E288" s="1">
        <v>10</v>
      </c>
      <c r="F288" s="1" t="s">
        <v>152</v>
      </c>
      <c r="G288" s="25" t="s">
        <v>235</v>
      </c>
      <c r="H288" s="1" t="s">
        <v>226</v>
      </c>
      <c r="I288" s="1" t="s">
        <v>227</v>
      </c>
      <c r="J288" s="33">
        <v>1</v>
      </c>
      <c r="K288" s="24">
        <v>45265.521261574075</v>
      </c>
      <c r="L288" s="23">
        <v>10</v>
      </c>
      <c r="M288" s="1" t="s">
        <v>381</v>
      </c>
    </row>
    <row r="289" spans="2:13" x14ac:dyDescent="0.25">
      <c r="B289" s="45" t="s">
        <v>375</v>
      </c>
      <c r="C289" s="45" t="s">
        <v>271</v>
      </c>
      <c r="D289" s="20" t="s">
        <v>380</v>
      </c>
      <c r="E289" s="1">
        <v>26</v>
      </c>
      <c r="F289" s="1" t="s">
        <v>152</v>
      </c>
      <c r="G289" s="25" t="s">
        <v>62</v>
      </c>
      <c r="H289" s="1" t="s">
        <v>226</v>
      </c>
      <c r="I289" s="1" t="s">
        <v>227</v>
      </c>
      <c r="J289" s="33">
        <v>1</v>
      </c>
      <c r="K289" s="24">
        <v>45265.521666666667</v>
      </c>
      <c r="L289" s="23">
        <v>35</v>
      </c>
      <c r="M289" s="1" t="s">
        <v>381</v>
      </c>
    </row>
    <row r="290" spans="2:13" x14ac:dyDescent="0.25">
      <c r="B290" s="45" t="s">
        <v>375</v>
      </c>
      <c r="C290" s="45" t="s">
        <v>271</v>
      </c>
      <c r="D290" s="20" t="s">
        <v>380</v>
      </c>
      <c r="E290" s="1">
        <v>35</v>
      </c>
      <c r="F290" s="1" t="s">
        <v>152</v>
      </c>
      <c r="G290" s="25" t="s">
        <v>234</v>
      </c>
      <c r="H290" s="1" t="s">
        <v>226</v>
      </c>
      <c r="I290" s="1" t="s">
        <v>227</v>
      </c>
      <c r="J290" s="33">
        <v>1</v>
      </c>
      <c r="K290" s="24">
        <v>45265.52175925926</v>
      </c>
      <c r="L290" s="23">
        <v>35</v>
      </c>
      <c r="M290" s="1" t="s">
        <v>381</v>
      </c>
    </row>
    <row r="291" spans="2:13" x14ac:dyDescent="0.25">
      <c r="B291" s="45" t="s">
        <v>375</v>
      </c>
      <c r="C291" s="45" t="s">
        <v>271</v>
      </c>
      <c r="D291" s="20" t="s">
        <v>380</v>
      </c>
      <c r="E291" s="1">
        <v>21</v>
      </c>
      <c r="F291" s="1" t="s">
        <v>152</v>
      </c>
      <c r="G291" s="25" t="s">
        <v>237</v>
      </c>
      <c r="H291" s="1" t="s">
        <v>226</v>
      </c>
      <c r="I291" s="1" t="s">
        <v>227</v>
      </c>
      <c r="J291" s="33">
        <v>1</v>
      </c>
      <c r="K291" s="24">
        <v>45265.521840277775</v>
      </c>
      <c r="L291" s="23">
        <v>21</v>
      </c>
      <c r="M291" s="1" t="s">
        <v>381</v>
      </c>
    </row>
    <row r="292" spans="2:13" x14ac:dyDescent="0.25">
      <c r="B292" s="45" t="s">
        <v>375</v>
      </c>
      <c r="C292" s="45" t="s">
        <v>271</v>
      </c>
      <c r="D292" s="20" t="s">
        <v>380</v>
      </c>
      <c r="E292" s="1">
        <v>16</v>
      </c>
      <c r="F292" s="1" t="s">
        <v>152</v>
      </c>
      <c r="G292" s="38" t="s">
        <v>376</v>
      </c>
      <c r="H292" s="1" t="s">
        <v>226</v>
      </c>
      <c r="I292" s="1" t="s">
        <v>227</v>
      </c>
      <c r="J292" s="33">
        <v>1</v>
      </c>
      <c r="K292" s="24">
        <v>45265.521909722222</v>
      </c>
      <c r="L292" s="23">
        <v>16</v>
      </c>
      <c r="M292" s="1" t="s">
        <v>381</v>
      </c>
    </row>
    <row r="293" spans="2:13" x14ac:dyDescent="0.25">
      <c r="B293" s="45" t="s">
        <v>375</v>
      </c>
      <c r="C293" s="45" t="s">
        <v>271</v>
      </c>
      <c r="D293" s="20" t="s">
        <v>380</v>
      </c>
      <c r="E293" s="1">
        <v>15</v>
      </c>
      <c r="F293" s="1" t="s">
        <v>152</v>
      </c>
      <c r="G293" s="38" t="s">
        <v>377</v>
      </c>
      <c r="H293" s="1" t="s">
        <v>226</v>
      </c>
      <c r="I293" s="1" t="s">
        <v>227</v>
      </c>
      <c r="J293" s="33">
        <v>1</v>
      </c>
      <c r="K293" s="24">
        <v>45265.521990740737</v>
      </c>
      <c r="L293" s="23">
        <v>15</v>
      </c>
      <c r="M293" s="1" t="s">
        <v>381</v>
      </c>
    </row>
    <row r="294" spans="2:13" x14ac:dyDescent="0.25">
      <c r="B294" s="45" t="s">
        <v>375</v>
      </c>
      <c r="C294" s="45" t="s">
        <v>271</v>
      </c>
      <c r="D294" s="20" t="s">
        <v>380</v>
      </c>
      <c r="E294" s="1">
        <v>2</v>
      </c>
      <c r="F294" s="1" t="s">
        <v>152</v>
      </c>
      <c r="G294" s="38" t="s">
        <v>65</v>
      </c>
      <c r="H294" s="1" t="s">
        <v>226</v>
      </c>
      <c r="I294" s="1" t="s">
        <v>227</v>
      </c>
      <c r="J294" s="33">
        <v>1</v>
      </c>
      <c r="K294" s="24">
        <v>45265.52207175926</v>
      </c>
      <c r="L294" s="23">
        <v>2</v>
      </c>
      <c r="M294" s="1" t="s">
        <v>381</v>
      </c>
    </row>
    <row r="295" spans="2:13" x14ac:dyDescent="0.25">
      <c r="B295" s="45" t="s">
        <v>375</v>
      </c>
      <c r="C295" s="45" t="s">
        <v>271</v>
      </c>
      <c r="D295" s="20" t="s">
        <v>380</v>
      </c>
      <c r="E295" s="1">
        <v>23</v>
      </c>
      <c r="F295" s="20" t="s">
        <v>152</v>
      </c>
      <c r="G295" s="38" t="s">
        <v>378</v>
      </c>
      <c r="H295" s="20" t="s">
        <v>226</v>
      </c>
      <c r="I295" s="1" t="s">
        <v>227</v>
      </c>
      <c r="J295" s="33">
        <v>1</v>
      </c>
      <c r="K295" s="24">
        <v>45265.522256944445</v>
      </c>
      <c r="L295" s="23">
        <v>23</v>
      </c>
      <c r="M295" s="1" t="s">
        <v>381</v>
      </c>
    </row>
    <row r="296" spans="2:13" x14ac:dyDescent="0.25">
      <c r="B296" s="45" t="s">
        <v>375</v>
      </c>
      <c r="C296" s="45" t="s">
        <v>271</v>
      </c>
      <c r="D296" s="20" t="s">
        <v>380</v>
      </c>
      <c r="E296" s="1">
        <v>7</v>
      </c>
      <c r="F296" s="1" t="s">
        <v>152</v>
      </c>
      <c r="G296" s="38" t="s">
        <v>379</v>
      </c>
      <c r="H296" s="1" t="s">
        <v>226</v>
      </c>
      <c r="I296" s="1" t="s">
        <v>227</v>
      </c>
      <c r="J296" s="33">
        <v>1</v>
      </c>
      <c r="K296" s="24">
        <v>45265.522326388891</v>
      </c>
      <c r="L296" s="23">
        <v>7</v>
      </c>
      <c r="M296" s="1" t="s">
        <v>381</v>
      </c>
    </row>
    <row r="297" spans="2:13" x14ac:dyDescent="0.25">
      <c r="B297" s="45" t="s">
        <v>176</v>
      </c>
      <c r="C297" s="45" t="s">
        <v>310</v>
      </c>
      <c r="D297" s="20" t="s">
        <v>382</v>
      </c>
      <c r="E297" s="21">
        <v>3600</v>
      </c>
      <c r="F297" s="1" t="s">
        <v>68</v>
      </c>
      <c r="G297" s="38" t="s">
        <v>140</v>
      </c>
      <c r="H297" s="1" t="s">
        <v>141</v>
      </c>
      <c r="I297" s="1" t="s">
        <v>122</v>
      </c>
      <c r="J297" s="60">
        <v>0</v>
      </c>
      <c r="K297" s="24">
        <v>45265.719976851855</v>
      </c>
      <c r="L297" s="23">
        <v>155000</v>
      </c>
    </row>
    <row r="298" spans="2:13" x14ac:dyDescent="0.25">
      <c r="B298" s="45" t="s">
        <v>176</v>
      </c>
      <c r="C298" s="45" t="s">
        <v>270</v>
      </c>
      <c r="D298" s="20" t="s">
        <v>383</v>
      </c>
      <c r="E298" s="21">
        <v>6000</v>
      </c>
      <c r="F298" s="1" t="s">
        <v>68</v>
      </c>
      <c r="G298" s="25" t="s">
        <v>785</v>
      </c>
      <c r="H298" s="1" t="s">
        <v>162</v>
      </c>
      <c r="I298" s="1" t="s">
        <v>161</v>
      </c>
      <c r="J298" s="60">
        <v>0</v>
      </c>
      <c r="K298" s="24">
        <v>45265.724502314813</v>
      </c>
      <c r="L298" s="23">
        <v>23920</v>
      </c>
    </row>
    <row r="299" spans="2:13" x14ac:dyDescent="0.25">
      <c r="B299" s="45" t="s">
        <v>176</v>
      </c>
      <c r="C299" s="45" t="s">
        <v>310</v>
      </c>
      <c r="D299" s="20" t="s">
        <v>384</v>
      </c>
      <c r="E299" s="21">
        <v>4000</v>
      </c>
      <c r="F299" s="1" t="s">
        <v>68</v>
      </c>
      <c r="G299" s="38" t="s">
        <v>140</v>
      </c>
      <c r="H299" s="1" t="s">
        <v>141</v>
      </c>
      <c r="I299" s="1" t="s">
        <v>122</v>
      </c>
      <c r="J299" s="60">
        <v>0</v>
      </c>
      <c r="K299" s="24">
        <v>45266.778923611113</v>
      </c>
      <c r="L299" s="23">
        <v>151000</v>
      </c>
    </row>
    <row r="300" spans="2:13" x14ac:dyDescent="0.25">
      <c r="B300" s="45" t="s">
        <v>176</v>
      </c>
      <c r="C300" s="45" t="s">
        <v>312</v>
      </c>
      <c r="D300" s="20" t="s">
        <v>385</v>
      </c>
      <c r="E300" s="21">
        <v>3600</v>
      </c>
      <c r="F300" s="1" t="s">
        <v>68</v>
      </c>
      <c r="G300" s="38" t="s">
        <v>120</v>
      </c>
      <c r="H300" s="1" t="s">
        <v>121</v>
      </c>
      <c r="I300" s="1" t="s">
        <v>122</v>
      </c>
      <c r="J300" s="60">
        <v>0</v>
      </c>
      <c r="K300" s="24">
        <v>45266.779016203705</v>
      </c>
      <c r="L300" s="23">
        <v>208600</v>
      </c>
    </row>
    <row r="301" spans="2:13" x14ac:dyDescent="0.25">
      <c r="B301" s="45" t="s">
        <v>176</v>
      </c>
      <c r="C301" s="45" t="s">
        <v>263</v>
      </c>
      <c r="D301" s="20" t="s">
        <v>386</v>
      </c>
      <c r="E301" s="21">
        <v>360</v>
      </c>
      <c r="F301" s="1" t="s">
        <v>68</v>
      </c>
      <c r="G301" s="38" t="s">
        <v>159</v>
      </c>
      <c r="H301" s="1" t="s">
        <v>160</v>
      </c>
      <c r="I301" s="1" t="s">
        <v>161</v>
      </c>
      <c r="J301" s="60">
        <v>0</v>
      </c>
      <c r="K301" s="24">
        <v>45266.779062499998</v>
      </c>
      <c r="L301" s="23">
        <v>6812</v>
      </c>
    </row>
    <row r="302" spans="2:13" x14ac:dyDescent="0.25">
      <c r="B302" s="45" t="s">
        <v>176</v>
      </c>
      <c r="C302" s="45" t="s">
        <v>387</v>
      </c>
      <c r="D302" s="20" t="s">
        <v>388</v>
      </c>
      <c r="E302" s="21">
        <v>3600</v>
      </c>
      <c r="F302" s="26" t="s">
        <v>68</v>
      </c>
      <c r="G302" s="38" t="s">
        <v>124</v>
      </c>
      <c r="H302" s="1" t="s">
        <v>125</v>
      </c>
      <c r="I302" s="1" t="s">
        <v>122</v>
      </c>
      <c r="J302" s="60">
        <v>0</v>
      </c>
      <c r="K302" s="24">
        <v>45266.779097222221</v>
      </c>
      <c r="L302" s="23">
        <v>57400</v>
      </c>
    </row>
    <row r="303" spans="2:13" x14ac:dyDescent="0.25">
      <c r="B303" s="45" t="s">
        <v>176</v>
      </c>
      <c r="C303" s="45" t="s">
        <v>387</v>
      </c>
      <c r="D303" s="20" t="s">
        <v>388</v>
      </c>
      <c r="E303" s="21">
        <v>3600</v>
      </c>
      <c r="F303" s="1" t="s">
        <v>68</v>
      </c>
      <c r="G303" s="38" t="s">
        <v>188</v>
      </c>
      <c r="H303" s="1" t="s">
        <v>189</v>
      </c>
      <c r="I303" s="1" t="s">
        <v>122</v>
      </c>
      <c r="J303" s="60">
        <v>0</v>
      </c>
      <c r="K303" s="24">
        <v>45266.779120370367</v>
      </c>
      <c r="L303" s="23">
        <v>6000</v>
      </c>
    </row>
    <row r="304" spans="2:13" x14ac:dyDescent="0.25">
      <c r="B304" s="45" t="s">
        <v>176</v>
      </c>
      <c r="C304" s="45" t="s">
        <v>387</v>
      </c>
      <c r="D304" s="20" t="s">
        <v>388</v>
      </c>
      <c r="E304" s="21">
        <v>1200</v>
      </c>
      <c r="F304" s="1" t="s">
        <v>68</v>
      </c>
      <c r="G304" s="38" t="s">
        <v>190</v>
      </c>
      <c r="H304" s="1" t="s">
        <v>191</v>
      </c>
      <c r="I304" s="1" t="s">
        <v>122</v>
      </c>
      <c r="J304" s="60">
        <v>0</v>
      </c>
      <c r="K304" s="24">
        <v>45266.77915509259</v>
      </c>
      <c r="L304" s="23">
        <v>0</v>
      </c>
    </row>
    <row r="305" spans="2:12" x14ac:dyDescent="0.25">
      <c r="B305" s="45" t="s">
        <v>176</v>
      </c>
      <c r="C305" s="45" t="s">
        <v>387</v>
      </c>
      <c r="D305" s="20" t="s">
        <v>388</v>
      </c>
      <c r="E305" s="21">
        <v>2400</v>
      </c>
      <c r="F305" s="1" t="s">
        <v>68</v>
      </c>
      <c r="G305" s="38" t="s">
        <v>300</v>
      </c>
      <c r="H305" s="1" t="s">
        <v>301</v>
      </c>
      <c r="I305" s="1" t="s">
        <v>122</v>
      </c>
      <c r="J305" s="60">
        <v>0</v>
      </c>
      <c r="K305" s="24">
        <v>45266.77920138889</v>
      </c>
      <c r="L305" s="23">
        <v>2400</v>
      </c>
    </row>
    <row r="306" spans="2:12" x14ac:dyDescent="0.25">
      <c r="B306" s="45" t="s">
        <v>176</v>
      </c>
      <c r="C306" s="45" t="s">
        <v>264</v>
      </c>
      <c r="D306" s="20" t="s">
        <v>389</v>
      </c>
      <c r="E306" s="21">
        <v>1200</v>
      </c>
      <c r="F306" s="1" t="s">
        <v>68</v>
      </c>
      <c r="G306" s="38" t="s">
        <v>300</v>
      </c>
      <c r="H306" s="1" t="s">
        <v>301</v>
      </c>
      <c r="I306" s="1" t="s">
        <v>122</v>
      </c>
      <c r="J306" s="60">
        <v>0</v>
      </c>
      <c r="K306" s="24">
        <v>45266.779236111113</v>
      </c>
      <c r="L306" s="23">
        <v>1200</v>
      </c>
    </row>
    <row r="307" spans="2:12" x14ac:dyDescent="0.25">
      <c r="B307" s="45" t="s">
        <v>176</v>
      </c>
      <c r="C307" s="45" t="s">
        <v>390</v>
      </c>
      <c r="D307" s="20" t="s">
        <v>391</v>
      </c>
      <c r="E307" s="21">
        <v>720</v>
      </c>
      <c r="F307" s="1" t="s">
        <v>152</v>
      </c>
      <c r="G307" s="38" t="s">
        <v>158</v>
      </c>
      <c r="H307" s="1" t="s">
        <v>154</v>
      </c>
      <c r="I307" s="1" t="s">
        <v>155</v>
      </c>
      <c r="J307" s="60">
        <v>0</v>
      </c>
      <c r="K307" s="24">
        <v>45266.77925925926</v>
      </c>
      <c r="L307" s="23">
        <v>0</v>
      </c>
    </row>
    <row r="308" spans="2:12" x14ac:dyDescent="0.25">
      <c r="B308" s="45" t="s">
        <v>176</v>
      </c>
      <c r="C308" s="45" t="s">
        <v>392</v>
      </c>
      <c r="D308" s="20" t="s">
        <v>393</v>
      </c>
      <c r="E308" s="21">
        <v>7000</v>
      </c>
      <c r="F308" s="1" t="s">
        <v>68</v>
      </c>
      <c r="G308" s="25" t="s">
        <v>163</v>
      </c>
      <c r="H308" s="1" t="s">
        <v>164</v>
      </c>
      <c r="I308" s="1" t="s">
        <v>161</v>
      </c>
      <c r="J308" s="21">
        <v>0</v>
      </c>
      <c r="K308" s="24">
        <v>45266.779293981483</v>
      </c>
      <c r="L308" s="23">
        <v>100</v>
      </c>
    </row>
    <row r="309" spans="2:12" x14ac:dyDescent="0.25">
      <c r="B309" s="45" t="s">
        <v>176</v>
      </c>
      <c r="C309" s="45" t="s">
        <v>270</v>
      </c>
      <c r="D309" s="20" t="s">
        <v>394</v>
      </c>
      <c r="E309" s="21">
        <v>1000</v>
      </c>
      <c r="F309" s="1" t="s">
        <v>68</v>
      </c>
      <c r="G309" s="25" t="s">
        <v>163</v>
      </c>
      <c r="H309" s="1" t="s">
        <v>164</v>
      </c>
      <c r="I309" s="1" t="s">
        <v>161</v>
      </c>
      <c r="J309" s="21">
        <v>0</v>
      </c>
      <c r="K309" s="24">
        <v>45266.779328703706</v>
      </c>
      <c r="L309" s="23">
        <v>-900</v>
      </c>
    </row>
    <row r="310" spans="2:12" x14ac:dyDescent="0.25">
      <c r="B310" s="45" t="s">
        <v>176</v>
      </c>
      <c r="C310" s="45" t="s">
        <v>395</v>
      </c>
      <c r="D310" s="20" t="s">
        <v>396</v>
      </c>
      <c r="E310" s="21">
        <v>21</v>
      </c>
      <c r="F310" s="1" t="s">
        <v>152</v>
      </c>
      <c r="G310" s="38" t="s">
        <v>237</v>
      </c>
      <c r="H310" s="1" t="s">
        <v>226</v>
      </c>
      <c r="I310" s="1" t="s">
        <v>227</v>
      </c>
      <c r="J310" s="60">
        <v>0</v>
      </c>
      <c r="K310" s="24">
        <v>45266.779907407406</v>
      </c>
      <c r="L310" s="23">
        <v>0</v>
      </c>
    </row>
    <row r="311" spans="2:12" x14ac:dyDescent="0.25">
      <c r="B311" s="45" t="s">
        <v>176</v>
      </c>
      <c r="C311" s="45" t="s">
        <v>395</v>
      </c>
      <c r="D311" s="20" t="s">
        <v>396</v>
      </c>
      <c r="E311" s="21">
        <v>5</v>
      </c>
      <c r="F311" s="1" t="s">
        <v>152</v>
      </c>
      <c r="G311" s="25" t="s">
        <v>238</v>
      </c>
      <c r="H311" s="1" t="s">
        <v>226</v>
      </c>
      <c r="I311" s="1" t="s">
        <v>227</v>
      </c>
      <c r="J311" s="60">
        <v>0</v>
      </c>
      <c r="K311" s="24">
        <v>45266.779965277776</v>
      </c>
      <c r="L311" s="23">
        <v>0</v>
      </c>
    </row>
    <row r="312" spans="2:12" x14ac:dyDescent="0.25">
      <c r="B312" s="45" t="s">
        <v>176</v>
      </c>
      <c r="C312" s="45" t="s">
        <v>395</v>
      </c>
      <c r="D312" s="20" t="s">
        <v>396</v>
      </c>
      <c r="E312" s="21">
        <v>5</v>
      </c>
      <c r="F312" s="1" t="s">
        <v>152</v>
      </c>
      <c r="G312" s="25" t="s">
        <v>63</v>
      </c>
      <c r="H312" s="1" t="s">
        <v>226</v>
      </c>
      <c r="I312" s="1" t="s">
        <v>227</v>
      </c>
      <c r="J312" s="60">
        <v>0</v>
      </c>
      <c r="K312" s="24">
        <v>45266.779988425929</v>
      </c>
      <c r="L312" s="23">
        <v>0</v>
      </c>
    </row>
    <row r="313" spans="2:12" x14ac:dyDescent="0.25">
      <c r="B313" s="45" t="s">
        <v>176</v>
      </c>
      <c r="C313" s="45" t="s">
        <v>395</v>
      </c>
      <c r="D313" s="20" t="s">
        <v>396</v>
      </c>
      <c r="E313" s="21">
        <v>4</v>
      </c>
      <c r="F313" s="1" t="s">
        <v>152</v>
      </c>
      <c r="G313" s="25" t="s">
        <v>246</v>
      </c>
      <c r="H313" s="1" t="s">
        <v>226</v>
      </c>
      <c r="I313" s="1" t="s">
        <v>227</v>
      </c>
      <c r="J313" s="60">
        <v>0</v>
      </c>
      <c r="K313" s="24">
        <v>45266.780011574076</v>
      </c>
      <c r="L313" s="23">
        <v>-1</v>
      </c>
    </row>
    <row r="314" spans="2:12" x14ac:dyDescent="0.25">
      <c r="B314" s="45" t="s">
        <v>176</v>
      </c>
      <c r="C314" s="45" t="s">
        <v>395</v>
      </c>
      <c r="D314" s="20" t="s">
        <v>396</v>
      </c>
      <c r="E314" s="21">
        <v>4</v>
      </c>
      <c r="F314" s="1" t="s">
        <v>152</v>
      </c>
      <c r="G314" s="25" t="s">
        <v>247</v>
      </c>
      <c r="H314" s="1" t="s">
        <v>226</v>
      </c>
      <c r="I314" s="1" t="s">
        <v>227</v>
      </c>
      <c r="J314" s="60">
        <v>0</v>
      </c>
      <c r="K314" s="24">
        <v>45266.780046296299</v>
      </c>
      <c r="L314" s="23">
        <v>1</v>
      </c>
    </row>
    <row r="315" spans="2:12" x14ac:dyDescent="0.25">
      <c r="B315" s="45" t="s">
        <v>176</v>
      </c>
      <c r="C315" s="45" t="s">
        <v>395</v>
      </c>
      <c r="D315" s="20" t="s">
        <v>396</v>
      </c>
      <c r="E315" s="21">
        <v>4</v>
      </c>
      <c r="F315" s="1" t="s">
        <v>152</v>
      </c>
      <c r="G315" s="25" t="s">
        <v>248</v>
      </c>
      <c r="H315" s="1" t="s">
        <v>226</v>
      </c>
      <c r="I315" s="1" t="s">
        <v>227</v>
      </c>
      <c r="J315" s="60">
        <v>0</v>
      </c>
      <c r="K315" s="24">
        <v>45266.778344907405</v>
      </c>
      <c r="L315" s="23">
        <v>0</v>
      </c>
    </row>
    <row r="316" spans="2:12" x14ac:dyDescent="0.25">
      <c r="B316" s="45" t="s">
        <v>176</v>
      </c>
      <c r="C316" s="45" t="s">
        <v>395</v>
      </c>
      <c r="D316" s="20" t="s">
        <v>396</v>
      </c>
      <c r="E316" s="21">
        <v>26</v>
      </c>
      <c r="F316" s="1" t="s">
        <v>152</v>
      </c>
      <c r="G316" s="25" t="s">
        <v>245</v>
      </c>
      <c r="H316" s="1" t="s">
        <v>226</v>
      </c>
      <c r="I316" s="1" t="s">
        <v>227</v>
      </c>
      <c r="J316" s="60">
        <v>0</v>
      </c>
      <c r="K316" s="24">
        <v>45266.780092592591</v>
      </c>
      <c r="L316" s="23">
        <v>0</v>
      </c>
    </row>
    <row r="317" spans="2:12" x14ac:dyDescent="0.25">
      <c r="B317" s="45" t="s">
        <v>176</v>
      </c>
      <c r="C317" s="45" t="s">
        <v>395</v>
      </c>
      <c r="D317" s="20" t="s">
        <v>396</v>
      </c>
      <c r="E317" s="21">
        <v>16</v>
      </c>
      <c r="F317" s="1" t="s">
        <v>152</v>
      </c>
      <c r="G317" s="25" t="s">
        <v>376</v>
      </c>
      <c r="H317" s="1" t="s">
        <v>226</v>
      </c>
      <c r="I317" s="1" t="s">
        <v>227</v>
      </c>
      <c r="J317" s="60">
        <v>0</v>
      </c>
      <c r="K317" s="24">
        <v>45266.780115740738</v>
      </c>
      <c r="L317" s="23">
        <v>0</v>
      </c>
    </row>
    <row r="318" spans="2:12" x14ac:dyDescent="0.25">
      <c r="B318" s="45" t="s">
        <v>176</v>
      </c>
      <c r="C318" s="45" t="s">
        <v>395</v>
      </c>
      <c r="D318" s="20" t="s">
        <v>396</v>
      </c>
      <c r="E318" s="21">
        <v>18</v>
      </c>
      <c r="F318" s="1" t="s">
        <v>152</v>
      </c>
      <c r="G318" s="25" t="s">
        <v>243</v>
      </c>
      <c r="H318" s="1" t="s">
        <v>226</v>
      </c>
      <c r="I318" s="1" t="s">
        <v>227</v>
      </c>
      <c r="J318" s="60">
        <v>0</v>
      </c>
      <c r="K318" s="24">
        <v>45266.780138888891</v>
      </c>
      <c r="L318" s="23">
        <v>1</v>
      </c>
    </row>
    <row r="319" spans="2:12" x14ac:dyDescent="0.25">
      <c r="B319" s="45" t="s">
        <v>176</v>
      </c>
      <c r="C319" s="45" t="s">
        <v>395</v>
      </c>
      <c r="D319" s="20" t="s">
        <v>396</v>
      </c>
      <c r="E319" s="21">
        <v>15</v>
      </c>
      <c r="F319" s="1" t="s">
        <v>152</v>
      </c>
      <c r="G319" s="25" t="s">
        <v>377</v>
      </c>
      <c r="H319" s="1" t="s">
        <v>226</v>
      </c>
      <c r="I319" s="1" t="s">
        <v>227</v>
      </c>
      <c r="J319" s="60">
        <v>0</v>
      </c>
      <c r="K319" s="24">
        <v>45266.780162037037</v>
      </c>
      <c r="L319" s="23">
        <v>0</v>
      </c>
    </row>
    <row r="320" spans="2:12" x14ac:dyDescent="0.25">
      <c r="B320" s="45" t="s">
        <v>176</v>
      </c>
      <c r="C320" s="45" t="s">
        <v>395</v>
      </c>
      <c r="D320" s="20" t="s">
        <v>396</v>
      </c>
      <c r="E320" s="21">
        <v>10</v>
      </c>
      <c r="F320" s="1" t="s">
        <v>152</v>
      </c>
      <c r="G320" s="25" t="s">
        <v>233</v>
      </c>
      <c r="H320" s="1" t="s">
        <v>226</v>
      </c>
      <c r="I320" s="1" t="s">
        <v>227</v>
      </c>
      <c r="J320" s="60">
        <v>0</v>
      </c>
      <c r="K320" s="24">
        <v>45266.780185185184</v>
      </c>
      <c r="L320" s="23">
        <v>14</v>
      </c>
    </row>
    <row r="321" spans="2:17" x14ac:dyDescent="0.25">
      <c r="B321" s="45" t="s">
        <v>176</v>
      </c>
      <c r="C321" s="45" t="s">
        <v>395</v>
      </c>
      <c r="D321" s="20" t="s">
        <v>396</v>
      </c>
      <c r="E321" s="21">
        <v>6</v>
      </c>
      <c r="F321" s="1" t="s">
        <v>152</v>
      </c>
      <c r="G321" s="25" t="s">
        <v>244</v>
      </c>
      <c r="H321" s="1" t="s">
        <v>226</v>
      </c>
      <c r="I321" s="1" t="s">
        <v>227</v>
      </c>
      <c r="J321" s="21">
        <v>0</v>
      </c>
      <c r="K321" s="24">
        <v>45266.78020833333</v>
      </c>
      <c r="L321" s="23">
        <v>-1</v>
      </c>
    </row>
    <row r="322" spans="2:17" x14ac:dyDescent="0.25">
      <c r="B322" s="45" t="s">
        <v>176</v>
      </c>
      <c r="C322" s="45" t="s">
        <v>395</v>
      </c>
      <c r="D322" s="20" t="s">
        <v>396</v>
      </c>
      <c r="E322" s="21">
        <v>23</v>
      </c>
      <c r="F322" s="1" t="s">
        <v>152</v>
      </c>
      <c r="G322" s="25" t="s">
        <v>378</v>
      </c>
      <c r="H322" s="1" t="s">
        <v>226</v>
      </c>
      <c r="I322" s="1" t="s">
        <v>227</v>
      </c>
      <c r="J322" s="60">
        <v>0</v>
      </c>
      <c r="K322" s="24">
        <v>45266.780277777776</v>
      </c>
      <c r="L322" s="23">
        <v>0</v>
      </c>
    </row>
    <row r="323" spans="2:17" x14ac:dyDescent="0.25">
      <c r="B323" s="45" t="s">
        <v>176</v>
      </c>
      <c r="C323" s="45" t="s">
        <v>395</v>
      </c>
      <c r="D323" s="20" t="s">
        <v>396</v>
      </c>
      <c r="E323" s="21">
        <v>35</v>
      </c>
      <c r="F323" s="1" t="s">
        <v>152</v>
      </c>
      <c r="G323" s="25" t="s">
        <v>62</v>
      </c>
      <c r="H323" s="1" t="s">
        <v>226</v>
      </c>
      <c r="I323" s="1" t="s">
        <v>227</v>
      </c>
      <c r="J323" s="60">
        <v>0</v>
      </c>
      <c r="K323" s="24">
        <v>45266.780787037038</v>
      </c>
      <c r="L323" s="23">
        <v>0</v>
      </c>
    </row>
    <row r="324" spans="2:17" x14ac:dyDescent="0.25">
      <c r="B324" s="45" t="s">
        <v>176</v>
      </c>
      <c r="C324" s="45" t="s">
        <v>395</v>
      </c>
      <c r="D324" s="20" t="s">
        <v>396</v>
      </c>
      <c r="E324" s="21">
        <v>35</v>
      </c>
      <c r="F324" s="1" t="s">
        <v>152</v>
      </c>
      <c r="G324" s="25" t="s">
        <v>234</v>
      </c>
      <c r="H324" s="1" t="s">
        <v>226</v>
      </c>
      <c r="I324" s="1" t="s">
        <v>227</v>
      </c>
      <c r="J324" s="60">
        <v>0</v>
      </c>
      <c r="K324" s="24">
        <v>45266.780844907407</v>
      </c>
      <c r="L324" s="23">
        <v>0</v>
      </c>
    </row>
    <row r="325" spans="2:17" x14ac:dyDescent="0.25">
      <c r="B325" s="45" t="s">
        <v>176</v>
      </c>
      <c r="C325" s="45" t="s">
        <v>395</v>
      </c>
      <c r="D325" s="20" t="s">
        <v>396</v>
      </c>
      <c r="E325" s="21">
        <v>43</v>
      </c>
      <c r="F325" s="1" t="s">
        <v>152</v>
      </c>
      <c r="G325" s="25" t="s">
        <v>64</v>
      </c>
      <c r="H325" s="1" t="s">
        <v>226</v>
      </c>
      <c r="I325" s="1" t="s">
        <v>227</v>
      </c>
      <c r="J325" s="60">
        <v>0</v>
      </c>
      <c r="K325" s="24">
        <v>45266.780868055554</v>
      </c>
      <c r="L325" s="23">
        <v>0</v>
      </c>
    </row>
    <row r="326" spans="2:17" x14ac:dyDescent="0.25">
      <c r="B326" s="45" t="s">
        <v>176</v>
      </c>
      <c r="C326" s="45" t="s">
        <v>395</v>
      </c>
      <c r="D326" s="20" t="s">
        <v>396</v>
      </c>
      <c r="E326" s="21">
        <v>10</v>
      </c>
      <c r="F326" s="1" t="s">
        <v>152</v>
      </c>
      <c r="G326" s="25" t="s">
        <v>235</v>
      </c>
      <c r="H326" s="1" t="s">
        <v>226</v>
      </c>
      <c r="I326" s="1" t="s">
        <v>227</v>
      </c>
      <c r="J326" s="60">
        <v>0</v>
      </c>
      <c r="K326" s="24">
        <v>45266.780891203707</v>
      </c>
      <c r="L326" s="23">
        <v>0</v>
      </c>
    </row>
    <row r="327" spans="2:17" x14ac:dyDescent="0.25">
      <c r="B327" s="45" t="s">
        <v>176</v>
      </c>
      <c r="C327" s="45" t="s">
        <v>395</v>
      </c>
      <c r="D327" s="20" t="s">
        <v>396</v>
      </c>
      <c r="E327" s="21">
        <v>2</v>
      </c>
      <c r="F327" s="1" t="s">
        <v>152</v>
      </c>
      <c r="G327" s="25" t="s">
        <v>65</v>
      </c>
      <c r="H327" s="1" t="s">
        <v>226</v>
      </c>
      <c r="I327" s="1" t="s">
        <v>227</v>
      </c>
      <c r="J327" s="60">
        <v>0</v>
      </c>
      <c r="K327" s="24">
        <v>45266.780914351853</v>
      </c>
      <c r="L327" s="23">
        <v>0</v>
      </c>
    </row>
    <row r="328" spans="2:17" x14ac:dyDescent="0.25">
      <c r="B328" s="45" t="s">
        <v>397</v>
      </c>
      <c r="C328" s="45" t="s">
        <v>398</v>
      </c>
      <c r="D328" s="20" t="s">
        <v>399</v>
      </c>
      <c r="E328" s="21">
        <v>4000</v>
      </c>
      <c r="F328" s="1" t="s">
        <v>68</v>
      </c>
      <c r="G328" s="25" t="s">
        <v>136</v>
      </c>
      <c r="H328" s="1" t="s">
        <v>137</v>
      </c>
      <c r="I328" s="1" t="s">
        <v>122</v>
      </c>
      <c r="J328" s="33">
        <v>1</v>
      </c>
      <c r="K328" s="24">
        <v>45266.782824074071</v>
      </c>
      <c r="L328" s="23">
        <v>6400</v>
      </c>
      <c r="M328" s="1" t="s">
        <v>400</v>
      </c>
    </row>
    <row r="329" spans="2:17" x14ac:dyDescent="0.25">
      <c r="B329" s="45" t="s">
        <v>397</v>
      </c>
      <c r="C329" s="45" t="s">
        <v>398</v>
      </c>
      <c r="D329" s="20" t="s">
        <v>399</v>
      </c>
      <c r="E329" s="21">
        <v>10000</v>
      </c>
      <c r="F329" s="1" t="s">
        <v>68</v>
      </c>
      <c r="G329" s="25" t="s">
        <v>142</v>
      </c>
      <c r="H329" s="1" t="s">
        <v>143</v>
      </c>
      <c r="I329" s="1" t="s">
        <v>122</v>
      </c>
      <c r="J329" s="33">
        <v>1</v>
      </c>
      <c r="K329" s="24">
        <v>45266.78297453704</v>
      </c>
      <c r="L329" s="23">
        <v>10000</v>
      </c>
      <c r="M329" s="1" t="s">
        <v>400</v>
      </c>
    </row>
    <row r="330" spans="2:17" x14ac:dyDescent="0.25">
      <c r="B330" s="45" t="s">
        <v>401</v>
      </c>
      <c r="C330" s="45" t="s">
        <v>67</v>
      </c>
      <c r="D330" s="20" t="s">
        <v>67</v>
      </c>
      <c r="E330" s="21">
        <v>29</v>
      </c>
      <c r="F330" s="1" t="s">
        <v>152</v>
      </c>
      <c r="G330" s="25" t="s">
        <v>65</v>
      </c>
      <c r="H330" s="1" t="s">
        <v>226</v>
      </c>
      <c r="I330" s="1" t="s">
        <v>227</v>
      </c>
      <c r="J330" s="33">
        <v>1</v>
      </c>
      <c r="K330" s="24">
        <v>45267.417939814812</v>
      </c>
      <c r="L330" s="23">
        <v>29</v>
      </c>
      <c r="M330" s="1" t="s">
        <v>349</v>
      </c>
    </row>
    <row r="331" spans="2:17" x14ac:dyDescent="0.25">
      <c r="B331" s="45" t="s">
        <v>401</v>
      </c>
      <c r="C331" s="45" t="s">
        <v>67</v>
      </c>
      <c r="D331" s="20" t="s">
        <v>67</v>
      </c>
      <c r="E331" s="21">
        <v>19</v>
      </c>
      <c r="F331" s="1" t="s">
        <v>152</v>
      </c>
      <c r="G331" s="25" t="s">
        <v>234</v>
      </c>
      <c r="H331" s="1" t="s">
        <v>226</v>
      </c>
      <c r="I331" s="1" t="s">
        <v>227</v>
      </c>
      <c r="J331" s="33">
        <v>1</v>
      </c>
      <c r="K331" s="24">
        <v>45267.418182870373</v>
      </c>
      <c r="L331" s="23">
        <v>19</v>
      </c>
      <c r="M331" s="1" t="s">
        <v>349</v>
      </c>
    </row>
    <row r="332" spans="2:17" x14ac:dyDescent="0.25">
      <c r="B332" s="45" t="s">
        <v>401</v>
      </c>
      <c r="C332" s="45" t="s">
        <v>67</v>
      </c>
      <c r="D332" s="62" t="s">
        <v>67</v>
      </c>
      <c r="E332" s="21">
        <v>24</v>
      </c>
      <c r="F332" s="1" t="s">
        <v>152</v>
      </c>
      <c r="G332" s="25" t="s">
        <v>376</v>
      </c>
      <c r="H332" s="1" t="s">
        <v>226</v>
      </c>
      <c r="I332" s="1" t="s">
        <v>227</v>
      </c>
      <c r="J332" s="33">
        <v>1</v>
      </c>
      <c r="K332" s="24">
        <v>45267.418495370373</v>
      </c>
      <c r="L332" s="23">
        <v>24</v>
      </c>
      <c r="M332" s="1" t="s">
        <v>349</v>
      </c>
    </row>
    <row r="333" spans="2:17" x14ac:dyDescent="0.25">
      <c r="B333" s="45" t="s">
        <v>402</v>
      </c>
      <c r="C333" s="45" t="s">
        <v>403</v>
      </c>
      <c r="D333" s="20" t="s">
        <v>404</v>
      </c>
      <c r="E333" s="21">
        <v>60000</v>
      </c>
      <c r="F333" s="1" t="s">
        <v>68</v>
      </c>
      <c r="G333" s="25" t="s">
        <v>140</v>
      </c>
      <c r="H333" s="1" t="s">
        <v>141</v>
      </c>
      <c r="I333" s="1" t="s">
        <v>122</v>
      </c>
      <c r="J333" s="33">
        <v>1</v>
      </c>
      <c r="K333" s="24">
        <v>45267.66920138889</v>
      </c>
      <c r="L333" s="23">
        <v>211000</v>
      </c>
      <c r="M333" s="22">
        <v>44938</v>
      </c>
      <c r="O333" s="54">
        <v>2400</v>
      </c>
      <c r="P333" s="33">
        <v>25</v>
      </c>
      <c r="Q333" s="33">
        <v>0</v>
      </c>
    </row>
    <row r="334" spans="2:17" x14ac:dyDescent="0.25">
      <c r="B334" s="45" t="s">
        <v>402</v>
      </c>
      <c r="C334" s="45" t="s">
        <v>403</v>
      </c>
      <c r="D334" s="20" t="s">
        <v>404</v>
      </c>
      <c r="E334" s="21">
        <v>3000</v>
      </c>
      <c r="F334" s="1" t="s">
        <v>68</v>
      </c>
      <c r="G334" s="25" t="s">
        <v>127</v>
      </c>
      <c r="H334" s="1" t="s">
        <v>128</v>
      </c>
      <c r="I334" s="1" t="s">
        <v>122</v>
      </c>
      <c r="J334" s="33">
        <v>1</v>
      </c>
      <c r="K334" s="24">
        <v>45267.669351851851</v>
      </c>
      <c r="L334" s="23">
        <v>9000</v>
      </c>
      <c r="M334" s="22">
        <v>44938</v>
      </c>
      <c r="O334" s="54">
        <v>1200</v>
      </c>
      <c r="P334" s="33">
        <v>2</v>
      </c>
      <c r="Q334" s="33">
        <v>600</v>
      </c>
    </row>
    <row r="335" spans="2:17" x14ac:dyDescent="0.25">
      <c r="B335" s="45" t="s">
        <v>176</v>
      </c>
      <c r="C335" s="45" t="s">
        <v>264</v>
      </c>
      <c r="D335" s="20" t="s">
        <v>405</v>
      </c>
      <c r="E335" s="21">
        <v>1600</v>
      </c>
      <c r="F335" s="1" t="s">
        <v>68</v>
      </c>
      <c r="G335" s="25" t="s">
        <v>142</v>
      </c>
      <c r="H335" s="1" t="s">
        <v>143</v>
      </c>
      <c r="I335" s="1" t="s">
        <v>122</v>
      </c>
      <c r="J335" s="60">
        <v>0</v>
      </c>
      <c r="K335" s="24">
        <v>45268.429259259261</v>
      </c>
      <c r="L335" s="23">
        <v>8400</v>
      </c>
      <c r="O335" s="54">
        <v>1</v>
      </c>
      <c r="P335" s="33">
        <v>1600</v>
      </c>
      <c r="Q335" s="33">
        <v>0</v>
      </c>
    </row>
    <row r="336" spans="2:17" x14ac:dyDescent="0.25">
      <c r="B336" s="45" t="s">
        <v>176</v>
      </c>
      <c r="C336" s="45" t="s">
        <v>406</v>
      </c>
      <c r="D336" s="20" t="s">
        <v>407</v>
      </c>
      <c r="E336" s="21">
        <v>1200</v>
      </c>
      <c r="F336" s="1" t="s">
        <v>68</v>
      </c>
      <c r="G336" s="25" t="s">
        <v>142</v>
      </c>
      <c r="H336" s="1" t="s">
        <v>143</v>
      </c>
      <c r="I336" s="1" t="s">
        <v>122</v>
      </c>
      <c r="J336" s="60">
        <v>0</v>
      </c>
      <c r="K336" s="24">
        <v>45268.429988425924</v>
      </c>
      <c r="L336" s="23">
        <v>7200</v>
      </c>
      <c r="O336" s="54">
        <v>1</v>
      </c>
      <c r="P336" s="33">
        <v>1200</v>
      </c>
      <c r="Q336" s="33">
        <v>0</v>
      </c>
    </row>
    <row r="337" spans="2:17" x14ac:dyDescent="0.25">
      <c r="B337" s="45" t="s">
        <v>176</v>
      </c>
      <c r="C337" s="45" t="s">
        <v>263</v>
      </c>
      <c r="D337" s="20" t="s">
        <v>408</v>
      </c>
      <c r="E337" s="21">
        <v>252</v>
      </c>
      <c r="F337" s="1" t="s">
        <v>68</v>
      </c>
      <c r="G337" s="25" t="s">
        <v>159</v>
      </c>
      <c r="H337" s="1" t="s">
        <v>160</v>
      </c>
      <c r="I337" s="1" t="s">
        <v>161</v>
      </c>
      <c r="J337" s="60">
        <v>0</v>
      </c>
      <c r="K337" s="24">
        <v>45268.447766203702</v>
      </c>
      <c r="L337" s="23">
        <v>6560</v>
      </c>
      <c r="O337" s="54">
        <v>24</v>
      </c>
      <c r="P337" s="33">
        <v>10</v>
      </c>
      <c r="Q337" s="33">
        <v>12</v>
      </c>
    </row>
    <row r="338" spans="2:17" x14ac:dyDescent="0.25">
      <c r="B338" s="45" t="s">
        <v>176</v>
      </c>
      <c r="C338" s="45" t="s">
        <v>387</v>
      </c>
      <c r="D338" s="20" t="s">
        <v>409</v>
      </c>
      <c r="E338" s="21">
        <v>1800</v>
      </c>
      <c r="F338" s="1" t="s">
        <v>68</v>
      </c>
      <c r="G338" s="25" t="s">
        <v>124</v>
      </c>
      <c r="H338" s="1" t="s">
        <v>125</v>
      </c>
      <c r="I338" s="1" t="s">
        <v>122</v>
      </c>
      <c r="J338" s="60">
        <v>0</v>
      </c>
      <c r="K338" s="24">
        <v>45268.448530092595</v>
      </c>
      <c r="L338" s="23">
        <v>55600</v>
      </c>
      <c r="O338" s="54">
        <v>1200</v>
      </c>
      <c r="P338" s="33">
        <v>1</v>
      </c>
      <c r="Q338" s="33">
        <v>600</v>
      </c>
    </row>
    <row r="339" spans="2:17" x14ac:dyDescent="0.25">
      <c r="B339" s="45" t="s">
        <v>176</v>
      </c>
      <c r="C339" s="45" t="s">
        <v>347</v>
      </c>
      <c r="D339" s="20" t="s">
        <v>410</v>
      </c>
      <c r="E339" s="21">
        <v>4000</v>
      </c>
      <c r="F339" s="1" t="s">
        <v>68</v>
      </c>
      <c r="G339" s="25" t="s">
        <v>136</v>
      </c>
      <c r="H339" s="1" t="s">
        <v>137</v>
      </c>
      <c r="I339" s="1" t="s">
        <v>122</v>
      </c>
      <c r="J339" s="60">
        <v>0</v>
      </c>
      <c r="K339" s="24">
        <v>45268.449131944442</v>
      </c>
      <c r="L339" s="23">
        <v>2400</v>
      </c>
      <c r="O339" s="54">
        <v>1</v>
      </c>
      <c r="P339" s="33">
        <v>4000</v>
      </c>
      <c r="Q339" s="33">
        <v>0</v>
      </c>
    </row>
    <row r="340" spans="2:17" x14ac:dyDescent="0.25">
      <c r="B340" s="45" t="s">
        <v>176</v>
      </c>
      <c r="C340" s="45" t="s">
        <v>66</v>
      </c>
      <c r="D340" s="20" t="s">
        <v>411</v>
      </c>
      <c r="E340" s="21">
        <v>720</v>
      </c>
      <c r="F340" s="1" t="s">
        <v>152</v>
      </c>
      <c r="G340" s="25" t="s">
        <v>156</v>
      </c>
      <c r="H340" s="1" t="s">
        <v>154</v>
      </c>
      <c r="I340" s="1" t="s">
        <v>155</v>
      </c>
      <c r="J340" s="60">
        <v>0</v>
      </c>
      <c r="K340" s="22">
        <v>45244.693124999998</v>
      </c>
      <c r="L340" s="23">
        <v>4808</v>
      </c>
      <c r="O340" s="54">
        <v>144</v>
      </c>
      <c r="P340" s="33">
        <v>5</v>
      </c>
      <c r="Q340" s="33">
        <v>0</v>
      </c>
    </row>
    <row r="341" spans="2:17" x14ac:dyDescent="0.25">
      <c r="B341" s="45" t="s">
        <v>412</v>
      </c>
      <c r="C341" s="45" t="s">
        <v>413</v>
      </c>
      <c r="D341" s="20" t="s">
        <v>414</v>
      </c>
      <c r="E341" s="21">
        <v>24</v>
      </c>
      <c r="F341" s="1" t="s">
        <v>152</v>
      </c>
      <c r="G341" s="25" t="s">
        <v>377</v>
      </c>
      <c r="H341" s="1" t="s">
        <v>226</v>
      </c>
      <c r="I341" s="1" t="s">
        <v>227</v>
      </c>
      <c r="J341" s="33">
        <v>1</v>
      </c>
      <c r="K341" s="24">
        <v>45271.47347222222</v>
      </c>
      <c r="L341" s="23">
        <v>24</v>
      </c>
      <c r="M341" s="22">
        <v>45058</v>
      </c>
      <c r="O341" s="54">
        <v>1</v>
      </c>
      <c r="P341" s="33">
        <v>24</v>
      </c>
      <c r="Q341" s="33">
        <v>0</v>
      </c>
    </row>
    <row r="342" spans="2:17" x14ac:dyDescent="0.25">
      <c r="B342" s="45" t="s">
        <v>412</v>
      </c>
      <c r="C342" s="45" t="s">
        <v>413</v>
      </c>
      <c r="D342" s="20" t="s">
        <v>414</v>
      </c>
      <c r="E342" s="21">
        <v>44</v>
      </c>
      <c r="F342" s="1" t="s">
        <v>152</v>
      </c>
      <c r="G342" s="25" t="s">
        <v>62</v>
      </c>
      <c r="H342" s="1" t="s">
        <v>226</v>
      </c>
      <c r="I342" s="1" t="s">
        <v>227</v>
      </c>
      <c r="J342" s="33">
        <v>1</v>
      </c>
      <c r="K342" s="24">
        <v>45271.473576388889</v>
      </c>
      <c r="L342" s="23">
        <v>44</v>
      </c>
      <c r="M342" s="22">
        <v>45058</v>
      </c>
      <c r="O342" s="54">
        <v>1</v>
      </c>
      <c r="P342" s="33">
        <v>44</v>
      </c>
      <c r="Q342" s="33">
        <v>0</v>
      </c>
    </row>
    <row r="343" spans="2:17" x14ac:dyDescent="0.25">
      <c r="B343" s="45" t="s">
        <v>412</v>
      </c>
      <c r="C343" s="45" t="s">
        <v>413</v>
      </c>
      <c r="D343" s="20" t="s">
        <v>414</v>
      </c>
      <c r="E343" s="21">
        <v>10</v>
      </c>
      <c r="F343" s="1" t="s">
        <v>152</v>
      </c>
      <c r="G343" s="25" t="s">
        <v>245</v>
      </c>
      <c r="H343" s="1" t="s">
        <v>226</v>
      </c>
      <c r="I343" s="1" t="s">
        <v>227</v>
      </c>
      <c r="J343" s="33">
        <v>1</v>
      </c>
      <c r="K343" s="24">
        <v>45271.479155092595</v>
      </c>
      <c r="L343" s="23">
        <v>10</v>
      </c>
      <c r="M343" s="22">
        <v>45058</v>
      </c>
      <c r="O343" s="54">
        <v>1</v>
      </c>
      <c r="P343" s="33">
        <v>10</v>
      </c>
      <c r="Q343" s="33">
        <v>0</v>
      </c>
    </row>
    <row r="344" spans="2:17" x14ac:dyDescent="0.25">
      <c r="B344" s="45" t="s">
        <v>412</v>
      </c>
      <c r="C344" s="45" t="s">
        <v>413</v>
      </c>
      <c r="D344" s="20" t="s">
        <v>414</v>
      </c>
      <c r="E344" s="21">
        <v>26</v>
      </c>
      <c r="F344" s="1" t="s">
        <v>152</v>
      </c>
      <c r="G344" s="25" t="s">
        <v>234</v>
      </c>
      <c r="H344" s="1" t="s">
        <v>226</v>
      </c>
      <c r="I344" s="1" t="s">
        <v>227</v>
      </c>
      <c r="J344" s="33">
        <v>1</v>
      </c>
      <c r="K344" s="24">
        <v>45271.479351851849</v>
      </c>
      <c r="L344" s="23">
        <v>45</v>
      </c>
      <c r="M344" s="22">
        <v>45058</v>
      </c>
      <c r="O344" s="54">
        <v>1</v>
      </c>
      <c r="P344" s="33">
        <v>26</v>
      </c>
      <c r="Q344" s="33">
        <v>0</v>
      </c>
    </row>
    <row r="345" spans="2:17" hidden="1" x14ac:dyDescent="0.25">
      <c r="B345" s="45"/>
      <c r="C345" s="45"/>
      <c r="E345" s="35"/>
      <c r="F345" s="20"/>
      <c r="G345" s="25"/>
      <c r="J345" s="33"/>
      <c r="K345" s="24"/>
      <c r="M345" s="22"/>
    </row>
    <row r="346" spans="2:17" x14ac:dyDescent="0.25">
      <c r="B346" s="45" t="s">
        <v>412</v>
      </c>
      <c r="C346" s="45" t="s">
        <v>413</v>
      </c>
      <c r="D346" s="20" t="s">
        <v>414</v>
      </c>
      <c r="E346" s="21">
        <v>23</v>
      </c>
      <c r="F346" s="1" t="s">
        <v>152</v>
      </c>
      <c r="G346" s="25" t="s">
        <v>64</v>
      </c>
      <c r="H346" s="1" t="s">
        <v>226</v>
      </c>
      <c r="I346" s="1" t="s">
        <v>227</v>
      </c>
      <c r="J346" s="33">
        <v>1</v>
      </c>
      <c r="K346" s="24">
        <v>45271.480011574073</v>
      </c>
      <c r="L346" s="23">
        <v>23</v>
      </c>
      <c r="M346" s="22">
        <v>45058</v>
      </c>
      <c r="O346" s="54">
        <v>1</v>
      </c>
      <c r="P346" s="33">
        <v>23</v>
      </c>
      <c r="Q346" s="33">
        <v>0</v>
      </c>
    </row>
    <row r="347" spans="2:17" x14ac:dyDescent="0.25">
      <c r="B347" s="45" t="s">
        <v>412</v>
      </c>
      <c r="C347" s="45" t="s">
        <v>413</v>
      </c>
      <c r="D347" s="20" t="s">
        <v>414</v>
      </c>
      <c r="E347" s="21">
        <v>10</v>
      </c>
      <c r="F347" s="1" t="s">
        <v>152</v>
      </c>
      <c r="G347" s="25" t="s">
        <v>235</v>
      </c>
      <c r="H347" s="1" t="s">
        <v>226</v>
      </c>
      <c r="I347" s="1" t="s">
        <v>227</v>
      </c>
      <c r="J347" s="33">
        <v>1</v>
      </c>
      <c r="K347" s="24">
        <v>45271.480266203704</v>
      </c>
      <c r="L347" s="23">
        <v>10</v>
      </c>
      <c r="M347" s="22">
        <v>45058</v>
      </c>
      <c r="O347" s="54">
        <v>1</v>
      </c>
      <c r="P347" s="33">
        <v>10</v>
      </c>
      <c r="Q347" s="33">
        <v>0</v>
      </c>
    </row>
    <row r="348" spans="2:17" x14ac:dyDescent="0.25">
      <c r="B348" s="45" t="s">
        <v>412</v>
      </c>
      <c r="C348" s="45" t="s">
        <v>413</v>
      </c>
      <c r="D348" s="20" t="s">
        <v>414</v>
      </c>
      <c r="E348" s="21">
        <v>20</v>
      </c>
      <c r="F348" s="1" t="s">
        <v>152</v>
      </c>
      <c r="G348" s="25" t="s">
        <v>376</v>
      </c>
      <c r="H348" s="1" t="s">
        <v>226</v>
      </c>
      <c r="I348" s="1" t="s">
        <v>227</v>
      </c>
      <c r="J348" s="33">
        <v>1</v>
      </c>
      <c r="K348" s="24">
        <v>45271.48064814815</v>
      </c>
      <c r="L348" s="23">
        <v>44</v>
      </c>
      <c r="M348" s="22">
        <v>45058</v>
      </c>
      <c r="O348" s="54">
        <v>1</v>
      </c>
      <c r="P348" s="33">
        <v>20</v>
      </c>
      <c r="Q348" s="33">
        <v>0</v>
      </c>
    </row>
    <row r="349" spans="2:17" x14ac:dyDescent="0.25">
      <c r="B349" s="45" t="s">
        <v>412</v>
      </c>
      <c r="C349" s="45" t="s">
        <v>413</v>
      </c>
      <c r="D349" s="20" t="s">
        <v>414</v>
      </c>
      <c r="E349" s="21">
        <v>18</v>
      </c>
      <c r="F349" s="1" t="s">
        <v>152</v>
      </c>
      <c r="G349" s="25" t="s">
        <v>236</v>
      </c>
      <c r="H349" s="1" t="s">
        <v>226</v>
      </c>
      <c r="I349" s="1" t="s">
        <v>227</v>
      </c>
      <c r="J349" s="33">
        <v>1</v>
      </c>
      <c r="K349" s="24">
        <v>45271.480844907404</v>
      </c>
      <c r="L349" s="23">
        <v>18</v>
      </c>
      <c r="M349" s="22">
        <v>45058</v>
      </c>
      <c r="O349" s="54">
        <v>1</v>
      </c>
      <c r="P349" s="33">
        <v>18</v>
      </c>
      <c r="Q349" s="33">
        <v>0</v>
      </c>
    </row>
    <row r="350" spans="2:17" x14ac:dyDescent="0.25">
      <c r="B350" s="45" t="s">
        <v>412</v>
      </c>
      <c r="C350" s="45" t="s">
        <v>413</v>
      </c>
      <c r="D350" s="20" t="s">
        <v>414</v>
      </c>
      <c r="E350" s="21">
        <v>9</v>
      </c>
      <c r="F350" s="1" t="s">
        <v>152</v>
      </c>
      <c r="G350" s="25" t="s">
        <v>65</v>
      </c>
      <c r="H350" s="1" t="s">
        <v>226</v>
      </c>
      <c r="I350" s="1" t="s">
        <v>227</v>
      </c>
      <c r="J350" s="33">
        <v>1</v>
      </c>
      <c r="K350" s="24">
        <v>45271.480925925927</v>
      </c>
      <c r="L350" s="23">
        <v>38</v>
      </c>
      <c r="M350" s="22">
        <v>45058</v>
      </c>
      <c r="O350" s="54">
        <v>1</v>
      </c>
      <c r="P350" s="33">
        <v>9</v>
      </c>
      <c r="Q350" s="33">
        <v>0</v>
      </c>
    </row>
    <row r="351" spans="2:17" x14ac:dyDescent="0.25">
      <c r="B351" s="45" t="s">
        <v>412</v>
      </c>
      <c r="C351" s="45" t="s">
        <v>413</v>
      </c>
      <c r="D351" s="20" t="s">
        <v>414</v>
      </c>
      <c r="E351" s="21">
        <v>1</v>
      </c>
      <c r="F351" s="1" t="s">
        <v>152</v>
      </c>
      <c r="G351" s="25" t="s">
        <v>238</v>
      </c>
      <c r="H351" s="1" t="s">
        <v>226</v>
      </c>
      <c r="I351" s="1" t="s">
        <v>227</v>
      </c>
      <c r="J351" s="33">
        <v>1</v>
      </c>
      <c r="K351" s="24">
        <v>45271.48101851852</v>
      </c>
      <c r="L351" s="23">
        <v>1</v>
      </c>
      <c r="M351" s="22">
        <v>45058</v>
      </c>
      <c r="O351" s="54">
        <v>1</v>
      </c>
      <c r="P351" s="33">
        <v>1</v>
      </c>
      <c r="Q351" s="33">
        <v>0</v>
      </c>
    </row>
    <row r="352" spans="2:17" x14ac:dyDescent="0.25">
      <c r="B352" s="45" t="s">
        <v>412</v>
      </c>
      <c r="C352" s="45" t="s">
        <v>413</v>
      </c>
      <c r="D352" s="20" t="s">
        <v>414</v>
      </c>
      <c r="E352" s="21">
        <v>2</v>
      </c>
      <c r="F352" s="1" t="s">
        <v>152</v>
      </c>
      <c r="G352" s="25" t="s">
        <v>63</v>
      </c>
      <c r="H352" s="1" t="s">
        <v>226</v>
      </c>
      <c r="I352" s="1" t="s">
        <v>227</v>
      </c>
      <c r="J352" s="33">
        <v>1</v>
      </c>
      <c r="K352" s="24">
        <v>45271.481099537035</v>
      </c>
      <c r="L352" s="23">
        <v>2</v>
      </c>
      <c r="M352" s="22">
        <v>45058</v>
      </c>
      <c r="O352" s="54">
        <v>1</v>
      </c>
      <c r="P352" s="33">
        <v>2</v>
      </c>
      <c r="Q352" s="33">
        <v>0</v>
      </c>
    </row>
    <row r="353" spans="2:17" x14ac:dyDescent="0.25">
      <c r="B353" s="45" t="s">
        <v>412</v>
      </c>
      <c r="C353" s="45" t="s">
        <v>416</v>
      </c>
      <c r="D353" s="20" t="s">
        <v>417</v>
      </c>
      <c r="E353" s="21">
        <v>29</v>
      </c>
      <c r="F353" s="1" t="s">
        <v>152</v>
      </c>
      <c r="G353" s="25" t="s">
        <v>415</v>
      </c>
      <c r="H353" s="1" t="s">
        <v>226</v>
      </c>
      <c r="I353" s="1" t="s">
        <v>227</v>
      </c>
      <c r="J353" s="33">
        <v>1</v>
      </c>
      <c r="K353" s="24">
        <v>45271.481099537035</v>
      </c>
      <c r="L353" s="23">
        <v>29</v>
      </c>
      <c r="M353" s="22">
        <v>45058</v>
      </c>
      <c r="O353" s="54">
        <v>1</v>
      </c>
      <c r="P353" s="33">
        <v>29</v>
      </c>
      <c r="Q353" s="33">
        <v>0</v>
      </c>
    </row>
    <row r="354" spans="2:17" x14ac:dyDescent="0.25">
      <c r="B354" s="45" t="s">
        <v>176</v>
      </c>
      <c r="C354" s="45" t="s">
        <v>418</v>
      </c>
      <c r="D354" s="20" t="s">
        <v>419</v>
      </c>
      <c r="E354" s="21">
        <v>4000</v>
      </c>
      <c r="F354" s="1" t="s">
        <v>68</v>
      </c>
      <c r="G354" s="25" t="s">
        <v>127</v>
      </c>
      <c r="H354" s="1" t="s">
        <v>128</v>
      </c>
      <c r="I354" s="1" t="s">
        <v>122</v>
      </c>
      <c r="J354" s="60">
        <v>0</v>
      </c>
      <c r="K354" s="24">
        <v>45271.581250000003</v>
      </c>
      <c r="L354" s="23">
        <v>5000</v>
      </c>
      <c r="O354" s="54">
        <v>2400</v>
      </c>
      <c r="P354" s="33">
        <v>1</v>
      </c>
      <c r="Q354" s="33">
        <v>1600.0000000000002</v>
      </c>
    </row>
    <row r="355" spans="2:17" x14ac:dyDescent="0.25">
      <c r="B355" s="45" t="s">
        <v>176</v>
      </c>
      <c r="C355" s="45" t="s">
        <v>387</v>
      </c>
      <c r="D355" s="20" t="s">
        <v>420</v>
      </c>
      <c r="E355" s="21">
        <v>4000</v>
      </c>
      <c r="F355" s="1" t="s">
        <v>68</v>
      </c>
      <c r="G355" s="25" t="s">
        <v>124</v>
      </c>
      <c r="H355" s="1" t="s">
        <v>125</v>
      </c>
      <c r="I355" s="1" t="s">
        <v>122</v>
      </c>
      <c r="J355" s="60">
        <v>0</v>
      </c>
      <c r="K355" s="24">
        <v>45271.581747685188</v>
      </c>
      <c r="L355" s="23">
        <v>51600</v>
      </c>
      <c r="O355" s="54">
        <v>1200</v>
      </c>
      <c r="P355" s="33">
        <v>3</v>
      </c>
      <c r="Q355" s="33">
        <v>400.00000000000017</v>
      </c>
    </row>
    <row r="356" spans="2:17" x14ac:dyDescent="0.25">
      <c r="B356" s="45" t="s">
        <v>176</v>
      </c>
      <c r="C356" s="45" t="s">
        <v>387</v>
      </c>
      <c r="D356" s="20" t="s">
        <v>420</v>
      </c>
      <c r="E356" s="21">
        <v>4000</v>
      </c>
      <c r="F356" s="1" t="s">
        <v>68</v>
      </c>
      <c r="G356" s="25" t="s">
        <v>188</v>
      </c>
      <c r="H356" s="1" t="s">
        <v>189</v>
      </c>
      <c r="I356" s="1" t="s">
        <v>122</v>
      </c>
      <c r="J356" s="60">
        <v>0</v>
      </c>
      <c r="K356" s="24">
        <v>45271.582175925927</v>
      </c>
      <c r="L356" s="23">
        <v>2000</v>
      </c>
      <c r="O356" s="54">
        <v>2400</v>
      </c>
      <c r="P356" s="33">
        <v>1</v>
      </c>
      <c r="Q356" s="33">
        <v>1600.0000000000002</v>
      </c>
    </row>
    <row r="357" spans="2:17" x14ac:dyDescent="0.25">
      <c r="B357" s="45" t="s">
        <v>176</v>
      </c>
      <c r="C357" s="45" t="s">
        <v>347</v>
      </c>
      <c r="D357" s="20" t="s">
        <v>421</v>
      </c>
      <c r="E357" s="21">
        <v>1600</v>
      </c>
      <c r="F357" s="1" t="s">
        <v>68</v>
      </c>
      <c r="G357" s="25" t="s">
        <v>136</v>
      </c>
      <c r="H357" s="1" t="s">
        <v>137</v>
      </c>
      <c r="I357" s="1" t="s">
        <v>122</v>
      </c>
      <c r="J357" s="60">
        <v>0</v>
      </c>
      <c r="K357" s="24">
        <v>45271.582824074074</v>
      </c>
      <c r="L357" s="23">
        <v>800</v>
      </c>
      <c r="O357" s="54">
        <v>1</v>
      </c>
      <c r="P357" s="33">
        <v>1600</v>
      </c>
      <c r="Q357" s="33">
        <v>0</v>
      </c>
    </row>
    <row r="358" spans="2:17" x14ac:dyDescent="0.25">
      <c r="B358" s="45" t="s">
        <v>176</v>
      </c>
      <c r="C358" s="45" t="s">
        <v>422</v>
      </c>
      <c r="D358" s="20" t="s">
        <v>423</v>
      </c>
      <c r="E358" s="21">
        <v>800</v>
      </c>
      <c r="F358" s="1" t="s">
        <v>68</v>
      </c>
      <c r="G358" s="25" t="s">
        <v>136</v>
      </c>
      <c r="H358" s="1" t="s">
        <v>137</v>
      </c>
      <c r="I358" s="1" t="s">
        <v>122</v>
      </c>
      <c r="J358" s="60">
        <v>0</v>
      </c>
      <c r="K358" s="24">
        <v>45271.583796296298</v>
      </c>
      <c r="L358" s="23">
        <v>0</v>
      </c>
      <c r="O358" s="54">
        <v>1</v>
      </c>
      <c r="P358" s="33">
        <v>800</v>
      </c>
      <c r="Q358" s="33">
        <v>0</v>
      </c>
    </row>
    <row r="359" spans="2:17" x14ac:dyDescent="0.25">
      <c r="B359" s="45" t="s">
        <v>176</v>
      </c>
      <c r="C359" s="45" t="s">
        <v>392</v>
      </c>
      <c r="D359" s="20" t="s">
        <v>424</v>
      </c>
      <c r="E359" s="21">
        <v>8000</v>
      </c>
      <c r="F359" s="1" t="s">
        <v>68</v>
      </c>
      <c r="G359" s="25" t="s">
        <v>140</v>
      </c>
      <c r="H359" s="1" t="s">
        <v>141</v>
      </c>
      <c r="I359" s="1" t="s">
        <v>122</v>
      </c>
      <c r="J359" s="60">
        <v>0</v>
      </c>
      <c r="K359" s="24">
        <v>45271.584328703706</v>
      </c>
      <c r="L359" s="23">
        <v>203000</v>
      </c>
      <c r="O359" s="54">
        <v>2400</v>
      </c>
      <c r="P359" s="33">
        <v>3</v>
      </c>
      <c r="Q359" s="33">
        <v>800.00000000000034</v>
      </c>
    </row>
    <row r="360" spans="2:17" x14ac:dyDescent="0.25">
      <c r="B360" s="45" t="s">
        <v>176</v>
      </c>
      <c r="C360" s="45" t="s">
        <v>392</v>
      </c>
      <c r="D360" s="20" t="s">
        <v>424</v>
      </c>
      <c r="E360" s="21">
        <v>480</v>
      </c>
      <c r="F360" s="1" t="s">
        <v>68</v>
      </c>
      <c r="G360" s="25" t="s">
        <v>181</v>
      </c>
      <c r="H360" s="1" t="s">
        <v>182</v>
      </c>
      <c r="I360" s="1" t="s">
        <v>183</v>
      </c>
      <c r="J360" s="60">
        <v>0</v>
      </c>
      <c r="K360" s="24">
        <v>45271.584560185183</v>
      </c>
      <c r="L360" s="23">
        <v>2346</v>
      </c>
      <c r="O360" s="54">
        <v>300</v>
      </c>
      <c r="P360" s="33">
        <v>1</v>
      </c>
      <c r="Q360" s="33">
        <v>180.00000000000003</v>
      </c>
    </row>
    <row r="361" spans="2:17" x14ac:dyDescent="0.25">
      <c r="B361" s="45" t="s">
        <v>176</v>
      </c>
      <c r="C361" s="45" t="s">
        <v>392</v>
      </c>
      <c r="D361" s="20" t="s">
        <v>424</v>
      </c>
      <c r="E361" s="21">
        <v>800</v>
      </c>
      <c r="F361" s="1" t="s">
        <v>68</v>
      </c>
      <c r="G361" s="25" t="s">
        <v>219</v>
      </c>
      <c r="H361" s="1" t="s">
        <v>220</v>
      </c>
      <c r="I361" s="1" t="s">
        <v>161</v>
      </c>
      <c r="J361" s="60">
        <v>0</v>
      </c>
      <c r="K361" s="24">
        <v>45271.584803240738</v>
      </c>
      <c r="L361" s="23">
        <v>9500</v>
      </c>
      <c r="O361" s="54">
        <v>1</v>
      </c>
      <c r="P361" s="33">
        <v>800</v>
      </c>
      <c r="Q361" s="33">
        <v>0</v>
      </c>
    </row>
    <row r="362" spans="2:17" x14ac:dyDescent="0.25">
      <c r="B362" s="45" t="s">
        <v>176</v>
      </c>
      <c r="C362" s="45" t="s">
        <v>392</v>
      </c>
      <c r="D362" s="20" t="s">
        <v>424</v>
      </c>
      <c r="E362" s="21">
        <v>20</v>
      </c>
      <c r="F362" s="1" t="s">
        <v>68</v>
      </c>
      <c r="G362" s="25" t="s">
        <v>786</v>
      </c>
      <c r="H362" s="1" t="s">
        <v>165</v>
      </c>
      <c r="I362" s="1" t="s">
        <v>161</v>
      </c>
      <c r="J362" s="60">
        <v>0</v>
      </c>
      <c r="K362" s="24">
        <v>45271.585046296299</v>
      </c>
      <c r="L362" s="23">
        <v>275</v>
      </c>
      <c r="O362" s="54">
        <v>24</v>
      </c>
      <c r="P362" s="33">
        <v>0</v>
      </c>
      <c r="Q362" s="33">
        <v>20</v>
      </c>
    </row>
    <row r="363" spans="2:17" x14ac:dyDescent="0.25">
      <c r="B363" s="45" t="s">
        <v>176</v>
      </c>
      <c r="C363" s="45" t="s">
        <v>261</v>
      </c>
      <c r="D363" s="20" t="s">
        <v>425</v>
      </c>
      <c r="E363" s="21">
        <v>720</v>
      </c>
      <c r="F363" s="1" t="s">
        <v>152</v>
      </c>
      <c r="G363" s="25" t="s">
        <v>153</v>
      </c>
      <c r="H363" s="1" t="s">
        <v>154</v>
      </c>
      <c r="I363" s="1" t="s">
        <v>155</v>
      </c>
      <c r="J363" s="60">
        <v>0</v>
      </c>
      <c r="K363" s="24">
        <v>45271.585949074077</v>
      </c>
      <c r="L363" s="23">
        <v>288</v>
      </c>
      <c r="O363" s="54">
        <v>144</v>
      </c>
      <c r="P363" s="33">
        <v>5</v>
      </c>
      <c r="Q363" s="33">
        <v>0</v>
      </c>
    </row>
    <row r="364" spans="2:17" x14ac:dyDescent="0.25">
      <c r="B364" s="45" t="s">
        <v>176</v>
      </c>
      <c r="C364" s="45" t="s">
        <v>261</v>
      </c>
      <c r="D364" s="20" t="s">
        <v>425</v>
      </c>
      <c r="E364" s="21">
        <v>360</v>
      </c>
      <c r="F364" s="1" t="s">
        <v>152</v>
      </c>
      <c r="G364" s="25" t="s">
        <v>156</v>
      </c>
      <c r="H364" s="1" t="s">
        <v>154</v>
      </c>
      <c r="I364" s="1" t="s">
        <v>155</v>
      </c>
      <c r="J364" s="60">
        <v>0</v>
      </c>
      <c r="K364" s="24">
        <v>45271.586168981485</v>
      </c>
      <c r="L364" s="23">
        <v>4448</v>
      </c>
      <c r="O364" s="54">
        <v>144</v>
      </c>
      <c r="P364" s="33">
        <v>2</v>
      </c>
      <c r="Q364" s="33">
        <v>72</v>
      </c>
    </row>
    <row r="365" spans="2:17" x14ac:dyDescent="0.25">
      <c r="B365" s="45" t="s">
        <v>176</v>
      </c>
      <c r="C365" s="45" t="s">
        <v>262</v>
      </c>
      <c r="D365" s="20" t="s">
        <v>426</v>
      </c>
      <c r="E365" s="21">
        <v>10</v>
      </c>
      <c r="F365" s="1" t="s">
        <v>144</v>
      </c>
      <c r="G365" s="25" t="s">
        <v>148</v>
      </c>
      <c r="H365" s="1" t="s">
        <v>149</v>
      </c>
      <c r="I365" s="1" t="s">
        <v>147</v>
      </c>
      <c r="J365" s="60">
        <v>0</v>
      </c>
      <c r="K365" s="24">
        <v>45271.586886574078</v>
      </c>
      <c r="L365" s="23">
        <v>6283</v>
      </c>
      <c r="M365" s="23"/>
      <c r="O365" s="54">
        <v>10</v>
      </c>
      <c r="P365" s="33">
        <v>1</v>
      </c>
      <c r="Q365" s="33">
        <v>0</v>
      </c>
    </row>
    <row r="366" spans="2:17" x14ac:dyDescent="0.25">
      <c r="B366" s="45" t="s">
        <v>176</v>
      </c>
      <c r="C366" s="45" t="s">
        <v>262</v>
      </c>
      <c r="D366" s="20" t="s">
        <v>426</v>
      </c>
      <c r="E366" s="21">
        <v>350</v>
      </c>
      <c r="F366" s="1" t="s">
        <v>68</v>
      </c>
      <c r="G366" s="25" t="s">
        <v>184</v>
      </c>
      <c r="H366" s="1" t="s">
        <v>185</v>
      </c>
      <c r="J366" s="60">
        <v>0</v>
      </c>
      <c r="K366" s="24">
        <v>45271.587118055555</v>
      </c>
      <c r="L366" s="23">
        <v>670</v>
      </c>
      <c r="O366" s="54">
        <v>4</v>
      </c>
      <c r="P366" s="33">
        <v>87</v>
      </c>
      <c r="Q366" s="33">
        <v>2</v>
      </c>
    </row>
    <row r="367" spans="2:17" x14ac:dyDescent="0.25">
      <c r="B367" s="45" t="s">
        <v>176</v>
      </c>
      <c r="C367" s="45" t="s">
        <v>262</v>
      </c>
      <c r="D367" s="20" t="s">
        <v>426</v>
      </c>
      <c r="E367" s="21">
        <v>1180</v>
      </c>
      <c r="F367" s="1" t="s">
        <v>68</v>
      </c>
      <c r="G367" s="25" t="s">
        <v>427</v>
      </c>
      <c r="H367" s="1" t="s">
        <v>166</v>
      </c>
      <c r="I367" s="1" t="s">
        <v>161</v>
      </c>
      <c r="J367" s="60">
        <v>0</v>
      </c>
      <c r="K367" s="24">
        <v>45271.590092592596</v>
      </c>
      <c r="L367" s="23">
        <v>1680</v>
      </c>
      <c r="O367" s="54">
        <v>60</v>
      </c>
      <c r="P367" s="33">
        <v>19</v>
      </c>
      <c r="Q367" s="33">
        <v>40.000000000000071</v>
      </c>
    </row>
    <row r="368" spans="2:17" x14ac:dyDescent="0.25">
      <c r="B368" s="45" t="s">
        <v>176</v>
      </c>
      <c r="C368" s="45" t="s">
        <v>312</v>
      </c>
      <c r="D368" s="20" t="s">
        <v>428</v>
      </c>
      <c r="E368" s="21">
        <v>5000</v>
      </c>
      <c r="F368" s="1" t="s">
        <v>68</v>
      </c>
      <c r="G368" s="25" t="s">
        <v>120</v>
      </c>
      <c r="H368" s="1" t="s">
        <v>121</v>
      </c>
      <c r="I368" s="1" t="s">
        <v>122</v>
      </c>
      <c r="J368" s="60">
        <v>0</v>
      </c>
      <c r="K368" s="24">
        <v>45271.590694444443</v>
      </c>
      <c r="L368" s="23">
        <v>203600</v>
      </c>
      <c r="O368" s="54">
        <v>2400</v>
      </c>
      <c r="P368" s="33">
        <v>2</v>
      </c>
      <c r="Q368" s="33">
        <v>200.00000000000034</v>
      </c>
    </row>
    <row r="369" spans="2:17" x14ac:dyDescent="0.25">
      <c r="B369" s="45" t="s">
        <v>321</v>
      </c>
      <c r="C369" s="45" t="s">
        <v>429</v>
      </c>
      <c r="D369" s="20" t="s">
        <v>174</v>
      </c>
      <c r="E369" s="21">
        <v>900</v>
      </c>
      <c r="F369" s="1" t="s">
        <v>68</v>
      </c>
      <c r="G369" s="25" t="s">
        <v>172</v>
      </c>
      <c r="H369" s="1" t="s">
        <v>173</v>
      </c>
      <c r="J369" s="60">
        <v>0</v>
      </c>
      <c r="K369" s="24">
        <v>45272.438946759263</v>
      </c>
      <c r="L369" s="23">
        <v>1662</v>
      </c>
      <c r="O369" s="54">
        <v>1</v>
      </c>
      <c r="P369" s="33">
        <v>900</v>
      </c>
      <c r="Q369" s="33">
        <v>0</v>
      </c>
    </row>
    <row r="370" spans="2:17" x14ac:dyDescent="0.25">
      <c r="B370" s="45" t="s">
        <v>321</v>
      </c>
      <c r="C370" s="45" t="s">
        <v>429</v>
      </c>
      <c r="D370" s="20" t="s">
        <v>174</v>
      </c>
      <c r="E370" s="21">
        <v>800</v>
      </c>
      <c r="F370" s="1" t="s">
        <v>68</v>
      </c>
      <c r="G370" s="25" t="s">
        <v>219</v>
      </c>
      <c r="H370" s="1" t="s">
        <v>220</v>
      </c>
      <c r="I370" s="1" t="s">
        <v>161</v>
      </c>
      <c r="J370" s="60">
        <v>0</v>
      </c>
      <c r="K370" s="24">
        <v>45272.439247685186</v>
      </c>
      <c r="L370" s="23">
        <v>8700</v>
      </c>
      <c r="O370" s="54">
        <v>1</v>
      </c>
      <c r="P370" s="33">
        <v>800</v>
      </c>
      <c r="Q370" s="33">
        <v>0</v>
      </c>
    </row>
    <row r="371" spans="2:17" x14ac:dyDescent="0.25">
      <c r="B371" s="45" t="s">
        <v>321</v>
      </c>
      <c r="C371" s="45" t="s">
        <v>429</v>
      </c>
      <c r="D371" s="20" t="s">
        <v>174</v>
      </c>
      <c r="E371" s="21">
        <v>10</v>
      </c>
      <c r="F371" s="1" t="s">
        <v>68</v>
      </c>
      <c r="G371" s="25" t="s">
        <v>430</v>
      </c>
      <c r="H371" s="1" t="s">
        <v>199</v>
      </c>
      <c r="J371" s="60">
        <v>0</v>
      </c>
      <c r="K371" s="24">
        <v>45272.440648148149</v>
      </c>
      <c r="L371" s="23">
        <v>48</v>
      </c>
      <c r="O371" s="54">
        <v>40</v>
      </c>
      <c r="P371" s="33">
        <v>0</v>
      </c>
      <c r="Q371" s="33">
        <v>10</v>
      </c>
    </row>
    <row r="372" spans="2:17" x14ac:dyDescent="0.25">
      <c r="B372" s="45" t="s">
        <v>321</v>
      </c>
      <c r="C372" s="45" t="s">
        <v>368</v>
      </c>
      <c r="D372" s="20" t="s">
        <v>431</v>
      </c>
      <c r="E372" s="21">
        <v>11600</v>
      </c>
      <c r="F372" s="1" t="s">
        <v>68</v>
      </c>
      <c r="G372" s="25" t="s">
        <v>124</v>
      </c>
      <c r="H372" s="1" t="s">
        <v>125</v>
      </c>
      <c r="I372" s="1" t="s">
        <v>122</v>
      </c>
      <c r="J372" s="60">
        <v>0</v>
      </c>
      <c r="K372" s="24">
        <v>45272.441388888888</v>
      </c>
      <c r="L372" s="23">
        <v>40000</v>
      </c>
      <c r="O372" s="54">
        <v>1200</v>
      </c>
      <c r="P372" s="33">
        <v>9</v>
      </c>
      <c r="Q372" s="33">
        <v>799.99999999999932</v>
      </c>
    </row>
    <row r="373" spans="2:17" x14ac:dyDescent="0.25">
      <c r="B373" s="45" t="s">
        <v>321</v>
      </c>
      <c r="C373" s="45" t="s">
        <v>265</v>
      </c>
      <c r="D373" s="20" t="s">
        <v>432</v>
      </c>
      <c r="E373" s="21">
        <v>400</v>
      </c>
      <c r="F373" s="1" t="s">
        <v>68</v>
      </c>
      <c r="G373" s="25" t="s">
        <v>132</v>
      </c>
      <c r="H373" s="1" t="s">
        <v>133</v>
      </c>
      <c r="I373" s="1" t="s">
        <v>122</v>
      </c>
      <c r="J373" s="60">
        <v>0</v>
      </c>
      <c r="K373" s="24">
        <v>45272.442002314812</v>
      </c>
      <c r="L373" s="23">
        <v>14100</v>
      </c>
      <c r="O373" s="54">
        <v>1200</v>
      </c>
      <c r="P373" s="33">
        <v>0</v>
      </c>
      <c r="Q373" s="33">
        <v>400</v>
      </c>
    </row>
    <row r="374" spans="2:17" x14ac:dyDescent="0.25">
      <c r="B374" s="45" t="s">
        <v>321</v>
      </c>
      <c r="C374" s="45" t="s">
        <v>267</v>
      </c>
      <c r="D374" s="20" t="s">
        <v>433</v>
      </c>
      <c r="E374" s="21">
        <v>1100</v>
      </c>
      <c r="F374" s="1" t="s">
        <v>68</v>
      </c>
      <c r="G374" s="25" t="s">
        <v>132</v>
      </c>
      <c r="H374" s="1" t="s">
        <v>133</v>
      </c>
      <c r="I374" s="1" t="s">
        <v>122</v>
      </c>
      <c r="J374" s="60">
        <v>0</v>
      </c>
      <c r="K374" s="24">
        <v>45272.442569444444</v>
      </c>
      <c r="L374" s="23">
        <v>13000</v>
      </c>
      <c r="O374" s="54">
        <v>1200</v>
      </c>
      <c r="P374" s="33">
        <v>0</v>
      </c>
      <c r="Q374" s="33">
        <v>1100</v>
      </c>
    </row>
    <row r="375" spans="2:17" x14ac:dyDescent="0.25">
      <c r="B375" s="45" t="s">
        <v>321</v>
      </c>
      <c r="C375" s="45" t="s">
        <v>345</v>
      </c>
      <c r="D375" s="20" t="s">
        <v>434</v>
      </c>
      <c r="E375" s="21">
        <v>50</v>
      </c>
      <c r="F375" s="1" t="s">
        <v>68</v>
      </c>
      <c r="G375" s="25" t="s">
        <v>126</v>
      </c>
      <c r="H375" s="1" t="s">
        <v>180</v>
      </c>
      <c r="J375" s="60">
        <v>0</v>
      </c>
      <c r="K375" s="24">
        <v>45272.443171296298</v>
      </c>
      <c r="L375" s="23">
        <v>232</v>
      </c>
      <c r="O375" s="54">
        <v>96</v>
      </c>
      <c r="P375" s="33">
        <v>0</v>
      </c>
      <c r="Q375" s="33">
        <v>50</v>
      </c>
    </row>
    <row r="376" spans="2:17" x14ac:dyDescent="0.25">
      <c r="B376" s="45" t="s">
        <v>435</v>
      </c>
      <c r="C376" s="45" t="s">
        <v>436</v>
      </c>
      <c r="D376" s="20" t="s">
        <v>437</v>
      </c>
      <c r="E376" s="21">
        <v>1512</v>
      </c>
      <c r="F376" s="1" t="s">
        <v>68</v>
      </c>
      <c r="G376" s="25" t="s">
        <v>177</v>
      </c>
      <c r="H376" s="1" t="s">
        <v>178</v>
      </c>
      <c r="I376" s="1" t="s">
        <v>179</v>
      </c>
      <c r="J376" s="33">
        <v>1</v>
      </c>
      <c r="K376" s="24">
        <v>45272.578101851854</v>
      </c>
      <c r="L376" s="23">
        <v>3400</v>
      </c>
      <c r="M376" s="1" t="s">
        <v>349</v>
      </c>
      <c r="O376" s="54">
        <v>36</v>
      </c>
      <c r="P376" s="33">
        <v>42</v>
      </c>
      <c r="Q376" s="33">
        <v>0</v>
      </c>
    </row>
    <row r="377" spans="2:17" x14ac:dyDescent="0.25">
      <c r="B377" s="45" t="s">
        <v>176</v>
      </c>
      <c r="C377" s="45" t="s">
        <v>395</v>
      </c>
      <c r="D377" s="20" t="s">
        <v>438</v>
      </c>
      <c r="E377" s="21">
        <v>1</v>
      </c>
      <c r="F377" s="1" t="s">
        <v>152</v>
      </c>
      <c r="G377" s="25" t="s">
        <v>238</v>
      </c>
      <c r="H377" s="1" t="s">
        <v>226</v>
      </c>
      <c r="I377" s="1" t="s">
        <v>227</v>
      </c>
      <c r="J377" s="60">
        <v>0</v>
      </c>
      <c r="K377" s="24">
        <v>45273.510208333333</v>
      </c>
      <c r="L377" s="23">
        <v>0</v>
      </c>
      <c r="O377" s="54">
        <v>1</v>
      </c>
      <c r="P377" s="33">
        <v>1</v>
      </c>
      <c r="Q377" s="33">
        <v>0</v>
      </c>
    </row>
    <row r="378" spans="2:17" x14ac:dyDescent="0.25">
      <c r="B378" s="45" t="s">
        <v>176</v>
      </c>
      <c r="C378" s="45" t="s">
        <v>395</v>
      </c>
      <c r="D378" s="20" t="s">
        <v>438</v>
      </c>
      <c r="E378" s="21">
        <v>13</v>
      </c>
      <c r="F378" s="1" t="s">
        <v>152</v>
      </c>
      <c r="G378" s="25" t="s">
        <v>377</v>
      </c>
      <c r="H378" s="1" t="s">
        <v>226</v>
      </c>
      <c r="I378" s="1" t="s">
        <v>227</v>
      </c>
      <c r="J378" s="60">
        <v>0</v>
      </c>
      <c r="K378" s="24">
        <v>45273.510729166665</v>
      </c>
      <c r="L378" s="23">
        <v>11</v>
      </c>
      <c r="O378" s="54">
        <v>1</v>
      </c>
      <c r="P378" s="33">
        <v>13</v>
      </c>
      <c r="Q378" s="33">
        <v>0</v>
      </c>
    </row>
    <row r="379" spans="2:17" x14ac:dyDescent="0.25">
      <c r="B379" s="45" t="s">
        <v>176</v>
      </c>
      <c r="C379" s="45" t="s">
        <v>395</v>
      </c>
      <c r="D379" s="20" t="s">
        <v>438</v>
      </c>
      <c r="E379" s="21">
        <v>25</v>
      </c>
      <c r="F379" s="1" t="s">
        <v>152</v>
      </c>
      <c r="G379" s="25" t="s">
        <v>62</v>
      </c>
      <c r="H379" s="1" t="s">
        <v>226</v>
      </c>
      <c r="I379" s="1" t="s">
        <v>227</v>
      </c>
      <c r="J379" s="60">
        <v>0</v>
      </c>
      <c r="K379" s="24">
        <v>45273.511030092595</v>
      </c>
      <c r="L379" s="23">
        <v>19</v>
      </c>
      <c r="O379" s="54">
        <v>1</v>
      </c>
      <c r="P379" s="33">
        <v>25</v>
      </c>
      <c r="Q379" s="33">
        <v>0</v>
      </c>
    </row>
    <row r="380" spans="2:17" x14ac:dyDescent="0.25">
      <c r="B380" s="45" t="s">
        <v>176</v>
      </c>
      <c r="C380" s="45" t="s">
        <v>395</v>
      </c>
      <c r="D380" s="20" t="s">
        <v>438</v>
      </c>
      <c r="E380" s="21">
        <v>10</v>
      </c>
      <c r="F380" s="1" t="s">
        <v>152</v>
      </c>
      <c r="G380" s="25" t="s">
        <v>245</v>
      </c>
      <c r="H380" s="1" t="s">
        <v>226</v>
      </c>
      <c r="I380" s="1" t="s">
        <v>227</v>
      </c>
      <c r="J380" s="60">
        <v>0</v>
      </c>
      <c r="K380" s="24">
        <v>45273.511331018519</v>
      </c>
      <c r="L380" s="23">
        <v>0</v>
      </c>
      <c r="O380" s="54">
        <v>1</v>
      </c>
      <c r="P380" s="33">
        <v>10</v>
      </c>
      <c r="Q380" s="33">
        <v>0</v>
      </c>
    </row>
    <row r="381" spans="2:17" x14ac:dyDescent="0.25">
      <c r="B381" s="45" t="s">
        <v>176</v>
      </c>
      <c r="C381" s="45" t="s">
        <v>395</v>
      </c>
      <c r="D381" s="20" t="s">
        <v>438</v>
      </c>
      <c r="E381" s="21">
        <v>45</v>
      </c>
      <c r="F381" s="1" t="s">
        <v>152</v>
      </c>
      <c r="G381" s="25" t="s">
        <v>234</v>
      </c>
      <c r="H381" s="1" t="s">
        <v>226</v>
      </c>
      <c r="I381" s="1" t="s">
        <v>227</v>
      </c>
      <c r="J381" s="60">
        <v>0</v>
      </c>
      <c r="K381" s="24">
        <v>45273.511759259258</v>
      </c>
      <c r="L381" s="23">
        <v>0</v>
      </c>
      <c r="O381" s="54">
        <v>1</v>
      </c>
      <c r="P381" s="33">
        <v>45</v>
      </c>
      <c r="Q381" s="33">
        <v>0</v>
      </c>
    </row>
    <row r="382" spans="2:17" x14ac:dyDescent="0.25">
      <c r="B382" s="45" t="s">
        <v>176</v>
      </c>
      <c r="C382" s="45" t="s">
        <v>395</v>
      </c>
      <c r="D382" s="20" t="s">
        <v>438</v>
      </c>
      <c r="E382" s="21">
        <v>29</v>
      </c>
      <c r="F382" s="1" t="s">
        <v>152</v>
      </c>
      <c r="G382" s="25" t="s">
        <v>415</v>
      </c>
      <c r="H382" s="1" t="s">
        <v>226</v>
      </c>
      <c r="I382" s="1" t="s">
        <v>227</v>
      </c>
      <c r="J382" s="60">
        <v>0</v>
      </c>
      <c r="K382" s="24">
        <v>45273.52171296296</v>
      </c>
      <c r="L382" s="23">
        <v>0</v>
      </c>
      <c r="O382" s="54">
        <v>1</v>
      </c>
      <c r="P382" s="33">
        <v>29</v>
      </c>
      <c r="Q382" s="33">
        <v>0</v>
      </c>
    </row>
    <row r="383" spans="2:17" x14ac:dyDescent="0.25">
      <c r="B383" s="45" t="s">
        <v>176</v>
      </c>
      <c r="C383" s="45" t="s">
        <v>395</v>
      </c>
      <c r="D383" s="20" t="s">
        <v>438</v>
      </c>
      <c r="E383" s="21">
        <v>23</v>
      </c>
      <c r="F383" s="1" t="s">
        <v>152</v>
      </c>
      <c r="G383" s="25" t="s">
        <v>64</v>
      </c>
      <c r="H383" s="1" t="s">
        <v>226</v>
      </c>
      <c r="I383" s="1" t="s">
        <v>227</v>
      </c>
      <c r="J383" s="60">
        <v>0</v>
      </c>
      <c r="K383" s="24">
        <v>45273.52275462963</v>
      </c>
      <c r="L383" s="23">
        <v>0</v>
      </c>
      <c r="O383" s="54">
        <v>1</v>
      </c>
      <c r="P383" s="33">
        <v>23</v>
      </c>
      <c r="Q383" s="33">
        <v>0</v>
      </c>
    </row>
    <row r="384" spans="2:17" x14ac:dyDescent="0.25">
      <c r="B384" s="45" t="s">
        <v>176</v>
      </c>
      <c r="C384" s="45" t="s">
        <v>395</v>
      </c>
      <c r="D384" s="20" t="s">
        <v>438</v>
      </c>
      <c r="E384" s="21">
        <v>10</v>
      </c>
      <c r="F384" s="1" t="s">
        <v>152</v>
      </c>
      <c r="G384" s="25" t="s">
        <v>235</v>
      </c>
      <c r="H384" s="1" t="s">
        <v>226</v>
      </c>
      <c r="I384" s="1" t="s">
        <v>227</v>
      </c>
      <c r="J384" s="60">
        <v>0</v>
      </c>
      <c r="K384" s="24">
        <v>45273.522997685184</v>
      </c>
      <c r="L384" s="23">
        <v>0</v>
      </c>
      <c r="O384" s="54">
        <v>1</v>
      </c>
      <c r="P384" s="33">
        <v>10</v>
      </c>
      <c r="Q384" s="33">
        <v>0</v>
      </c>
    </row>
    <row r="385" spans="2:21" x14ac:dyDescent="0.25">
      <c r="B385" s="45" t="s">
        <v>176</v>
      </c>
      <c r="C385" s="45" t="s">
        <v>395</v>
      </c>
      <c r="D385" s="20" t="s">
        <v>438</v>
      </c>
      <c r="E385" s="21">
        <v>44</v>
      </c>
      <c r="F385" s="1" t="s">
        <v>152</v>
      </c>
      <c r="G385" s="25" t="s">
        <v>376</v>
      </c>
      <c r="H385" s="1" t="s">
        <v>226</v>
      </c>
      <c r="I385" s="1" t="s">
        <v>227</v>
      </c>
      <c r="J385" s="60">
        <v>0</v>
      </c>
      <c r="K385" s="24">
        <v>45273.523206018515</v>
      </c>
      <c r="L385" s="23">
        <v>0</v>
      </c>
      <c r="O385" s="54">
        <v>1</v>
      </c>
      <c r="P385" s="33">
        <v>44</v>
      </c>
      <c r="Q385" s="33">
        <v>0</v>
      </c>
    </row>
    <row r="386" spans="2:21" x14ac:dyDescent="0.25">
      <c r="B386" s="45" t="s">
        <v>176</v>
      </c>
      <c r="C386" s="45" t="s">
        <v>395</v>
      </c>
      <c r="D386" s="20" t="s">
        <v>438</v>
      </c>
      <c r="E386" s="21">
        <v>18</v>
      </c>
      <c r="F386" s="1" t="s">
        <v>152</v>
      </c>
      <c r="G386" s="25" t="s">
        <v>236</v>
      </c>
      <c r="H386" s="1" t="s">
        <v>226</v>
      </c>
      <c r="I386" s="1" t="s">
        <v>227</v>
      </c>
      <c r="J386" s="60">
        <v>0</v>
      </c>
      <c r="K386" s="24">
        <v>45273.523495370369</v>
      </c>
      <c r="L386" s="23">
        <v>0</v>
      </c>
      <c r="O386" s="54">
        <v>1</v>
      </c>
      <c r="P386" s="33">
        <v>18</v>
      </c>
      <c r="Q386" s="33">
        <v>0</v>
      </c>
    </row>
    <row r="387" spans="2:21" x14ac:dyDescent="0.25">
      <c r="B387" s="45" t="s">
        <v>176</v>
      </c>
      <c r="C387" s="45" t="s">
        <v>395</v>
      </c>
      <c r="D387" s="20" t="s">
        <v>438</v>
      </c>
      <c r="E387" s="21">
        <v>38</v>
      </c>
      <c r="F387" s="1" t="s">
        <v>152</v>
      </c>
      <c r="G387" s="25" t="s">
        <v>65</v>
      </c>
      <c r="H387" s="1" t="s">
        <v>226</v>
      </c>
      <c r="I387" s="1" t="s">
        <v>227</v>
      </c>
      <c r="J387" s="60">
        <v>0</v>
      </c>
      <c r="K387" s="24">
        <v>45273.523877314816</v>
      </c>
      <c r="L387" s="23">
        <v>0</v>
      </c>
      <c r="O387" s="54">
        <v>1</v>
      </c>
      <c r="P387" s="33">
        <v>38</v>
      </c>
      <c r="Q387" s="33">
        <v>0</v>
      </c>
    </row>
    <row r="388" spans="2:21" x14ac:dyDescent="0.25">
      <c r="B388" s="45" t="s">
        <v>176</v>
      </c>
      <c r="C388" s="45" t="s">
        <v>312</v>
      </c>
      <c r="D388" s="20" t="s">
        <v>439</v>
      </c>
      <c r="E388" s="21">
        <v>1200</v>
      </c>
      <c r="F388" s="1" t="s">
        <v>68</v>
      </c>
      <c r="G388" s="25" t="s">
        <v>120</v>
      </c>
      <c r="H388" s="1" t="s">
        <v>121</v>
      </c>
      <c r="I388" s="1" t="s">
        <v>122</v>
      </c>
      <c r="J388" s="60">
        <v>0</v>
      </c>
      <c r="K388" s="24">
        <v>45274.395173611112</v>
      </c>
      <c r="L388" s="23">
        <v>202400</v>
      </c>
      <c r="O388" s="54">
        <v>2400</v>
      </c>
      <c r="P388" s="33">
        <v>0</v>
      </c>
      <c r="Q388" s="33">
        <v>1200</v>
      </c>
    </row>
    <row r="389" spans="2:21" x14ac:dyDescent="0.25">
      <c r="B389" s="45" t="s">
        <v>176</v>
      </c>
      <c r="C389" s="45" t="s">
        <v>387</v>
      </c>
      <c r="D389" s="20" t="s">
        <v>440</v>
      </c>
      <c r="E389" s="21">
        <v>2000</v>
      </c>
      <c r="F389" s="1" t="s">
        <v>68</v>
      </c>
      <c r="G389" s="42" t="s">
        <v>188</v>
      </c>
      <c r="H389" s="1" t="s">
        <v>189</v>
      </c>
      <c r="I389" s="1" t="s">
        <v>122</v>
      </c>
      <c r="J389" s="60">
        <v>0</v>
      </c>
      <c r="K389" s="24">
        <v>45274.395868055559</v>
      </c>
      <c r="L389" s="23">
        <v>0</v>
      </c>
      <c r="O389" s="54">
        <v>2400</v>
      </c>
      <c r="P389" s="33">
        <v>0</v>
      </c>
      <c r="Q389" s="33">
        <v>2000</v>
      </c>
    </row>
    <row r="390" spans="2:21" x14ac:dyDescent="0.25">
      <c r="B390" s="45" t="s">
        <v>176</v>
      </c>
      <c r="C390" s="45" t="s">
        <v>418</v>
      </c>
      <c r="D390" s="20" t="s">
        <v>441</v>
      </c>
      <c r="E390" s="21">
        <v>1000</v>
      </c>
      <c r="F390" s="1" t="s">
        <v>68</v>
      </c>
      <c r="G390" s="25" t="s">
        <v>127</v>
      </c>
      <c r="H390" s="1" t="s">
        <v>128</v>
      </c>
      <c r="I390" s="1" t="s">
        <v>122</v>
      </c>
      <c r="J390" s="60">
        <v>0</v>
      </c>
      <c r="K390" s="24">
        <v>45274.396469907406</v>
      </c>
      <c r="L390" s="23">
        <v>4000</v>
      </c>
      <c r="O390" s="54">
        <v>2400</v>
      </c>
      <c r="P390" s="33">
        <v>0</v>
      </c>
      <c r="Q390" s="33">
        <v>1000</v>
      </c>
    </row>
    <row r="391" spans="2:21" x14ac:dyDescent="0.25">
      <c r="B391" s="45" t="s">
        <v>176</v>
      </c>
      <c r="C391" s="45" t="s">
        <v>392</v>
      </c>
      <c r="D391" s="20" t="s">
        <v>442</v>
      </c>
      <c r="E391" s="21">
        <v>6000</v>
      </c>
      <c r="F391" s="1" t="s">
        <v>68</v>
      </c>
      <c r="G391" s="25" t="s">
        <v>140</v>
      </c>
      <c r="H391" s="1" t="s">
        <v>141</v>
      </c>
      <c r="I391" s="1" t="s">
        <v>122</v>
      </c>
      <c r="J391" s="60">
        <v>0</v>
      </c>
      <c r="K391" s="24">
        <v>45274.397557870368</v>
      </c>
      <c r="L391" s="23">
        <v>197000</v>
      </c>
      <c r="O391" s="54">
        <v>2400</v>
      </c>
      <c r="P391" s="33">
        <v>2</v>
      </c>
      <c r="Q391" s="33">
        <v>1200</v>
      </c>
    </row>
    <row r="392" spans="2:21" x14ac:dyDescent="0.25">
      <c r="B392" s="45" t="s">
        <v>176</v>
      </c>
      <c r="C392" s="45" t="s">
        <v>392</v>
      </c>
      <c r="D392" s="20" t="s">
        <v>442</v>
      </c>
      <c r="E392" s="21">
        <v>900</v>
      </c>
      <c r="F392" s="1" t="s">
        <v>68</v>
      </c>
      <c r="G392" s="25" t="s">
        <v>181</v>
      </c>
      <c r="H392" s="1" t="s">
        <v>182</v>
      </c>
      <c r="I392" s="1" t="s">
        <v>183</v>
      </c>
      <c r="J392" s="60">
        <v>0</v>
      </c>
      <c r="K392" s="24">
        <v>45274.397858796299</v>
      </c>
      <c r="L392" s="23">
        <v>1446</v>
      </c>
      <c r="O392" s="54">
        <v>300</v>
      </c>
      <c r="P392" s="33">
        <v>3</v>
      </c>
      <c r="Q392" s="33">
        <v>0</v>
      </c>
    </row>
    <row r="393" spans="2:21" x14ac:dyDescent="0.25">
      <c r="B393" s="45" t="s">
        <v>176</v>
      </c>
      <c r="C393" s="45" t="s">
        <v>392</v>
      </c>
      <c r="D393" s="20" t="s">
        <v>442</v>
      </c>
      <c r="E393" s="21">
        <v>200</v>
      </c>
      <c r="F393" s="1" t="s">
        <v>68</v>
      </c>
      <c r="G393" s="25" t="s">
        <v>219</v>
      </c>
      <c r="H393" s="1" t="s">
        <v>220</v>
      </c>
      <c r="I393" s="1" t="s">
        <v>161</v>
      </c>
      <c r="J393" s="60">
        <v>0</v>
      </c>
      <c r="K393" s="24">
        <v>45274.398159722223</v>
      </c>
      <c r="L393" s="23">
        <v>8500</v>
      </c>
      <c r="O393" s="54">
        <v>1</v>
      </c>
      <c r="P393" s="33">
        <v>200</v>
      </c>
      <c r="Q393" s="33">
        <v>0</v>
      </c>
    </row>
    <row r="394" spans="2:21" x14ac:dyDescent="0.25">
      <c r="B394" s="45" t="s">
        <v>176</v>
      </c>
      <c r="C394" s="45" t="s">
        <v>392</v>
      </c>
      <c r="D394" s="20" t="s">
        <v>442</v>
      </c>
      <c r="E394" s="21">
        <v>60</v>
      </c>
      <c r="F394" s="1" t="s">
        <v>68</v>
      </c>
      <c r="G394" s="25" t="s">
        <v>443</v>
      </c>
      <c r="H394" s="1" t="s">
        <v>165</v>
      </c>
      <c r="I394" s="1" t="s">
        <v>161</v>
      </c>
      <c r="J394" s="60">
        <v>0</v>
      </c>
      <c r="K394" s="24">
        <v>45274.406736111108</v>
      </c>
      <c r="L394" s="23">
        <v>215</v>
      </c>
      <c r="O394" s="54">
        <v>24</v>
      </c>
      <c r="P394" s="33">
        <v>2</v>
      </c>
      <c r="Q394" s="33">
        <v>12</v>
      </c>
    </row>
    <row r="395" spans="2:21" x14ac:dyDescent="0.25">
      <c r="B395" s="45" t="s">
        <v>176</v>
      </c>
      <c r="C395" s="45" t="s">
        <v>262</v>
      </c>
      <c r="D395" s="20" t="s">
        <v>444</v>
      </c>
      <c r="E395" s="21">
        <v>8</v>
      </c>
      <c r="F395" s="1" t="s">
        <v>144</v>
      </c>
      <c r="G395" s="45" t="s">
        <v>148</v>
      </c>
      <c r="H395" s="1" t="s">
        <v>149</v>
      </c>
      <c r="I395" s="1" t="s">
        <v>147</v>
      </c>
      <c r="J395" s="60">
        <v>0</v>
      </c>
      <c r="K395" s="24">
        <v>45274.40766203704</v>
      </c>
      <c r="L395" s="23">
        <v>6275</v>
      </c>
      <c r="M395" s="23"/>
      <c r="O395" s="54">
        <v>10</v>
      </c>
      <c r="P395" s="33">
        <v>0</v>
      </c>
      <c r="Q395" s="33">
        <v>8</v>
      </c>
    </row>
    <row r="396" spans="2:21" x14ac:dyDescent="0.25">
      <c r="B396" s="63" t="s">
        <v>321</v>
      </c>
      <c r="C396" s="63" t="s">
        <v>344</v>
      </c>
      <c r="D396" s="64" t="s">
        <v>445</v>
      </c>
      <c r="E396" s="65">
        <v>756</v>
      </c>
      <c r="F396" s="66" t="s">
        <v>68</v>
      </c>
      <c r="G396" s="67" t="s">
        <v>181</v>
      </c>
      <c r="H396" s="66" t="s">
        <v>182</v>
      </c>
      <c r="I396" s="66" t="s">
        <v>183</v>
      </c>
      <c r="J396" s="60">
        <v>0</v>
      </c>
      <c r="K396" s="24">
        <v>45274.415567129632</v>
      </c>
      <c r="L396" s="23">
        <v>690</v>
      </c>
      <c r="O396" s="54">
        <v>300</v>
      </c>
      <c r="P396" s="33">
        <v>2</v>
      </c>
      <c r="Q396" s="33">
        <v>156</v>
      </c>
      <c r="U396" s="64"/>
    </row>
    <row r="397" spans="2:21" x14ac:dyDescent="0.25">
      <c r="B397" s="45" t="s">
        <v>321</v>
      </c>
      <c r="C397" s="45" t="s">
        <v>267</v>
      </c>
      <c r="D397" s="20" t="s">
        <v>446</v>
      </c>
      <c r="E397" s="21">
        <v>900</v>
      </c>
      <c r="F397" s="1" t="s">
        <v>68</v>
      </c>
      <c r="G397" s="45" t="s">
        <v>132</v>
      </c>
      <c r="H397" s="1" t="s">
        <v>133</v>
      </c>
      <c r="I397" s="1" t="s">
        <v>122</v>
      </c>
      <c r="J397" s="60">
        <v>0</v>
      </c>
      <c r="K397" s="24">
        <v>45274.415925925925</v>
      </c>
      <c r="L397" s="23">
        <v>12100</v>
      </c>
      <c r="O397" s="54">
        <v>1200</v>
      </c>
      <c r="P397" s="33">
        <v>0</v>
      </c>
      <c r="Q397" s="33">
        <v>900</v>
      </c>
    </row>
    <row r="398" spans="2:21" x14ac:dyDescent="0.25">
      <c r="B398" s="45" t="s">
        <v>321</v>
      </c>
      <c r="C398" s="45" t="s">
        <v>267</v>
      </c>
      <c r="D398" s="20" t="s">
        <v>446</v>
      </c>
      <c r="E398" s="21">
        <v>30</v>
      </c>
      <c r="F398" s="1" t="s">
        <v>68</v>
      </c>
      <c r="G398" s="25" t="s">
        <v>184</v>
      </c>
      <c r="H398" s="1" t="s">
        <v>185</v>
      </c>
      <c r="J398" s="60">
        <v>0</v>
      </c>
      <c r="K398" s="24">
        <v>45274.415983796294</v>
      </c>
      <c r="L398" s="23">
        <v>640</v>
      </c>
      <c r="O398" s="54">
        <v>4</v>
      </c>
      <c r="P398" s="33">
        <v>7</v>
      </c>
      <c r="Q398" s="33">
        <v>2</v>
      </c>
    </row>
    <row r="399" spans="2:21" x14ac:dyDescent="0.25">
      <c r="B399" s="45" t="s">
        <v>321</v>
      </c>
      <c r="C399" s="45" t="s">
        <v>267</v>
      </c>
      <c r="D399" s="20" t="s">
        <v>446</v>
      </c>
      <c r="E399" s="21">
        <v>30</v>
      </c>
      <c r="F399" s="1" t="s">
        <v>68</v>
      </c>
      <c r="G399" s="25" t="s">
        <v>787</v>
      </c>
      <c r="H399" s="1" t="s">
        <v>167</v>
      </c>
      <c r="I399" s="1" t="s">
        <v>161</v>
      </c>
      <c r="J399" s="60">
        <v>0</v>
      </c>
      <c r="K399" s="24">
        <v>45274.416041666664</v>
      </c>
      <c r="L399" s="23">
        <v>283</v>
      </c>
      <c r="O399" s="54">
        <v>4</v>
      </c>
      <c r="P399" s="33">
        <v>7</v>
      </c>
      <c r="Q399" s="33">
        <v>2</v>
      </c>
    </row>
    <row r="400" spans="2:21" x14ac:dyDescent="0.25">
      <c r="B400" s="45" t="s">
        <v>321</v>
      </c>
      <c r="C400" s="45" t="s">
        <v>345</v>
      </c>
      <c r="D400" s="20" t="s">
        <v>447</v>
      </c>
      <c r="E400" s="21">
        <v>4400</v>
      </c>
      <c r="F400" s="1" t="s">
        <v>68</v>
      </c>
      <c r="G400" s="45" t="s">
        <v>197</v>
      </c>
      <c r="H400" s="1" t="s">
        <v>198</v>
      </c>
      <c r="I400" s="1" t="s">
        <v>161</v>
      </c>
      <c r="J400" s="60">
        <v>0</v>
      </c>
      <c r="K400" s="24">
        <v>45274.416076388887</v>
      </c>
      <c r="L400" s="23">
        <v>2800</v>
      </c>
      <c r="O400" s="54">
        <v>2000</v>
      </c>
      <c r="P400" s="33">
        <v>2</v>
      </c>
      <c r="Q400" s="33">
        <v>400.00000000000034</v>
      </c>
    </row>
    <row r="401" spans="2:21" x14ac:dyDescent="0.25">
      <c r="B401" s="45" t="s">
        <v>321</v>
      </c>
      <c r="C401" s="45" t="s">
        <v>345</v>
      </c>
      <c r="D401" s="20" t="s">
        <v>447</v>
      </c>
      <c r="E401" s="21">
        <v>3900</v>
      </c>
      <c r="F401" s="1" t="s">
        <v>68</v>
      </c>
      <c r="G401" s="25" t="s">
        <v>163</v>
      </c>
      <c r="H401" s="1" t="s">
        <v>164</v>
      </c>
      <c r="I401" s="1" t="s">
        <v>161</v>
      </c>
      <c r="J401" s="60">
        <v>0</v>
      </c>
      <c r="K401" s="24">
        <v>45274.416122685187</v>
      </c>
      <c r="L401" s="23">
        <v>19120</v>
      </c>
      <c r="O401" s="54">
        <v>500</v>
      </c>
      <c r="P401" s="33">
        <v>7</v>
      </c>
      <c r="Q401" s="33">
        <v>399.99999999999989</v>
      </c>
    </row>
    <row r="402" spans="2:21" x14ac:dyDescent="0.25">
      <c r="B402" s="45" t="s">
        <v>321</v>
      </c>
      <c r="C402" s="45" t="s">
        <v>265</v>
      </c>
      <c r="D402" s="20" t="s">
        <v>448</v>
      </c>
      <c r="E402" s="21">
        <v>400</v>
      </c>
      <c r="F402" s="1" t="s">
        <v>68</v>
      </c>
      <c r="G402" s="45" t="s">
        <v>170</v>
      </c>
      <c r="H402" s="1" t="s">
        <v>171</v>
      </c>
      <c r="I402" s="1" t="s">
        <v>122</v>
      </c>
      <c r="J402" s="60">
        <v>0</v>
      </c>
      <c r="K402" s="24">
        <v>45274.416168981479</v>
      </c>
      <c r="L402" s="23">
        <v>2350</v>
      </c>
      <c r="O402" s="54">
        <v>100</v>
      </c>
      <c r="P402" s="33">
        <v>4</v>
      </c>
      <c r="Q402" s="33">
        <v>0</v>
      </c>
    </row>
    <row r="403" spans="2:21" x14ac:dyDescent="0.25">
      <c r="B403" s="45" t="s">
        <v>321</v>
      </c>
      <c r="C403" s="45" t="s">
        <v>266</v>
      </c>
      <c r="D403" s="20" t="s">
        <v>449</v>
      </c>
      <c r="E403" s="21">
        <v>250</v>
      </c>
      <c r="F403" s="1" t="s">
        <v>68</v>
      </c>
      <c r="G403" s="45" t="s">
        <v>168</v>
      </c>
      <c r="H403" s="1" t="s">
        <v>169</v>
      </c>
      <c r="I403" s="1" t="s">
        <v>122</v>
      </c>
      <c r="J403" s="60">
        <v>0</v>
      </c>
      <c r="K403" s="24">
        <v>45274.416226851848</v>
      </c>
      <c r="L403" s="23">
        <v>1756</v>
      </c>
      <c r="O403" s="54">
        <v>200</v>
      </c>
      <c r="P403" s="33">
        <v>1</v>
      </c>
      <c r="Q403" s="33">
        <v>50</v>
      </c>
    </row>
    <row r="404" spans="2:21" x14ac:dyDescent="0.25">
      <c r="B404" s="45" t="s">
        <v>450</v>
      </c>
      <c r="C404" s="45" t="s">
        <v>320</v>
      </c>
      <c r="D404" s="20" t="s">
        <v>66</v>
      </c>
      <c r="E404" s="21">
        <v>432</v>
      </c>
      <c r="F404" s="1" t="s">
        <v>152</v>
      </c>
      <c r="G404" s="45" t="s">
        <v>158</v>
      </c>
      <c r="H404" s="1" t="s">
        <v>154</v>
      </c>
      <c r="I404" s="1" t="s">
        <v>155</v>
      </c>
      <c r="J404" s="33">
        <v>1</v>
      </c>
      <c r="K404" s="24">
        <v>45275.592824074076</v>
      </c>
      <c r="L404" s="23">
        <v>432</v>
      </c>
      <c r="M404" s="22">
        <v>45272</v>
      </c>
      <c r="O404" s="54">
        <v>144</v>
      </c>
      <c r="P404" s="33">
        <v>3</v>
      </c>
      <c r="Q404" s="33">
        <v>0</v>
      </c>
    </row>
    <row r="405" spans="2:21" x14ac:dyDescent="0.25">
      <c r="B405" s="45" t="s">
        <v>451</v>
      </c>
      <c r="C405" s="45" t="s">
        <v>452</v>
      </c>
      <c r="D405" s="20" t="s">
        <v>66</v>
      </c>
      <c r="E405" s="21">
        <v>4032</v>
      </c>
      <c r="F405" s="1" t="s">
        <v>152</v>
      </c>
      <c r="G405" s="45" t="s">
        <v>157</v>
      </c>
      <c r="H405" s="1" t="s">
        <v>154</v>
      </c>
      <c r="I405" s="1" t="s">
        <v>155</v>
      </c>
      <c r="J405" s="33">
        <v>1</v>
      </c>
      <c r="K405" s="24">
        <v>45275.593807870369</v>
      </c>
      <c r="L405" s="23">
        <v>4032</v>
      </c>
      <c r="M405" s="22">
        <v>45272</v>
      </c>
      <c r="O405" s="54">
        <v>144</v>
      </c>
      <c r="P405" s="33">
        <v>28</v>
      </c>
      <c r="Q405" s="33">
        <v>0</v>
      </c>
    </row>
    <row r="406" spans="2:21" x14ac:dyDescent="0.25">
      <c r="B406" s="45" t="s">
        <v>451</v>
      </c>
      <c r="C406" s="45" t="s">
        <v>452</v>
      </c>
      <c r="D406" s="20" t="s">
        <v>66</v>
      </c>
      <c r="E406" s="21">
        <v>1440</v>
      </c>
      <c r="F406" s="1" t="s">
        <v>152</v>
      </c>
      <c r="G406" s="45" t="s">
        <v>158</v>
      </c>
      <c r="H406" s="1" t="s">
        <v>154</v>
      </c>
      <c r="I406" s="1" t="s">
        <v>155</v>
      </c>
      <c r="J406" s="33">
        <v>1</v>
      </c>
      <c r="K406" s="24">
        <v>45275.594340277778</v>
      </c>
      <c r="L406" s="23">
        <v>1872</v>
      </c>
      <c r="M406" s="22">
        <v>45272</v>
      </c>
      <c r="O406" s="54">
        <v>144</v>
      </c>
      <c r="P406" s="33">
        <v>10</v>
      </c>
      <c r="Q406" s="33">
        <v>0</v>
      </c>
    </row>
    <row r="407" spans="2:21" x14ac:dyDescent="0.25">
      <c r="B407" s="45" t="s">
        <v>321</v>
      </c>
      <c r="C407" s="45" t="s">
        <v>267</v>
      </c>
      <c r="D407" s="20" t="s">
        <v>453</v>
      </c>
      <c r="E407" s="21">
        <v>50</v>
      </c>
      <c r="F407" s="1" t="s">
        <v>68</v>
      </c>
      <c r="G407" s="45" t="s">
        <v>184</v>
      </c>
      <c r="H407" s="1" t="s">
        <v>185</v>
      </c>
      <c r="J407" s="60">
        <v>0</v>
      </c>
      <c r="K407" s="24">
        <v>45275.750590277778</v>
      </c>
      <c r="L407" s="23">
        <v>590</v>
      </c>
      <c r="O407" s="54">
        <v>4</v>
      </c>
      <c r="P407" s="33">
        <v>12</v>
      </c>
      <c r="Q407" s="33">
        <v>2</v>
      </c>
    </row>
    <row r="408" spans="2:21" x14ac:dyDescent="0.25">
      <c r="B408" s="45" t="s">
        <v>321</v>
      </c>
      <c r="C408" s="45" t="s">
        <v>267</v>
      </c>
      <c r="D408" s="20" t="s">
        <v>453</v>
      </c>
      <c r="E408" s="21">
        <v>25000</v>
      </c>
      <c r="F408" s="1" t="s">
        <v>68</v>
      </c>
      <c r="G408" s="45" t="s">
        <v>120</v>
      </c>
      <c r="H408" s="1" t="s">
        <v>121</v>
      </c>
      <c r="I408" s="1" t="s">
        <v>122</v>
      </c>
      <c r="J408" s="60">
        <v>0</v>
      </c>
      <c r="K408" s="24">
        <v>45275.751030092593</v>
      </c>
      <c r="L408" s="23">
        <v>177400</v>
      </c>
      <c r="O408" s="54">
        <v>2400</v>
      </c>
      <c r="P408" s="33">
        <v>10</v>
      </c>
      <c r="Q408" s="33">
        <v>999.99999999999864</v>
      </c>
    </row>
    <row r="409" spans="2:21" x14ac:dyDescent="0.25">
      <c r="B409" s="45" t="s">
        <v>321</v>
      </c>
      <c r="C409" s="45" t="s">
        <v>454</v>
      </c>
      <c r="D409" s="20" t="s">
        <v>455</v>
      </c>
      <c r="E409" s="21">
        <v>300</v>
      </c>
      <c r="F409" s="1" t="s">
        <v>68</v>
      </c>
      <c r="G409" s="45" t="s">
        <v>168</v>
      </c>
      <c r="H409" s="1" t="s">
        <v>169</v>
      </c>
      <c r="I409" s="1" t="s">
        <v>122</v>
      </c>
      <c r="J409" s="60">
        <v>0</v>
      </c>
      <c r="K409" s="24">
        <v>45275.751550925925</v>
      </c>
      <c r="L409" s="23">
        <v>1456</v>
      </c>
      <c r="O409" s="54">
        <v>200</v>
      </c>
      <c r="P409" s="33">
        <v>1</v>
      </c>
      <c r="Q409" s="33">
        <v>100</v>
      </c>
    </row>
    <row r="410" spans="2:21" x14ac:dyDescent="0.25">
      <c r="B410" s="45" t="s">
        <v>321</v>
      </c>
      <c r="C410" s="45" t="s">
        <v>265</v>
      </c>
      <c r="D410" s="20" t="s">
        <v>456</v>
      </c>
      <c r="E410" s="21">
        <v>400</v>
      </c>
      <c r="F410" s="1" t="s">
        <v>68</v>
      </c>
      <c r="G410" s="45" t="s">
        <v>170</v>
      </c>
      <c r="H410" s="1" t="s">
        <v>171</v>
      </c>
      <c r="I410" s="1" t="s">
        <v>122</v>
      </c>
      <c r="J410" s="60">
        <v>0</v>
      </c>
      <c r="K410" s="24">
        <v>45275.752060185187</v>
      </c>
      <c r="L410" s="23">
        <v>1950</v>
      </c>
      <c r="O410" s="54">
        <v>100</v>
      </c>
      <c r="P410" s="33">
        <v>4</v>
      </c>
      <c r="Q410" s="33">
        <v>0</v>
      </c>
    </row>
    <row r="411" spans="2:21" x14ac:dyDescent="0.25">
      <c r="B411" s="45" t="s">
        <v>321</v>
      </c>
      <c r="C411" s="68" t="s">
        <v>457</v>
      </c>
      <c r="D411" s="34" t="s">
        <v>457</v>
      </c>
      <c r="E411" s="35">
        <v>400</v>
      </c>
      <c r="F411" s="26" t="s">
        <v>144</v>
      </c>
      <c r="G411" s="68" t="s">
        <v>145</v>
      </c>
      <c r="H411" s="26" t="s">
        <v>146</v>
      </c>
      <c r="I411" s="1" t="s">
        <v>458</v>
      </c>
      <c r="J411" s="60">
        <v>0</v>
      </c>
      <c r="K411" s="24">
        <v>45279.525069444448</v>
      </c>
      <c r="L411" s="23">
        <v>1718</v>
      </c>
      <c r="O411" s="54">
        <v>10</v>
      </c>
      <c r="P411" s="33">
        <v>40</v>
      </c>
      <c r="Q411" s="33">
        <v>0</v>
      </c>
    </row>
    <row r="412" spans="2:21" ht="30" x14ac:dyDescent="0.25">
      <c r="B412" s="69" t="s">
        <v>321</v>
      </c>
      <c r="C412" s="70" t="s">
        <v>766</v>
      </c>
      <c r="D412" s="71">
        <v>478</v>
      </c>
      <c r="E412" s="71">
        <v>1600</v>
      </c>
      <c r="F412" s="18" t="s">
        <v>68</v>
      </c>
      <c r="G412" s="72" t="s">
        <v>120</v>
      </c>
      <c r="H412" s="1" t="s">
        <v>121</v>
      </c>
      <c r="I412" s="1" t="s">
        <v>122</v>
      </c>
      <c r="J412" s="60">
        <v>0</v>
      </c>
      <c r="K412" s="24">
        <v>45279.52511574074</v>
      </c>
      <c r="L412" s="23">
        <v>175800</v>
      </c>
      <c r="O412" s="54">
        <v>2400</v>
      </c>
      <c r="P412" s="33">
        <v>0</v>
      </c>
      <c r="Q412" s="33">
        <v>1600</v>
      </c>
      <c r="U412" s="73"/>
    </row>
    <row r="413" spans="2:21" ht="30" x14ac:dyDescent="0.25">
      <c r="B413" s="69" t="s">
        <v>321</v>
      </c>
      <c r="C413" s="70" t="s">
        <v>344</v>
      </c>
      <c r="D413" s="71">
        <v>479</v>
      </c>
      <c r="E413" s="71">
        <v>640</v>
      </c>
      <c r="F413" s="18" t="s">
        <v>68</v>
      </c>
      <c r="G413" s="74" t="s">
        <v>181</v>
      </c>
      <c r="H413" s="1" t="s">
        <v>182</v>
      </c>
      <c r="I413" s="1" t="s">
        <v>183</v>
      </c>
      <c r="J413" s="60">
        <v>0</v>
      </c>
      <c r="K413" s="24">
        <v>45279.525138888886</v>
      </c>
      <c r="L413" s="23">
        <v>50</v>
      </c>
      <c r="O413" s="54">
        <v>300</v>
      </c>
      <c r="P413" s="33">
        <v>2</v>
      </c>
      <c r="Q413" s="33">
        <v>39.999999999999993</v>
      </c>
      <c r="U413" s="73"/>
    </row>
    <row r="414" spans="2:21" ht="30" x14ac:dyDescent="0.25">
      <c r="B414" s="69" t="s">
        <v>321</v>
      </c>
      <c r="C414" s="70" t="s">
        <v>509</v>
      </c>
      <c r="D414" s="71">
        <v>480</v>
      </c>
      <c r="E414" s="71">
        <v>30000</v>
      </c>
      <c r="F414" s="18" t="s">
        <v>68</v>
      </c>
      <c r="G414" s="74" t="s">
        <v>120</v>
      </c>
      <c r="H414" s="1" t="s">
        <v>121</v>
      </c>
      <c r="I414" s="1" t="s">
        <v>122</v>
      </c>
      <c r="J414" s="60">
        <v>0</v>
      </c>
      <c r="K414" s="24">
        <v>45279.525185185186</v>
      </c>
      <c r="L414" s="23">
        <v>145800</v>
      </c>
      <c r="O414" s="54">
        <v>2400</v>
      </c>
      <c r="P414" s="33">
        <v>12</v>
      </c>
      <c r="Q414" s="33">
        <v>1200</v>
      </c>
      <c r="U414" s="73"/>
    </row>
    <row r="415" spans="2:21" ht="30" x14ac:dyDescent="0.25">
      <c r="B415" s="69" t="s">
        <v>321</v>
      </c>
      <c r="C415" s="70" t="s">
        <v>345</v>
      </c>
      <c r="D415" s="71">
        <v>481</v>
      </c>
      <c r="E415" s="71">
        <v>2000</v>
      </c>
      <c r="F415" s="18" t="s">
        <v>68</v>
      </c>
      <c r="G415" s="74" t="s">
        <v>197</v>
      </c>
      <c r="H415" s="1" t="s">
        <v>198</v>
      </c>
      <c r="I415" s="1" t="s">
        <v>161</v>
      </c>
      <c r="J415" s="60">
        <v>0</v>
      </c>
      <c r="K415" s="24">
        <v>45279.525208333333</v>
      </c>
      <c r="L415" s="23">
        <v>800</v>
      </c>
      <c r="O415" s="54">
        <v>2000</v>
      </c>
      <c r="P415" s="33">
        <v>1</v>
      </c>
      <c r="Q415" s="33">
        <v>0</v>
      </c>
      <c r="U415" s="73"/>
    </row>
    <row r="416" spans="2:21" ht="13.5" customHeight="1" x14ac:dyDescent="0.25">
      <c r="B416" s="69" t="s">
        <v>321</v>
      </c>
      <c r="C416" s="70" t="s">
        <v>767</v>
      </c>
      <c r="D416" s="71">
        <v>482</v>
      </c>
      <c r="E416" s="71">
        <v>100</v>
      </c>
      <c r="F416" s="18" t="s">
        <v>68</v>
      </c>
      <c r="G416" s="74" t="s">
        <v>145</v>
      </c>
      <c r="H416" s="1" t="s">
        <v>146</v>
      </c>
      <c r="I416" s="1" t="s">
        <v>147</v>
      </c>
      <c r="J416" s="60">
        <v>0</v>
      </c>
      <c r="K416" s="24">
        <v>45279.525231481479</v>
      </c>
      <c r="L416" s="23">
        <v>1618</v>
      </c>
      <c r="O416" s="54">
        <v>10</v>
      </c>
      <c r="P416" s="33">
        <v>10</v>
      </c>
      <c r="Q416" s="33">
        <v>0</v>
      </c>
      <c r="U416" s="73"/>
    </row>
    <row r="417" spans="2:21" ht="13.5" customHeight="1" x14ac:dyDescent="0.25">
      <c r="B417" s="69" t="s">
        <v>321</v>
      </c>
      <c r="C417" s="70" t="s">
        <v>266</v>
      </c>
      <c r="D417" s="71">
        <v>483</v>
      </c>
      <c r="E417" s="71">
        <v>50</v>
      </c>
      <c r="F417" s="18" t="s">
        <v>68</v>
      </c>
      <c r="G417" s="74" t="s">
        <v>145</v>
      </c>
      <c r="H417" s="1" t="s">
        <v>146</v>
      </c>
      <c r="I417" s="1" t="s">
        <v>147</v>
      </c>
      <c r="J417" s="60">
        <v>0</v>
      </c>
      <c r="K417" s="24">
        <v>45279.525254629632</v>
      </c>
      <c r="L417" s="23">
        <v>1568</v>
      </c>
      <c r="O417" s="54">
        <v>10</v>
      </c>
      <c r="P417" s="33">
        <v>5</v>
      </c>
      <c r="Q417" s="33">
        <v>0</v>
      </c>
      <c r="U417" s="73"/>
    </row>
    <row r="418" spans="2:21" ht="30" x14ac:dyDescent="0.25">
      <c r="B418" s="69" t="s">
        <v>321</v>
      </c>
      <c r="C418" s="70" t="s">
        <v>368</v>
      </c>
      <c r="D418" s="71">
        <v>477</v>
      </c>
      <c r="E418" s="71">
        <v>20000</v>
      </c>
      <c r="F418" s="18" t="s">
        <v>68</v>
      </c>
      <c r="G418" s="74" t="s">
        <v>124</v>
      </c>
      <c r="H418" s="1" t="s">
        <v>125</v>
      </c>
      <c r="I418" s="1" t="s">
        <v>122</v>
      </c>
      <c r="J418" s="60">
        <v>0</v>
      </c>
      <c r="K418" s="24">
        <v>45279.525289351855</v>
      </c>
      <c r="L418" s="23">
        <v>20000</v>
      </c>
      <c r="O418" s="54">
        <v>1200</v>
      </c>
      <c r="P418" s="33">
        <v>16</v>
      </c>
      <c r="Q418" s="33">
        <v>800.00000000000136</v>
      </c>
      <c r="U418" s="73"/>
    </row>
    <row r="419" spans="2:21" ht="30" x14ac:dyDescent="0.25">
      <c r="B419" s="45" t="s">
        <v>459</v>
      </c>
      <c r="C419" s="45" t="s">
        <v>460</v>
      </c>
      <c r="D419" s="20" t="s">
        <v>461</v>
      </c>
      <c r="E419" s="21">
        <v>30000</v>
      </c>
      <c r="F419" s="18" t="s">
        <v>68</v>
      </c>
      <c r="G419" s="74" t="s">
        <v>190</v>
      </c>
      <c r="H419" s="1" t="s">
        <v>191</v>
      </c>
      <c r="I419" s="1" t="s">
        <v>122</v>
      </c>
      <c r="J419" s="33">
        <v>1</v>
      </c>
      <c r="K419" s="24">
        <v>45279.606608796297</v>
      </c>
      <c r="L419" s="23">
        <v>30000</v>
      </c>
      <c r="M419" s="1" t="s">
        <v>462</v>
      </c>
      <c r="O419" s="54">
        <v>1</v>
      </c>
      <c r="P419" s="33">
        <v>30000</v>
      </c>
      <c r="Q419" s="33">
        <v>0</v>
      </c>
    </row>
    <row r="420" spans="2:21" ht="30" x14ac:dyDescent="0.25">
      <c r="B420" s="45" t="s">
        <v>459</v>
      </c>
      <c r="C420" s="45" t="s">
        <v>460</v>
      </c>
      <c r="D420" s="20" t="s">
        <v>461</v>
      </c>
      <c r="E420" s="21">
        <v>30000</v>
      </c>
      <c r="F420" s="18" t="s">
        <v>68</v>
      </c>
      <c r="G420" s="74" t="s">
        <v>300</v>
      </c>
      <c r="H420" s="1" t="s">
        <v>301</v>
      </c>
      <c r="I420" s="1" t="s">
        <v>122</v>
      </c>
      <c r="J420" s="33">
        <v>1</v>
      </c>
      <c r="K420" s="24">
        <v>45279.606712962966</v>
      </c>
      <c r="L420" s="23">
        <v>31200</v>
      </c>
      <c r="M420" s="1" t="s">
        <v>462</v>
      </c>
      <c r="O420" s="54">
        <v>1</v>
      </c>
      <c r="P420" s="33">
        <v>30000</v>
      </c>
      <c r="Q420" s="33">
        <v>0</v>
      </c>
    </row>
    <row r="421" spans="2:21" ht="30" x14ac:dyDescent="0.25">
      <c r="B421" s="45" t="s">
        <v>459</v>
      </c>
      <c r="C421" s="45" t="s">
        <v>460</v>
      </c>
      <c r="D421" s="20" t="s">
        <v>461</v>
      </c>
      <c r="E421" s="21">
        <v>30000</v>
      </c>
      <c r="F421" s="18" t="s">
        <v>68</v>
      </c>
      <c r="G421" s="74" t="s">
        <v>136</v>
      </c>
      <c r="H421" s="1" t="s">
        <v>137</v>
      </c>
      <c r="I421" s="1" t="s">
        <v>122</v>
      </c>
      <c r="J421" s="33">
        <v>1</v>
      </c>
      <c r="K421" s="24">
        <v>45279.606828703705</v>
      </c>
      <c r="L421" s="23">
        <v>30000</v>
      </c>
      <c r="M421" s="1" t="s">
        <v>462</v>
      </c>
      <c r="O421" s="54">
        <v>2400</v>
      </c>
      <c r="P421" s="33">
        <v>12</v>
      </c>
      <c r="Q421" s="33">
        <v>1200</v>
      </c>
    </row>
    <row r="422" spans="2:21" ht="30" x14ac:dyDescent="0.25">
      <c r="B422" s="45" t="s">
        <v>459</v>
      </c>
      <c r="C422" s="45" t="s">
        <v>460</v>
      </c>
      <c r="D422" s="20" t="s">
        <v>461</v>
      </c>
      <c r="E422" s="21">
        <v>30000</v>
      </c>
      <c r="F422" s="18" t="s">
        <v>68</v>
      </c>
      <c r="G422" s="74" t="s">
        <v>188</v>
      </c>
      <c r="H422" s="1" t="s">
        <v>189</v>
      </c>
      <c r="I422" s="1" t="s">
        <v>122</v>
      </c>
      <c r="J422" s="33">
        <v>1</v>
      </c>
      <c r="K422" s="24">
        <v>45279.606886574074</v>
      </c>
      <c r="L422" s="23">
        <v>30000</v>
      </c>
      <c r="M422" s="1" t="s">
        <v>462</v>
      </c>
      <c r="O422" s="54">
        <v>2400</v>
      </c>
      <c r="P422" s="33">
        <v>12</v>
      </c>
      <c r="Q422" s="33">
        <v>1200</v>
      </c>
    </row>
    <row r="423" spans="2:21" x14ac:dyDescent="0.25">
      <c r="B423" s="45" t="s">
        <v>176</v>
      </c>
      <c r="C423" s="45" t="s">
        <v>418</v>
      </c>
      <c r="D423" s="20" t="s">
        <v>463</v>
      </c>
      <c r="E423" s="21">
        <v>20</v>
      </c>
      <c r="F423" s="1" t="s">
        <v>68</v>
      </c>
      <c r="G423" s="25" t="s">
        <v>787</v>
      </c>
      <c r="H423" s="1" t="s">
        <v>167</v>
      </c>
      <c r="I423" s="1" t="s">
        <v>161</v>
      </c>
      <c r="J423" s="60">
        <v>0</v>
      </c>
      <c r="K423" s="24">
        <v>45280.54178240741</v>
      </c>
      <c r="L423" s="23">
        <v>263</v>
      </c>
      <c r="O423" s="54">
        <v>4</v>
      </c>
      <c r="P423" s="33">
        <v>5</v>
      </c>
      <c r="Q423" s="33">
        <v>0</v>
      </c>
    </row>
    <row r="424" spans="2:21" x14ac:dyDescent="0.25">
      <c r="B424" s="45" t="s">
        <v>464</v>
      </c>
      <c r="C424" s="45" t="s">
        <v>465</v>
      </c>
      <c r="D424" s="20" t="s">
        <v>380</v>
      </c>
      <c r="E424" s="21">
        <v>15</v>
      </c>
      <c r="F424" s="1" t="s">
        <v>152</v>
      </c>
      <c r="G424" s="74" t="s">
        <v>379</v>
      </c>
      <c r="H424" s="1" t="s">
        <v>226</v>
      </c>
      <c r="I424" s="1" t="s">
        <v>227</v>
      </c>
      <c r="J424" s="33">
        <v>1</v>
      </c>
      <c r="K424" s="24">
        <v>45280.706423611111</v>
      </c>
      <c r="L424" s="23">
        <v>22</v>
      </c>
      <c r="M424" s="1" t="s">
        <v>462</v>
      </c>
      <c r="O424" s="54">
        <v>1</v>
      </c>
      <c r="P424" s="33">
        <v>15</v>
      </c>
      <c r="Q424" s="33">
        <v>0</v>
      </c>
    </row>
    <row r="425" spans="2:21" x14ac:dyDescent="0.25">
      <c r="B425" s="45" t="s">
        <v>464</v>
      </c>
      <c r="C425" s="45" t="s">
        <v>465</v>
      </c>
      <c r="D425" s="20" t="s">
        <v>380</v>
      </c>
      <c r="E425" s="21">
        <v>11</v>
      </c>
      <c r="F425" s="1" t="s">
        <v>152</v>
      </c>
      <c r="G425" s="74" t="s">
        <v>243</v>
      </c>
      <c r="H425" s="1" t="s">
        <v>226</v>
      </c>
      <c r="I425" s="1" t="s">
        <v>227</v>
      </c>
      <c r="J425" s="33">
        <v>1</v>
      </c>
      <c r="K425" s="24">
        <v>45280.70652777778</v>
      </c>
      <c r="L425" s="23">
        <v>11</v>
      </c>
      <c r="M425" s="1" t="s">
        <v>462</v>
      </c>
      <c r="O425" s="54">
        <v>1</v>
      </c>
      <c r="P425" s="33">
        <v>11</v>
      </c>
      <c r="Q425" s="33">
        <v>0</v>
      </c>
    </row>
    <row r="426" spans="2:21" x14ac:dyDescent="0.25">
      <c r="B426" s="45" t="s">
        <v>464</v>
      </c>
      <c r="C426" s="45" t="s">
        <v>465</v>
      </c>
      <c r="D426" s="20" t="s">
        <v>380</v>
      </c>
      <c r="E426" s="21">
        <v>21</v>
      </c>
      <c r="F426" s="1" t="s">
        <v>152</v>
      </c>
      <c r="G426" s="74" t="s">
        <v>244</v>
      </c>
      <c r="H426" s="1" t="s">
        <v>226</v>
      </c>
      <c r="I426" s="1" t="s">
        <v>227</v>
      </c>
      <c r="J426" s="33">
        <v>1</v>
      </c>
      <c r="K426" s="24">
        <v>45280.706956018519</v>
      </c>
      <c r="L426" s="23">
        <v>21</v>
      </c>
      <c r="M426" s="1" t="s">
        <v>462</v>
      </c>
      <c r="O426" s="54">
        <v>1</v>
      </c>
      <c r="P426" s="33">
        <v>21</v>
      </c>
      <c r="Q426" s="33">
        <v>0</v>
      </c>
    </row>
    <row r="427" spans="2:21" x14ac:dyDescent="0.25">
      <c r="B427" s="45" t="s">
        <v>464</v>
      </c>
      <c r="C427" s="45" t="s">
        <v>465</v>
      </c>
      <c r="D427" s="20" t="s">
        <v>380</v>
      </c>
      <c r="E427" s="21">
        <v>21</v>
      </c>
      <c r="F427" s="1" t="s">
        <v>152</v>
      </c>
      <c r="G427" s="74" t="s">
        <v>377</v>
      </c>
      <c r="H427" s="1" t="s">
        <v>226</v>
      </c>
      <c r="I427" s="1" t="s">
        <v>227</v>
      </c>
      <c r="J427" s="33">
        <v>1</v>
      </c>
      <c r="K427" s="24">
        <v>45280.70716435185</v>
      </c>
      <c r="L427" s="23">
        <v>32</v>
      </c>
      <c r="M427" s="1" t="s">
        <v>462</v>
      </c>
      <c r="O427" s="54">
        <v>1</v>
      </c>
      <c r="P427" s="33">
        <v>21</v>
      </c>
      <c r="Q427" s="33">
        <v>0</v>
      </c>
    </row>
    <row r="428" spans="2:21" x14ac:dyDescent="0.25">
      <c r="B428" s="45" t="s">
        <v>464</v>
      </c>
      <c r="C428" s="45" t="s">
        <v>465</v>
      </c>
      <c r="D428" s="20" t="s">
        <v>380</v>
      </c>
      <c r="E428" s="21">
        <v>18</v>
      </c>
      <c r="F428" s="1" t="s">
        <v>152</v>
      </c>
      <c r="G428" s="74" t="s">
        <v>378</v>
      </c>
      <c r="H428" s="1" t="s">
        <v>226</v>
      </c>
      <c r="I428" s="1" t="s">
        <v>227</v>
      </c>
      <c r="J428" s="33">
        <v>1</v>
      </c>
      <c r="K428" s="24">
        <v>45280.707384259258</v>
      </c>
      <c r="L428" s="23">
        <v>18</v>
      </c>
      <c r="M428" s="1" t="s">
        <v>462</v>
      </c>
      <c r="O428" s="54">
        <v>1</v>
      </c>
      <c r="P428" s="33">
        <v>18</v>
      </c>
      <c r="Q428" s="33">
        <v>0</v>
      </c>
    </row>
    <row r="429" spans="2:21" x14ac:dyDescent="0.25">
      <c r="B429" s="45" t="s">
        <v>464</v>
      </c>
      <c r="C429" s="45" t="s">
        <v>465</v>
      </c>
      <c r="D429" s="20" t="s">
        <v>380</v>
      </c>
      <c r="E429" s="21">
        <v>32</v>
      </c>
      <c r="F429" s="1" t="s">
        <v>152</v>
      </c>
      <c r="G429" s="74" t="s">
        <v>245</v>
      </c>
      <c r="H429" s="1" t="s">
        <v>226</v>
      </c>
      <c r="I429" s="1" t="s">
        <v>227</v>
      </c>
      <c r="J429" s="33">
        <v>1</v>
      </c>
      <c r="K429" s="24">
        <v>45280.70758101852</v>
      </c>
      <c r="L429" s="23">
        <v>32</v>
      </c>
      <c r="M429" s="1" t="s">
        <v>462</v>
      </c>
      <c r="O429" s="54">
        <v>1</v>
      </c>
      <c r="P429" s="33">
        <v>32</v>
      </c>
      <c r="Q429" s="33">
        <v>0</v>
      </c>
    </row>
    <row r="430" spans="2:21" x14ac:dyDescent="0.25">
      <c r="B430" s="45" t="s">
        <v>464</v>
      </c>
      <c r="C430" s="45" t="s">
        <v>465</v>
      </c>
      <c r="D430" s="20" t="s">
        <v>380</v>
      </c>
      <c r="E430" s="21">
        <v>26</v>
      </c>
      <c r="F430" s="1" t="s">
        <v>152</v>
      </c>
      <c r="G430" s="74" t="s">
        <v>415</v>
      </c>
      <c r="H430" s="1" t="s">
        <v>226</v>
      </c>
      <c r="I430" s="1" t="s">
        <v>227</v>
      </c>
      <c r="J430" s="33">
        <v>1</v>
      </c>
      <c r="K430" s="24">
        <v>45280.707766203705</v>
      </c>
      <c r="L430" s="23">
        <v>26</v>
      </c>
      <c r="M430" s="1" t="s">
        <v>462</v>
      </c>
      <c r="O430" s="54">
        <v>1</v>
      </c>
      <c r="P430" s="33">
        <v>26</v>
      </c>
      <c r="Q430" s="33">
        <v>0</v>
      </c>
    </row>
    <row r="431" spans="2:21" x14ac:dyDescent="0.25">
      <c r="B431" s="45" t="s">
        <v>464</v>
      </c>
      <c r="C431" s="45" t="s">
        <v>465</v>
      </c>
      <c r="D431" s="20" t="s">
        <v>380</v>
      </c>
      <c r="E431" s="21">
        <v>14</v>
      </c>
      <c r="F431" s="1" t="s">
        <v>152</v>
      </c>
      <c r="G431" s="74" t="s">
        <v>64</v>
      </c>
      <c r="H431" s="1" t="s">
        <v>226</v>
      </c>
      <c r="I431" s="1" t="s">
        <v>227</v>
      </c>
      <c r="J431" s="33">
        <v>1</v>
      </c>
      <c r="K431" s="24">
        <v>45280.707997685182</v>
      </c>
      <c r="L431" s="23">
        <v>14</v>
      </c>
      <c r="M431" s="1" t="s">
        <v>462</v>
      </c>
      <c r="O431" s="54">
        <v>1</v>
      </c>
      <c r="P431" s="33">
        <v>14</v>
      </c>
      <c r="Q431" s="33">
        <v>0</v>
      </c>
    </row>
    <row r="432" spans="2:21" x14ac:dyDescent="0.25">
      <c r="B432" s="45" t="s">
        <v>464</v>
      </c>
      <c r="C432" s="45" t="s">
        <v>465</v>
      </c>
      <c r="D432" s="20" t="s">
        <v>380</v>
      </c>
      <c r="E432" s="21">
        <v>10</v>
      </c>
      <c r="F432" s="1" t="s">
        <v>152</v>
      </c>
      <c r="G432" s="74" t="s">
        <v>235</v>
      </c>
      <c r="H432" s="1" t="s">
        <v>226</v>
      </c>
      <c r="I432" s="1" t="s">
        <v>227</v>
      </c>
      <c r="J432" s="33">
        <v>1</v>
      </c>
      <c r="K432" s="24">
        <v>45280.70820601852</v>
      </c>
      <c r="L432" s="23">
        <v>10</v>
      </c>
      <c r="M432" s="1" t="s">
        <v>462</v>
      </c>
      <c r="O432" s="54">
        <v>1</v>
      </c>
      <c r="P432" s="33">
        <v>10</v>
      </c>
      <c r="Q432" s="33">
        <v>0</v>
      </c>
    </row>
    <row r="433" spans="2:17" ht="30" x14ac:dyDescent="0.25">
      <c r="B433" s="45" t="s">
        <v>466</v>
      </c>
      <c r="C433" s="45" t="s">
        <v>467</v>
      </c>
      <c r="D433" s="20" t="s">
        <v>468</v>
      </c>
      <c r="E433" s="21">
        <v>20000</v>
      </c>
      <c r="F433" s="1" t="s">
        <v>68</v>
      </c>
      <c r="G433" s="74" t="s">
        <v>140</v>
      </c>
      <c r="H433" s="1" t="s">
        <v>141</v>
      </c>
      <c r="I433" s="1" t="s">
        <v>122</v>
      </c>
      <c r="J433" s="33">
        <v>1</v>
      </c>
      <c r="K433" s="24">
        <v>45654.526423611111</v>
      </c>
      <c r="L433" s="23">
        <v>217000</v>
      </c>
      <c r="M433" s="1" t="s">
        <v>469</v>
      </c>
      <c r="O433" s="54">
        <v>2400</v>
      </c>
      <c r="P433" s="33">
        <v>8</v>
      </c>
      <c r="Q433" s="33">
        <v>800.00000000000136</v>
      </c>
    </row>
    <row r="434" spans="2:17" ht="30" x14ac:dyDescent="0.25">
      <c r="B434" s="45" t="s">
        <v>176</v>
      </c>
      <c r="C434" s="45" t="s">
        <v>387</v>
      </c>
      <c r="D434" s="20" t="s">
        <v>470</v>
      </c>
      <c r="E434" s="21">
        <v>1600</v>
      </c>
      <c r="F434" s="1" t="s">
        <v>68</v>
      </c>
      <c r="G434" s="74" t="s">
        <v>188</v>
      </c>
      <c r="H434" s="1" t="s">
        <v>189</v>
      </c>
      <c r="I434" s="1" t="s">
        <v>122</v>
      </c>
      <c r="J434" s="60">
        <v>0</v>
      </c>
      <c r="K434" s="24">
        <v>45294.571736111109</v>
      </c>
      <c r="L434" s="23">
        <v>30200</v>
      </c>
      <c r="O434" s="54">
        <v>2400</v>
      </c>
      <c r="P434" s="33">
        <v>0</v>
      </c>
      <c r="Q434" s="33">
        <v>1600</v>
      </c>
    </row>
    <row r="435" spans="2:17" ht="30" x14ac:dyDescent="0.25">
      <c r="B435" s="45" t="s">
        <v>176</v>
      </c>
      <c r="C435" s="45" t="s">
        <v>387</v>
      </c>
      <c r="D435" s="20" t="s">
        <v>470</v>
      </c>
      <c r="E435" s="21">
        <v>1000</v>
      </c>
      <c r="F435" s="1" t="s">
        <v>68</v>
      </c>
      <c r="G435" s="74" t="s">
        <v>190</v>
      </c>
      <c r="H435" s="1" t="s">
        <v>191</v>
      </c>
      <c r="I435" s="1" t="s">
        <v>122</v>
      </c>
      <c r="J435" s="60">
        <v>0</v>
      </c>
      <c r="K435" s="24">
        <v>45294.57203703704</v>
      </c>
      <c r="L435" s="23">
        <v>29000</v>
      </c>
      <c r="O435" s="54">
        <v>2400</v>
      </c>
      <c r="P435" s="33">
        <v>0</v>
      </c>
      <c r="Q435" s="33">
        <v>1000</v>
      </c>
    </row>
    <row r="436" spans="2:17" ht="30" x14ac:dyDescent="0.25">
      <c r="B436" s="45" t="s">
        <v>176</v>
      </c>
      <c r="C436" s="45" t="s">
        <v>422</v>
      </c>
      <c r="D436" s="20" t="s">
        <v>471</v>
      </c>
      <c r="E436" s="21">
        <v>400</v>
      </c>
      <c r="F436" s="1" t="s">
        <v>68</v>
      </c>
      <c r="G436" s="74" t="s">
        <v>134</v>
      </c>
      <c r="H436" s="1" t="s">
        <v>135</v>
      </c>
      <c r="I436" s="1" t="s">
        <v>122</v>
      </c>
      <c r="J436" s="60">
        <v>0</v>
      </c>
      <c r="K436" s="24">
        <v>45294.572604166664</v>
      </c>
      <c r="L436" s="23">
        <v>5400</v>
      </c>
      <c r="O436" s="54">
        <v>3000</v>
      </c>
      <c r="P436" s="33">
        <v>0</v>
      </c>
      <c r="Q436" s="33">
        <v>400</v>
      </c>
    </row>
    <row r="437" spans="2:17" ht="30" x14ac:dyDescent="0.25">
      <c r="B437" s="45" t="s">
        <v>176</v>
      </c>
      <c r="C437" s="45" t="s">
        <v>422</v>
      </c>
      <c r="D437" s="20" t="s">
        <v>471</v>
      </c>
      <c r="E437" s="21">
        <v>400</v>
      </c>
      <c r="F437" s="1" t="s">
        <v>68</v>
      </c>
      <c r="G437" s="74" t="s">
        <v>136</v>
      </c>
      <c r="H437" s="1" t="s">
        <v>137</v>
      </c>
      <c r="I437" s="1" t="s">
        <v>122</v>
      </c>
      <c r="J437" s="60">
        <v>0</v>
      </c>
      <c r="K437" s="24">
        <v>45294.572870370372</v>
      </c>
      <c r="L437" s="23">
        <v>29600</v>
      </c>
      <c r="O437" s="54">
        <v>2400</v>
      </c>
      <c r="P437" s="33">
        <v>0</v>
      </c>
      <c r="Q437" s="33">
        <v>400</v>
      </c>
    </row>
    <row r="438" spans="2:17" x14ac:dyDescent="0.25">
      <c r="B438" s="45" t="s">
        <v>176</v>
      </c>
      <c r="C438" s="45" t="s">
        <v>392</v>
      </c>
      <c r="D438" s="20" t="s">
        <v>472</v>
      </c>
      <c r="E438" s="21">
        <v>4700</v>
      </c>
      <c r="F438" s="1" t="s">
        <v>68</v>
      </c>
      <c r="G438" s="74" t="s">
        <v>163</v>
      </c>
      <c r="H438" s="1" t="s">
        <v>164</v>
      </c>
      <c r="I438" s="1" t="s">
        <v>161</v>
      </c>
      <c r="J438" s="60">
        <v>0</v>
      </c>
      <c r="K438" s="24">
        <v>45294.573483796295</v>
      </c>
      <c r="L438" s="23">
        <v>14420</v>
      </c>
      <c r="O438" s="54">
        <v>500</v>
      </c>
      <c r="P438" s="33">
        <v>9</v>
      </c>
      <c r="Q438" s="33">
        <v>200.00000000000017</v>
      </c>
    </row>
    <row r="439" spans="2:17" x14ac:dyDescent="0.25">
      <c r="B439" s="45" t="s">
        <v>176</v>
      </c>
      <c r="C439" s="45" t="s">
        <v>392</v>
      </c>
      <c r="D439" s="20" t="s">
        <v>472</v>
      </c>
      <c r="E439" s="21">
        <v>60</v>
      </c>
      <c r="F439" s="1" t="s">
        <v>68</v>
      </c>
      <c r="G439" s="74" t="s">
        <v>181</v>
      </c>
      <c r="H439" s="1" t="s">
        <v>182</v>
      </c>
      <c r="I439" s="1" t="s">
        <v>183</v>
      </c>
      <c r="J439" s="60">
        <v>0</v>
      </c>
      <c r="K439" s="24">
        <v>45294.573819444442</v>
      </c>
      <c r="L439" s="23">
        <v>-10</v>
      </c>
      <c r="O439" s="54">
        <v>300</v>
      </c>
      <c r="P439" s="33">
        <v>0</v>
      </c>
      <c r="Q439" s="33">
        <v>60</v>
      </c>
    </row>
    <row r="440" spans="2:17" x14ac:dyDescent="0.25">
      <c r="B440" s="45" t="s">
        <v>176</v>
      </c>
      <c r="C440" s="45" t="s">
        <v>392</v>
      </c>
      <c r="D440" s="20" t="s">
        <v>472</v>
      </c>
      <c r="E440" s="21">
        <v>40</v>
      </c>
      <c r="F440" s="1" t="s">
        <v>68</v>
      </c>
      <c r="G440" s="74" t="s">
        <v>126</v>
      </c>
      <c r="H440" s="1" t="s">
        <v>180</v>
      </c>
      <c r="J440" s="60">
        <v>0</v>
      </c>
      <c r="K440" s="24">
        <v>45294.574189814812</v>
      </c>
      <c r="L440" s="23">
        <v>192</v>
      </c>
      <c r="O440" s="54">
        <v>96</v>
      </c>
      <c r="P440" s="33">
        <v>0</v>
      </c>
      <c r="Q440" s="33">
        <v>40</v>
      </c>
    </row>
    <row r="441" spans="2:17" x14ac:dyDescent="0.25">
      <c r="B441" s="45" t="s">
        <v>176</v>
      </c>
      <c r="C441" s="45" t="s">
        <v>392</v>
      </c>
      <c r="D441" s="20" t="s">
        <v>472</v>
      </c>
      <c r="E441" s="21">
        <v>1300</v>
      </c>
      <c r="F441" s="1" t="s">
        <v>68</v>
      </c>
      <c r="G441" s="25" t="s">
        <v>219</v>
      </c>
      <c r="H441" s="1" t="s">
        <v>220</v>
      </c>
      <c r="I441" s="1" t="s">
        <v>161</v>
      </c>
      <c r="J441" s="60">
        <v>0</v>
      </c>
      <c r="K441" s="24">
        <v>45294.574537037035</v>
      </c>
      <c r="L441" s="23">
        <v>7200</v>
      </c>
      <c r="O441" s="54">
        <v>1</v>
      </c>
      <c r="P441" s="33">
        <v>1300</v>
      </c>
      <c r="Q441" s="33">
        <v>0</v>
      </c>
    </row>
    <row r="442" spans="2:17" x14ac:dyDescent="0.25">
      <c r="B442" s="45" t="s">
        <v>176</v>
      </c>
      <c r="C442" s="45" t="s">
        <v>392</v>
      </c>
      <c r="D442" s="20" t="s">
        <v>472</v>
      </c>
      <c r="E442" s="21">
        <v>760</v>
      </c>
      <c r="F442" s="1" t="s">
        <v>152</v>
      </c>
      <c r="G442" s="74" t="s">
        <v>156</v>
      </c>
      <c r="H442" s="1" t="s">
        <v>154</v>
      </c>
      <c r="I442" s="1" t="s">
        <v>155</v>
      </c>
      <c r="J442" s="60">
        <v>0</v>
      </c>
      <c r="K442" s="24">
        <v>45294.574872685182</v>
      </c>
      <c r="L442" s="23">
        <v>3688</v>
      </c>
      <c r="O442" s="54">
        <v>144</v>
      </c>
      <c r="P442" s="33">
        <v>5</v>
      </c>
      <c r="Q442" s="33">
        <v>39.999999999999986</v>
      </c>
    </row>
    <row r="443" spans="2:17" x14ac:dyDescent="0.25">
      <c r="B443" s="45" t="s">
        <v>176</v>
      </c>
      <c r="C443" s="45" t="s">
        <v>392</v>
      </c>
      <c r="D443" s="20" t="s">
        <v>472</v>
      </c>
      <c r="E443" s="21">
        <v>670</v>
      </c>
      <c r="F443" s="1" t="s">
        <v>152</v>
      </c>
      <c r="G443" s="74" t="s">
        <v>157</v>
      </c>
      <c r="H443" s="1" t="s">
        <v>154</v>
      </c>
      <c r="I443" s="1" t="s">
        <v>155</v>
      </c>
      <c r="J443" s="60">
        <v>0</v>
      </c>
      <c r="K443" s="24">
        <v>45294.575104166666</v>
      </c>
      <c r="L443" s="23">
        <v>3362</v>
      </c>
      <c r="O443" s="54">
        <v>144</v>
      </c>
      <c r="P443" s="33">
        <v>4</v>
      </c>
      <c r="Q443" s="33">
        <v>93.999999999999986</v>
      </c>
    </row>
    <row r="444" spans="2:17" ht="30" x14ac:dyDescent="0.25">
      <c r="B444" s="45" t="s">
        <v>176</v>
      </c>
      <c r="C444" s="45" t="s">
        <v>418</v>
      </c>
      <c r="D444" s="20" t="s">
        <v>473</v>
      </c>
      <c r="E444" s="21">
        <v>2200</v>
      </c>
      <c r="F444" s="1" t="s">
        <v>68</v>
      </c>
      <c r="G444" s="74" t="s">
        <v>127</v>
      </c>
      <c r="H444" s="1" t="s">
        <v>128</v>
      </c>
      <c r="I444" s="1" t="s">
        <v>122</v>
      </c>
      <c r="J444" s="60">
        <v>0</v>
      </c>
      <c r="K444" s="24">
        <v>45294.575648148151</v>
      </c>
      <c r="L444" s="23">
        <v>1800</v>
      </c>
      <c r="O444" s="54">
        <v>2400</v>
      </c>
      <c r="P444" s="33">
        <v>0</v>
      </c>
      <c r="Q444" s="33">
        <v>2200</v>
      </c>
    </row>
    <row r="445" spans="2:17" ht="30" x14ac:dyDescent="0.25">
      <c r="B445" s="45" t="s">
        <v>176</v>
      </c>
      <c r="C445" s="45" t="s">
        <v>418</v>
      </c>
      <c r="D445" s="20" t="s">
        <v>473</v>
      </c>
      <c r="E445" s="21">
        <v>2600</v>
      </c>
      <c r="F445" s="1" t="s">
        <v>68</v>
      </c>
      <c r="G445" s="74" t="s">
        <v>142</v>
      </c>
      <c r="H445" s="1" t="s">
        <v>143</v>
      </c>
      <c r="I445" s="1" t="s">
        <v>122</v>
      </c>
      <c r="J445" s="60">
        <v>0</v>
      </c>
      <c r="K445" s="24">
        <v>45294.575972222221</v>
      </c>
      <c r="L445" s="23">
        <v>4600</v>
      </c>
      <c r="O445" s="54">
        <v>2400</v>
      </c>
      <c r="P445" s="33">
        <v>1</v>
      </c>
      <c r="Q445" s="33">
        <v>199.99999999999983</v>
      </c>
    </row>
    <row r="446" spans="2:17" x14ac:dyDescent="0.25">
      <c r="B446" s="45" t="s">
        <v>176</v>
      </c>
      <c r="C446" s="45" t="s">
        <v>418</v>
      </c>
      <c r="D446" s="20" t="s">
        <v>473</v>
      </c>
      <c r="E446" s="21">
        <v>35</v>
      </c>
      <c r="F446" s="1" t="s">
        <v>68</v>
      </c>
      <c r="G446" s="25" t="s">
        <v>788</v>
      </c>
      <c r="H446" s="1" t="s">
        <v>187</v>
      </c>
      <c r="I446" s="1" t="s">
        <v>161</v>
      </c>
      <c r="J446" s="60">
        <v>0</v>
      </c>
      <c r="K446" s="24">
        <v>45294.576192129629</v>
      </c>
      <c r="L446" s="23">
        <v>600</v>
      </c>
      <c r="O446" s="54">
        <v>100</v>
      </c>
      <c r="P446" s="33">
        <v>0</v>
      </c>
      <c r="Q446" s="33">
        <v>35</v>
      </c>
    </row>
    <row r="447" spans="2:17" ht="30" x14ac:dyDescent="0.25">
      <c r="B447" s="45" t="s">
        <v>176</v>
      </c>
      <c r="C447" s="45" t="s">
        <v>262</v>
      </c>
      <c r="D447" s="20" t="s">
        <v>474</v>
      </c>
      <c r="E447" s="21">
        <v>5600</v>
      </c>
      <c r="F447" s="1" t="s">
        <v>68</v>
      </c>
      <c r="G447" s="74" t="s">
        <v>138</v>
      </c>
      <c r="H447" s="1" t="s">
        <v>139</v>
      </c>
      <c r="I447" s="1" t="s">
        <v>122</v>
      </c>
      <c r="J447" s="60">
        <v>0</v>
      </c>
      <c r="K447" s="24">
        <v>45294.576666666668</v>
      </c>
      <c r="L447" s="23">
        <v>14300</v>
      </c>
      <c r="O447" s="54">
        <v>3000</v>
      </c>
      <c r="P447" s="33">
        <v>1</v>
      </c>
      <c r="Q447" s="33">
        <v>2600</v>
      </c>
    </row>
    <row r="448" spans="2:17" x14ac:dyDescent="0.25">
      <c r="B448" s="45" t="s">
        <v>176</v>
      </c>
      <c r="C448" s="45" t="s">
        <v>262</v>
      </c>
      <c r="D448" s="20" t="s">
        <v>474</v>
      </c>
      <c r="E448" s="21">
        <v>26</v>
      </c>
      <c r="F448" s="1" t="s">
        <v>144</v>
      </c>
      <c r="G448" s="74" t="s">
        <v>150</v>
      </c>
      <c r="H448" s="1" t="s">
        <v>151</v>
      </c>
      <c r="I448" s="1" t="s">
        <v>147</v>
      </c>
      <c r="J448" s="60">
        <v>0</v>
      </c>
      <c r="K448" s="24">
        <v>45294.577060185184</v>
      </c>
      <c r="L448" s="23">
        <v>920</v>
      </c>
      <c r="O448" s="54">
        <v>10</v>
      </c>
      <c r="P448" s="33">
        <v>2</v>
      </c>
      <c r="Q448" s="33">
        <v>6.0000000000000009</v>
      </c>
    </row>
    <row r="449" spans="2:17" x14ac:dyDescent="0.25">
      <c r="B449" s="45" t="s">
        <v>176</v>
      </c>
      <c r="C449" s="45" t="s">
        <v>262</v>
      </c>
      <c r="D449" s="20" t="s">
        <v>474</v>
      </c>
      <c r="E449" s="21">
        <v>34</v>
      </c>
      <c r="F449" s="1" t="s">
        <v>144</v>
      </c>
      <c r="G449" s="74" t="s">
        <v>148</v>
      </c>
      <c r="H449" s="1" t="s">
        <v>149</v>
      </c>
      <c r="I449" s="1" t="s">
        <v>147</v>
      </c>
      <c r="J449" s="60">
        <v>0</v>
      </c>
      <c r="K449" s="24">
        <v>45294.577361111114</v>
      </c>
      <c r="L449" s="23">
        <v>6741</v>
      </c>
      <c r="M449" s="23">
        <f>L449-L395</f>
        <v>466</v>
      </c>
      <c r="O449" s="54">
        <v>10</v>
      </c>
      <c r="P449" s="33">
        <v>3</v>
      </c>
      <c r="Q449" s="33">
        <v>3.9999999999999991</v>
      </c>
    </row>
    <row r="450" spans="2:17" x14ac:dyDescent="0.25">
      <c r="B450" s="45" t="s">
        <v>176</v>
      </c>
      <c r="C450" s="45" t="s">
        <v>390</v>
      </c>
      <c r="D450" s="20" t="s">
        <v>475</v>
      </c>
      <c r="E450" s="21">
        <v>512</v>
      </c>
      <c r="F450" s="1" t="s">
        <v>152</v>
      </c>
      <c r="G450" s="74" t="s">
        <v>158</v>
      </c>
      <c r="H450" s="1" t="s">
        <v>154</v>
      </c>
      <c r="I450" s="1" t="s">
        <v>155</v>
      </c>
      <c r="J450" s="60">
        <v>0</v>
      </c>
      <c r="K450" s="24">
        <v>45294.577939814815</v>
      </c>
      <c r="L450" s="23">
        <v>1360</v>
      </c>
      <c r="O450" s="54">
        <v>144</v>
      </c>
      <c r="P450" s="33">
        <v>3</v>
      </c>
      <c r="Q450" s="33">
        <v>79.999999999999972</v>
      </c>
    </row>
    <row r="451" spans="2:17" x14ac:dyDescent="0.25">
      <c r="B451" s="45" t="s">
        <v>176</v>
      </c>
      <c r="C451" s="45" t="s">
        <v>329</v>
      </c>
      <c r="D451" s="20" t="s">
        <v>476</v>
      </c>
      <c r="E451" s="21">
        <v>150</v>
      </c>
      <c r="F451" s="1" t="s">
        <v>68</v>
      </c>
      <c r="G451" s="25" t="s">
        <v>789</v>
      </c>
      <c r="H451" s="1" t="s">
        <v>196</v>
      </c>
      <c r="I451" s="1" t="s">
        <v>161</v>
      </c>
      <c r="J451" s="60">
        <v>0</v>
      </c>
      <c r="K451" s="24">
        <v>45294.578425925924</v>
      </c>
      <c r="L451" s="23">
        <v>2110</v>
      </c>
      <c r="O451" s="54">
        <v>100</v>
      </c>
      <c r="P451" s="33">
        <v>1</v>
      </c>
      <c r="Q451" s="33">
        <v>50</v>
      </c>
    </row>
    <row r="452" spans="2:17" x14ac:dyDescent="0.25">
      <c r="B452" s="45" t="s">
        <v>176</v>
      </c>
      <c r="C452" s="45" t="s">
        <v>263</v>
      </c>
      <c r="D452" s="20" t="s">
        <v>477</v>
      </c>
      <c r="E452" s="21">
        <v>180</v>
      </c>
      <c r="F452" s="1" t="s">
        <v>192</v>
      </c>
      <c r="G452" s="74" t="s">
        <v>193</v>
      </c>
      <c r="H452" s="1" t="s">
        <v>194</v>
      </c>
      <c r="J452" s="60">
        <v>0</v>
      </c>
      <c r="K452" s="24">
        <v>45294.579074074078</v>
      </c>
      <c r="L452" s="23">
        <v>500</v>
      </c>
      <c r="O452" s="54">
        <v>20</v>
      </c>
      <c r="P452" s="33">
        <v>9</v>
      </c>
      <c r="Q452" s="33">
        <v>0</v>
      </c>
    </row>
    <row r="453" spans="2:17" ht="30" x14ac:dyDescent="0.25">
      <c r="B453" s="45" t="s">
        <v>321</v>
      </c>
      <c r="C453" s="45" t="s">
        <v>343</v>
      </c>
      <c r="D453" s="20" t="s">
        <v>478</v>
      </c>
      <c r="E453" s="21">
        <v>8100</v>
      </c>
      <c r="F453" s="1" t="s">
        <v>68</v>
      </c>
      <c r="G453" s="74" t="s">
        <v>140</v>
      </c>
      <c r="H453" s="1" t="s">
        <v>141</v>
      </c>
      <c r="I453" s="1" t="s">
        <v>122</v>
      </c>
      <c r="J453" s="60">
        <v>0</v>
      </c>
      <c r="K453" s="24">
        <v>45296.550023148149</v>
      </c>
      <c r="L453" s="23">
        <v>208900</v>
      </c>
      <c r="O453" s="54">
        <v>2400</v>
      </c>
      <c r="P453" s="33">
        <v>3</v>
      </c>
      <c r="Q453" s="33">
        <v>900</v>
      </c>
    </row>
    <row r="454" spans="2:17" x14ac:dyDescent="0.25">
      <c r="B454" s="45" t="s">
        <v>321</v>
      </c>
      <c r="C454" s="45" t="s">
        <v>479</v>
      </c>
      <c r="D454" s="20" t="s">
        <v>480</v>
      </c>
      <c r="E454" s="21">
        <v>30</v>
      </c>
      <c r="F454" s="1" t="s">
        <v>144</v>
      </c>
      <c r="G454" s="74" t="s">
        <v>145</v>
      </c>
      <c r="H454" s="1" t="s">
        <v>146</v>
      </c>
      <c r="I454" s="1" t="s">
        <v>147</v>
      </c>
      <c r="J454" s="60">
        <v>0</v>
      </c>
      <c r="K454" s="24">
        <v>45296.581724537034</v>
      </c>
      <c r="L454" s="23">
        <v>1538</v>
      </c>
      <c r="N454" s="26" t="s">
        <v>481</v>
      </c>
      <c r="O454" s="54">
        <v>10</v>
      </c>
      <c r="P454" s="33">
        <v>3</v>
      </c>
      <c r="Q454" s="33">
        <v>0</v>
      </c>
    </row>
    <row r="455" spans="2:17" x14ac:dyDescent="0.25">
      <c r="B455" s="45" t="s">
        <v>321</v>
      </c>
      <c r="C455" s="45" t="s">
        <v>479</v>
      </c>
      <c r="D455" s="20" t="s">
        <v>480</v>
      </c>
      <c r="E455" s="21">
        <v>30</v>
      </c>
      <c r="F455" s="1" t="s">
        <v>144</v>
      </c>
      <c r="G455" s="74" t="s">
        <v>148</v>
      </c>
      <c r="H455" s="1" t="s">
        <v>149</v>
      </c>
      <c r="I455" s="1" t="s">
        <v>147</v>
      </c>
      <c r="J455" s="60">
        <v>0</v>
      </c>
      <c r="K455" s="24">
        <v>45296.581782407404</v>
      </c>
      <c r="L455" s="23">
        <v>6711</v>
      </c>
      <c r="M455" s="23"/>
      <c r="N455" s="26" t="s">
        <v>481</v>
      </c>
      <c r="O455" s="54">
        <v>10</v>
      </c>
      <c r="P455" s="33">
        <v>3</v>
      </c>
      <c r="Q455" s="33">
        <v>0</v>
      </c>
    </row>
    <row r="456" spans="2:17" x14ac:dyDescent="0.25">
      <c r="B456" s="45" t="s">
        <v>321</v>
      </c>
      <c r="C456" s="45" t="s">
        <v>479</v>
      </c>
      <c r="D456" s="20" t="s">
        <v>480</v>
      </c>
      <c r="E456" s="21">
        <v>60</v>
      </c>
      <c r="F456" s="1" t="s">
        <v>144</v>
      </c>
      <c r="G456" s="74" t="s">
        <v>150</v>
      </c>
      <c r="H456" s="1" t="s">
        <v>151</v>
      </c>
      <c r="I456" s="1" t="s">
        <v>147</v>
      </c>
      <c r="J456" s="60">
        <v>0</v>
      </c>
      <c r="K456" s="24">
        <v>45296.582013888888</v>
      </c>
      <c r="L456" s="23">
        <v>860</v>
      </c>
      <c r="N456" s="26" t="s">
        <v>481</v>
      </c>
      <c r="O456" s="54">
        <v>10</v>
      </c>
      <c r="P456" s="33">
        <v>6</v>
      </c>
      <c r="Q456" s="33">
        <v>0</v>
      </c>
    </row>
    <row r="457" spans="2:17" x14ac:dyDescent="0.25">
      <c r="B457" s="45" t="s">
        <v>321</v>
      </c>
      <c r="C457" s="45" t="s">
        <v>482</v>
      </c>
      <c r="D457" s="20" t="s">
        <v>483</v>
      </c>
      <c r="E457" s="21">
        <v>115</v>
      </c>
      <c r="F457" s="1" t="s">
        <v>68</v>
      </c>
      <c r="G457" s="25" t="s">
        <v>788</v>
      </c>
      <c r="H457" s="1" t="s">
        <v>187</v>
      </c>
      <c r="I457" s="1" t="s">
        <v>161</v>
      </c>
      <c r="J457" s="60">
        <v>0</v>
      </c>
      <c r="K457" s="75">
        <v>45299.399756944447</v>
      </c>
      <c r="L457" s="23">
        <v>485</v>
      </c>
      <c r="O457" s="54">
        <v>100</v>
      </c>
      <c r="P457" s="33">
        <v>1</v>
      </c>
      <c r="Q457" s="33">
        <v>14.999999999999991</v>
      </c>
    </row>
    <row r="458" spans="2:17" x14ac:dyDescent="0.25">
      <c r="B458" s="45" t="s">
        <v>321</v>
      </c>
      <c r="C458" s="45" t="s">
        <v>345</v>
      </c>
      <c r="D458" s="20" t="s">
        <v>484</v>
      </c>
      <c r="E458" s="21">
        <v>2500</v>
      </c>
      <c r="F458" s="1" t="s">
        <v>68</v>
      </c>
      <c r="G458" s="74" t="s">
        <v>163</v>
      </c>
      <c r="H458" s="1" t="s">
        <v>164</v>
      </c>
      <c r="I458" s="1" t="s">
        <v>161</v>
      </c>
      <c r="J458" s="60">
        <v>0</v>
      </c>
      <c r="K458" s="75">
        <v>45299.400509259256</v>
      </c>
      <c r="L458" s="23">
        <v>11920</v>
      </c>
      <c r="O458" s="54">
        <v>500</v>
      </c>
      <c r="P458" s="33">
        <v>5</v>
      </c>
      <c r="Q458" s="33">
        <v>0</v>
      </c>
    </row>
    <row r="459" spans="2:17" x14ac:dyDescent="0.25">
      <c r="B459" s="45" t="s">
        <v>321</v>
      </c>
      <c r="C459" s="45" t="s">
        <v>485</v>
      </c>
      <c r="D459" s="20" t="s">
        <v>486</v>
      </c>
      <c r="E459" s="21">
        <v>5</v>
      </c>
      <c r="F459" s="1" t="s">
        <v>68</v>
      </c>
      <c r="G459" s="74" t="s">
        <v>200</v>
      </c>
      <c r="H459" s="1" t="s">
        <v>201</v>
      </c>
      <c r="J459" s="60">
        <v>0</v>
      </c>
      <c r="K459" s="24">
        <v>45299.401192129626</v>
      </c>
      <c r="L459" s="23">
        <v>29</v>
      </c>
      <c r="O459" s="54">
        <v>36</v>
      </c>
      <c r="P459" s="33">
        <v>0</v>
      </c>
      <c r="Q459" s="33">
        <v>5</v>
      </c>
    </row>
    <row r="460" spans="2:17" x14ac:dyDescent="0.25">
      <c r="B460" s="45" t="s">
        <v>321</v>
      </c>
      <c r="C460" s="45" t="s">
        <v>485</v>
      </c>
      <c r="D460" s="20" t="s">
        <v>486</v>
      </c>
      <c r="E460" s="21">
        <v>200</v>
      </c>
      <c r="F460" s="1" t="s">
        <v>68</v>
      </c>
      <c r="G460" s="74" t="s">
        <v>177</v>
      </c>
      <c r="H460" s="1" t="s">
        <v>178</v>
      </c>
      <c r="I460" s="1" t="s">
        <v>179</v>
      </c>
      <c r="J460" s="60">
        <v>0</v>
      </c>
      <c r="K460" s="75">
        <v>45299.401458333334</v>
      </c>
      <c r="L460" s="23">
        <v>3012</v>
      </c>
      <c r="O460" s="54">
        <v>36</v>
      </c>
      <c r="P460" s="33">
        <v>5</v>
      </c>
      <c r="Q460" s="33">
        <v>19.999999999999993</v>
      </c>
    </row>
    <row r="461" spans="2:17" x14ac:dyDescent="0.25">
      <c r="B461" s="45" t="s">
        <v>321</v>
      </c>
      <c r="C461" s="45" t="s">
        <v>485</v>
      </c>
      <c r="D461" s="20" t="s">
        <v>486</v>
      </c>
      <c r="E461" s="21">
        <v>30</v>
      </c>
      <c r="F461" s="1" t="s">
        <v>68</v>
      </c>
      <c r="G461" s="25" t="s">
        <v>788</v>
      </c>
      <c r="H461" s="1" t="s">
        <v>187</v>
      </c>
      <c r="I461" s="1" t="s">
        <v>161</v>
      </c>
      <c r="J461" s="60">
        <v>0</v>
      </c>
      <c r="K461" s="75">
        <v>45299.401990740742</v>
      </c>
      <c r="L461" s="23">
        <v>455</v>
      </c>
      <c r="O461" s="54">
        <v>100</v>
      </c>
      <c r="P461" s="33">
        <v>0</v>
      </c>
      <c r="Q461" s="33">
        <v>30</v>
      </c>
    </row>
    <row r="462" spans="2:17" x14ac:dyDescent="0.25">
      <c r="B462" s="45" t="s">
        <v>321</v>
      </c>
      <c r="C462" s="45" t="s">
        <v>485</v>
      </c>
      <c r="D462" s="20" t="s">
        <v>486</v>
      </c>
      <c r="E462" s="21">
        <v>24</v>
      </c>
      <c r="F462" s="1" t="s">
        <v>68</v>
      </c>
      <c r="G462" s="74" t="s">
        <v>184</v>
      </c>
      <c r="H462" s="1" t="s">
        <v>185</v>
      </c>
      <c r="J462" s="60">
        <v>0</v>
      </c>
      <c r="K462" s="75">
        <v>45299.402303240742</v>
      </c>
      <c r="L462" s="23">
        <v>632</v>
      </c>
      <c r="O462" s="54">
        <v>4</v>
      </c>
      <c r="P462" s="33">
        <v>6</v>
      </c>
      <c r="Q462" s="33">
        <v>0</v>
      </c>
    </row>
    <row r="463" spans="2:17" x14ac:dyDescent="0.25">
      <c r="B463" s="45" t="s">
        <v>321</v>
      </c>
      <c r="C463" s="45" t="s">
        <v>485</v>
      </c>
      <c r="D463" s="20" t="s">
        <v>486</v>
      </c>
      <c r="E463" s="21">
        <v>24</v>
      </c>
      <c r="F463" s="1" t="s">
        <v>68</v>
      </c>
      <c r="G463" s="25" t="s">
        <v>787</v>
      </c>
      <c r="H463" s="1" t="s">
        <v>167</v>
      </c>
      <c r="I463" s="1" t="s">
        <v>161</v>
      </c>
      <c r="J463" s="60">
        <v>0</v>
      </c>
      <c r="K463" s="75">
        <v>45299.402569444443</v>
      </c>
      <c r="L463" s="23">
        <v>239</v>
      </c>
      <c r="O463" s="54">
        <v>4</v>
      </c>
      <c r="P463" s="33">
        <v>6</v>
      </c>
      <c r="Q463" s="33">
        <v>0</v>
      </c>
    </row>
    <row r="464" spans="2:17" x14ac:dyDescent="0.25">
      <c r="B464" s="45" t="s">
        <v>321</v>
      </c>
      <c r="C464" s="45" t="s">
        <v>487</v>
      </c>
      <c r="D464" s="20" t="s">
        <v>488</v>
      </c>
      <c r="E464" s="21">
        <v>25</v>
      </c>
      <c r="F464" s="1" t="s">
        <v>68</v>
      </c>
      <c r="G464" s="74" t="s">
        <v>184</v>
      </c>
      <c r="H464" s="1" t="s">
        <v>185</v>
      </c>
      <c r="J464" s="60">
        <v>0</v>
      </c>
      <c r="K464" s="75">
        <v>45299.403101851851</v>
      </c>
      <c r="L464" s="23">
        <v>607</v>
      </c>
      <c r="O464" s="54">
        <v>4</v>
      </c>
      <c r="P464" s="33">
        <v>6</v>
      </c>
      <c r="Q464" s="33">
        <v>1</v>
      </c>
    </row>
    <row r="465" spans="2:17" x14ac:dyDescent="0.25">
      <c r="B465" s="45" t="s">
        <v>321</v>
      </c>
      <c r="C465" s="45" t="s">
        <v>479</v>
      </c>
      <c r="D465" s="20" t="s">
        <v>489</v>
      </c>
      <c r="E465" s="21">
        <v>120</v>
      </c>
      <c r="F465" s="1" t="s">
        <v>144</v>
      </c>
      <c r="G465" s="45" t="s">
        <v>150</v>
      </c>
      <c r="H465" s="1" t="s">
        <v>151</v>
      </c>
      <c r="I465" s="1" t="s">
        <v>147</v>
      </c>
      <c r="J465" s="60">
        <v>0</v>
      </c>
      <c r="K465" s="75">
        <v>45299.403854166667</v>
      </c>
      <c r="L465" s="23">
        <v>740</v>
      </c>
      <c r="O465" s="54">
        <v>10</v>
      </c>
      <c r="P465" s="33">
        <v>12</v>
      </c>
      <c r="Q465" s="33">
        <v>0</v>
      </c>
    </row>
    <row r="466" spans="2:17" x14ac:dyDescent="0.25">
      <c r="B466" s="45" t="s">
        <v>321</v>
      </c>
      <c r="C466" s="45" t="s">
        <v>479</v>
      </c>
      <c r="D466" s="20" t="s">
        <v>489</v>
      </c>
      <c r="E466" s="21">
        <v>60</v>
      </c>
      <c r="F466" s="1" t="s">
        <v>144</v>
      </c>
      <c r="G466" s="45" t="s">
        <v>145</v>
      </c>
      <c r="H466" s="1" t="s">
        <v>146</v>
      </c>
      <c r="I466" s="1" t="s">
        <v>147</v>
      </c>
      <c r="J466" s="60">
        <v>0</v>
      </c>
      <c r="K466" s="75">
        <v>45299.404166666667</v>
      </c>
      <c r="L466" s="23">
        <v>1478</v>
      </c>
      <c r="O466" s="54">
        <v>10</v>
      </c>
      <c r="P466" s="33">
        <v>6</v>
      </c>
      <c r="Q466" s="33">
        <v>0</v>
      </c>
    </row>
    <row r="467" spans="2:17" x14ac:dyDescent="0.25">
      <c r="B467" s="45" t="s">
        <v>321</v>
      </c>
      <c r="C467" s="45" t="s">
        <v>479</v>
      </c>
      <c r="D467" s="20" t="s">
        <v>489</v>
      </c>
      <c r="E467" s="21">
        <v>60</v>
      </c>
      <c r="F467" s="1" t="s">
        <v>144</v>
      </c>
      <c r="G467" s="45" t="s">
        <v>148</v>
      </c>
      <c r="H467" s="1" t="s">
        <v>149</v>
      </c>
      <c r="I467" s="1" t="s">
        <v>147</v>
      </c>
      <c r="J467" s="60">
        <v>0</v>
      </c>
      <c r="K467" s="75">
        <v>45299.404479166667</v>
      </c>
      <c r="L467" s="23">
        <v>6651</v>
      </c>
      <c r="M467" s="23">
        <f>L467-L497</f>
        <v>6422</v>
      </c>
      <c r="O467" s="54">
        <v>10</v>
      </c>
      <c r="P467" s="33">
        <v>6</v>
      </c>
      <c r="Q467" s="33">
        <v>0</v>
      </c>
    </row>
    <row r="468" spans="2:17" x14ac:dyDescent="0.25">
      <c r="B468" s="45" t="s">
        <v>490</v>
      </c>
      <c r="C468" s="45" t="s">
        <v>491</v>
      </c>
      <c r="D468" s="20" t="s">
        <v>123</v>
      </c>
      <c r="E468" s="21">
        <v>1000</v>
      </c>
      <c r="F468" s="1" t="s">
        <v>68</v>
      </c>
      <c r="G468" s="25" t="s">
        <v>789</v>
      </c>
      <c r="H468" s="1" t="s">
        <v>196</v>
      </c>
      <c r="I468" s="1" t="s">
        <v>161</v>
      </c>
      <c r="J468" s="33">
        <v>1</v>
      </c>
      <c r="K468" s="24">
        <v>45299.642060185186</v>
      </c>
      <c r="L468" s="23">
        <v>3110</v>
      </c>
      <c r="M468" s="22">
        <v>45383</v>
      </c>
      <c r="O468" s="54">
        <v>100</v>
      </c>
      <c r="P468" s="33">
        <v>10</v>
      </c>
      <c r="Q468" s="33">
        <v>0</v>
      </c>
    </row>
    <row r="469" spans="2:17" x14ac:dyDescent="0.25">
      <c r="B469" s="45" t="s">
        <v>490</v>
      </c>
      <c r="C469" s="45" t="s">
        <v>491</v>
      </c>
      <c r="D469" s="20" t="s">
        <v>123</v>
      </c>
      <c r="E469" s="21">
        <v>2000</v>
      </c>
      <c r="F469" s="1" t="s">
        <v>68</v>
      </c>
      <c r="G469" s="25" t="s">
        <v>219</v>
      </c>
      <c r="H469" s="1" t="s">
        <v>220</v>
      </c>
      <c r="I469" s="1" t="s">
        <v>161</v>
      </c>
      <c r="J469" s="33">
        <v>1</v>
      </c>
      <c r="K469" s="24">
        <v>45299.643900462965</v>
      </c>
      <c r="L469" s="23">
        <v>9200</v>
      </c>
      <c r="M469" s="22">
        <v>45383</v>
      </c>
      <c r="O469" s="54">
        <v>1</v>
      </c>
      <c r="P469" s="33">
        <v>2000</v>
      </c>
      <c r="Q469" s="33">
        <v>0</v>
      </c>
    </row>
    <row r="470" spans="2:17" x14ac:dyDescent="0.25">
      <c r="B470" s="45" t="s">
        <v>492</v>
      </c>
      <c r="C470" s="45" t="s">
        <v>493</v>
      </c>
      <c r="D470" s="20" t="s">
        <v>123</v>
      </c>
      <c r="E470" s="21">
        <v>6420</v>
      </c>
      <c r="F470" s="1" t="s">
        <v>68</v>
      </c>
      <c r="G470" s="25" t="s">
        <v>427</v>
      </c>
      <c r="H470" s="1" t="s">
        <v>166</v>
      </c>
      <c r="I470" s="1" t="s">
        <v>161</v>
      </c>
      <c r="J470" s="33">
        <v>1</v>
      </c>
      <c r="K470" s="24">
        <v>45299.646527777775</v>
      </c>
      <c r="L470" s="23">
        <v>8100</v>
      </c>
      <c r="M470" s="22">
        <v>45383</v>
      </c>
      <c r="O470" s="54">
        <v>60</v>
      </c>
      <c r="P470" s="33">
        <v>107</v>
      </c>
      <c r="Q470" s="33">
        <v>0</v>
      </c>
    </row>
    <row r="471" spans="2:17" x14ac:dyDescent="0.25">
      <c r="B471" s="45" t="s">
        <v>494</v>
      </c>
      <c r="C471" s="45" t="s">
        <v>495</v>
      </c>
      <c r="D471" s="20" t="s">
        <v>123</v>
      </c>
      <c r="E471" s="21">
        <v>20000</v>
      </c>
      <c r="F471" s="1" t="s">
        <v>68</v>
      </c>
      <c r="G471" s="25" t="s">
        <v>163</v>
      </c>
      <c r="H471" s="1" t="s">
        <v>164</v>
      </c>
      <c r="I471" s="1" t="s">
        <v>161</v>
      </c>
      <c r="J471" s="33">
        <v>1</v>
      </c>
      <c r="K471" s="24">
        <v>45299.649270833332</v>
      </c>
      <c r="L471" s="23">
        <v>31920</v>
      </c>
      <c r="M471" s="22">
        <v>45383</v>
      </c>
      <c r="O471" s="54">
        <v>440</v>
      </c>
      <c r="P471" s="33">
        <v>45</v>
      </c>
      <c r="Q471" s="33">
        <v>199.99999999999943</v>
      </c>
    </row>
    <row r="472" spans="2:17" x14ac:dyDescent="0.25">
      <c r="B472" s="45" t="s">
        <v>321</v>
      </c>
      <c r="C472" s="45" t="s">
        <v>429</v>
      </c>
      <c r="D472" s="20" t="s">
        <v>496</v>
      </c>
      <c r="E472" s="21">
        <v>1150</v>
      </c>
      <c r="F472" s="1" t="s">
        <v>68</v>
      </c>
      <c r="G472" s="45" t="s">
        <v>172</v>
      </c>
      <c r="H472" s="1" t="s">
        <v>173</v>
      </c>
      <c r="J472" s="60">
        <v>0</v>
      </c>
      <c r="K472" s="24">
        <v>45300.569618055553</v>
      </c>
      <c r="L472" s="23">
        <v>548</v>
      </c>
      <c r="O472" s="54">
        <v>1</v>
      </c>
      <c r="P472" s="33">
        <v>1150</v>
      </c>
      <c r="Q472" s="33">
        <v>0</v>
      </c>
    </row>
    <row r="473" spans="2:17" x14ac:dyDescent="0.25">
      <c r="B473" s="45" t="s">
        <v>176</v>
      </c>
      <c r="C473" s="45" t="s">
        <v>392</v>
      </c>
      <c r="D473" s="20" t="s">
        <v>497</v>
      </c>
      <c r="E473" s="21">
        <v>4700</v>
      </c>
      <c r="F473" s="1" t="s">
        <v>68</v>
      </c>
      <c r="G473" s="25" t="s">
        <v>163</v>
      </c>
      <c r="H473" s="1" t="s">
        <v>164</v>
      </c>
      <c r="I473" s="1" t="s">
        <v>161</v>
      </c>
      <c r="J473" s="60">
        <v>0</v>
      </c>
      <c r="K473" s="24">
        <v>45300.570497685185</v>
      </c>
      <c r="L473" s="23">
        <v>27220</v>
      </c>
      <c r="O473" s="54">
        <v>440</v>
      </c>
      <c r="P473" s="33">
        <v>10</v>
      </c>
      <c r="Q473" s="33">
        <v>299.99999999999994</v>
      </c>
    </row>
    <row r="474" spans="2:17" x14ac:dyDescent="0.25">
      <c r="B474" s="45" t="s">
        <v>176</v>
      </c>
      <c r="C474" s="45" t="s">
        <v>262</v>
      </c>
      <c r="D474" s="20" t="s">
        <v>498</v>
      </c>
      <c r="E474" s="21">
        <v>5100</v>
      </c>
      <c r="F474" s="1" t="s">
        <v>68</v>
      </c>
      <c r="G474" s="45" t="s">
        <v>138</v>
      </c>
      <c r="H474" s="1" t="s">
        <v>139</v>
      </c>
      <c r="I474" s="1" t="s">
        <v>122</v>
      </c>
      <c r="J474" s="60">
        <v>0</v>
      </c>
      <c r="K474" s="24">
        <v>45300.571342592593</v>
      </c>
      <c r="L474" s="23">
        <v>9200</v>
      </c>
      <c r="O474" s="54">
        <v>3000</v>
      </c>
      <c r="P474" s="33">
        <v>1</v>
      </c>
      <c r="Q474" s="33">
        <v>2100</v>
      </c>
    </row>
    <row r="475" spans="2:17" x14ac:dyDescent="0.25">
      <c r="B475" s="45" t="s">
        <v>176</v>
      </c>
      <c r="C475" s="45" t="s">
        <v>262</v>
      </c>
      <c r="D475" s="20" t="s">
        <v>498</v>
      </c>
      <c r="E475" s="21">
        <v>34</v>
      </c>
      <c r="F475" s="1" t="s">
        <v>144</v>
      </c>
      <c r="G475" s="25" t="s">
        <v>148</v>
      </c>
      <c r="H475" s="1" t="s">
        <v>149</v>
      </c>
      <c r="I475" s="1" t="s">
        <v>147</v>
      </c>
      <c r="J475" s="60">
        <v>0</v>
      </c>
      <c r="K475" s="24">
        <v>45300.571840277778</v>
      </c>
      <c r="L475" s="23">
        <v>6617</v>
      </c>
      <c r="O475" s="54">
        <v>10</v>
      </c>
      <c r="P475" s="33">
        <v>3</v>
      </c>
      <c r="Q475" s="33">
        <v>3.9999999999999991</v>
      </c>
    </row>
    <row r="476" spans="2:17" x14ac:dyDescent="0.25">
      <c r="B476" s="45" t="s">
        <v>499</v>
      </c>
      <c r="C476" s="45" t="s">
        <v>500</v>
      </c>
      <c r="D476" s="20" t="s">
        <v>380</v>
      </c>
      <c r="E476" s="21">
        <v>2</v>
      </c>
      <c r="F476" s="20" t="s">
        <v>68</v>
      </c>
      <c r="G476" s="25" t="s">
        <v>379</v>
      </c>
      <c r="H476" s="34" t="s">
        <v>226</v>
      </c>
      <c r="I476" s="1" t="s">
        <v>227</v>
      </c>
      <c r="J476" s="33">
        <v>1</v>
      </c>
      <c r="K476" s="24">
        <v>45302.429699074077</v>
      </c>
      <c r="L476" s="23">
        <v>24</v>
      </c>
      <c r="M476" s="22">
        <v>45352</v>
      </c>
      <c r="O476" s="54">
        <v>1</v>
      </c>
      <c r="P476" s="33">
        <v>2</v>
      </c>
      <c r="Q476" s="33">
        <v>0</v>
      </c>
    </row>
    <row r="477" spans="2:17" x14ac:dyDescent="0.25">
      <c r="B477" s="45" t="s">
        <v>499</v>
      </c>
      <c r="C477" s="45" t="s">
        <v>500</v>
      </c>
      <c r="D477" s="20" t="s">
        <v>380</v>
      </c>
      <c r="E477" s="21">
        <v>3</v>
      </c>
      <c r="F477" s="1" t="s">
        <v>152</v>
      </c>
      <c r="G477" s="25" t="s">
        <v>244</v>
      </c>
      <c r="H477" s="26" t="s">
        <v>226</v>
      </c>
      <c r="I477" s="1" t="s">
        <v>227</v>
      </c>
      <c r="J477" s="33">
        <v>1</v>
      </c>
      <c r="K477" s="24">
        <v>45302.429872685185</v>
      </c>
      <c r="L477" s="23">
        <v>24</v>
      </c>
      <c r="M477" s="22">
        <v>45352</v>
      </c>
      <c r="O477" s="54">
        <v>1</v>
      </c>
      <c r="P477" s="33">
        <v>3</v>
      </c>
      <c r="Q477" s="33">
        <v>0</v>
      </c>
    </row>
    <row r="478" spans="2:17" x14ac:dyDescent="0.25">
      <c r="B478" s="45" t="s">
        <v>499</v>
      </c>
      <c r="C478" s="45" t="s">
        <v>500</v>
      </c>
      <c r="D478" s="20" t="s">
        <v>380</v>
      </c>
      <c r="E478" s="21">
        <v>19</v>
      </c>
      <c r="F478" s="1" t="s">
        <v>152</v>
      </c>
      <c r="G478" s="25" t="s">
        <v>378</v>
      </c>
      <c r="H478" s="26" t="s">
        <v>226</v>
      </c>
      <c r="I478" s="1" t="s">
        <v>227</v>
      </c>
      <c r="J478" s="33">
        <v>1</v>
      </c>
      <c r="K478" s="24">
        <v>45302.4299537037</v>
      </c>
      <c r="L478" s="23">
        <v>37</v>
      </c>
      <c r="M478" s="22">
        <v>45352</v>
      </c>
      <c r="O478" s="54">
        <v>1</v>
      </c>
      <c r="P478" s="33">
        <v>19</v>
      </c>
      <c r="Q478" s="33">
        <v>0</v>
      </c>
    </row>
    <row r="479" spans="2:17" x14ac:dyDescent="0.25">
      <c r="B479" s="45" t="s">
        <v>499</v>
      </c>
      <c r="C479" s="45" t="s">
        <v>500</v>
      </c>
      <c r="D479" s="20" t="s">
        <v>380</v>
      </c>
      <c r="E479" s="21">
        <v>8</v>
      </c>
      <c r="F479" s="1" t="s">
        <v>152</v>
      </c>
      <c r="G479" s="25" t="s">
        <v>245</v>
      </c>
      <c r="H479" s="26" t="s">
        <v>226</v>
      </c>
      <c r="I479" s="1" t="s">
        <v>227</v>
      </c>
      <c r="J479" s="33">
        <v>1</v>
      </c>
      <c r="K479" s="24">
        <v>45302.430034722223</v>
      </c>
      <c r="L479" s="23">
        <v>40</v>
      </c>
      <c r="M479" s="22">
        <v>45352</v>
      </c>
      <c r="O479" s="54">
        <v>1</v>
      </c>
      <c r="P479" s="33">
        <v>8</v>
      </c>
      <c r="Q479" s="33">
        <v>0</v>
      </c>
    </row>
    <row r="480" spans="2:17" x14ac:dyDescent="0.25">
      <c r="B480" s="45" t="s">
        <v>499</v>
      </c>
      <c r="C480" s="45" t="s">
        <v>500</v>
      </c>
      <c r="D480" s="20" t="s">
        <v>380</v>
      </c>
      <c r="E480" s="21">
        <v>25</v>
      </c>
      <c r="F480" s="1" t="s">
        <v>152</v>
      </c>
      <c r="G480" s="25" t="s">
        <v>415</v>
      </c>
      <c r="H480" s="26" t="s">
        <v>226</v>
      </c>
      <c r="I480" s="1" t="s">
        <v>227</v>
      </c>
      <c r="J480" s="33">
        <v>1</v>
      </c>
      <c r="K480" s="24">
        <v>45302.430162037039</v>
      </c>
      <c r="L480" s="23">
        <v>51</v>
      </c>
      <c r="M480" s="22">
        <v>45352</v>
      </c>
      <c r="O480" s="54">
        <v>1</v>
      </c>
      <c r="P480" s="33">
        <v>25</v>
      </c>
      <c r="Q480" s="33">
        <v>0</v>
      </c>
    </row>
    <row r="481" spans="2:17" x14ac:dyDescent="0.25">
      <c r="B481" s="45" t="s">
        <v>499</v>
      </c>
      <c r="C481" s="45" t="s">
        <v>500</v>
      </c>
      <c r="D481" s="20" t="s">
        <v>380</v>
      </c>
      <c r="E481" s="21">
        <v>50</v>
      </c>
      <c r="F481" s="1" t="s">
        <v>152</v>
      </c>
      <c r="G481" s="25" t="s">
        <v>235</v>
      </c>
      <c r="H481" s="26" t="s">
        <v>226</v>
      </c>
      <c r="I481" s="1" t="s">
        <v>227</v>
      </c>
      <c r="J481" s="33">
        <v>1</v>
      </c>
      <c r="K481" s="24">
        <v>45302.430347222224</v>
      </c>
      <c r="L481" s="23">
        <v>60</v>
      </c>
      <c r="M481" s="22">
        <v>45352</v>
      </c>
      <c r="O481" s="54">
        <v>1</v>
      </c>
      <c r="P481" s="33">
        <v>50</v>
      </c>
      <c r="Q481" s="33">
        <v>0</v>
      </c>
    </row>
    <row r="482" spans="2:17" x14ac:dyDescent="0.25">
      <c r="B482" s="45" t="s">
        <v>499</v>
      </c>
      <c r="C482" s="45" t="s">
        <v>500</v>
      </c>
      <c r="D482" s="20" t="s">
        <v>380</v>
      </c>
      <c r="E482" s="21">
        <v>42</v>
      </c>
      <c r="F482" s="1" t="s">
        <v>152</v>
      </c>
      <c r="G482" s="25" t="s">
        <v>236</v>
      </c>
      <c r="H482" s="26" t="s">
        <v>226</v>
      </c>
      <c r="I482" s="1" t="s">
        <v>227</v>
      </c>
      <c r="J482" s="33">
        <v>1</v>
      </c>
      <c r="K482" s="24">
        <v>45302.430520833332</v>
      </c>
      <c r="L482" s="23">
        <v>42</v>
      </c>
      <c r="M482" s="22">
        <v>45352</v>
      </c>
      <c r="O482" s="54">
        <v>1</v>
      </c>
      <c r="P482" s="33">
        <v>42</v>
      </c>
      <c r="Q482" s="33">
        <v>0</v>
      </c>
    </row>
    <row r="483" spans="2:17" x14ac:dyDescent="0.25">
      <c r="B483" s="45" t="s">
        <v>499</v>
      </c>
      <c r="C483" s="45" t="s">
        <v>500</v>
      </c>
      <c r="D483" s="20" t="s">
        <v>380</v>
      </c>
      <c r="E483" s="21">
        <v>8</v>
      </c>
      <c r="F483" s="1" t="s">
        <v>152</v>
      </c>
      <c r="G483" s="25" t="s">
        <v>65</v>
      </c>
      <c r="H483" s="26" t="s">
        <v>226</v>
      </c>
      <c r="I483" s="1" t="s">
        <v>227</v>
      </c>
      <c r="J483" s="33">
        <v>1</v>
      </c>
      <c r="K483" s="24">
        <v>45302.430601851855</v>
      </c>
      <c r="L483" s="23">
        <v>8</v>
      </c>
      <c r="M483" s="22">
        <v>45352</v>
      </c>
      <c r="O483" s="54">
        <v>1</v>
      </c>
      <c r="P483" s="33">
        <v>8</v>
      </c>
      <c r="Q483" s="33">
        <v>0</v>
      </c>
    </row>
    <row r="484" spans="2:17" x14ac:dyDescent="0.25">
      <c r="B484" s="45" t="s">
        <v>499</v>
      </c>
      <c r="C484" s="45" t="s">
        <v>500</v>
      </c>
      <c r="D484" s="20" t="s">
        <v>380</v>
      </c>
      <c r="E484" s="21">
        <v>27</v>
      </c>
      <c r="F484" s="1" t="s">
        <v>152</v>
      </c>
      <c r="G484" s="25" t="s">
        <v>237</v>
      </c>
      <c r="H484" s="26" t="s">
        <v>226</v>
      </c>
      <c r="I484" s="1" t="s">
        <v>227</v>
      </c>
      <c r="J484" s="33">
        <v>1</v>
      </c>
      <c r="K484" s="24">
        <v>45302.430787037039</v>
      </c>
      <c r="L484" s="23">
        <v>27</v>
      </c>
      <c r="M484" s="22">
        <v>45352</v>
      </c>
      <c r="O484" s="54">
        <v>1</v>
      </c>
      <c r="P484" s="33">
        <v>27</v>
      </c>
      <c r="Q484" s="33">
        <v>0</v>
      </c>
    </row>
    <row r="485" spans="2:17" x14ac:dyDescent="0.25">
      <c r="B485" s="45" t="s">
        <v>321</v>
      </c>
      <c r="C485" s="45" t="s">
        <v>345</v>
      </c>
      <c r="D485" s="20" t="s">
        <v>501</v>
      </c>
      <c r="E485" s="21">
        <v>800</v>
      </c>
      <c r="F485" s="1" t="s">
        <v>68</v>
      </c>
      <c r="G485" s="45" t="s">
        <v>197</v>
      </c>
      <c r="H485" s="1" t="s">
        <v>198</v>
      </c>
      <c r="I485" s="1" t="s">
        <v>161</v>
      </c>
      <c r="J485" s="60">
        <v>0</v>
      </c>
      <c r="K485" s="24">
        <v>45301.473229166666</v>
      </c>
      <c r="L485" s="23">
        <v>0</v>
      </c>
      <c r="O485" s="54">
        <v>2000</v>
      </c>
      <c r="P485" s="33">
        <v>0</v>
      </c>
      <c r="Q485" s="33">
        <v>800</v>
      </c>
    </row>
    <row r="486" spans="2:17" x14ac:dyDescent="0.25">
      <c r="B486" s="45" t="s">
        <v>321</v>
      </c>
      <c r="C486" s="45" t="s">
        <v>345</v>
      </c>
      <c r="D486" s="20" t="s">
        <v>501</v>
      </c>
      <c r="E486" s="21">
        <v>2500</v>
      </c>
      <c r="F486" s="1" t="s">
        <v>68</v>
      </c>
      <c r="G486" s="25" t="s">
        <v>163</v>
      </c>
      <c r="H486" s="1" t="s">
        <v>164</v>
      </c>
      <c r="I486" s="1" t="s">
        <v>161</v>
      </c>
      <c r="J486" s="60">
        <v>0</v>
      </c>
      <c r="K486" s="24">
        <v>45301.473645833335</v>
      </c>
      <c r="L486" s="23">
        <v>24720</v>
      </c>
      <c r="O486" s="54">
        <v>440</v>
      </c>
      <c r="P486" s="33">
        <v>5</v>
      </c>
      <c r="Q486" s="33">
        <v>299.99999999999994</v>
      </c>
    </row>
    <row r="487" spans="2:17" x14ac:dyDescent="0.25">
      <c r="B487" s="45" t="s">
        <v>321</v>
      </c>
      <c r="C487" s="45" t="s">
        <v>345</v>
      </c>
      <c r="D487" s="20" t="s">
        <v>501</v>
      </c>
      <c r="E487" s="21">
        <v>500</v>
      </c>
      <c r="F487" s="1" t="s">
        <v>68</v>
      </c>
      <c r="G487" s="25" t="s">
        <v>172</v>
      </c>
      <c r="H487" s="1" t="s">
        <v>173</v>
      </c>
      <c r="J487" s="60">
        <v>0</v>
      </c>
      <c r="K487" s="24">
        <v>45301.473981481482</v>
      </c>
      <c r="L487" s="23">
        <v>48</v>
      </c>
      <c r="O487" s="54">
        <v>1</v>
      </c>
      <c r="P487" s="33">
        <v>500</v>
      </c>
      <c r="Q487" s="33">
        <v>0</v>
      </c>
    </row>
    <row r="488" spans="2:17" x14ac:dyDescent="0.25">
      <c r="B488" s="45" t="s">
        <v>321</v>
      </c>
      <c r="C488" s="45" t="s">
        <v>479</v>
      </c>
      <c r="D488" s="20" t="s">
        <v>502</v>
      </c>
      <c r="E488" s="21">
        <v>120</v>
      </c>
      <c r="F488" s="1" t="s">
        <v>144</v>
      </c>
      <c r="G488" s="45" t="s">
        <v>150</v>
      </c>
      <c r="H488" s="1" t="s">
        <v>146</v>
      </c>
      <c r="I488" s="1" t="s">
        <v>147</v>
      </c>
      <c r="J488" s="60">
        <v>0</v>
      </c>
      <c r="K488" s="24">
        <v>45301.47583333333</v>
      </c>
      <c r="L488" s="23">
        <v>620</v>
      </c>
      <c r="O488" s="54">
        <v>10</v>
      </c>
      <c r="P488" s="33">
        <v>12</v>
      </c>
      <c r="Q488" s="33">
        <v>0</v>
      </c>
    </row>
    <row r="489" spans="2:17" x14ac:dyDescent="0.25">
      <c r="B489" s="45" t="s">
        <v>321</v>
      </c>
      <c r="C489" s="45" t="s">
        <v>479</v>
      </c>
      <c r="D489" s="20" t="s">
        <v>502</v>
      </c>
      <c r="E489" s="21">
        <v>60</v>
      </c>
      <c r="F489" s="1" t="s">
        <v>144</v>
      </c>
      <c r="G489" s="45" t="s">
        <v>145</v>
      </c>
      <c r="H489" s="1" t="s">
        <v>146</v>
      </c>
      <c r="I489" s="1" t="s">
        <v>147</v>
      </c>
      <c r="J489" s="60">
        <v>0</v>
      </c>
      <c r="K489" s="24">
        <v>45301.476111111115</v>
      </c>
      <c r="L489" s="23">
        <v>1418</v>
      </c>
      <c r="O489" s="54">
        <v>10</v>
      </c>
      <c r="P489" s="33">
        <v>6</v>
      </c>
      <c r="Q489" s="33">
        <v>0</v>
      </c>
    </row>
    <row r="490" spans="2:17" x14ac:dyDescent="0.25">
      <c r="B490" s="45" t="s">
        <v>321</v>
      </c>
      <c r="C490" s="45" t="s">
        <v>479</v>
      </c>
      <c r="D490" s="20" t="s">
        <v>502</v>
      </c>
      <c r="E490" s="21">
        <v>60</v>
      </c>
      <c r="F490" s="1" t="s">
        <v>144</v>
      </c>
      <c r="G490" s="45" t="s">
        <v>148</v>
      </c>
      <c r="H490" s="1" t="s">
        <v>149</v>
      </c>
      <c r="I490" s="1" t="s">
        <v>147</v>
      </c>
      <c r="J490" s="60">
        <v>0</v>
      </c>
      <c r="K490" s="24">
        <v>45301.476331018515</v>
      </c>
      <c r="L490" s="23">
        <v>6557</v>
      </c>
      <c r="O490" s="54">
        <v>10</v>
      </c>
      <c r="P490" s="33">
        <v>6</v>
      </c>
      <c r="Q490" s="33">
        <v>0</v>
      </c>
    </row>
    <row r="491" spans="2:17" x14ac:dyDescent="0.25">
      <c r="B491" s="45" t="s">
        <v>321</v>
      </c>
      <c r="C491" s="45" t="s">
        <v>364</v>
      </c>
      <c r="D491" s="20" t="s">
        <v>503</v>
      </c>
      <c r="E491" s="21">
        <v>144</v>
      </c>
      <c r="F491" s="1" t="s">
        <v>152</v>
      </c>
      <c r="G491" s="45" t="s">
        <v>157</v>
      </c>
      <c r="H491" s="1" t="s">
        <v>154</v>
      </c>
      <c r="I491" s="1" t="s">
        <v>155</v>
      </c>
      <c r="J491" s="60">
        <v>0</v>
      </c>
      <c r="K491" s="24">
        <v>45301.477175925924</v>
      </c>
      <c r="L491" s="23">
        <v>3218</v>
      </c>
      <c r="O491" s="54">
        <v>144</v>
      </c>
      <c r="P491" s="33">
        <v>1</v>
      </c>
      <c r="Q491" s="33">
        <v>0</v>
      </c>
    </row>
    <row r="492" spans="2:17" x14ac:dyDescent="0.25">
      <c r="B492" s="45" t="s">
        <v>321</v>
      </c>
      <c r="C492" s="45" t="s">
        <v>504</v>
      </c>
      <c r="D492" s="20" t="s">
        <v>505</v>
      </c>
      <c r="E492" s="21">
        <v>36</v>
      </c>
      <c r="F492" s="1" t="s">
        <v>68</v>
      </c>
      <c r="G492" s="45" t="s">
        <v>184</v>
      </c>
      <c r="H492" s="1" t="s">
        <v>185</v>
      </c>
      <c r="J492" s="60">
        <v>0</v>
      </c>
      <c r="K492" s="24">
        <v>45301.477685185186</v>
      </c>
      <c r="L492" s="23">
        <v>571</v>
      </c>
      <c r="O492" s="54">
        <v>4</v>
      </c>
      <c r="P492" s="33">
        <v>9</v>
      </c>
      <c r="Q492" s="33">
        <v>0</v>
      </c>
    </row>
    <row r="493" spans="2:17" x14ac:dyDescent="0.25">
      <c r="B493" s="45" t="s">
        <v>321</v>
      </c>
      <c r="C493" s="45" t="s">
        <v>265</v>
      </c>
      <c r="D493" s="20" t="s">
        <v>506</v>
      </c>
      <c r="E493" s="21">
        <v>6</v>
      </c>
      <c r="F493" s="1" t="s">
        <v>68</v>
      </c>
      <c r="G493" s="25" t="s">
        <v>786</v>
      </c>
      <c r="H493" s="1" t="s">
        <v>165</v>
      </c>
      <c r="I493" s="1" t="s">
        <v>161</v>
      </c>
      <c r="J493" s="60">
        <v>0</v>
      </c>
      <c r="K493" s="24">
        <v>45301.478587962964</v>
      </c>
      <c r="L493" s="23">
        <v>209</v>
      </c>
      <c r="O493" s="54">
        <v>24</v>
      </c>
      <c r="P493" s="33">
        <v>0</v>
      </c>
      <c r="Q493" s="33">
        <v>6</v>
      </c>
    </row>
    <row r="494" spans="2:17" x14ac:dyDescent="0.25">
      <c r="B494" s="45" t="s">
        <v>321</v>
      </c>
      <c r="C494" s="45" t="s">
        <v>265</v>
      </c>
      <c r="D494" s="20" t="s">
        <v>506</v>
      </c>
      <c r="E494" s="21">
        <v>150</v>
      </c>
      <c r="F494" s="1" t="s">
        <v>68</v>
      </c>
      <c r="G494" s="45" t="s">
        <v>170</v>
      </c>
      <c r="H494" s="1" t="s">
        <v>171</v>
      </c>
      <c r="I494" s="1" t="s">
        <v>122</v>
      </c>
      <c r="J494" s="60">
        <v>0</v>
      </c>
      <c r="K494" s="24">
        <v>45301.478842592594</v>
      </c>
      <c r="L494" s="23">
        <v>1800</v>
      </c>
      <c r="O494" s="54">
        <v>100</v>
      </c>
      <c r="P494" s="33">
        <v>1</v>
      </c>
      <c r="Q494" s="33">
        <v>50</v>
      </c>
    </row>
    <row r="495" spans="2:17" x14ac:dyDescent="0.25">
      <c r="B495" s="45" t="s">
        <v>321</v>
      </c>
      <c r="C495" s="45" t="s">
        <v>368</v>
      </c>
      <c r="D495" s="20" t="s">
        <v>507</v>
      </c>
      <c r="E495" s="21">
        <v>6000</v>
      </c>
      <c r="F495" s="1" t="s">
        <v>68</v>
      </c>
      <c r="G495" s="45" t="s">
        <v>124</v>
      </c>
      <c r="H495" s="1" t="s">
        <v>125</v>
      </c>
      <c r="I495" s="1" t="s">
        <v>122</v>
      </c>
      <c r="J495" s="60">
        <v>0</v>
      </c>
      <c r="K495" s="24">
        <v>45301.479675925926</v>
      </c>
      <c r="L495" s="23">
        <v>14000</v>
      </c>
      <c r="O495" s="54">
        <v>1200</v>
      </c>
      <c r="P495" s="33">
        <v>5</v>
      </c>
      <c r="Q495" s="33">
        <v>0</v>
      </c>
    </row>
    <row r="496" spans="2:17" x14ac:dyDescent="0.25">
      <c r="B496" s="45" t="s">
        <v>321</v>
      </c>
      <c r="C496" s="45" t="s">
        <v>266</v>
      </c>
      <c r="D496" s="20" t="s">
        <v>508</v>
      </c>
      <c r="E496" s="21">
        <v>300</v>
      </c>
      <c r="F496" s="1" t="s">
        <v>68</v>
      </c>
      <c r="G496" s="45" t="s">
        <v>177</v>
      </c>
      <c r="H496" s="1" t="s">
        <v>178</v>
      </c>
      <c r="I496" s="1" t="s">
        <v>179</v>
      </c>
      <c r="J496" s="60">
        <v>0</v>
      </c>
      <c r="K496" s="24">
        <v>45301.480138888888</v>
      </c>
      <c r="L496" s="23">
        <v>2712</v>
      </c>
      <c r="O496" s="54">
        <v>36</v>
      </c>
      <c r="P496" s="33">
        <v>8</v>
      </c>
      <c r="Q496" s="33">
        <v>12.000000000000021</v>
      </c>
    </row>
    <row r="497" spans="2:17" x14ac:dyDescent="0.25">
      <c r="B497" s="45" t="s">
        <v>321</v>
      </c>
      <c r="C497" s="45" t="s">
        <v>266</v>
      </c>
      <c r="D497" s="20" t="s">
        <v>508</v>
      </c>
      <c r="E497" s="21">
        <v>10</v>
      </c>
      <c r="F497" s="1" t="s">
        <v>68</v>
      </c>
      <c r="G497" s="25" t="s">
        <v>787</v>
      </c>
      <c r="H497" s="1" t="s">
        <v>167</v>
      </c>
      <c r="I497" s="1" t="s">
        <v>161</v>
      </c>
      <c r="J497" s="60">
        <v>0</v>
      </c>
      <c r="K497" s="24">
        <v>45301.480381944442</v>
      </c>
      <c r="L497" s="23">
        <v>229</v>
      </c>
      <c r="O497" s="54">
        <v>4</v>
      </c>
      <c r="P497" s="33">
        <v>2</v>
      </c>
      <c r="Q497" s="33">
        <v>2</v>
      </c>
    </row>
    <row r="498" spans="2:17" x14ac:dyDescent="0.25">
      <c r="B498" s="45" t="s">
        <v>321</v>
      </c>
      <c r="C498" s="45" t="s">
        <v>509</v>
      </c>
      <c r="D498" s="20" t="s">
        <v>510</v>
      </c>
      <c r="E498" s="21">
        <v>12000</v>
      </c>
      <c r="F498" s="1" t="s">
        <v>68</v>
      </c>
      <c r="G498" s="45" t="s">
        <v>120</v>
      </c>
      <c r="H498" s="1" t="s">
        <v>121</v>
      </c>
      <c r="I498" s="1" t="s">
        <v>122</v>
      </c>
      <c r="J498" s="60">
        <v>0</v>
      </c>
      <c r="K498" s="24">
        <v>45301.480902777781</v>
      </c>
      <c r="L498" s="23">
        <v>133800</v>
      </c>
      <c r="O498" s="54">
        <v>2400</v>
      </c>
      <c r="P498" s="33">
        <v>5</v>
      </c>
      <c r="Q498" s="33">
        <v>0</v>
      </c>
    </row>
    <row r="499" spans="2:17" x14ac:dyDescent="0.25">
      <c r="B499" s="45" t="s">
        <v>321</v>
      </c>
      <c r="C499" s="45" t="s">
        <v>429</v>
      </c>
      <c r="D499" s="20" t="s">
        <v>511</v>
      </c>
      <c r="E499" s="21">
        <v>12000</v>
      </c>
      <c r="F499" s="1" t="s">
        <v>68</v>
      </c>
      <c r="G499" s="45" t="s">
        <v>140</v>
      </c>
      <c r="H499" s="1" t="s">
        <v>141</v>
      </c>
      <c r="I499" s="1" t="s">
        <v>122</v>
      </c>
      <c r="J499" s="60">
        <v>0</v>
      </c>
      <c r="K499" s="24">
        <v>45301.481377314813</v>
      </c>
      <c r="L499" s="23">
        <v>196900</v>
      </c>
      <c r="O499" s="54">
        <v>2400</v>
      </c>
      <c r="P499" s="33">
        <v>5</v>
      </c>
      <c r="Q499" s="33">
        <v>0</v>
      </c>
    </row>
    <row r="500" spans="2:17" x14ac:dyDescent="0.25">
      <c r="B500" s="45" t="s">
        <v>321</v>
      </c>
      <c r="C500" s="45" t="s">
        <v>429</v>
      </c>
      <c r="D500" s="20" t="s">
        <v>511</v>
      </c>
      <c r="E500" s="21">
        <v>2</v>
      </c>
      <c r="F500" s="1" t="s">
        <v>68</v>
      </c>
      <c r="G500" s="25" t="s">
        <v>430</v>
      </c>
      <c r="H500" s="1" t="s">
        <v>199</v>
      </c>
      <c r="J500" s="60">
        <v>0</v>
      </c>
      <c r="K500" s="24">
        <v>45301.482268518521</v>
      </c>
      <c r="L500" s="23">
        <v>46</v>
      </c>
      <c r="O500" s="54">
        <v>40</v>
      </c>
      <c r="P500" s="33">
        <v>0</v>
      </c>
      <c r="Q500" s="33">
        <v>2</v>
      </c>
    </row>
    <row r="501" spans="2:17" x14ac:dyDescent="0.25">
      <c r="B501" s="45" t="s">
        <v>321</v>
      </c>
      <c r="C501" s="45" t="s">
        <v>267</v>
      </c>
      <c r="D501" s="20" t="s">
        <v>512</v>
      </c>
      <c r="E501" s="21">
        <v>2</v>
      </c>
      <c r="F501" s="1" t="s">
        <v>68</v>
      </c>
      <c r="G501" s="45" t="s">
        <v>200</v>
      </c>
      <c r="H501" s="1" t="s">
        <v>201</v>
      </c>
      <c r="J501" s="60">
        <v>0</v>
      </c>
      <c r="K501" s="24">
        <v>45301.482731481483</v>
      </c>
      <c r="L501" s="23">
        <v>27</v>
      </c>
      <c r="O501" s="54">
        <v>36</v>
      </c>
      <c r="P501" s="33">
        <v>0</v>
      </c>
      <c r="Q501" s="33">
        <v>2</v>
      </c>
    </row>
    <row r="502" spans="2:17" x14ac:dyDescent="0.25">
      <c r="B502" s="45" t="s">
        <v>321</v>
      </c>
      <c r="C502" s="45" t="s">
        <v>267</v>
      </c>
      <c r="D502" s="20" t="s">
        <v>512</v>
      </c>
      <c r="E502" s="21">
        <v>120</v>
      </c>
      <c r="F502" s="1" t="s">
        <v>68</v>
      </c>
      <c r="G502" s="25" t="s">
        <v>219</v>
      </c>
      <c r="H502" s="1" t="s">
        <v>220</v>
      </c>
      <c r="I502" s="1" t="s">
        <v>161</v>
      </c>
      <c r="J502" s="60">
        <v>0</v>
      </c>
      <c r="K502" s="24">
        <v>45301.483032407406</v>
      </c>
      <c r="L502" s="23">
        <v>9080</v>
      </c>
      <c r="O502" s="54">
        <v>1</v>
      </c>
      <c r="P502" s="33">
        <v>120</v>
      </c>
      <c r="Q502" s="33">
        <v>0</v>
      </c>
    </row>
    <row r="503" spans="2:17" x14ac:dyDescent="0.25">
      <c r="B503" s="45" t="s">
        <v>321</v>
      </c>
      <c r="C503" s="45" t="s">
        <v>267</v>
      </c>
      <c r="D503" s="20" t="s">
        <v>512</v>
      </c>
      <c r="E503" s="21">
        <v>120</v>
      </c>
      <c r="F503" s="1" t="s">
        <v>68</v>
      </c>
      <c r="G503" s="25" t="s">
        <v>427</v>
      </c>
      <c r="H503" s="1" t="s">
        <v>166</v>
      </c>
      <c r="I503" s="1" t="s">
        <v>161</v>
      </c>
      <c r="J503" s="60">
        <v>0</v>
      </c>
      <c r="K503" s="24">
        <v>45301.483217592591</v>
      </c>
      <c r="L503" s="23">
        <v>7980</v>
      </c>
      <c r="O503" s="54">
        <v>60</v>
      </c>
      <c r="P503" s="33">
        <v>2</v>
      </c>
      <c r="Q503" s="76">
        <v>0</v>
      </c>
    </row>
    <row r="504" spans="2:17" x14ac:dyDescent="0.25">
      <c r="B504" s="45" t="s">
        <v>176</v>
      </c>
      <c r="C504" s="45" t="s">
        <v>418</v>
      </c>
      <c r="D504" s="20" t="s">
        <v>513</v>
      </c>
      <c r="E504" s="21">
        <v>35</v>
      </c>
      <c r="F504" s="1" t="s">
        <v>68</v>
      </c>
      <c r="G504" s="25" t="s">
        <v>788</v>
      </c>
      <c r="H504" s="1" t="s">
        <v>187</v>
      </c>
      <c r="I504" s="1" t="s">
        <v>161</v>
      </c>
      <c r="J504" s="60">
        <v>0</v>
      </c>
      <c r="K504" s="24">
        <v>45303.641331018516</v>
      </c>
      <c r="L504" s="23">
        <v>420</v>
      </c>
      <c r="O504" s="54">
        <v>100</v>
      </c>
      <c r="P504" s="33">
        <v>0</v>
      </c>
      <c r="Q504" s="33">
        <v>35</v>
      </c>
    </row>
    <row r="505" spans="2:17" x14ac:dyDescent="0.25">
      <c r="B505" s="45" t="s">
        <v>176</v>
      </c>
      <c r="C505" s="45" t="s">
        <v>418</v>
      </c>
      <c r="D505" s="20" t="s">
        <v>513</v>
      </c>
      <c r="E505" s="21">
        <v>10</v>
      </c>
      <c r="F505" s="1" t="s">
        <v>68</v>
      </c>
      <c r="G505" s="25" t="s">
        <v>787</v>
      </c>
      <c r="H505" s="1" t="s">
        <v>167</v>
      </c>
      <c r="I505" s="1" t="s">
        <v>161</v>
      </c>
      <c r="J505" s="60">
        <v>0</v>
      </c>
      <c r="K505" s="24">
        <v>45303.641550925924</v>
      </c>
      <c r="L505" s="23">
        <v>219</v>
      </c>
      <c r="O505" s="54">
        <v>4</v>
      </c>
      <c r="P505" s="33">
        <v>2</v>
      </c>
      <c r="Q505" s="33">
        <v>2</v>
      </c>
    </row>
    <row r="506" spans="2:17" x14ac:dyDescent="0.25">
      <c r="B506" s="45" t="s">
        <v>176</v>
      </c>
      <c r="C506" s="45" t="s">
        <v>392</v>
      </c>
      <c r="D506" s="20" t="s">
        <v>514</v>
      </c>
      <c r="E506" s="21">
        <v>5600</v>
      </c>
      <c r="F506" s="1" t="s">
        <v>68</v>
      </c>
      <c r="G506" s="45" t="s">
        <v>140</v>
      </c>
      <c r="H506" s="1" t="s">
        <v>141</v>
      </c>
      <c r="I506" s="1" t="s">
        <v>122</v>
      </c>
      <c r="J506" s="60">
        <v>0</v>
      </c>
      <c r="K506" s="24">
        <v>45303.642175925925</v>
      </c>
      <c r="L506" s="23">
        <v>191300</v>
      </c>
      <c r="O506" s="54">
        <v>2400</v>
      </c>
      <c r="P506" s="33">
        <v>2</v>
      </c>
      <c r="Q506" s="33">
        <v>800.00000000000034</v>
      </c>
    </row>
    <row r="507" spans="2:17" x14ac:dyDescent="0.25">
      <c r="B507" s="45" t="s">
        <v>176</v>
      </c>
      <c r="C507" s="45" t="s">
        <v>392</v>
      </c>
      <c r="D507" s="20" t="s">
        <v>514</v>
      </c>
      <c r="E507" s="21">
        <v>760</v>
      </c>
      <c r="F507" s="1" t="s">
        <v>152</v>
      </c>
      <c r="G507" s="25" t="s">
        <v>156</v>
      </c>
      <c r="H507" s="1" t="s">
        <v>154</v>
      </c>
      <c r="I507" s="1" t="s">
        <v>155</v>
      </c>
      <c r="J507" s="60">
        <v>0</v>
      </c>
      <c r="K507" s="24">
        <v>45303.642777777779</v>
      </c>
      <c r="L507" s="23">
        <v>2928</v>
      </c>
      <c r="O507" s="54">
        <v>144</v>
      </c>
      <c r="P507" s="33">
        <v>5</v>
      </c>
      <c r="Q507" s="33">
        <v>39.999999999999986</v>
      </c>
    </row>
    <row r="508" spans="2:17" x14ac:dyDescent="0.25">
      <c r="B508" s="45" t="s">
        <v>176</v>
      </c>
      <c r="C508" s="45" t="s">
        <v>387</v>
      </c>
      <c r="D508" s="20" t="s">
        <v>515</v>
      </c>
      <c r="E508" s="21">
        <v>1600</v>
      </c>
      <c r="F508" s="1" t="s">
        <v>68</v>
      </c>
      <c r="G508" s="45" t="s">
        <v>188</v>
      </c>
      <c r="H508" s="1" t="s">
        <v>189</v>
      </c>
      <c r="I508" s="1" t="s">
        <v>122</v>
      </c>
      <c r="J508" s="60">
        <v>0</v>
      </c>
      <c r="K508" s="24">
        <v>45303.64371527778</v>
      </c>
      <c r="L508" s="23">
        <v>28600</v>
      </c>
      <c r="O508" s="54">
        <v>2400</v>
      </c>
      <c r="P508" s="33">
        <v>0</v>
      </c>
      <c r="Q508" s="33">
        <v>1600</v>
      </c>
    </row>
    <row r="509" spans="2:17" x14ac:dyDescent="0.25">
      <c r="B509" s="45" t="s">
        <v>176</v>
      </c>
      <c r="C509" s="45" t="s">
        <v>516</v>
      </c>
      <c r="D509" s="20" t="s">
        <v>517</v>
      </c>
      <c r="E509" s="21">
        <v>1340</v>
      </c>
      <c r="F509" s="1" t="s">
        <v>68</v>
      </c>
      <c r="G509" s="25" t="s">
        <v>427</v>
      </c>
      <c r="H509" s="1" t="s">
        <v>166</v>
      </c>
      <c r="I509" s="1" t="s">
        <v>161</v>
      </c>
      <c r="J509" s="60">
        <v>0</v>
      </c>
      <c r="K509" s="24">
        <v>45303.64875</v>
      </c>
      <c r="L509" s="23">
        <v>6640</v>
      </c>
      <c r="O509" s="54">
        <v>60</v>
      </c>
      <c r="P509" s="33">
        <v>22</v>
      </c>
      <c r="Q509" s="33">
        <v>19.999999999999929</v>
      </c>
    </row>
    <row r="510" spans="2:17" x14ac:dyDescent="0.25">
      <c r="B510" s="45" t="s">
        <v>518</v>
      </c>
      <c r="C510" s="45" t="s">
        <v>519</v>
      </c>
      <c r="D510" s="20" t="s">
        <v>520</v>
      </c>
      <c r="E510" s="21">
        <v>4000</v>
      </c>
      <c r="F510" s="1" t="s">
        <v>68</v>
      </c>
      <c r="G510" s="45" t="s">
        <v>181</v>
      </c>
      <c r="H510" s="1" t="s">
        <v>182</v>
      </c>
      <c r="I510" s="1" t="s">
        <v>183</v>
      </c>
      <c r="J510" s="33">
        <v>1</v>
      </c>
      <c r="K510" s="24">
        <v>45306.683449074073</v>
      </c>
      <c r="L510" s="23">
        <v>3990</v>
      </c>
      <c r="M510" s="22">
        <v>45413</v>
      </c>
      <c r="O510" s="54">
        <v>300</v>
      </c>
      <c r="P510" s="33">
        <v>13</v>
      </c>
      <c r="Q510" s="33">
        <v>100.00000000000017</v>
      </c>
    </row>
    <row r="511" spans="2:17" x14ac:dyDescent="0.25">
      <c r="B511" s="45" t="s">
        <v>176</v>
      </c>
      <c r="C511" s="45" t="s">
        <v>418</v>
      </c>
      <c r="D511" s="20" t="s">
        <v>521</v>
      </c>
      <c r="E511" s="21">
        <v>40</v>
      </c>
      <c r="F511" s="1" t="s">
        <v>68</v>
      </c>
      <c r="G511" s="25" t="s">
        <v>788</v>
      </c>
      <c r="H511" s="1" t="s">
        <v>187</v>
      </c>
      <c r="I511" s="1" t="s">
        <v>161</v>
      </c>
      <c r="J511" s="60">
        <v>0</v>
      </c>
      <c r="K511" s="24">
        <v>45308.641273148147</v>
      </c>
      <c r="L511" s="23">
        <v>380</v>
      </c>
      <c r="O511" s="54">
        <v>100</v>
      </c>
      <c r="P511" s="33">
        <v>0</v>
      </c>
      <c r="Q511" s="33">
        <v>40</v>
      </c>
    </row>
    <row r="512" spans="2:17" x14ac:dyDescent="0.25">
      <c r="B512" s="45" t="s">
        <v>176</v>
      </c>
      <c r="C512" s="45" t="s">
        <v>387</v>
      </c>
      <c r="D512" s="20" t="s">
        <v>522</v>
      </c>
      <c r="E512" s="21">
        <v>1600</v>
      </c>
      <c r="F512" s="1" t="s">
        <v>68</v>
      </c>
      <c r="G512" s="45" t="s">
        <v>188</v>
      </c>
      <c r="H512" s="1" t="s">
        <v>189</v>
      </c>
      <c r="I512" s="1" t="s">
        <v>122</v>
      </c>
      <c r="J512" s="60">
        <v>0</v>
      </c>
      <c r="K512" s="24">
        <v>45308.643078703702</v>
      </c>
      <c r="L512" s="23">
        <v>27000</v>
      </c>
      <c r="O512" s="54">
        <v>2400</v>
      </c>
      <c r="P512" s="33">
        <v>0</v>
      </c>
      <c r="Q512" s="33">
        <v>1600</v>
      </c>
    </row>
    <row r="513" spans="2:17" x14ac:dyDescent="0.25">
      <c r="B513" s="45" t="s">
        <v>176</v>
      </c>
      <c r="C513" s="45" t="s">
        <v>261</v>
      </c>
      <c r="D513" s="20" t="s">
        <v>523</v>
      </c>
      <c r="E513" s="21">
        <v>1000</v>
      </c>
      <c r="F513" s="1" t="s">
        <v>68</v>
      </c>
      <c r="G513" s="45" t="s">
        <v>181</v>
      </c>
      <c r="H513" s="1" t="s">
        <v>182</v>
      </c>
      <c r="I513" s="1" t="s">
        <v>183</v>
      </c>
      <c r="J513" s="60">
        <v>0</v>
      </c>
      <c r="K513" s="24">
        <v>45308.643969907411</v>
      </c>
      <c r="L513" s="23">
        <v>3000</v>
      </c>
      <c r="O513" s="54">
        <v>300</v>
      </c>
      <c r="P513" s="33">
        <v>3</v>
      </c>
      <c r="Q513" s="33">
        <v>100.00000000000004</v>
      </c>
    </row>
    <row r="514" spans="2:17" x14ac:dyDescent="0.25">
      <c r="B514" s="45" t="s">
        <v>176</v>
      </c>
      <c r="C514" s="45" t="s">
        <v>261</v>
      </c>
      <c r="D514" s="20" t="s">
        <v>523</v>
      </c>
      <c r="E514" s="21">
        <v>288</v>
      </c>
      <c r="F514" s="1" t="s">
        <v>152</v>
      </c>
      <c r="G514" s="45" t="s">
        <v>153</v>
      </c>
      <c r="H514" s="1" t="s">
        <v>154</v>
      </c>
      <c r="I514" s="1" t="s">
        <v>155</v>
      </c>
      <c r="J514" s="60">
        <v>0</v>
      </c>
      <c r="K514" s="24">
        <v>45308.644976851851</v>
      </c>
      <c r="L514" s="23">
        <v>0</v>
      </c>
      <c r="O514" s="54">
        <v>144</v>
      </c>
      <c r="P514" s="33">
        <v>2</v>
      </c>
      <c r="Q514" s="33">
        <v>0</v>
      </c>
    </row>
    <row r="515" spans="2:17" x14ac:dyDescent="0.25">
      <c r="B515" s="45" t="s">
        <v>176</v>
      </c>
      <c r="C515" s="45" t="s">
        <v>262</v>
      </c>
      <c r="D515" s="20" t="s">
        <v>524</v>
      </c>
      <c r="E515" s="21">
        <v>700</v>
      </c>
      <c r="F515" s="1" t="s">
        <v>68</v>
      </c>
      <c r="G515" s="46" t="s">
        <v>427</v>
      </c>
      <c r="H515" s="1" t="s">
        <v>166</v>
      </c>
      <c r="I515" s="1" t="s">
        <v>161</v>
      </c>
      <c r="J515" s="60">
        <v>0</v>
      </c>
      <c r="K515" s="24">
        <v>45308.64744212963</v>
      </c>
      <c r="L515" s="23">
        <v>5940</v>
      </c>
      <c r="O515" s="54">
        <v>60</v>
      </c>
      <c r="P515" s="33">
        <v>11</v>
      </c>
      <c r="Q515" s="33">
        <v>39.999999999999964</v>
      </c>
    </row>
    <row r="516" spans="2:17" x14ac:dyDescent="0.25">
      <c r="B516" s="45" t="s">
        <v>321</v>
      </c>
      <c r="C516" s="45" t="s">
        <v>525</v>
      </c>
      <c r="D516" s="20" t="s">
        <v>526</v>
      </c>
      <c r="E516" s="21">
        <v>5000</v>
      </c>
      <c r="F516" s="1" t="s">
        <v>68</v>
      </c>
      <c r="G516" s="45" t="s">
        <v>159</v>
      </c>
      <c r="H516" s="61" t="s">
        <v>160</v>
      </c>
      <c r="I516" s="1" t="s">
        <v>161</v>
      </c>
      <c r="J516" s="60">
        <v>0</v>
      </c>
      <c r="K516" s="24">
        <v>45308.656400462962</v>
      </c>
      <c r="L516" s="23">
        <v>696</v>
      </c>
      <c r="O516" s="54">
        <v>24</v>
      </c>
      <c r="P516" s="33">
        <v>208</v>
      </c>
      <c r="Q516" s="33">
        <v>8.0000000000002274</v>
      </c>
    </row>
    <row r="517" spans="2:17" x14ac:dyDescent="0.25">
      <c r="B517" s="45" t="s">
        <v>321</v>
      </c>
      <c r="C517" s="45" t="s">
        <v>504</v>
      </c>
      <c r="D517" s="20" t="s">
        <v>527</v>
      </c>
      <c r="E517" s="21">
        <v>36</v>
      </c>
      <c r="F517" s="1" t="s">
        <v>68</v>
      </c>
      <c r="G517" s="45" t="s">
        <v>184</v>
      </c>
      <c r="H517" s="1" t="s">
        <v>185</v>
      </c>
      <c r="J517" s="60">
        <v>0</v>
      </c>
      <c r="K517" s="24">
        <v>45308.657314814816</v>
      </c>
      <c r="L517" s="23">
        <v>535</v>
      </c>
      <c r="O517" s="54">
        <v>4</v>
      </c>
      <c r="P517" s="33">
        <v>9</v>
      </c>
      <c r="Q517" s="33">
        <v>0</v>
      </c>
    </row>
    <row r="518" spans="2:17" x14ac:dyDescent="0.25">
      <c r="B518" s="45" t="s">
        <v>321</v>
      </c>
      <c r="C518" s="45" t="s">
        <v>429</v>
      </c>
      <c r="D518" s="20" t="s">
        <v>528</v>
      </c>
      <c r="E518" s="21">
        <v>12000</v>
      </c>
      <c r="F518" s="1" t="s">
        <v>68</v>
      </c>
      <c r="G518" s="45" t="s">
        <v>140</v>
      </c>
      <c r="H518" s="61" t="s">
        <v>141</v>
      </c>
      <c r="I518" s="1" t="s">
        <v>122</v>
      </c>
      <c r="J518" s="60">
        <v>0</v>
      </c>
      <c r="K518" s="24">
        <v>45308.660104166665</v>
      </c>
      <c r="L518" s="23">
        <v>179300</v>
      </c>
      <c r="O518" s="54">
        <v>2400</v>
      </c>
      <c r="P518" s="33">
        <v>5</v>
      </c>
      <c r="Q518" s="33">
        <v>0</v>
      </c>
    </row>
    <row r="519" spans="2:17" x14ac:dyDescent="0.25">
      <c r="B519" s="45" t="s">
        <v>321</v>
      </c>
      <c r="C519" s="45" t="s">
        <v>429</v>
      </c>
      <c r="D519" s="20" t="s">
        <v>528</v>
      </c>
      <c r="E519" s="21">
        <v>2</v>
      </c>
      <c r="F519" s="1" t="s">
        <v>68</v>
      </c>
      <c r="G519" s="25" t="s">
        <v>430</v>
      </c>
      <c r="H519" s="61" t="s">
        <v>199</v>
      </c>
      <c r="J519" s="60">
        <v>0</v>
      </c>
      <c r="K519" s="24">
        <v>45308.660636574074</v>
      </c>
      <c r="L519" s="23">
        <v>44</v>
      </c>
      <c r="O519" s="54">
        <v>40</v>
      </c>
      <c r="P519" s="33">
        <v>0</v>
      </c>
      <c r="Q519" s="33">
        <v>2</v>
      </c>
    </row>
    <row r="520" spans="2:17" x14ac:dyDescent="0.25">
      <c r="B520" s="45" t="s">
        <v>321</v>
      </c>
      <c r="C520" s="45" t="s">
        <v>267</v>
      </c>
      <c r="D520" s="20" t="s">
        <v>529</v>
      </c>
      <c r="E520" s="21">
        <v>2</v>
      </c>
      <c r="F520" s="1" t="s">
        <v>68</v>
      </c>
      <c r="G520" s="45" t="s">
        <v>200</v>
      </c>
      <c r="H520" s="61" t="s">
        <v>201</v>
      </c>
      <c r="J520" s="60">
        <v>0</v>
      </c>
      <c r="K520" s="24">
        <v>45308.661874999998</v>
      </c>
      <c r="L520" s="23">
        <v>25</v>
      </c>
      <c r="O520" s="54">
        <v>36</v>
      </c>
      <c r="P520" s="33">
        <v>0</v>
      </c>
      <c r="Q520" s="33">
        <v>2</v>
      </c>
    </row>
    <row r="521" spans="2:17" x14ac:dyDescent="0.25">
      <c r="B521" s="45" t="s">
        <v>321</v>
      </c>
      <c r="C521" s="45" t="s">
        <v>267</v>
      </c>
      <c r="D521" s="20" t="s">
        <v>529</v>
      </c>
      <c r="E521" s="21">
        <v>120</v>
      </c>
      <c r="F521" s="1" t="s">
        <v>68</v>
      </c>
      <c r="G521" s="25" t="s">
        <v>219</v>
      </c>
      <c r="H521" s="61" t="s">
        <v>220</v>
      </c>
      <c r="I521" s="1" t="s">
        <v>161</v>
      </c>
      <c r="J521" s="60">
        <v>0</v>
      </c>
      <c r="K521" s="24">
        <v>45308.662372685183</v>
      </c>
      <c r="L521" s="23">
        <v>8960</v>
      </c>
      <c r="O521" s="54">
        <v>100</v>
      </c>
      <c r="P521" s="33">
        <v>1</v>
      </c>
      <c r="Q521" s="33">
        <v>19.999999999999996</v>
      </c>
    </row>
    <row r="522" spans="2:17" x14ac:dyDescent="0.25">
      <c r="B522" s="45" t="s">
        <v>321</v>
      </c>
      <c r="C522" s="45" t="s">
        <v>267</v>
      </c>
      <c r="D522" s="20" t="s">
        <v>529</v>
      </c>
      <c r="E522" s="21">
        <v>120</v>
      </c>
      <c r="F522" s="1" t="s">
        <v>68</v>
      </c>
      <c r="G522" s="25" t="s">
        <v>427</v>
      </c>
      <c r="H522" s="61" t="s">
        <v>166</v>
      </c>
      <c r="I522" s="1" t="s">
        <v>161</v>
      </c>
      <c r="J522" s="60">
        <v>0</v>
      </c>
      <c r="K522" s="24">
        <v>45308.662812499999</v>
      </c>
      <c r="L522" s="23">
        <v>5820</v>
      </c>
      <c r="O522" s="54">
        <v>60</v>
      </c>
      <c r="P522" s="33">
        <v>2</v>
      </c>
      <c r="Q522" s="33">
        <v>0</v>
      </c>
    </row>
    <row r="523" spans="2:17" x14ac:dyDescent="0.25">
      <c r="B523" s="45" t="s">
        <v>321</v>
      </c>
      <c r="C523" s="45" t="s">
        <v>266</v>
      </c>
      <c r="D523" s="20" t="s">
        <v>530</v>
      </c>
      <c r="E523" s="21">
        <v>300</v>
      </c>
      <c r="F523" s="1" t="s">
        <v>68</v>
      </c>
      <c r="G523" s="45" t="s">
        <v>177</v>
      </c>
      <c r="H523" s="1" t="s">
        <v>178</v>
      </c>
      <c r="I523" s="1" t="s">
        <v>179</v>
      </c>
      <c r="J523" s="60">
        <v>0</v>
      </c>
      <c r="K523" s="24">
        <v>45308.665601851855</v>
      </c>
      <c r="L523" s="23">
        <v>2412</v>
      </c>
      <c r="O523" s="54">
        <v>36</v>
      </c>
      <c r="P523" s="33">
        <v>8</v>
      </c>
      <c r="Q523" s="33">
        <v>12.000000000000021</v>
      </c>
    </row>
    <row r="524" spans="2:17" x14ac:dyDescent="0.25">
      <c r="B524" s="45" t="s">
        <v>321</v>
      </c>
      <c r="C524" s="45" t="s">
        <v>266</v>
      </c>
      <c r="D524" s="20" t="s">
        <v>530</v>
      </c>
      <c r="E524" s="21">
        <v>10</v>
      </c>
      <c r="F524" s="1" t="s">
        <v>68</v>
      </c>
      <c r="G524" s="25" t="s">
        <v>787</v>
      </c>
      <c r="H524" s="1" t="s">
        <v>167</v>
      </c>
      <c r="I524" s="1" t="s">
        <v>161</v>
      </c>
      <c r="J524" s="60">
        <v>0</v>
      </c>
      <c r="K524" s="24">
        <v>45308.66615740741</v>
      </c>
      <c r="L524" s="23">
        <v>209</v>
      </c>
      <c r="O524" s="54">
        <v>4</v>
      </c>
      <c r="P524" s="33">
        <v>2</v>
      </c>
      <c r="Q524" s="33">
        <v>2</v>
      </c>
    </row>
    <row r="525" spans="2:17" x14ac:dyDescent="0.25">
      <c r="B525" s="45" t="s">
        <v>321</v>
      </c>
      <c r="C525" s="45" t="s">
        <v>345</v>
      </c>
      <c r="D525" s="20" t="s">
        <v>531</v>
      </c>
      <c r="E525" s="21">
        <v>2500</v>
      </c>
      <c r="F525" s="1" t="s">
        <v>68</v>
      </c>
      <c r="G525" s="45" t="s">
        <v>163</v>
      </c>
      <c r="H525" s="1" t="s">
        <v>164</v>
      </c>
      <c r="I525" s="1" t="s">
        <v>161</v>
      </c>
      <c r="J525" s="60">
        <v>0</v>
      </c>
      <c r="K525" s="24">
        <v>45308.667592592596</v>
      </c>
      <c r="L525" s="23">
        <v>22220</v>
      </c>
      <c r="O525" s="54">
        <v>440</v>
      </c>
      <c r="P525" s="33">
        <v>5</v>
      </c>
      <c r="Q525" s="33">
        <v>299.99999999999994</v>
      </c>
    </row>
    <row r="526" spans="2:17" x14ac:dyDescent="0.25">
      <c r="B526" s="45" t="s">
        <v>321</v>
      </c>
      <c r="C526" s="45" t="s">
        <v>265</v>
      </c>
      <c r="D526" s="20" t="s">
        <v>532</v>
      </c>
      <c r="E526" s="21">
        <v>6</v>
      </c>
      <c r="F526" s="1" t="s">
        <v>68</v>
      </c>
      <c r="G526" s="25" t="s">
        <v>786</v>
      </c>
      <c r="H526" s="1" t="s">
        <v>165</v>
      </c>
      <c r="I526" s="1" t="s">
        <v>161</v>
      </c>
      <c r="J526" s="60">
        <v>0</v>
      </c>
      <c r="K526" s="24">
        <v>45308.671041666668</v>
      </c>
      <c r="L526" s="23">
        <v>203</v>
      </c>
      <c r="O526" s="54">
        <v>24</v>
      </c>
      <c r="P526" s="33">
        <v>0</v>
      </c>
      <c r="Q526" s="33">
        <v>6</v>
      </c>
    </row>
    <row r="527" spans="2:17" x14ac:dyDescent="0.25">
      <c r="B527" s="45" t="s">
        <v>321</v>
      </c>
      <c r="C527" s="45" t="s">
        <v>265</v>
      </c>
      <c r="D527" s="20" t="s">
        <v>532</v>
      </c>
      <c r="E527" s="21">
        <v>150</v>
      </c>
      <c r="F527" s="1" t="s">
        <v>68</v>
      </c>
      <c r="G527" s="25" t="s">
        <v>170</v>
      </c>
      <c r="H527" s="1" t="s">
        <v>171</v>
      </c>
      <c r="I527" s="1" t="s">
        <v>122</v>
      </c>
      <c r="J527" s="60">
        <v>0</v>
      </c>
      <c r="K527" s="24">
        <v>45308.671840277777</v>
      </c>
      <c r="L527" s="23">
        <v>1650</v>
      </c>
      <c r="O527" s="54">
        <v>100</v>
      </c>
      <c r="P527" s="33">
        <v>1</v>
      </c>
      <c r="Q527" s="33">
        <v>50</v>
      </c>
    </row>
    <row r="528" spans="2:17" x14ac:dyDescent="0.25">
      <c r="B528" s="45" t="s">
        <v>321</v>
      </c>
      <c r="C528" s="45" t="s">
        <v>479</v>
      </c>
      <c r="D528" s="20" t="s">
        <v>533</v>
      </c>
      <c r="E528" s="21">
        <v>120</v>
      </c>
      <c r="F528" s="1" t="s">
        <v>144</v>
      </c>
      <c r="G528" s="45" t="s">
        <v>150</v>
      </c>
      <c r="H528" s="1" t="s">
        <v>151</v>
      </c>
      <c r="I528" s="1" t="s">
        <v>147</v>
      </c>
      <c r="J528" s="60">
        <v>0</v>
      </c>
      <c r="K528" s="24">
        <v>45308.674560185187</v>
      </c>
      <c r="L528" s="23">
        <v>500</v>
      </c>
      <c r="O528" s="54">
        <v>10</v>
      </c>
      <c r="P528" s="33">
        <v>12</v>
      </c>
      <c r="Q528" s="33">
        <v>0</v>
      </c>
    </row>
    <row r="529" spans="2:17" x14ac:dyDescent="0.25">
      <c r="B529" s="45" t="s">
        <v>321</v>
      </c>
      <c r="C529" s="45" t="s">
        <v>479</v>
      </c>
      <c r="D529" s="20" t="s">
        <v>533</v>
      </c>
      <c r="E529" s="21">
        <v>60</v>
      </c>
      <c r="F529" s="1" t="s">
        <v>144</v>
      </c>
      <c r="G529" s="45" t="s">
        <v>145</v>
      </c>
      <c r="H529" s="1" t="s">
        <v>146</v>
      </c>
      <c r="I529" s="1" t="s">
        <v>147</v>
      </c>
      <c r="J529" s="60">
        <v>0</v>
      </c>
      <c r="K529" s="24">
        <v>45308.674895833334</v>
      </c>
      <c r="L529" s="23">
        <v>1358</v>
      </c>
      <c r="O529" s="54">
        <v>10</v>
      </c>
      <c r="P529" s="33">
        <v>6</v>
      </c>
      <c r="Q529" s="33">
        <v>0</v>
      </c>
    </row>
    <row r="530" spans="2:17" x14ac:dyDescent="0.25">
      <c r="B530" s="45" t="s">
        <v>321</v>
      </c>
      <c r="C530" s="45" t="s">
        <v>479</v>
      </c>
      <c r="D530" s="20" t="s">
        <v>533</v>
      </c>
      <c r="E530" s="21">
        <v>60</v>
      </c>
      <c r="F530" s="1" t="s">
        <v>144</v>
      </c>
      <c r="G530" s="45" t="s">
        <v>148</v>
      </c>
      <c r="H530" s="1" t="s">
        <v>149</v>
      </c>
      <c r="I530" s="1" t="s">
        <v>147</v>
      </c>
      <c r="J530" s="60">
        <v>0</v>
      </c>
      <c r="K530" s="24">
        <v>45308.675185185188</v>
      </c>
      <c r="L530" s="23">
        <v>6497</v>
      </c>
      <c r="O530" s="54">
        <v>10</v>
      </c>
      <c r="P530" s="33">
        <v>6</v>
      </c>
      <c r="Q530" s="33">
        <v>0</v>
      </c>
    </row>
    <row r="531" spans="2:17" x14ac:dyDescent="0.25">
      <c r="B531" s="45" t="s">
        <v>321</v>
      </c>
      <c r="C531" s="45" t="s">
        <v>364</v>
      </c>
      <c r="D531" s="20" t="s">
        <v>534</v>
      </c>
      <c r="E531" s="21">
        <v>120</v>
      </c>
      <c r="F531" s="1" t="s">
        <v>152</v>
      </c>
      <c r="G531" s="25" t="s">
        <v>157</v>
      </c>
      <c r="H531" s="1" t="s">
        <v>154</v>
      </c>
      <c r="I531" s="1" t="s">
        <v>155</v>
      </c>
      <c r="J531" s="60">
        <v>0</v>
      </c>
      <c r="K531" s="24">
        <v>45308.678113425929</v>
      </c>
      <c r="L531" s="23">
        <v>3098</v>
      </c>
      <c r="O531" s="54">
        <v>144</v>
      </c>
      <c r="P531" s="33">
        <v>0</v>
      </c>
      <c r="Q531" s="33">
        <v>120</v>
      </c>
    </row>
    <row r="532" spans="2:17" x14ac:dyDescent="0.25">
      <c r="B532" s="45" t="s">
        <v>321</v>
      </c>
      <c r="C532" s="45" t="s">
        <v>368</v>
      </c>
      <c r="D532" s="20" t="s">
        <v>535</v>
      </c>
      <c r="E532" s="21">
        <v>6000</v>
      </c>
      <c r="F532" s="1" t="s">
        <v>68</v>
      </c>
      <c r="G532" s="45" t="s">
        <v>124</v>
      </c>
      <c r="H532" s="1" t="s">
        <v>125</v>
      </c>
      <c r="I532" s="1" t="s">
        <v>122</v>
      </c>
      <c r="J532" s="60">
        <v>0</v>
      </c>
      <c r="K532" s="24">
        <v>45308.678182870368</v>
      </c>
      <c r="L532" s="23">
        <v>8000</v>
      </c>
      <c r="O532" s="54">
        <v>1200</v>
      </c>
      <c r="P532" s="33">
        <v>5</v>
      </c>
      <c r="Q532" s="33">
        <v>0</v>
      </c>
    </row>
    <row r="533" spans="2:17" x14ac:dyDescent="0.25">
      <c r="B533" s="45" t="s">
        <v>321</v>
      </c>
      <c r="C533" s="45" t="s">
        <v>509</v>
      </c>
      <c r="D533" s="20" t="s">
        <v>536</v>
      </c>
      <c r="E533" s="21">
        <v>12000</v>
      </c>
      <c r="F533" s="1" t="s">
        <v>68</v>
      </c>
      <c r="G533" s="45" t="s">
        <v>120</v>
      </c>
      <c r="H533" s="61" t="s">
        <v>121</v>
      </c>
      <c r="I533" s="1" t="s">
        <v>122</v>
      </c>
      <c r="J533" s="60">
        <v>0</v>
      </c>
      <c r="K533" s="24">
        <v>45308.67900462963</v>
      </c>
      <c r="L533" s="23">
        <v>121800</v>
      </c>
      <c r="O533" s="54">
        <v>2400</v>
      </c>
      <c r="P533" s="33">
        <v>5</v>
      </c>
      <c r="Q533" s="33">
        <v>0</v>
      </c>
    </row>
    <row r="534" spans="2:17" x14ac:dyDescent="0.25">
      <c r="B534" s="45" t="s">
        <v>176</v>
      </c>
      <c r="C534" s="45" t="s">
        <v>537</v>
      </c>
      <c r="D534" s="20" t="s">
        <v>538</v>
      </c>
      <c r="E534" s="21">
        <v>400</v>
      </c>
      <c r="F534" s="1" t="s">
        <v>68</v>
      </c>
      <c r="G534" s="45" t="s">
        <v>136</v>
      </c>
      <c r="H534" s="61" t="s">
        <v>137</v>
      </c>
      <c r="I534" s="1" t="s">
        <v>122</v>
      </c>
      <c r="J534" s="60">
        <v>0</v>
      </c>
      <c r="K534" s="24">
        <v>45310.436712962961</v>
      </c>
      <c r="L534" s="23">
        <v>29200</v>
      </c>
      <c r="O534" s="54">
        <v>2400</v>
      </c>
      <c r="P534" s="33">
        <v>0</v>
      </c>
      <c r="Q534" s="33">
        <v>400</v>
      </c>
    </row>
    <row r="535" spans="2:17" x14ac:dyDescent="0.25">
      <c r="B535" s="45" t="s">
        <v>176</v>
      </c>
      <c r="C535" s="45" t="s">
        <v>537</v>
      </c>
      <c r="D535" s="20" t="s">
        <v>538</v>
      </c>
      <c r="E535" s="21">
        <v>200</v>
      </c>
      <c r="F535" s="1" t="s">
        <v>68</v>
      </c>
      <c r="G535" s="45" t="s">
        <v>130</v>
      </c>
      <c r="H535" s="61" t="s">
        <v>131</v>
      </c>
      <c r="I535" s="1" t="s">
        <v>122</v>
      </c>
      <c r="J535" s="60">
        <v>0</v>
      </c>
      <c r="K535" s="24">
        <v>45310.436828703707</v>
      </c>
      <c r="L535" s="23">
        <v>4200</v>
      </c>
      <c r="O535" s="54">
        <v>3000</v>
      </c>
      <c r="P535" s="33">
        <v>0</v>
      </c>
      <c r="Q535" s="33">
        <v>200</v>
      </c>
    </row>
    <row r="536" spans="2:17" x14ac:dyDescent="0.25">
      <c r="B536" s="45" t="s">
        <v>176</v>
      </c>
      <c r="C536" s="45" t="s">
        <v>537</v>
      </c>
      <c r="D536" s="20" t="s">
        <v>538</v>
      </c>
      <c r="E536" s="21">
        <v>400</v>
      </c>
      <c r="F536" s="1" t="s">
        <v>68</v>
      </c>
      <c r="G536" s="45" t="s">
        <v>134</v>
      </c>
      <c r="H536" s="61" t="s">
        <v>135</v>
      </c>
      <c r="I536" s="1" t="s">
        <v>122</v>
      </c>
      <c r="J536" s="60">
        <v>0</v>
      </c>
      <c r="K536" s="24">
        <v>45310.436898148146</v>
      </c>
      <c r="L536" s="23">
        <v>5000</v>
      </c>
      <c r="O536" s="54">
        <v>3000</v>
      </c>
      <c r="P536" s="33">
        <v>0</v>
      </c>
      <c r="Q536" s="33">
        <v>400</v>
      </c>
    </row>
    <row r="537" spans="2:17" x14ac:dyDescent="0.25">
      <c r="B537" s="45" t="s">
        <v>176</v>
      </c>
      <c r="C537" s="45" t="s">
        <v>537</v>
      </c>
      <c r="D537" s="20" t="s">
        <v>538</v>
      </c>
      <c r="E537" s="21">
        <v>5500</v>
      </c>
      <c r="F537" s="1" t="s">
        <v>68</v>
      </c>
      <c r="G537" s="45" t="s">
        <v>138</v>
      </c>
      <c r="H537" s="61" t="s">
        <v>139</v>
      </c>
      <c r="I537" s="1" t="s">
        <v>122</v>
      </c>
      <c r="J537" s="60">
        <v>0</v>
      </c>
      <c r="K537" s="24">
        <v>45310.437013888892</v>
      </c>
      <c r="L537" s="23">
        <v>3700</v>
      </c>
      <c r="O537" s="54">
        <v>3000</v>
      </c>
      <c r="P537" s="33">
        <v>1</v>
      </c>
      <c r="Q537" s="33">
        <v>2500</v>
      </c>
    </row>
    <row r="538" spans="2:17" x14ac:dyDescent="0.25">
      <c r="B538" s="45" t="s">
        <v>539</v>
      </c>
      <c r="C538" s="45" t="s">
        <v>540</v>
      </c>
      <c r="D538" s="20" t="s">
        <v>541</v>
      </c>
      <c r="E538" s="21">
        <v>600</v>
      </c>
      <c r="F538" s="1" t="s">
        <v>144</v>
      </c>
      <c r="G538" s="45" t="s">
        <v>150</v>
      </c>
      <c r="H538" s="1" t="s">
        <v>151</v>
      </c>
      <c r="I538" s="1" t="s">
        <v>147</v>
      </c>
      <c r="J538" s="33">
        <v>1</v>
      </c>
      <c r="K538" s="24">
        <v>45310.577164351853</v>
      </c>
      <c r="L538" s="23">
        <v>1100</v>
      </c>
      <c r="M538" s="1" t="s">
        <v>542</v>
      </c>
      <c r="O538" s="54">
        <v>10</v>
      </c>
      <c r="P538" s="33">
        <v>60</v>
      </c>
      <c r="Q538" s="33">
        <v>0</v>
      </c>
    </row>
    <row r="539" spans="2:17" x14ac:dyDescent="0.25">
      <c r="B539" s="45" t="s">
        <v>539</v>
      </c>
      <c r="C539" s="45" t="s">
        <v>540</v>
      </c>
      <c r="D539" s="20" t="s">
        <v>541</v>
      </c>
      <c r="E539" s="21">
        <v>1440</v>
      </c>
      <c r="F539" s="1" t="s">
        <v>152</v>
      </c>
      <c r="G539" s="45" t="s">
        <v>156</v>
      </c>
      <c r="H539" s="1" t="s">
        <v>154</v>
      </c>
      <c r="I539" s="1" t="s">
        <v>155</v>
      </c>
      <c r="J539" s="33">
        <v>1</v>
      </c>
      <c r="K539" s="24">
        <v>45310.577997685185</v>
      </c>
      <c r="L539" s="23">
        <v>4368</v>
      </c>
      <c r="M539" s="1" t="s">
        <v>542</v>
      </c>
      <c r="O539" s="54">
        <v>144</v>
      </c>
      <c r="P539" s="33">
        <v>10</v>
      </c>
      <c r="Q539" s="33">
        <v>0</v>
      </c>
    </row>
    <row r="540" spans="2:17" x14ac:dyDescent="0.25">
      <c r="B540" s="45" t="s">
        <v>539</v>
      </c>
      <c r="C540" s="45" t="s">
        <v>540</v>
      </c>
      <c r="D540" s="20" t="s">
        <v>541</v>
      </c>
      <c r="E540" s="21">
        <v>720</v>
      </c>
      <c r="F540" s="1" t="s">
        <v>152</v>
      </c>
      <c r="G540" s="45" t="s">
        <v>153</v>
      </c>
      <c r="H540" s="1" t="s">
        <v>154</v>
      </c>
      <c r="I540" s="1" t="s">
        <v>155</v>
      </c>
      <c r="J540" s="33">
        <v>1</v>
      </c>
      <c r="K540" s="24">
        <v>45310.578287037039</v>
      </c>
      <c r="L540" s="23">
        <v>720</v>
      </c>
      <c r="M540" s="1" t="s">
        <v>542</v>
      </c>
      <c r="O540" s="54">
        <v>144</v>
      </c>
      <c r="P540" s="33">
        <v>5</v>
      </c>
      <c r="Q540" s="33">
        <v>0</v>
      </c>
    </row>
    <row r="541" spans="2:17" x14ac:dyDescent="0.25">
      <c r="B541" s="45" t="s">
        <v>176</v>
      </c>
      <c r="C541" s="45" t="s">
        <v>543</v>
      </c>
      <c r="D541" s="20" t="s">
        <v>544</v>
      </c>
      <c r="E541" s="21">
        <v>10</v>
      </c>
      <c r="F541" s="1" t="s">
        <v>68</v>
      </c>
      <c r="G541" s="25" t="s">
        <v>787</v>
      </c>
      <c r="H541" s="1" t="s">
        <v>167</v>
      </c>
      <c r="I541" s="1" t="s">
        <v>161</v>
      </c>
      <c r="J541" s="60">
        <v>0</v>
      </c>
      <c r="K541" s="24">
        <v>45310.579756944448</v>
      </c>
      <c r="L541" s="23">
        <v>199</v>
      </c>
      <c r="O541" s="54">
        <v>4</v>
      </c>
      <c r="P541" s="33">
        <v>2</v>
      </c>
      <c r="Q541" s="33">
        <v>2</v>
      </c>
    </row>
    <row r="542" spans="2:17" x14ac:dyDescent="0.25">
      <c r="B542" s="45" t="s">
        <v>176</v>
      </c>
      <c r="C542" s="45" t="s">
        <v>543</v>
      </c>
      <c r="D542" s="20" t="s">
        <v>545</v>
      </c>
      <c r="E542" s="21">
        <v>500</v>
      </c>
      <c r="F542" s="1" t="s">
        <v>152</v>
      </c>
      <c r="G542" s="25" t="s">
        <v>158</v>
      </c>
      <c r="H542" s="1" t="s">
        <v>154</v>
      </c>
      <c r="I542" s="1" t="s">
        <v>155</v>
      </c>
      <c r="J542" s="60">
        <v>0</v>
      </c>
      <c r="K542" s="24">
        <v>45310.581377314818</v>
      </c>
      <c r="L542" s="23">
        <v>860</v>
      </c>
      <c r="O542" s="54">
        <v>144</v>
      </c>
      <c r="P542" s="33">
        <v>3</v>
      </c>
      <c r="Q542" s="33">
        <v>68.000000000000014</v>
      </c>
    </row>
    <row r="543" spans="2:17" x14ac:dyDescent="0.25">
      <c r="B543" s="45" t="s">
        <v>176</v>
      </c>
      <c r="C543" s="45" t="s">
        <v>543</v>
      </c>
      <c r="D543" s="20" t="s">
        <v>545</v>
      </c>
      <c r="E543" s="21">
        <v>150</v>
      </c>
      <c r="F543" s="1" t="s">
        <v>68</v>
      </c>
      <c r="G543" s="45" t="s">
        <v>168</v>
      </c>
      <c r="H543" s="1" t="s">
        <v>169</v>
      </c>
      <c r="I543" s="1" t="s">
        <v>122</v>
      </c>
      <c r="J543" s="60">
        <v>0</v>
      </c>
      <c r="K543" s="24">
        <v>45310.58148148148</v>
      </c>
      <c r="L543" s="23">
        <v>1306</v>
      </c>
      <c r="O543" s="54">
        <v>200</v>
      </c>
      <c r="P543" s="33">
        <v>0</v>
      </c>
      <c r="Q543" s="33">
        <v>150</v>
      </c>
    </row>
    <row r="544" spans="2:17" x14ac:dyDescent="0.25">
      <c r="B544" s="45" t="s">
        <v>176</v>
      </c>
      <c r="C544" s="45" t="s">
        <v>387</v>
      </c>
      <c r="D544" s="20" t="s">
        <v>546</v>
      </c>
      <c r="E544" s="21">
        <v>1600</v>
      </c>
      <c r="F544" s="1" t="s">
        <v>68</v>
      </c>
      <c r="G544" s="45" t="s">
        <v>188</v>
      </c>
      <c r="H544" s="1" t="s">
        <v>189</v>
      </c>
      <c r="I544" s="1" t="s">
        <v>122</v>
      </c>
      <c r="J544" s="60">
        <v>0</v>
      </c>
      <c r="K544" s="24">
        <v>45310.582175925927</v>
      </c>
      <c r="L544" s="23">
        <v>25400</v>
      </c>
      <c r="O544" s="54">
        <v>2400</v>
      </c>
      <c r="P544" s="33">
        <v>0</v>
      </c>
      <c r="Q544" s="33">
        <v>1600</v>
      </c>
    </row>
    <row r="545" spans="2:17" x14ac:dyDescent="0.25">
      <c r="B545" s="45" t="s">
        <v>176</v>
      </c>
      <c r="C545" s="45" t="s">
        <v>392</v>
      </c>
      <c r="D545" s="20" t="s">
        <v>547</v>
      </c>
      <c r="E545" s="21">
        <v>5600</v>
      </c>
      <c r="F545" s="1" t="s">
        <v>68</v>
      </c>
      <c r="G545" s="45" t="s">
        <v>140</v>
      </c>
      <c r="H545" s="1" t="s">
        <v>141</v>
      </c>
      <c r="I545" s="1" t="s">
        <v>122</v>
      </c>
      <c r="J545" s="60">
        <v>0</v>
      </c>
      <c r="K545" s="24">
        <v>45310.583067129628</v>
      </c>
      <c r="L545" s="23">
        <v>173700</v>
      </c>
      <c r="O545" s="54">
        <v>2400</v>
      </c>
      <c r="P545" s="33">
        <v>2</v>
      </c>
      <c r="Q545" s="33">
        <v>800.00000000000034</v>
      </c>
    </row>
    <row r="546" spans="2:17" x14ac:dyDescent="0.25">
      <c r="B546" s="45" t="s">
        <v>176</v>
      </c>
      <c r="C546" s="45" t="s">
        <v>418</v>
      </c>
      <c r="D546" s="20" t="s">
        <v>548</v>
      </c>
      <c r="E546" s="21">
        <v>10</v>
      </c>
      <c r="F546" s="1" t="s">
        <v>68</v>
      </c>
      <c r="G546" s="25" t="s">
        <v>787</v>
      </c>
      <c r="H546" s="1" t="s">
        <v>167</v>
      </c>
      <c r="I546" s="1" t="s">
        <v>161</v>
      </c>
      <c r="J546" s="60">
        <v>0</v>
      </c>
      <c r="K546" s="24">
        <v>45310.584201388891</v>
      </c>
      <c r="L546" s="23">
        <v>189</v>
      </c>
      <c r="O546" s="54">
        <v>4</v>
      </c>
      <c r="P546" s="33">
        <v>2</v>
      </c>
      <c r="Q546" s="33">
        <v>2</v>
      </c>
    </row>
    <row r="547" spans="2:17" x14ac:dyDescent="0.25">
      <c r="B547" s="45" t="s">
        <v>176</v>
      </c>
      <c r="C547" s="45" t="s">
        <v>262</v>
      </c>
      <c r="D547" s="20" t="s">
        <v>549</v>
      </c>
      <c r="E547" s="21">
        <v>700</v>
      </c>
      <c r="F547" s="1" t="s">
        <v>68</v>
      </c>
      <c r="G547" s="25" t="s">
        <v>427</v>
      </c>
      <c r="H547" s="1" t="s">
        <v>166</v>
      </c>
      <c r="I547" s="1" t="s">
        <v>161</v>
      </c>
      <c r="J547" s="60">
        <v>0</v>
      </c>
      <c r="K547" s="24">
        <v>45310.58494212963</v>
      </c>
      <c r="L547" s="23">
        <v>5120</v>
      </c>
      <c r="O547" s="54">
        <v>60</v>
      </c>
      <c r="P547" s="33">
        <v>11</v>
      </c>
      <c r="Q547" s="33">
        <v>39.999999999999964</v>
      </c>
    </row>
    <row r="548" spans="2:17" x14ac:dyDescent="0.25">
      <c r="B548" s="45" t="s">
        <v>321</v>
      </c>
      <c r="C548" s="45" t="s">
        <v>550</v>
      </c>
      <c r="D548" s="20" t="s">
        <v>551</v>
      </c>
      <c r="E548" s="77" t="s">
        <v>822</v>
      </c>
      <c r="F548" s="1" t="s">
        <v>152</v>
      </c>
      <c r="G548" s="78" t="s">
        <v>62</v>
      </c>
      <c r="H548" s="1" t="s">
        <v>226</v>
      </c>
      <c r="I548" s="1" t="s">
        <v>227</v>
      </c>
      <c r="J548" s="60">
        <v>0</v>
      </c>
      <c r="K548" s="24">
        <v>45313.497696759259</v>
      </c>
      <c r="L548" s="23">
        <v>9</v>
      </c>
      <c r="O548" s="54">
        <v>1</v>
      </c>
      <c r="P548" s="33">
        <v>10</v>
      </c>
      <c r="Q548" s="33">
        <v>0</v>
      </c>
    </row>
    <row r="549" spans="2:17" x14ac:dyDescent="0.25">
      <c r="B549" s="45" t="s">
        <v>321</v>
      </c>
      <c r="C549" s="45" t="s">
        <v>550</v>
      </c>
      <c r="D549" s="20" t="s">
        <v>551</v>
      </c>
      <c r="E549" s="77" t="s">
        <v>822</v>
      </c>
      <c r="F549" s="1" t="s">
        <v>152</v>
      </c>
      <c r="G549" s="78" t="s">
        <v>245</v>
      </c>
      <c r="H549" s="1" t="s">
        <v>226</v>
      </c>
      <c r="I549" s="1" t="s">
        <v>227</v>
      </c>
      <c r="J549" s="60">
        <v>0</v>
      </c>
      <c r="K549" s="24">
        <v>45313.497766203705</v>
      </c>
      <c r="L549" s="23">
        <v>30</v>
      </c>
      <c r="O549" s="54">
        <v>1</v>
      </c>
      <c r="P549" s="33">
        <v>10</v>
      </c>
      <c r="Q549" s="33">
        <v>0</v>
      </c>
    </row>
    <row r="550" spans="2:17" x14ac:dyDescent="0.25">
      <c r="B550" s="45" t="s">
        <v>321</v>
      </c>
      <c r="C550" s="45" t="s">
        <v>550</v>
      </c>
      <c r="D550" s="20" t="s">
        <v>551</v>
      </c>
      <c r="E550" s="77" t="s">
        <v>823</v>
      </c>
      <c r="F550" s="1" t="s">
        <v>152</v>
      </c>
      <c r="G550" s="78" t="s">
        <v>415</v>
      </c>
      <c r="H550" s="1" t="s">
        <v>226</v>
      </c>
      <c r="I550" s="1" t="s">
        <v>227</v>
      </c>
      <c r="J550" s="60">
        <v>0</v>
      </c>
      <c r="K550" s="24">
        <v>45313.497858796298</v>
      </c>
      <c r="L550" s="23">
        <v>36</v>
      </c>
      <c r="O550" s="54">
        <v>1</v>
      </c>
      <c r="P550" s="33">
        <v>15</v>
      </c>
      <c r="Q550" s="33">
        <v>0</v>
      </c>
    </row>
    <row r="551" spans="2:17" x14ac:dyDescent="0.25">
      <c r="B551" s="45" t="s">
        <v>321</v>
      </c>
      <c r="C551" s="45" t="s">
        <v>550</v>
      </c>
      <c r="D551" s="20" t="s">
        <v>551</v>
      </c>
      <c r="E551" s="77" t="s">
        <v>824</v>
      </c>
      <c r="F551" s="1" t="s">
        <v>152</v>
      </c>
      <c r="G551" s="78" t="s">
        <v>64</v>
      </c>
      <c r="H551" s="1" t="s">
        <v>226</v>
      </c>
      <c r="I551" s="1" t="s">
        <v>227</v>
      </c>
      <c r="J551" s="60">
        <v>0</v>
      </c>
      <c r="K551" s="24">
        <v>45313.497916666667</v>
      </c>
      <c r="L551" s="23">
        <v>0</v>
      </c>
      <c r="O551" s="54">
        <v>1</v>
      </c>
      <c r="P551" s="33">
        <v>14</v>
      </c>
      <c r="Q551" s="33">
        <v>0</v>
      </c>
    </row>
    <row r="552" spans="2:17" x14ac:dyDescent="0.25">
      <c r="B552" s="45" t="s">
        <v>321</v>
      </c>
      <c r="C552" s="45" t="s">
        <v>550</v>
      </c>
      <c r="D552" s="20" t="s">
        <v>551</v>
      </c>
      <c r="E552" s="77" t="s">
        <v>823</v>
      </c>
      <c r="F552" s="1" t="s">
        <v>152</v>
      </c>
      <c r="G552" s="78" t="s">
        <v>235</v>
      </c>
      <c r="H552" s="1" t="s">
        <v>226</v>
      </c>
      <c r="I552" s="1" t="s">
        <v>227</v>
      </c>
      <c r="J552" s="60">
        <v>0</v>
      </c>
      <c r="K552" s="24">
        <v>45313.497986111113</v>
      </c>
      <c r="L552" s="23">
        <v>45</v>
      </c>
      <c r="O552" s="54">
        <v>1</v>
      </c>
      <c r="P552" s="33">
        <v>15</v>
      </c>
      <c r="Q552" s="33">
        <v>0</v>
      </c>
    </row>
    <row r="553" spans="2:17" x14ac:dyDescent="0.25">
      <c r="B553" s="45" t="s">
        <v>321</v>
      </c>
      <c r="C553" s="45" t="s">
        <v>550</v>
      </c>
      <c r="D553" s="20" t="s">
        <v>551</v>
      </c>
      <c r="E553" s="77" t="s">
        <v>825</v>
      </c>
      <c r="F553" s="1" t="s">
        <v>152</v>
      </c>
      <c r="G553" s="78" t="s">
        <v>236</v>
      </c>
      <c r="H553" s="1" t="s">
        <v>226</v>
      </c>
      <c r="I553" s="1" t="s">
        <v>227</v>
      </c>
      <c r="J553" s="60">
        <v>0</v>
      </c>
      <c r="K553" s="24">
        <v>45313.498020833336</v>
      </c>
      <c r="L553" s="23">
        <v>37</v>
      </c>
      <c r="O553" s="54">
        <v>1</v>
      </c>
      <c r="P553" s="33">
        <v>5</v>
      </c>
      <c r="Q553" s="33">
        <v>0</v>
      </c>
    </row>
    <row r="554" spans="2:17" x14ac:dyDescent="0.25">
      <c r="B554" s="45" t="s">
        <v>321</v>
      </c>
      <c r="C554" s="45" t="s">
        <v>550</v>
      </c>
      <c r="D554" s="20" t="s">
        <v>551</v>
      </c>
      <c r="E554" s="77" t="s">
        <v>825</v>
      </c>
      <c r="F554" s="1" t="s">
        <v>152</v>
      </c>
      <c r="G554" s="78" t="s">
        <v>65</v>
      </c>
      <c r="H554" s="1" t="s">
        <v>226</v>
      </c>
      <c r="I554" s="1" t="s">
        <v>227</v>
      </c>
      <c r="J554" s="60">
        <v>0</v>
      </c>
      <c r="K554" s="24">
        <v>45313.498055555552</v>
      </c>
      <c r="L554" s="23">
        <v>3</v>
      </c>
      <c r="O554" s="54">
        <v>1</v>
      </c>
      <c r="P554" s="33">
        <v>5</v>
      </c>
      <c r="Q554" s="33">
        <v>0</v>
      </c>
    </row>
    <row r="555" spans="2:17" x14ac:dyDescent="0.25">
      <c r="B555" s="45" t="s">
        <v>321</v>
      </c>
      <c r="C555" s="45" t="s">
        <v>550</v>
      </c>
      <c r="D555" s="20" t="s">
        <v>551</v>
      </c>
      <c r="E555" s="77" t="s">
        <v>825</v>
      </c>
      <c r="F555" s="1" t="s">
        <v>152</v>
      </c>
      <c r="G555" s="78" t="s">
        <v>237</v>
      </c>
      <c r="H555" s="1" t="s">
        <v>226</v>
      </c>
      <c r="I555" s="1" t="s">
        <v>227</v>
      </c>
      <c r="J555" s="60">
        <v>0</v>
      </c>
      <c r="K555" s="24">
        <v>45313.498090277775</v>
      </c>
      <c r="L555" s="23">
        <v>22</v>
      </c>
      <c r="O555" s="54">
        <v>1</v>
      </c>
      <c r="P555" s="33">
        <v>5</v>
      </c>
      <c r="Q555" s="33">
        <v>0</v>
      </c>
    </row>
    <row r="556" spans="2:17" x14ac:dyDescent="0.25">
      <c r="B556" s="45" t="s">
        <v>321</v>
      </c>
      <c r="C556" s="45" t="s">
        <v>550</v>
      </c>
      <c r="D556" s="20" t="s">
        <v>551</v>
      </c>
      <c r="E556" s="77" t="s">
        <v>826</v>
      </c>
      <c r="F556" s="1" t="s">
        <v>152</v>
      </c>
      <c r="G556" s="78" t="s">
        <v>63</v>
      </c>
      <c r="H556" s="1" t="s">
        <v>226</v>
      </c>
      <c r="I556" s="1" t="s">
        <v>227</v>
      </c>
      <c r="J556" s="60">
        <v>0</v>
      </c>
      <c r="K556" s="24">
        <v>45313.498124999998</v>
      </c>
      <c r="L556" s="23">
        <v>0</v>
      </c>
      <c r="O556" s="54">
        <v>1</v>
      </c>
      <c r="P556" s="33">
        <v>2</v>
      </c>
      <c r="Q556" s="33">
        <v>0</v>
      </c>
    </row>
    <row r="557" spans="2:17" x14ac:dyDescent="0.25">
      <c r="B557" s="45" t="s">
        <v>176</v>
      </c>
      <c r="C557" s="45" t="s">
        <v>392</v>
      </c>
      <c r="D557" s="20" t="s">
        <v>552</v>
      </c>
      <c r="E557" s="21">
        <v>1200</v>
      </c>
      <c r="F557" s="1" t="s">
        <v>68</v>
      </c>
      <c r="G557" s="25" t="s">
        <v>219</v>
      </c>
      <c r="H557" s="1" t="s">
        <v>220</v>
      </c>
      <c r="I557" s="1" t="s">
        <v>161</v>
      </c>
      <c r="J557" s="60">
        <v>0</v>
      </c>
      <c r="K557" s="24">
        <v>45313.501574074071</v>
      </c>
      <c r="L557" s="23">
        <v>7760</v>
      </c>
      <c r="O557" s="54">
        <v>100</v>
      </c>
      <c r="P557" s="33">
        <v>12</v>
      </c>
      <c r="Q557" s="33">
        <v>0</v>
      </c>
    </row>
    <row r="558" spans="2:17" x14ac:dyDescent="0.25">
      <c r="B558" s="45" t="s">
        <v>176</v>
      </c>
      <c r="C558" s="45" t="s">
        <v>418</v>
      </c>
      <c r="D558" s="20" t="s">
        <v>553</v>
      </c>
      <c r="E558" s="21">
        <v>10</v>
      </c>
      <c r="F558" s="1" t="s">
        <v>68</v>
      </c>
      <c r="G558" s="25" t="s">
        <v>787</v>
      </c>
      <c r="H558" s="1" t="s">
        <v>167</v>
      </c>
      <c r="I558" s="1" t="s">
        <v>161</v>
      </c>
      <c r="J558" s="60">
        <v>0</v>
      </c>
      <c r="K558" s="24">
        <v>45313.501886574071</v>
      </c>
      <c r="L558" s="23">
        <v>179</v>
      </c>
      <c r="O558" s="54">
        <v>4</v>
      </c>
      <c r="P558" s="33">
        <v>2</v>
      </c>
      <c r="Q558" s="33">
        <v>2</v>
      </c>
    </row>
    <row r="559" spans="2:17" x14ac:dyDescent="0.25">
      <c r="B559" s="45" t="s">
        <v>176</v>
      </c>
      <c r="C559" s="45" t="s">
        <v>261</v>
      </c>
      <c r="D559" s="20" t="s">
        <v>554</v>
      </c>
      <c r="E559" s="21">
        <v>1000</v>
      </c>
      <c r="F559" s="1" t="s">
        <v>68</v>
      </c>
      <c r="G559" s="78" t="s">
        <v>181</v>
      </c>
      <c r="H559" s="1" t="s">
        <v>182</v>
      </c>
      <c r="I559" s="1" t="s">
        <v>183</v>
      </c>
      <c r="J559" s="60">
        <v>0</v>
      </c>
      <c r="K559" s="24">
        <v>45313.501956018517</v>
      </c>
      <c r="L559" s="23">
        <v>2000</v>
      </c>
      <c r="O559" s="54">
        <v>300</v>
      </c>
      <c r="P559" s="33">
        <v>3</v>
      </c>
      <c r="Q559" s="33">
        <v>100.00000000000004</v>
      </c>
    </row>
    <row r="560" spans="2:17" x14ac:dyDescent="0.25">
      <c r="B560" s="45" t="s">
        <v>176</v>
      </c>
      <c r="C560" s="45" t="s">
        <v>387</v>
      </c>
      <c r="D560" s="20" t="s">
        <v>555</v>
      </c>
      <c r="E560" s="21">
        <v>1600</v>
      </c>
      <c r="F560" s="1" t="s">
        <v>68</v>
      </c>
      <c r="G560" s="78" t="s">
        <v>188</v>
      </c>
      <c r="H560" s="1" t="s">
        <v>189</v>
      </c>
      <c r="I560" s="1" t="s">
        <v>122</v>
      </c>
      <c r="J560" s="60">
        <v>0</v>
      </c>
      <c r="K560" s="24">
        <v>45313.50199074074</v>
      </c>
      <c r="L560" s="23">
        <v>23800</v>
      </c>
      <c r="O560" s="54">
        <v>2400</v>
      </c>
      <c r="P560" s="33">
        <v>0</v>
      </c>
      <c r="Q560" s="33">
        <v>1600</v>
      </c>
    </row>
    <row r="561" spans="2:17" x14ac:dyDescent="0.25">
      <c r="B561" s="45" t="s">
        <v>176</v>
      </c>
      <c r="C561" s="45" t="s">
        <v>262</v>
      </c>
      <c r="D561" s="20" t="s">
        <v>556</v>
      </c>
      <c r="E561" s="21">
        <v>200</v>
      </c>
      <c r="F561" s="1" t="s">
        <v>68</v>
      </c>
      <c r="G561" s="78" t="s">
        <v>184</v>
      </c>
      <c r="H561" s="61" t="s">
        <v>185</v>
      </c>
      <c r="J561" s="60">
        <v>0</v>
      </c>
      <c r="K561" s="24">
        <v>45313.502060185187</v>
      </c>
      <c r="L561" s="23">
        <v>335</v>
      </c>
      <c r="O561" s="54">
        <v>4</v>
      </c>
      <c r="P561" s="33">
        <v>50</v>
      </c>
      <c r="Q561" s="33">
        <v>0</v>
      </c>
    </row>
    <row r="562" spans="2:17" x14ac:dyDescent="0.25">
      <c r="B562" s="45" t="s">
        <v>176</v>
      </c>
      <c r="C562" s="45" t="s">
        <v>262</v>
      </c>
      <c r="D562" s="20" t="s">
        <v>556</v>
      </c>
      <c r="E562" s="21">
        <v>34</v>
      </c>
      <c r="F562" s="1" t="s">
        <v>144</v>
      </c>
      <c r="G562" s="78" t="s">
        <v>148</v>
      </c>
      <c r="H562" s="1" t="s">
        <v>149</v>
      </c>
      <c r="I562" s="1" t="s">
        <v>147</v>
      </c>
      <c r="J562" s="60">
        <v>0</v>
      </c>
      <c r="K562" s="24">
        <v>45313.502106481479</v>
      </c>
      <c r="L562" s="23">
        <v>6463</v>
      </c>
      <c r="O562" s="54">
        <v>10</v>
      </c>
      <c r="P562" s="33">
        <v>3</v>
      </c>
      <c r="Q562" s="33">
        <v>3.9999999999999991</v>
      </c>
    </row>
    <row r="563" spans="2:17" x14ac:dyDescent="0.25">
      <c r="B563" s="45" t="s">
        <v>557</v>
      </c>
      <c r="C563" s="45" t="s">
        <v>123</v>
      </c>
      <c r="D563" s="20" t="s">
        <v>123</v>
      </c>
      <c r="E563" s="20" t="s">
        <v>558</v>
      </c>
      <c r="F563" s="20" t="s">
        <v>68</v>
      </c>
      <c r="G563" s="45" t="s">
        <v>163</v>
      </c>
      <c r="H563" s="1" t="s">
        <v>164</v>
      </c>
      <c r="I563" s="1" t="s">
        <v>161</v>
      </c>
      <c r="J563" s="33">
        <v>1</v>
      </c>
      <c r="K563" s="24">
        <v>45313.737708333334</v>
      </c>
      <c r="L563" s="23">
        <v>47220</v>
      </c>
      <c r="M563" s="1" t="s">
        <v>559</v>
      </c>
      <c r="O563" s="54">
        <v>440</v>
      </c>
      <c r="P563" s="33">
        <v>56</v>
      </c>
      <c r="Q563" s="33">
        <v>360.00000000000085</v>
      </c>
    </row>
    <row r="564" spans="2:17" x14ac:dyDescent="0.25">
      <c r="B564" s="45" t="s">
        <v>321</v>
      </c>
      <c r="C564" s="45" t="s">
        <v>364</v>
      </c>
      <c r="D564" s="20" t="s">
        <v>560</v>
      </c>
      <c r="E564" s="21">
        <v>600</v>
      </c>
      <c r="F564" s="1" t="s">
        <v>152</v>
      </c>
      <c r="G564" s="78" t="s">
        <v>157</v>
      </c>
      <c r="H564" s="1" t="s">
        <v>154</v>
      </c>
      <c r="I564" s="1" t="s">
        <v>155</v>
      </c>
      <c r="J564" s="60">
        <v>0</v>
      </c>
      <c r="K564" s="24">
        <v>45314.640856481485</v>
      </c>
      <c r="L564" s="23">
        <v>2498</v>
      </c>
      <c r="O564" s="54">
        <v>144</v>
      </c>
      <c r="P564" s="33">
        <v>4</v>
      </c>
      <c r="Q564" s="33">
        <v>24.000000000000043</v>
      </c>
    </row>
    <row r="565" spans="2:17" x14ac:dyDescent="0.25">
      <c r="B565" s="45" t="s">
        <v>321</v>
      </c>
      <c r="C565" s="45" t="s">
        <v>561</v>
      </c>
      <c r="D565" s="20" t="s">
        <v>562</v>
      </c>
      <c r="E565" s="21">
        <v>4200</v>
      </c>
      <c r="F565" s="1" t="s">
        <v>68</v>
      </c>
      <c r="G565" s="78" t="s">
        <v>138</v>
      </c>
      <c r="H565" s="1" t="s">
        <v>139</v>
      </c>
      <c r="I565" s="1" t="s">
        <v>122</v>
      </c>
      <c r="J565" s="60">
        <v>0</v>
      </c>
      <c r="K565" s="24">
        <v>45314.642685185187</v>
      </c>
      <c r="L565" s="23">
        <v>-500</v>
      </c>
      <c r="O565" s="54">
        <v>3000</v>
      </c>
      <c r="P565" s="33">
        <v>1</v>
      </c>
      <c r="Q565" s="33">
        <v>1199.9999999999998</v>
      </c>
    </row>
    <row r="566" spans="2:17" x14ac:dyDescent="0.25">
      <c r="B566" s="45" t="s">
        <v>176</v>
      </c>
      <c r="C566" s="45" t="s">
        <v>387</v>
      </c>
      <c r="D566" s="62" t="s">
        <v>563</v>
      </c>
      <c r="E566" s="21">
        <v>1600</v>
      </c>
      <c r="F566" s="1" t="s">
        <v>68</v>
      </c>
      <c r="G566" s="78" t="s">
        <v>188</v>
      </c>
      <c r="H566" s="1" t="s">
        <v>189</v>
      </c>
      <c r="I566" s="1" t="s">
        <v>122</v>
      </c>
      <c r="J566" s="60">
        <v>0</v>
      </c>
      <c r="K566" s="24">
        <v>45314.64329861111</v>
      </c>
      <c r="L566" s="23">
        <v>22200</v>
      </c>
      <c r="O566" s="54">
        <v>2400</v>
      </c>
      <c r="P566" s="33">
        <v>0</v>
      </c>
      <c r="Q566" s="33">
        <v>1600</v>
      </c>
    </row>
    <row r="567" spans="2:17" x14ac:dyDescent="0.25">
      <c r="B567" s="45" t="s">
        <v>176</v>
      </c>
      <c r="C567" s="45" t="s">
        <v>418</v>
      </c>
      <c r="D567" s="62" t="s">
        <v>564</v>
      </c>
      <c r="E567" s="21">
        <v>10</v>
      </c>
      <c r="F567" s="1" t="s">
        <v>68</v>
      </c>
      <c r="G567" s="25" t="s">
        <v>787</v>
      </c>
      <c r="H567" s="1" t="s">
        <v>167</v>
      </c>
      <c r="I567" s="1" t="s">
        <v>161</v>
      </c>
      <c r="J567" s="60">
        <v>0</v>
      </c>
      <c r="K567" s="24">
        <v>45314.64371527778</v>
      </c>
      <c r="L567" s="23">
        <v>169</v>
      </c>
      <c r="O567" s="54">
        <v>4</v>
      </c>
      <c r="P567" s="33">
        <v>2</v>
      </c>
      <c r="Q567" s="33">
        <v>2</v>
      </c>
    </row>
    <row r="568" spans="2:17" x14ac:dyDescent="0.25">
      <c r="B568" s="45" t="s">
        <v>565</v>
      </c>
      <c r="C568" s="45" t="s">
        <v>123</v>
      </c>
      <c r="D568" s="20" t="s">
        <v>123</v>
      </c>
      <c r="E568" s="21">
        <v>15000</v>
      </c>
      <c r="F568" s="1" t="s">
        <v>68</v>
      </c>
      <c r="G568" s="78" t="s">
        <v>138</v>
      </c>
      <c r="H568" s="1" t="s">
        <v>139</v>
      </c>
      <c r="I568" s="1" t="s">
        <v>122</v>
      </c>
      <c r="J568" s="33">
        <v>1</v>
      </c>
      <c r="K568" s="24">
        <v>45314.651909722219</v>
      </c>
      <c r="L568" s="23">
        <v>14500</v>
      </c>
      <c r="M568" s="1" t="s">
        <v>566</v>
      </c>
      <c r="O568" s="54">
        <v>3000</v>
      </c>
      <c r="P568" s="33">
        <v>5</v>
      </c>
      <c r="Q568" s="33">
        <v>0</v>
      </c>
    </row>
    <row r="569" spans="2:17" x14ac:dyDescent="0.25">
      <c r="B569" s="45" t="s">
        <v>565</v>
      </c>
      <c r="C569" s="45" t="s">
        <v>123</v>
      </c>
      <c r="D569" s="20" t="s">
        <v>123</v>
      </c>
      <c r="E569" s="21">
        <v>3000</v>
      </c>
      <c r="F569" s="1" t="s">
        <v>68</v>
      </c>
      <c r="G569" s="78" t="s">
        <v>127</v>
      </c>
      <c r="H569" s="1" t="s">
        <v>128</v>
      </c>
      <c r="I569" s="1" t="s">
        <v>122</v>
      </c>
      <c r="J569" s="33">
        <v>1</v>
      </c>
      <c r="K569" s="24">
        <v>45314.652384259258</v>
      </c>
      <c r="L569" s="23">
        <v>4800</v>
      </c>
      <c r="M569" s="1" t="s">
        <v>566</v>
      </c>
      <c r="O569" s="54">
        <v>2400</v>
      </c>
      <c r="P569" s="33">
        <v>1</v>
      </c>
      <c r="Q569" s="33">
        <v>600</v>
      </c>
    </row>
    <row r="570" spans="2:17" x14ac:dyDescent="0.25">
      <c r="B570" s="45" t="s">
        <v>567</v>
      </c>
      <c r="C570" s="45" t="s">
        <v>123</v>
      </c>
      <c r="D570" s="20" t="s">
        <v>123</v>
      </c>
      <c r="E570" s="21">
        <v>40000</v>
      </c>
      <c r="F570" s="1" t="s">
        <v>68</v>
      </c>
      <c r="G570" s="78" t="s">
        <v>124</v>
      </c>
      <c r="H570" s="1" t="s">
        <v>125</v>
      </c>
      <c r="I570" s="1" t="s">
        <v>122</v>
      </c>
      <c r="J570" s="33">
        <v>1</v>
      </c>
      <c r="K570" s="24">
        <v>45314.65320601852</v>
      </c>
      <c r="L570" s="23">
        <v>48000</v>
      </c>
      <c r="M570" s="1" t="s">
        <v>566</v>
      </c>
      <c r="O570" s="54">
        <v>1200</v>
      </c>
      <c r="P570" s="33">
        <v>33</v>
      </c>
      <c r="Q570" s="33">
        <v>400.00000000000284</v>
      </c>
    </row>
    <row r="571" spans="2:17" x14ac:dyDescent="0.25">
      <c r="B571" s="45" t="s">
        <v>567</v>
      </c>
      <c r="C571" s="45" t="s">
        <v>123</v>
      </c>
      <c r="D571" s="20" t="s">
        <v>123</v>
      </c>
      <c r="E571" s="21">
        <v>10000</v>
      </c>
      <c r="F571" s="1" t="s">
        <v>68</v>
      </c>
      <c r="G571" s="78" t="s">
        <v>142</v>
      </c>
      <c r="H571" s="1" t="s">
        <v>143</v>
      </c>
      <c r="I571" s="1" t="s">
        <v>122</v>
      </c>
      <c r="J571" s="33">
        <v>1</v>
      </c>
      <c r="K571" s="24">
        <v>45314.653599537036</v>
      </c>
      <c r="L571" s="23">
        <v>14600</v>
      </c>
      <c r="M571" s="1" t="s">
        <v>566</v>
      </c>
      <c r="O571" s="54">
        <v>2400</v>
      </c>
      <c r="P571" s="33">
        <v>4</v>
      </c>
      <c r="Q571" s="33">
        <v>400.00000000000068</v>
      </c>
    </row>
    <row r="572" spans="2:17" x14ac:dyDescent="0.25">
      <c r="B572" s="45" t="s">
        <v>176</v>
      </c>
      <c r="C572" s="45" t="s">
        <v>418</v>
      </c>
      <c r="D572" s="62" t="s">
        <v>564</v>
      </c>
      <c r="E572" s="21">
        <v>10</v>
      </c>
      <c r="F572" s="1" t="s">
        <v>68</v>
      </c>
      <c r="G572" s="25" t="s">
        <v>787</v>
      </c>
      <c r="H572" s="1" t="s">
        <v>167</v>
      </c>
      <c r="I572" s="1" t="s">
        <v>161</v>
      </c>
      <c r="J572" s="60">
        <v>0</v>
      </c>
      <c r="K572" s="24">
        <v>45314.714062500003</v>
      </c>
      <c r="L572" s="23">
        <v>159</v>
      </c>
      <c r="O572" s="54">
        <v>4</v>
      </c>
      <c r="P572" s="33">
        <v>2</v>
      </c>
      <c r="Q572" s="33">
        <v>2</v>
      </c>
    </row>
    <row r="573" spans="2:17" x14ac:dyDescent="0.25">
      <c r="B573" s="45" t="s">
        <v>176</v>
      </c>
      <c r="C573" s="45" t="s">
        <v>387</v>
      </c>
      <c r="D573" s="62" t="s">
        <v>563</v>
      </c>
      <c r="E573" s="21">
        <v>1600</v>
      </c>
      <c r="F573" s="1" t="s">
        <v>68</v>
      </c>
      <c r="G573" s="78" t="s">
        <v>188</v>
      </c>
      <c r="H573" s="1" t="s">
        <v>189</v>
      </c>
      <c r="I573" s="1" t="s">
        <v>122</v>
      </c>
      <c r="J573" s="60">
        <v>0</v>
      </c>
      <c r="K573" s="24">
        <v>45314.71466435185</v>
      </c>
      <c r="L573" s="23">
        <v>20600</v>
      </c>
      <c r="O573" s="54">
        <v>2400</v>
      </c>
      <c r="P573" s="33">
        <v>0</v>
      </c>
      <c r="Q573" s="33">
        <v>1600</v>
      </c>
    </row>
    <row r="574" spans="2:17" x14ac:dyDescent="0.25">
      <c r="B574" s="45" t="s">
        <v>321</v>
      </c>
      <c r="C574" s="45" t="s">
        <v>568</v>
      </c>
      <c r="D574" s="20" t="s">
        <v>569</v>
      </c>
      <c r="E574" s="21">
        <v>2600</v>
      </c>
      <c r="F574" s="1" t="s">
        <v>68</v>
      </c>
      <c r="G574" s="78" t="s">
        <v>124</v>
      </c>
      <c r="H574" s="1" t="s">
        <v>125</v>
      </c>
      <c r="I574" s="1" t="s">
        <v>122</v>
      </c>
      <c r="J574" s="60">
        <v>0</v>
      </c>
      <c r="K574" s="24">
        <v>45315.643148148149</v>
      </c>
      <c r="L574" s="23">
        <v>45400</v>
      </c>
      <c r="O574" s="54">
        <v>1200</v>
      </c>
      <c r="P574" s="33">
        <v>2</v>
      </c>
      <c r="Q574" s="33">
        <v>199.99999999999983</v>
      </c>
    </row>
    <row r="575" spans="2:17" x14ac:dyDescent="0.25">
      <c r="B575" s="45" t="s">
        <v>321</v>
      </c>
      <c r="C575" s="45" t="s">
        <v>368</v>
      </c>
      <c r="D575" s="20" t="s">
        <v>570</v>
      </c>
      <c r="E575" s="21">
        <v>17400</v>
      </c>
      <c r="F575" s="1" t="s">
        <v>68</v>
      </c>
      <c r="G575" s="78" t="s">
        <v>124</v>
      </c>
      <c r="H575" s="1" t="s">
        <v>125</v>
      </c>
      <c r="I575" s="1" t="s">
        <v>122</v>
      </c>
      <c r="J575" s="60">
        <v>0</v>
      </c>
      <c r="K575" s="24">
        <v>45315.643784722219</v>
      </c>
      <c r="L575" s="23">
        <v>28000</v>
      </c>
      <c r="O575" s="54">
        <v>1200</v>
      </c>
      <c r="P575" s="33">
        <v>14</v>
      </c>
      <c r="Q575" s="33">
        <v>600</v>
      </c>
    </row>
    <row r="576" spans="2:17" x14ac:dyDescent="0.25">
      <c r="B576" s="45" t="s">
        <v>321</v>
      </c>
      <c r="C576" s="45" t="s">
        <v>265</v>
      </c>
      <c r="D576" s="20" t="s">
        <v>571</v>
      </c>
      <c r="E576" s="21">
        <v>6</v>
      </c>
      <c r="F576" s="1" t="s">
        <v>68</v>
      </c>
      <c r="G576" s="25" t="s">
        <v>786</v>
      </c>
      <c r="H576" s="1" t="s">
        <v>165</v>
      </c>
      <c r="I576" s="1" t="s">
        <v>161</v>
      </c>
      <c r="J576" s="60">
        <v>0</v>
      </c>
      <c r="K576" s="24">
        <v>45315.644305555557</v>
      </c>
      <c r="L576" s="23">
        <v>197</v>
      </c>
      <c r="O576" s="54">
        <v>24</v>
      </c>
      <c r="P576" s="33">
        <v>0</v>
      </c>
      <c r="Q576" s="33">
        <v>6</v>
      </c>
    </row>
    <row r="577" spans="2:17" x14ac:dyDescent="0.25">
      <c r="B577" s="45" t="s">
        <v>321</v>
      </c>
      <c r="C577" s="45" t="s">
        <v>265</v>
      </c>
      <c r="D577" s="20" t="s">
        <v>571</v>
      </c>
      <c r="E577" s="21">
        <v>150</v>
      </c>
      <c r="F577" s="1" t="s">
        <v>68</v>
      </c>
      <c r="G577" s="78" t="s">
        <v>170</v>
      </c>
      <c r="H577" s="1" t="s">
        <v>171</v>
      </c>
      <c r="I577" s="1" t="s">
        <v>122</v>
      </c>
      <c r="J577" s="60">
        <v>0</v>
      </c>
      <c r="K577" s="24">
        <v>45315.644560185188</v>
      </c>
      <c r="L577" s="23">
        <v>1500</v>
      </c>
      <c r="O577" s="54">
        <v>100</v>
      </c>
      <c r="P577" s="33">
        <v>1</v>
      </c>
      <c r="Q577" s="33">
        <v>50</v>
      </c>
    </row>
    <row r="578" spans="2:17" x14ac:dyDescent="0.25">
      <c r="B578" s="45" t="s">
        <v>321</v>
      </c>
      <c r="C578" s="45" t="s">
        <v>364</v>
      </c>
      <c r="D578" s="20" t="s">
        <v>572</v>
      </c>
      <c r="E578" s="21">
        <v>144</v>
      </c>
      <c r="F578" s="1" t="s">
        <v>152</v>
      </c>
      <c r="G578" s="78" t="s">
        <v>157</v>
      </c>
      <c r="H578" s="1" t="s">
        <v>154</v>
      </c>
      <c r="I578" s="1" t="s">
        <v>155</v>
      </c>
      <c r="J578" s="60">
        <v>0</v>
      </c>
      <c r="K578" s="24">
        <v>45315.645069444443</v>
      </c>
      <c r="L578" s="23">
        <v>2354</v>
      </c>
      <c r="O578" s="54">
        <v>144</v>
      </c>
      <c r="P578" s="33">
        <v>1</v>
      </c>
      <c r="Q578" s="33">
        <v>0</v>
      </c>
    </row>
    <row r="579" spans="2:17" x14ac:dyDescent="0.25">
      <c r="B579" s="45" t="s">
        <v>321</v>
      </c>
      <c r="C579" s="45" t="s">
        <v>267</v>
      </c>
      <c r="D579" s="20" t="s">
        <v>573</v>
      </c>
      <c r="E579" s="21">
        <v>15</v>
      </c>
      <c r="F579" s="1" t="s">
        <v>68</v>
      </c>
      <c r="G579" s="78" t="s">
        <v>200</v>
      </c>
      <c r="H579" s="1" t="s">
        <v>201</v>
      </c>
      <c r="J579" s="60">
        <v>0</v>
      </c>
      <c r="K579" s="24">
        <v>45315.645555555559</v>
      </c>
      <c r="L579" s="23">
        <v>10</v>
      </c>
      <c r="O579" s="54">
        <v>36</v>
      </c>
      <c r="P579" s="33">
        <v>0</v>
      </c>
      <c r="Q579" s="33">
        <v>15</v>
      </c>
    </row>
    <row r="580" spans="2:17" x14ac:dyDescent="0.25">
      <c r="B580" s="45" t="s">
        <v>321</v>
      </c>
      <c r="C580" s="45" t="s">
        <v>345</v>
      </c>
      <c r="D580" s="20" t="s">
        <v>571</v>
      </c>
      <c r="E580" s="21">
        <v>2500</v>
      </c>
      <c r="F580" s="1" t="s">
        <v>68</v>
      </c>
      <c r="G580" s="78" t="s">
        <v>163</v>
      </c>
      <c r="H580" s="1" t="s">
        <v>164</v>
      </c>
      <c r="I580" s="1" t="s">
        <v>161</v>
      </c>
      <c r="J580" s="60">
        <v>0</v>
      </c>
      <c r="K580" s="24">
        <v>45315.64603009259</v>
      </c>
      <c r="L580" s="23">
        <v>44720</v>
      </c>
      <c r="O580" s="54">
        <v>440</v>
      </c>
      <c r="P580" s="33">
        <v>5</v>
      </c>
      <c r="Q580" s="33">
        <v>299.99999999999994</v>
      </c>
    </row>
    <row r="581" spans="2:17" x14ac:dyDescent="0.25">
      <c r="B581" s="45" t="s">
        <v>321</v>
      </c>
      <c r="C581" s="45" t="s">
        <v>479</v>
      </c>
      <c r="D581" s="20" t="s">
        <v>574</v>
      </c>
      <c r="E581" s="21">
        <v>195</v>
      </c>
      <c r="F581" s="1" t="s">
        <v>144</v>
      </c>
      <c r="G581" s="78" t="s">
        <v>150</v>
      </c>
      <c r="H581" s="1" t="s">
        <v>151</v>
      </c>
      <c r="I581" s="1" t="s">
        <v>147</v>
      </c>
      <c r="J581" s="60">
        <v>0</v>
      </c>
      <c r="K581" s="24">
        <v>45315.646527777775</v>
      </c>
      <c r="L581" s="23">
        <v>905</v>
      </c>
      <c r="O581" s="54">
        <v>10</v>
      </c>
      <c r="P581" s="33">
        <v>19</v>
      </c>
      <c r="Q581" s="33">
        <v>5</v>
      </c>
    </row>
    <row r="582" spans="2:17" x14ac:dyDescent="0.25">
      <c r="B582" s="45" t="s">
        <v>321</v>
      </c>
      <c r="C582" s="45" t="s">
        <v>479</v>
      </c>
      <c r="D582" s="20" t="s">
        <v>574</v>
      </c>
      <c r="E582" s="21">
        <v>98</v>
      </c>
      <c r="F582" s="1" t="s">
        <v>144</v>
      </c>
      <c r="G582" s="78" t="s">
        <v>145</v>
      </c>
      <c r="H582" s="1" t="s">
        <v>146</v>
      </c>
      <c r="I582" s="1" t="s">
        <v>147</v>
      </c>
      <c r="J582" s="60">
        <v>0</v>
      </c>
      <c r="K582" s="24">
        <v>45315.64671296296</v>
      </c>
      <c r="L582" s="23">
        <v>1260</v>
      </c>
      <c r="O582" s="54">
        <v>10</v>
      </c>
      <c r="P582" s="33">
        <v>9</v>
      </c>
      <c r="Q582" s="33">
        <v>8.0000000000000071</v>
      </c>
    </row>
    <row r="583" spans="2:17" x14ac:dyDescent="0.25">
      <c r="B583" s="45" t="s">
        <v>321</v>
      </c>
      <c r="C583" s="45" t="s">
        <v>479</v>
      </c>
      <c r="D583" s="20" t="s">
        <v>574</v>
      </c>
      <c r="E583" s="21">
        <v>98</v>
      </c>
      <c r="F583" s="1" t="s">
        <v>144</v>
      </c>
      <c r="G583" s="78" t="s">
        <v>148</v>
      </c>
      <c r="H583" s="1" t="s">
        <v>149</v>
      </c>
      <c r="I583" s="1" t="s">
        <v>147</v>
      </c>
      <c r="J583" s="60">
        <v>0</v>
      </c>
      <c r="K583" s="24">
        <v>45315.646909722222</v>
      </c>
      <c r="L583" s="23">
        <v>6365</v>
      </c>
      <c r="O583" s="54">
        <v>10</v>
      </c>
      <c r="P583" s="33">
        <v>9</v>
      </c>
      <c r="Q583" s="33">
        <v>8.0000000000000071</v>
      </c>
    </row>
    <row r="584" spans="2:17" x14ac:dyDescent="0.25">
      <c r="B584" s="45" t="s">
        <v>321</v>
      </c>
      <c r="C584" s="45" t="s">
        <v>504</v>
      </c>
      <c r="D584" s="20" t="s">
        <v>575</v>
      </c>
      <c r="E584" s="21">
        <v>36</v>
      </c>
      <c r="F584" s="1" t="s">
        <v>68</v>
      </c>
      <c r="G584" s="78" t="s">
        <v>184</v>
      </c>
      <c r="H584" s="1" t="s">
        <v>185</v>
      </c>
      <c r="J584" s="60">
        <v>0</v>
      </c>
      <c r="K584" s="24">
        <v>45315.647453703707</v>
      </c>
      <c r="L584" s="23">
        <v>299</v>
      </c>
      <c r="O584" s="54">
        <v>4</v>
      </c>
      <c r="P584" s="33">
        <v>9</v>
      </c>
      <c r="Q584" s="33">
        <v>0</v>
      </c>
    </row>
    <row r="585" spans="2:17" x14ac:dyDescent="0.25">
      <c r="B585" s="45" t="s">
        <v>321</v>
      </c>
      <c r="C585" s="45" t="s">
        <v>266</v>
      </c>
      <c r="D585" s="20" t="s">
        <v>576</v>
      </c>
      <c r="E585" s="21">
        <v>300</v>
      </c>
      <c r="F585" s="1" t="s">
        <v>68</v>
      </c>
      <c r="G585" s="78" t="s">
        <v>177</v>
      </c>
      <c r="H585" s="1" t="s">
        <v>178</v>
      </c>
      <c r="I585" s="1" t="s">
        <v>179</v>
      </c>
      <c r="J585" s="60">
        <v>0</v>
      </c>
      <c r="K585" s="24">
        <v>45315.647893518515</v>
      </c>
      <c r="L585" s="23">
        <v>2112</v>
      </c>
      <c r="O585" s="54">
        <v>36</v>
      </c>
      <c r="P585" s="33">
        <v>8</v>
      </c>
      <c r="Q585" s="33">
        <v>12.000000000000021</v>
      </c>
    </row>
    <row r="586" spans="2:17" x14ac:dyDescent="0.25">
      <c r="B586" s="45" t="s">
        <v>321</v>
      </c>
      <c r="C586" s="45" t="s">
        <v>266</v>
      </c>
      <c r="D586" s="20" t="s">
        <v>576</v>
      </c>
      <c r="E586" s="21">
        <v>10</v>
      </c>
      <c r="F586" s="1" t="s">
        <v>68</v>
      </c>
      <c r="G586" s="25" t="s">
        <v>787</v>
      </c>
      <c r="H586" s="1" t="s">
        <v>167</v>
      </c>
      <c r="I586" s="1" t="s">
        <v>161</v>
      </c>
      <c r="J586" s="60">
        <v>0</v>
      </c>
      <c r="K586" s="24">
        <v>45315.6481712963</v>
      </c>
      <c r="L586" s="23">
        <v>149</v>
      </c>
      <c r="O586" s="54">
        <v>4</v>
      </c>
      <c r="P586" s="33">
        <v>2</v>
      </c>
      <c r="Q586" s="33">
        <v>2</v>
      </c>
    </row>
    <row r="587" spans="2:17" x14ac:dyDescent="0.25">
      <c r="B587" s="45" t="s">
        <v>321</v>
      </c>
      <c r="C587" s="45" t="s">
        <v>509</v>
      </c>
      <c r="D587" s="20" t="s">
        <v>577</v>
      </c>
      <c r="E587" s="21">
        <v>12000</v>
      </c>
      <c r="F587" s="1" t="s">
        <v>68</v>
      </c>
      <c r="G587" s="78" t="s">
        <v>120</v>
      </c>
      <c r="H587" s="1" t="s">
        <v>121</v>
      </c>
      <c r="I587" s="1" t="s">
        <v>122</v>
      </c>
      <c r="J587" s="60">
        <v>0</v>
      </c>
      <c r="K587" s="24">
        <v>45315.648645833331</v>
      </c>
      <c r="L587" s="23">
        <v>109800</v>
      </c>
      <c r="O587" s="54">
        <v>2400</v>
      </c>
      <c r="P587" s="33">
        <v>5</v>
      </c>
      <c r="Q587" s="33">
        <v>0</v>
      </c>
    </row>
    <row r="588" spans="2:17" x14ac:dyDescent="0.25">
      <c r="B588" s="45" t="s">
        <v>321</v>
      </c>
      <c r="C588" s="45" t="s">
        <v>429</v>
      </c>
      <c r="D588" s="20" t="s">
        <v>578</v>
      </c>
      <c r="E588" s="21">
        <v>2</v>
      </c>
      <c r="F588" s="1" t="s">
        <v>68</v>
      </c>
      <c r="G588" s="25" t="s">
        <v>430</v>
      </c>
      <c r="H588" s="1" t="s">
        <v>199</v>
      </c>
      <c r="J588" s="60">
        <v>0</v>
      </c>
      <c r="K588" s="24">
        <v>45315.649085648147</v>
      </c>
      <c r="L588" s="23">
        <v>42</v>
      </c>
      <c r="O588" s="54">
        <v>40</v>
      </c>
      <c r="P588" s="33">
        <v>0</v>
      </c>
      <c r="Q588" s="33">
        <v>2</v>
      </c>
    </row>
    <row r="589" spans="2:17" x14ac:dyDescent="0.25">
      <c r="B589" s="45" t="s">
        <v>321</v>
      </c>
      <c r="C589" s="45" t="s">
        <v>429</v>
      </c>
      <c r="D589" s="20" t="s">
        <v>578</v>
      </c>
      <c r="E589" s="21">
        <v>120</v>
      </c>
      <c r="F589" s="1" t="s">
        <v>68</v>
      </c>
      <c r="G589" s="25" t="s">
        <v>219</v>
      </c>
      <c r="H589" s="1" t="s">
        <v>220</v>
      </c>
      <c r="I589" s="1" t="s">
        <v>161</v>
      </c>
      <c r="J589" s="60">
        <v>0</v>
      </c>
      <c r="K589" s="24">
        <v>45315.649363425924</v>
      </c>
      <c r="L589" s="23">
        <v>7640</v>
      </c>
      <c r="O589" s="54">
        <v>100</v>
      </c>
      <c r="P589" s="33">
        <v>1</v>
      </c>
      <c r="Q589" s="33">
        <v>19.999999999999996</v>
      </c>
    </row>
    <row r="590" spans="2:17" x14ac:dyDescent="0.25">
      <c r="B590" s="45" t="s">
        <v>321</v>
      </c>
      <c r="C590" s="45" t="s">
        <v>429</v>
      </c>
      <c r="D590" s="20" t="s">
        <v>578</v>
      </c>
      <c r="E590" s="21">
        <v>12000</v>
      </c>
      <c r="F590" s="1" t="s">
        <v>68</v>
      </c>
      <c r="G590" s="25" t="s">
        <v>140</v>
      </c>
      <c r="H590" s="1" t="s">
        <v>141</v>
      </c>
      <c r="I590" s="1" t="s">
        <v>122</v>
      </c>
      <c r="J590" s="60">
        <v>0</v>
      </c>
      <c r="K590" s="24">
        <v>45315.649583333332</v>
      </c>
      <c r="L590" s="23">
        <v>161700</v>
      </c>
      <c r="O590" s="54">
        <v>2400</v>
      </c>
      <c r="P590" s="33">
        <v>5</v>
      </c>
      <c r="Q590" s="33">
        <v>0</v>
      </c>
    </row>
    <row r="591" spans="2:17" x14ac:dyDescent="0.25">
      <c r="B591" s="45" t="s">
        <v>129</v>
      </c>
      <c r="C591" s="45" t="s">
        <v>129</v>
      </c>
      <c r="D591" s="20" t="s">
        <v>129</v>
      </c>
      <c r="E591" s="20" t="s">
        <v>579</v>
      </c>
      <c r="F591" s="20" t="s">
        <v>68</v>
      </c>
      <c r="G591" s="45" t="s">
        <v>129</v>
      </c>
      <c r="H591" s="31" t="s">
        <v>358</v>
      </c>
      <c r="I591" s="1" t="s">
        <v>66</v>
      </c>
      <c r="J591" s="60"/>
      <c r="K591" s="24">
        <v>45316.37940972222</v>
      </c>
      <c r="O591" s="54">
        <v>100</v>
      </c>
      <c r="P591" s="33">
        <v>0</v>
      </c>
      <c r="Q591" s="33">
        <v>1</v>
      </c>
    </row>
    <row r="592" spans="2:17" x14ac:dyDescent="0.25">
      <c r="B592" s="45" t="s">
        <v>176</v>
      </c>
      <c r="C592" s="45" t="s">
        <v>310</v>
      </c>
      <c r="D592" s="20" t="s">
        <v>580</v>
      </c>
      <c r="E592" s="21">
        <v>5600</v>
      </c>
      <c r="F592" s="1" t="s">
        <v>68</v>
      </c>
      <c r="G592" s="45" t="s">
        <v>140</v>
      </c>
      <c r="H592" s="1" t="s">
        <v>141</v>
      </c>
      <c r="I592" s="1" t="s">
        <v>122</v>
      </c>
      <c r="J592" s="60">
        <v>0</v>
      </c>
      <c r="K592" s="24">
        <v>45320.577719907407</v>
      </c>
      <c r="L592" s="23">
        <v>156100</v>
      </c>
      <c r="O592" s="54">
        <v>2400</v>
      </c>
      <c r="P592" s="33">
        <v>2</v>
      </c>
      <c r="Q592" s="33">
        <v>800.00000000000034</v>
      </c>
    </row>
    <row r="593" spans="2:17" x14ac:dyDescent="0.25">
      <c r="B593" s="45" t="s">
        <v>176</v>
      </c>
      <c r="C593" s="45" t="s">
        <v>310</v>
      </c>
      <c r="D593" s="20" t="s">
        <v>580</v>
      </c>
      <c r="E593" s="21">
        <v>50</v>
      </c>
      <c r="F593" s="1" t="s">
        <v>68</v>
      </c>
      <c r="G593" s="25" t="s">
        <v>786</v>
      </c>
      <c r="H593" s="1" t="s">
        <v>165</v>
      </c>
      <c r="I593" s="1" t="s">
        <v>161</v>
      </c>
      <c r="J593" s="60">
        <v>0</v>
      </c>
      <c r="K593" s="24">
        <v>45320.577928240738</v>
      </c>
      <c r="L593" s="23">
        <v>147</v>
      </c>
      <c r="O593" s="54">
        <v>24</v>
      </c>
      <c r="P593" s="33">
        <v>2</v>
      </c>
      <c r="Q593" s="33">
        <v>2.0000000000000036</v>
      </c>
    </row>
    <row r="594" spans="2:17" x14ac:dyDescent="0.25">
      <c r="B594" s="45" t="s">
        <v>176</v>
      </c>
      <c r="C594" s="45" t="s">
        <v>418</v>
      </c>
      <c r="D594" s="20" t="s">
        <v>581</v>
      </c>
      <c r="E594" s="21">
        <v>10</v>
      </c>
      <c r="F594" s="1" t="s">
        <v>68</v>
      </c>
      <c r="G594" s="25" t="s">
        <v>787</v>
      </c>
      <c r="H594" s="1" t="s">
        <v>167</v>
      </c>
      <c r="I594" s="1" t="s">
        <v>161</v>
      </c>
      <c r="J594" s="60">
        <v>0</v>
      </c>
      <c r="K594" s="24">
        <v>45320.578472222223</v>
      </c>
      <c r="L594" s="23">
        <v>139</v>
      </c>
      <c r="O594" s="54">
        <v>4</v>
      </c>
      <c r="P594" s="33">
        <v>2</v>
      </c>
      <c r="Q594" s="33">
        <v>2</v>
      </c>
    </row>
    <row r="595" spans="2:17" x14ac:dyDescent="0.25">
      <c r="B595" s="45" t="s">
        <v>176</v>
      </c>
      <c r="C595" s="45" t="s">
        <v>582</v>
      </c>
      <c r="D595" s="20" t="s">
        <v>583</v>
      </c>
      <c r="E595" s="21">
        <v>900</v>
      </c>
      <c r="F595" s="1" t="s">
        <v>68</v>
      </c>
      <c r="G595" s="25" t="s">
        <v>789</v>
      </c>
      <c r="H595" s="1" t="s">
        <v>196</v>
      </c>
      <c r="I595" s="1" t="s">
        <v>161</v>
      </c>
      <c r="J595" s="60">
        <v>0</v>
      </c>
      <c r="K595" s="24">
        <v>45320.579062500001</v>
      </c>
      <c r="L595" s="23">
        <v>2210</v>
      </c>
      <c r="O595" s="54">
        <v>100</v>
      </c>
      <c r="P595" s="33">
        <v>9</v>
      </c>
      <c r="Q595" s="33">
        <v>0</v>
      </c>
    </row>
    <row r="596" spans="2:17" x14ac:dyDescent="0.25">
      <c r="B596" s="45" t="s">
        <v>176</v>
      </c>
      <c r="C596" s="45" t="s">
        <v>582</v>
      </c>
      <c r="D596" s="20" t="s">
        <v>583</v>
      </c>
      <c r="E596" s="21">
        <v>200</v>
      </c>
      <c r="F596" s="1" t="s">
        <v>68</v>
      </c>
      <c r="G596" s="25" t="s">
        <v>159</v>
      </c>
      <c r="H596" s="1" t="s">
        <v>160</v>
      </c>
      <c r="I596" s="1" t="s">
        <v>161</v>
      </c>
      <c r="J596" s="60">
        <v>0</v>
      </c>
      <c r="K596" s="24">
        <v>45320.579467592594</v>
      </c>
      <c r="L596" s="23">
        <v>496</v>
      </c>
      <c r="O596" s="54">
        <v>24</v>
      </c>
      <c r="P596" s="33">
        <v>8</v>
      </c>
      <c r="Q596" s="33">
        <v>8.0000000000000142</v>
      </c>
    </row>
    <row r="597" spans="2:17" x14ac:dyDescent="0.25">
      <c r="B597" s="45" t="s">
        <v>176</v>
      </c>
      <c r="C597" s="45" t="s">
        <v>582</v>
      </c>
      <c r="D597" s="20" t="s">
        <v>583</v>
      </c>
      <c r="E597" s="21">
        <v>120</v>
      </c>
      <c r="F597" s="1" t="s">
        <v>68</v>
      </c>
      <c r="G597" s="25" t="s">
        <v>168</v>
      </c>
      <c r="H597" s="1" t="s">
        <v>169</v>
      </c>
      <c r="I597" s="1" t="s">
        <v>122</v>
      </c>
      <c r="J597" s="60">
        <v>0</v>
      </c>
      <c r="K597" s="24">
        <v>45320.579687500001</v>
      </c>
      <c r="L597" s="23">
        <v>1186</v>
      </c>
      <c r="O597" s="54">
        <v>200</v>
      </c>
      <c r="P597" s="33">
        <v>0</v>
      </c>
      <c r="Q597" s="33">
        <v>120</v>
      </c>
    </row>
    <row r="598" spans="2:17" x14ac:dyDescent="0.25">
      <c r="B598" s="45" t="s">
        <v>176</v>
      </c>
      <c r="C598" s="45" t="s">
        <v>537</v>
      </c>
      <c r="D598" s="20" t="s">
        <v>584</v>
      </c>
      <c r="E598" s="21">
        <v>400</v>
      </c>
      <c r="F598" s="1" t="s">
        <v>68</v>
      </c>
      <c r="G598" s="45" t="s">
        <v>136</v>
      </c>
      <c r="H598" s="1" t="s">
        <v>137</v>
      </c>
      <c r="I598" s="1" t="s">
        <v>122</v>
      </c>
      <c r="J598" s="60">
        <v>0</v>
      </c>
      <c r="K598" s="24">
        <v>45320.580335648148</v>
      </c>
      <c r="L598" s="23">
        <v>28800</v>
      </c>
      <c r="O598" s="54">
        <v>2400</v>
      </c>
      <c r="P598" s="33">
        <v>0</v>
      </c>
      <c r="Q598" s="33">
        <v>400</v>
      </c>
    </row>
    <row r="599" spans="2:17" x14ac:dyDescent="0.25">
      <c r="B599" s="45" t="s">
        <v>176</v>
      </c>
      <c r="C599" s="45" t="s">
        <v>537</v>
      </c>
      <c r="D599" s="20" t="s">
        <v>584</v>
      </c>
      <c r="E599" s="21">
        <v>200</v>
      </c>
      <c r="F599" s="1" t="s">
        <v>68</v>
      </c>
      <c r="G599" s="25" t="s">
        <v>130</v>
      </c>
      <c r="H599" s="1" t="s">
        <v>131</v>
      </c>
      <c r="I599" s="1" t="s">
        <v>122</v>
      </c>
      <c r="J599" s="60">
        <v>0</v>
      </c>
      <c r="K599" s="24">
        <v>45320.580659722225</v>
      </c>
      <c r="L599" s="23">
        <v>4000</v>
      </c>
      <c r="O599" s="54">
        <v>3000</v>
      </c>
      <c r="P599" s="33">
        <v>0</v>
      </c>
      <c r="Q599" s="33">
        <v>200</v>
      </c>
    </row>
    <row r="600" spans="2:17" x14ac:dyDescent="0.25">
      <c r="B600" s="45" t="s">
        <v>321</v>
      </c>
      <c r="C600" s="45" t="s">
        <v>429</v>
      </c>
      <c r="D600" s="20" t="s">
        <v>585</v>
      </c>
      <c r="E600" s="21">
        <v>12000</v>
      </c>
      <c r="F600" s="1" t="s">
        <v>68</v>
      </c>
      <c r="G600" s="45" t="s">
        <v>140</v>
      </c>
      <c r="H600" s="1" t="s">
        <v>141</v>
      </c>
      <c r="I600" s="1" t="s">
        <v>122</v>
      </c>
      <c r="J600" s="60">
        <v>0</v>
      </c>
      <c r="K600" s="24">
        <v>45324.383287037039</v>
      </c>
      <c r="L600" s="23">
        <v>144100</v>
      </c>
      <c r="O600" s="54">
        <v>2400</v>
      </c>
      <c r="P600" s="33">
        <v>5</v>
      </c>
      <c r="Q600" s="33">
        <v>0</v>
      </c>
    </row>
    <row r="601" spans="2:17" x14ac:dyDescent="0.25">
      <c r="B601" s="45" t="s">
        <v>321</v>
      </c>
      <c r="C601" s="45" t="s">
        <v>429</v>
      </c>
      <c r="D601" s="20" t="s">
        <v>585</v>
      </c>
      <c r="E601" s="21">
        <v>120</v>
      </c>
      <c r="F601" s="1" t="s">
        <v>68</v>
      </c>
      <c r="G601" s="25" t="s">
        <v>219</v>
      </c>
      <c r="H601" s="1" t="s">
        <v>220</v>
      </c>
      <c r="I601" s="1" t="s">
        <v>161</v>
      </c>
      <c r="J601" s="60">
        <v>0</v>
      </c>
      <c r="K601" s="24">
        <v>45324.383414351854</v>
      </c>
      <c r="L601" s="23">
        <v>7520</v>
      </c>
      <c r="O601" s="54">
        <v>100</v>
      </c>
      <c r="P601" s="33">
        <v>1</v>
      </c>
      <c r="Q601" s="33">
        <v>19.999999999999996</v>
      </c>
    </row>
    <row r="602" spans="2:17" x14ac:dyDescent="0.25">
      <c r="B602" s="45" t="s">
        <v>321</v>
      </c>
      <c r="C602" s="45" t="s">
        <v>429</v>
      </c>
      <c r="D602" s="20" t="s">
        <v>585</v>
      </c>
      <c r="E602" s="21">
        <v>2</v>
      </c>
      <c r="F602" s="1" t="s">
        <v>68</v>
      </c>
      <c r="G602" s="25" t="s">
        <v>430</v>
      </c>
      <c r="H602" s="1" t="s">
        <v>199</v>
      </c>
      <c r="J602" s="60">
        <v>0</v>
      </c>
      <c r="K602" s="24">
        <v>45324.383483796293</v>
      </c>
      <c r="L602" s="23">
        <v>40</v>
      </c>
      <c r="O602" s="54">
        <v>40</v>
      </c>
      <c r="P602" s="33">
        <v>0</v>
      </c>
      <c r="Q602" s="33">
        <v>2</v>
      </c>
    </row>
    <row r="603" spans="2:17" x14ac:dyDescent="0.25">
      <c r="B603" s="45" t="s">
        <v>321</v>
      </c>
      <c r="C603" s="45" t="s">
        <v>345</v>
      </c>
      <c r="D603" s="20" t="s">
        <v>586</v>
      </c>
      <c r="E603" s="21">
        <v>2500</v>
      </c>
      <c r="F603" s="1" t="s">
        <v>68</v>
      </c>
      <c r="G603" s="45" t="s">
        <v>163</v>
      </c>
      <c r="H603" s="1" t="s">
        <v>164</v>
      </c>
      <c r="I603" s="1" t="s">
        <v>161</v>
      </c>
      <c r="J603" s="60">
        <v>0</v>
      </c>
      <c r="K603" s="24">
        <v>45324.383784722224</v>
      </c>
      <c r="L603" s="23">
        <v>42220</v>
      </c>
      <c r="O603" s="54">
        <v>440</v>
      </c>
      <c r="P603" s="33">
        <v>5</v>
      </c>
      <c r="Q603" s="33">
        <v>299.99999999999994</v>
      </c>
    </row>
    <row r="604" spans="2:17" x14ac:dyDescent="0.25">
      <c r="B604" s="45" t="s">
        <v>321</v>
      </c>
      <c r="C604" s="45" t="s">
        <v>345</v>
      </c>
      <c r="D604" s="20" t="s">
        <v>586</v>
      </c>
      <c r="E604" s="21">
        <v>80</v>
      </c>
      <c r="F604" s="1" t="s">
        <v>68</v>
      </c>
      <c r="G604" s="25" t="s">
        <v>126</v>
      </c>
      <c r="H604" s="1" t="s">
        <v>180</v>
      </c>
      <c r="J604" s="60">
        <v>0</v>
      </c>
      <c r="K604" s="24">
        <v>45324.383923611109</v>
      </c>
      <c r="L604" s="23">
        <v>112</v>
      </c>
      <c r="O604" s="54">
        <v>96</v>
      </c>
      <c r="P604" s="33">
        <v>0</v>
      </c>
      <c r="Q604" s="33">
        <v>80</v>
      </c>
    </row>
    <row r="605" spans="2:17" x14ac:dyDescent="0.25">
      <c r="B605" s="45" t="s">
        <v>321</v>
      </c>
      <c r="C605" s="45" t="s">
        <v>267</v>
      </c>
      <c r="D605" s="20" t="s">
        <v>587</v>
      </c>
      <c r="E605" s="21">
        <v>2</v>
      </c>
      <c r="F605" s="1" t="s">
        <v>68</v>
      </c>
      <c r="G605" s="45" t="s">
        <v>200</v>
      </c>
      <c r="H605" s="1" t="s">
        <v>201</v>
      </c>
      <c r="J605" s="60">
        <v>0</v>
      </c>
      <c r="K605" s="24">
        <v>45324.384108796294</v>
      </c>
      <c r="L605" s="23">
        <v>8</v>
      </c>
      <c r="O605" s="54">
        <v>36</v>
      </c>
      <c r="P605" s="33">
        <v>0</v>
      </c>
      <c r="Q605" s="33">
        <v>2</v>
      </c>
    </row>
    <row r="606" spans="2:17" x14ac:dyDescent="0.25">
      <c r="B606" s="45" t="s">
        <v>321</v>
      </c>
      <c r="C606" s="45" t="s">
        <v>267</v>
      </c>
      <c r="D606" s="20" t="s">
        <v>587</v>
      </c>
      <c r="E606" s="21">
        <v>120</v>
      </c>
      <c r="F606" s="1" t="s">
        <v>68</v>
      </c>
      <c r="G606" s="25" t="s">
        <v>427</v>
      </c>
      <c r="H606" s="1" t="s">
        <v>166</v>
      </c>
      <c r="I606" s="1" t="s">
        <v>161</v>
      </c>
      <c r="J606" s="60">
        <v>0</v>
      </c>
      <c r="K606" s="24">
        <v>45324.384189814817</v>
      </c>
      <c r="L606" s="23">
        <v>5000</v>
      </c>
      <c r="O606" s="54">
        <v>60</v>
      </c>
      <c r="P606" s="33">
        <v>2</v>
      </c>
      <c r="Q606" s="33">
        <v>0</v>
      </c>
    </row>
    <row r="607" spans="2:17" x14ac:dyDescent="0.25">
      <c r="B607" s="45" t="s">
        <v>321</v>
      </c>
      <c r="C607" s="45" t="s">
        <v>266</v>
      </c>
      <c r="D607" s="20" t="s">
        <v>588</v>
      </c>
      <c r="E607" s="21">
        <v>10</v>
      </c>
      <c r="F607" s="1" t="s">
        <v>68</v>
      </c>
      <c r="G607" s="25" t="s">
        <v>787</v>
      </c>
      <c r="H607" s="1" t="s">
        <v>167</v>
      </c>
      <c r="I607" s="1" t="s">
        <v>161</v>
      </c>
      <c r="J607" s="60">
        <v>0</v>
      </c>
      <c r="K607" s="24">
        <v>45324.384236111109</v>
      </c>
      <c r="L607" s="23">
        <v>129</v>
      </c>
      <c r="O607" s="54">
        <v>4</v>
      </c>
      <c r="P607" s="33">
        <v>2</v>
      </c>
      <c r="Q607" s="33">
        <v>2</v>
      </c>
    </row>
    <row r="608" spans="2:17" x14ac:dyDescent="0.25">
      <c r="B608" s="45" t="s">
        <v>321</v>
      </c>
      <c r="C608" s="45" t="s">
        <v>265</v>
      </c>
      <c r="D608" s="20" t="s">
        <v>589</v>
      </c>
      <c r="E608" s="21">
        <v>6</v>
      </c>
      <c r="F608" s="1" t="s">
        <v>68</v>
      </c>
      <c r="G608" s="25" t="s">
        <v>786</v>
      </c>
      <c r="H608" s="1" t="s">
        <v>165</v>
      </c>
      <c r="I608" s="1" t="s">
        <v>161</v>
      </c>
      <c r="J608" s="60">
        <v>0</v>
      </c>
      <c r="K608" s="24">
        <v>45324.384259259263</v>
      </c>
      <c r="L608" s="23">
        <v>141</v>
      </c>
      <c r="O608" s="54">
        <v>24</v>
      </c>
      <c r="P608" s="33">
        <v>0</v>
      </c>
      <c r="Q608" s="33">
        <v>6</v>
      </c>
    </row>
    <row r="609" spans="2:17" x14ac:dyDescent="0.25">
      <c r="B609" s="45" t="s">
        <v>321</v>
      </c>
      <c r="C609" s="45" t="s">
        <v>479</v>
      </c>
      <c r="D609" s="20" t="s">
        <v>590</v>
      </c>
      <c r="E609" s="21">
        <v>120</v>
      </c>
      <c r="F609" s="1" t="s">
        <v>144</v>
      </c>
      <c r="G609" s="45" t="s">
        <v>150</v>
      </c>
      <c r="H609" s="1" t="s">
        <v>151</v>
      </c>
      <c r="I609" s="1" t="s">
        <v>147</v>
      </c>
      <c r="J609" s="60">
        <v>0</v>
      </c>
      <c r="K609" s="24">
        <v>45324.384282407409</v>
      </c>
      <c r="L609" s="23">
        <v>785</v>
      </c>
      <c r="O609" s="54">
        <v>10</v>
      </c>
      <c r="P609" s="33">
        <v>12</v>
      </c>
      <c r="Q609" s="33">
        <v>0</v>
      </c>
    </row>
    <row r="610" spans="2:17" x14ac:dyDescent="0.25">
      <c r="B610" s="45" t="s">
        <v>321</v>
      </c>
      <c r="C610" s="45" t="s">
        <v>479</v>
      </c>
      <c r="D610" s="20" t="s">
        <v>590</v>
      </c>
      <c r="E610" s="21">
        <v>60</v>
      </c>
      <c r="F610" s="1" t="s">
        <v>144</v>
      </c>
      <c r="G610" s="45" t="s">
        <v>145</v>
      </c>
      <c r="H610" s="1" t="s">
        <v>146</v>
      </c>
      <c r="I610" s="1" t="s">
        <v>147</v>
      </c>
      <c r="J610" s="60">
        <v>0</v>
      </c>
      <c r="K610" s="24">
        <v>45324.384340277778</v>
      </c>
      <c r="L610" s="23">
        <v>1200</v>
      </c>
      <c r="O610" s="54">
        <v>10</v>
      </c>
      <c r="P610" s="33">
        <v>6</v>
      </c>
      <c r="Q610" s="33">
        <v>0</v>
      </c>
    </row>
    <row r="611" spans="2:17" x14ac:dyDescent="0.25">
      <c r="B611" s="45" t="s">
        <v>321</v>
      </c>
      <c r="C611" s="45" t="s">
        <v>479</v>
      </c>
      <c r="D611" s="20" t="s">
        <v>590</v>
      </c>
      <c r="E611" s="21">
        <v>60</v>
      </c>
      <c r="F611" s="1" t="s">
        <v>144</v>
      </c>
      <c r="G611" s="45" t="s">
        <v>148</v>
      </c>
      <c r="H611" s="1" t="s">
        <v>149</v>
      </c>
      <c r="I611" s="1" t="s">
        <v>147</v>
      </c>
      <c r="J611" s="60">
        <v>0</v>
      </c>
      <c r="K611" s="24">
        <v>45324.384375000001</v>
      </c>
      <c r="L611" s="23">
        <v>6305</v>
      </c>
      <c r="O611" s="54">
        <v>10</v>
      </c>
      <c r="P611" s="33">
        <v>6</v>
      </c>
      <c r="Q611" s="33">
        <v>0</v>
      </c>
    </row>
    <row r="612" spans="2:17" x14ac:dyDescent="0.25">
      <c r="B612" s="45" t="s">
        <v>321</v>
      </c>
      <c r="C612" s="45" t="s">
        <v>364</v>
      </c>
      <c r="D612" s="20" t="s">
        <v>591</v>
      </c>
      <c r="E612" s="21">
        <v>144</v>
      </c>
      <c r="F612" s="1" t="s">
        <v>152</v>
      </c>
      <c r="G612" s="45" t="s">
        <v>157</v>
      </c>
      <c r="H612" s="1" t="s">
        <v>154</v>
      </c>
      <c r="I612" s="1" t="s">
        <v>155</v>
      </c>
      <c r="J612" s="60">
        <v>0</v>
      </c>
      <c r="K612" s="24">
        <v>45324.384409722225</v>
      </c>
      <c r="L612" s="23">
        <v>2210</v>
      </c>
      <c r="O612" s="54">
        <v>144</v>
      </c>
      <c r="P612" s="33">
        <v>1</v>
      </c>
      <c r="Q612" s="33">
        <v>0</v>
      </c>
    </row>
    <row r="613" spans="2:17" x14ac:dyDescent="0.25">
      <c r="B613" s="45" t="s">
        <v>321</v>
      </c>
      <c r="C613" s="45" t="s">
        <v>592</v>
      </c>
      <c r="D613" s="20" t="s">
        <v>593</v>
      </c>
      <c r="E613" s="21">
        <v>6</v>
      </c>
      <c r="F613" s="1" t="s">
        <v>68</v>
      </c>
      <c r="G613" s="45" t="s">
        <v>175</v>
      </c>
      <c r="H613" s="1" t="s">
        <v>173</v>
      </c>
      <c r="J613" s="60">
        <v>0</v>
      </c>
      <c r="K613" s="24">
        <v>45324.384432870371</v>
      </c>
      <c r="L613" s="23">
        <v>1208</v>
      </c>
      <c r="O613" s="54">
        <v>12</v>
      </c>
      <c r="P613" s="33">
        <v>0</v>
      </c>
      <c r="Q613" s="33">
        <v>6</v>
      </c>
    </row>
    <row r="614" spans="2:17" x14ac:dyDescent="0.25">
      <c r="B614" s="45" t="s">
        <v>321</v>
      </c>
      <c r="C614" s="45" t="s">
        <v>592</v>
      </c>
      <c r="D614" s="20" t="s">
        <v>593</v>
      </c>
      <c r="E614" s="21">
        <v>200</v>
      </c>
      <c r="F614" s="1" t="s">
        <v>68</v>
      </c>
      <c r="G614" s="45" t="s">
        <v>170</v>
      </c>
      <c r="H614" s="1" t="s">
        <v>171</v>
      </c>
      <c r="I614" s="1" t="s">
        <v>122</v>
      </c>
      <c r="J614" s="60">
        <v>0</v>
      </c>
      <c r="K614" s="24">
        <v>45324.384479166663</v>
      </c>
      <c r="L614" s="23">
        <v>1300</v>
      </c>
      <c r="O614" s="54">
        <v>100</v>
      </c>
      <c r="P614" s="33">
        <v>2</v>
      </c>
      <c r="Q614" s="33">
        <v>0</v>
      </c>
    </row>
    <row r="615" spans="2:17" x14ac:dyDescent="0.25">
      <c r="B615" s="45" t="s">
        <v>321</v>
      </c>
      <c r="C615" s="45" t="s">
        <v>594</v>
      </c>
      <c r="D615" s="20" t="s">
        <v>595</v>
      </c>
      <c r="E615" s="21">
        <v>240</v>
      </c>
      <c r="F615" s="1" t="s">
        <v>68</v>
      </c>
      <c r="G615" s="45" t="s">
        <v>181</v>
      </c>
      <c r="H615" s="1" t="s">
        <v>182</v>
      </c>
      <c r="I615" s="1" t="s">
        <v>183</v>
      </c>
      <c r="J615" s="60">
        <v>0</v>
      </c>
      <c r="K615" s="24">
        <v>45324.384525462963</v>
      </c>
      <c r="L615" s="23">
        <v>1760</v>
      </c>
      <c r="O615" s="54">
        <v>300</v>
      </c>
      <c r="P615" s="33">
        <v>0</v>
      </c>
      <c r="Q615" s="33">
        <v>240</v>
      </c>
    </row>
    <row r="616" spans="2:17" x14ac:dyDescent="0.25">
      <c r="B616" s="45" t="s">
        <v>321</v>
      </c>
      <c r="C616" s="45" t="s">
        <v>568</v>
      </c>
      <c r="D616" s="20" t="s">
        <v>596</v>
      </c>
      <c r="E616" s="21">
        <v>6000</v>
      </c>
      <c r="F616" s="1" t="s">
        <v>68</v>
      </c>
      <c r="G616" s="45" t="s">
        <v>124</v>
      </c>
      <c r="H616" s="1" t="s">
        <v>125</v>
      </c>
      <c r="I616" s="1" t="s">
        <v>122</v>
      </c>
      <c r="J616" s="60">
        <v>0</v>
      </c>
      <c r="K616" s="24">
        <v>45324.384560185186</v>
      </c>
      <c r="L616" s="23">
        <v>22000</v>
      </c>
      <c r="O616" s="54">
        <v>1200</v>
      </c>
      <c r="P616" s="33">
        <v>5</v>
      </c>
      <c r="Q616" s="33">
        <v>0</v>
      </c>
    </row>
    <row r="617" spans="2:17" x14ac:dyDescent="0.25">
      <c r="B617" s="45" t="s">
        <v>321</v>
      </c>
      <c r="C617" s="45" t="s">
        <v>509</v>
      </c>
      <c r="D617" s="20" t="s">
        <v>597</v>
      </c>
      <c r="E617" s="21">
        <v>12000</v>
      </c>
      <c r="F617" s="1" t="s">
        <v>68</v>
      </c>
      <c r="G617" s="45" t="s">
        <v>120</v>
      </c>
      <c r="H617" s="1" t="s">
        <v>121</v>
      </c>
      <c r="I617" s="1" t="s">
        <v>122</v>
      </c>
      <c r="J617" s="60">
        <v>0</v>
      </c>
      <c r="K617" s="24">
        <v>45324.384594907409</v>
      </c>
      <c r="L617" s="23">
        <v>97800</v>
      </c>
      <c r="O617" s="54">
        <v>2400</v>
      </c>
      <c r="P617" s="33">
        <v>5</v>
      </c>
      <c r="Q617" s="33">
        <v>0</v>
      </c>
    </row>
    <row r="618" spans="2:17" x14ac:dyDescent="0.25">
      <c r="B618" s="45" t="s">
        <v>321</v>
      </c>
      <c r="C618" s="45" t="s">
        <v>504</v>
      </c>
      <c r="D618" s="20" t="s">
        <v>598</v>
      </c>
      <c r="E618" s="21">
        <v>36</v>
      </c>
      <c r="F618" s="1" t="s">
        <v>68</v>
      </c>
      <c r="G618" s="45" t="s">
        <v>184</v>
      </c>
      <c r="H618" s="1" t="s">
        <v>185</v>
      </c>
      <c r="J618" s="60">
        <v>0</v>
      </c>
      <c r="K618" s="24">
        <v>45324.384722222225</v>
      </c>
      <c r="L618" s="23">
        <v>263</v>
      </c>
      <c r="O618" s="54">
        <v>4</v>
      </c>
      <c r="P618" s="33">
        <v>9</v>
      </c>
      <c r="Q618" s="33">
        <v>0</v>
      </c>
    </row>
    <row r="619" spans="2:17" x14ac:dyDescent="0.25">
      <c r="B619" s="45" t="s">
        <v>176</v>
      </c>
      <c r="C619" s="45" t="s">
        <v>582</v>
      </c>
      <c r="D619" s="20" t="s">
        <v>599</v>
      </c>
      <c r="E619" s="21">
        <v>200</v>
      </c>
      <c r="F619" s="1" t="s">
        <v>68</v>
      </c>
      <c r="G619" s="45" t="s">
        <v>159</v>
      </c>
      <c r="H619" s="1" t="s">
        <v>160</v>
      </c>
      <c r="I619" s="1" t="s">
        <v>161</v>
      </c>
      <c r="J619" s="60">
        <v>0</v>
      </c>
      <c r="K619" s="24">
        <v>45327.457372685189</v>
      </c>
      <c r="L619" s="23">
        <v>296</v>
      </c>
      <c r="O619" s="54">
        <v>24</v>
      </c>
      <c r="P619" s="33">
        <v>8</v>
      </c>
      <c r="Q619" s="33">
        <v>8.0000000000000142</v>
      </c>
    </row>
    <row r="620" spans="2:17" x14ac:dyDescent="0.25">
      <c r="B620" s="45" t="s">
        <v>176</v>
      </c>
      <c r="C620" s="45" t="s">
        <v>262</v>
      </c>
      <c r="D620" s="20" t="s">
        <v>600</v>
      </c>
      <c r="E620" s="21">
        <v>53</v>
      </c>
      <c r="F620" s="1" t="s">
        <v>144</v>
      </c>
      <c r="G620" s="45" t="s">
        <v>148</v>
      </c>
      <c r="H620" s="1" t="s">
        <v>149</v>
      </c>
      <c r="I620" s="1" t="s">
        <v>147</v>
      </c>
      <c r="J620" s="60">
        <v>0</v>
      </c>
      <c r="K620" s="24">
        <v>45327.457442129627</v>
      </c>
      <c r="L620" s="23">
        <v>6252</v>
      </c>
      <c r="O620" s="54">
        <v>10</v>
      </c>
      <c r="P620" s="33">
        <v>5</v>
      </c>
      <c r="Q620" s="33">
        <v>2.9999999999999982</v>
      </c>
    </row>
    <row r="621" spans="2:17" x14ac:dyDescent="0.25">
      <c r="B621" s="45" t="s">
        <v>176</v>
      </c>
      <c r="C621" s="45" t="s">
        <v>537</v>
      </c>
      <c r="D621" s="20" t="s">
        <v>601</v>
      </c>
      <c r="E621" s="21">
        <v>200</v>
      </c>
      <c r="F621" s="1" t="s">
        <v>68</v>
      </c>
      <c r="G621" s="45" t="s">
        <v>130</v>
      </c>
      <c r="H621" s="1" t="s">
        <v>131</v>
      </c>
      <c r="I621" s="1" t="s">
        <v>122</v>
      </c>
      <c r="J621" s="60">
        <v>0</v>
      </c>
      <c r="K621" s="24">
        <v>45327.457488425927</v>
      </c>
      <c r="L621" s="23">
        <v>3800</v>
      </c>
      <c r="O621" s="54">
        <v>3000</v>
      </c>
      <c r="P621" s="33">
        <v>0</v>
      </c>
      <c r="Q621" s="33">
        <v>200</v>
      </c>
    </row>
    <row r="622" spans="2:17" x14ac:dyDescent="0.25">
      <c r="B622" s="45" t="s">
        <v>176</v>
      </c>
      <c r="C622" s="45" t="s">
        <v>537</v>
      </c>
      <c r="D622" s="20" t="s">
        <v>602</v>
      </c>
      <c r="E622" s="21">
        <v>600</v>
      </c>
      <c r="F622" s="1" t="s">
        <v>68</v>
      </c>
      <c r="G622" s="45" t="s">
        <v>134</v>
      </c>
      <c r="H622" s="1" t="s">
        <v>135</v>
      </c>
      <c r="I622" s="1" t="s">
        <v>122</v>
      </c>
      <c r="J622" s="60">
        <v>0</v>
      </c>
      <c r="K622" s="24">
        <v>45329.670555555553</v>
      </c>
      <c r="L622" s="23">
        <v>4400</v>
      </c>
      <c r="O622" s="54">
        <v>3000</v>
      </c>
      <c r="P622" s="33">
        <v>0</v>
      </c>
      <c r="Q622" s="33">
        <v>600</v>
      </c>
    </row>
    <row r="623" spans="2:17" x14ac:dyDescent="0.25">
      <c r="B623" s="45" t="s">
        <v>176</v>
      </c>
      <c r="C623" s="45" t="s">
        <v>264</v>
      </c>
      <c r="D623" s="20" t="s">
        <v>603</v>
      </c>
      <c r="E623" s="21">
        <v>400</v>
      </c>
      <c r="F623" s="1" t="s">
        <v>68</v>
      </c>
      <c r="G623" s="45" t="s">
        <v>296</v>
      </c>
      <c r="H623" s="1" t="s">
        <v>297</v>
      </c>
      <c r="I623" s="1" t="s">
        <v>122</v>
      </c>
      <c r="J623" s="60">
        <v>0</v>
      </c>
      <c r="K623" s="24">
        <v>45329.670624999999</v>
      </c>
      <c r="L623" s="23">
        <v>0</v>
      </c>
      <c r="O623" s="54">
        <v>1</v>
      </c>
      <c r="P623" s="33">
        <v>400</v>
      </c>
      <c r="Q623" s="33">
        <v>0</v>
      </c>
    </row>
    <row r="624" spans="2:17" x14ac:dyDescent="0.25">
      <c r="B624" s="45" t="s">
        <v>176</v>
      </c>
      <c r="C624" s="45" t="s">
        <v>261</v>
      </c>
      <c r="D624" s="20" t="s">
        <v>604</v>
      </c>
      <c r="E624" s="21">
        <v>500</v>
      </c>
      <c r="F624" s="1" t="s">
        <v>152</v>
      </c>
      <c r="G624" s="45" t="s">
        <v>153</v>
      </c>
      <c r="H624" s="1" t="s">
        <v>154</v>
      </c>
      <c r="I624" s="1" t="s">
        <v>155</v>
      </c>
      <c r="J624" s="60">
        <v>0</v>
      </c>
      <c r="K624" s="24">
        <v>45329.670648148145</v>
      </c>
      <c r="L624" s="23">
        <v>220</v>
      </c>
      <c r="O624" s="54">
        <v>144</v>
      </c>
      <c r="P624" s="33">
        <v>3</v>
      </c>
      <c r="Q624" s="33">
        <v>68.000000000000014</v>
      </c>
    </row>
    <row r="625" spans="2:17" x14ac:dyDescent="0.25">
      <c r="B625" s="45" t="s">
        <v>176</v>
      </c>
      <c r="C625" s="45" t="s">
        <v>261</v>
      </c>
      <c r="D625" s="20" t="s">
        <v>604</v>
      </c>
      <c r="E625" s="21">
        <v>700</v>
      </c>
      <c r="F625" s="1" t="s">
        <v>152</v>
      </c>
      <c r="G625" s="45" t="s">
        <v>157</v>
      </c>
      <c r="H625" s="1" t="s">
        <v>154</v>
      </c>
      <c r="I625" s="1" t="s">
        <v>155</v>
      </c>
      <c r="J625" s="60">
        <v>0</v>
      </c>
      <c r="K625" s="24">
        <v>45329.670682870368</v>
      </c>
      <c r="L625" s="23">
        <v>1510</v>
      </c>
      <c r="O625" s="54">
        <v>144</v>
      </c>
      <c r="P625" s="33">
        <v>4</v>
      </c>
      <c r="Q625" s="33">
        <v>123.99999999999994</v>
      </c>
    </row>
    <row r="626" spans="2:17" x14ac:dyDescent="0.25">
      <c r="B626" s="45" t="s">
        <v>176</v>
      </c>
      <c r="C626" s="45" t="s">
        <v>418</v>
      </c>
      <c r="D626" s="20" t="s">
        <v>605</v>
      </c>
      <c r="E626" s="21">
        <v>2500</v>
      </c>
      <c r="F626" s="1" t="s">
        <v>68</v>
      </c>
      <c r="G626" s="45" t="s">
        <v>142</v>
      </c>
      <c r="H626" s="1" t="s">
        <v>143</v>
      </c>
      <c r="I626" s="1" t="s">
        <v>122</v>
      </c>
      <c r="J626" s="60">
        <v>0</v>
      </c>
      <c r="K626" s="24">
        <v>45329.670717592591</v>
      </c>
      <c r="L626" s="23">
        <v>12100</v>
      </c>
      <c r="O626" s="54">
        <v>2400</v>
      </c>
      <c r="P626" s="33">
        <v>1</v>
      </c>
      <c r="Q626" s="33">
        <v>100.00000000000017</v>
      </c>
    </row>
    <row r="627" spans="2:17" x14ac:dyDescent="0.25">
      <c r="B627" s="45" t="s">
        <v>176</v>
      </c>
      <c r="C627" s="45" t="s">
        <v>418</v>
      </c>
      <c r="D627" s="20" t="s">
        <v>605</v>
      </c>
      <c r="E627" s="21">
        <v>40</v>
      </c>
      <c r="F627" s="1" t="s">
        <v>68</v>
      </c>
      <c r="G627" s="25" t="s">
        <v>788</v>
      </c>
      <c r="H627" s="1" t="s">
        <v>187</v>
      </c>
      <c r="I627" s="1" t="s">
        <v>161</v>
      </c>
      <c r="J627" s="60">
        <v>0</v>
      </c>
      <c r="K627" s="24">
        <v>45329.670775462961</v>
      </c>
      <c r="L627" s="23">
        <v>340</v>
      </c>
      <c r="O627" s="54">
        <v>100</v>
      </c>
      <c r="P627" s="33">
        <v>0</v>
      </c>
      <c r="Q627" s="33">
        <v>40</v>
      </c>
    </row>
    <row r="628" spans="2:17" x14ac:dyDescent="0.25">
      <c r="B628" s="45" t="s">
        <v>176</v>
      </c>
      <c r="C628" s="45" t="s">
        <v>387</v>
      </c>
      <c r="D628" s="20" t="s">
        <v>606</v>
      </c>
      <c r="E628" s="21">
        <v>1600</v>
      </c>
      <c r="F628" s="1" t="s">
        <v>68</v>
      </c>
      <c r="G628" s="45" t="s">
        <v>188</v>
      </c>
      <c r="H628" s="1" t="s">
        <v>189</v>
      </c>
      <c r="I628" s="1" t="s">
        <v>122</v>
      </c>
      <c r="J628" s="60">
        <v>0</v>
      </c>
      <c r="K628" s="24">
        <v>45329.67082175926</v>
      </c>
      <c r="L628" s="23">
        <v>19000</v>
      </c>
      <c r="O628" s="54">
        <v>2400</v>
      </c>
      <c r="P628" s="33">
        <v>0</v>
      </c>
      <c r="Q628" s="33">
        <v>1600</v>
      </c>
    </row>
    <row r="629" spans="2:17" x14ac:dyDescent="0.25">
      <c r="B629" s="45" t="s">
        <v>176</v>
      </c>
      <c r="C629" s="45" t="s">
        <v>392</v>
      </c>
      <c r="D629" s="20" t="s">
        <v>607</v>
      </c>
      <c r="E629" s="21">
        <v>1600</v>
      </c>
      <c r="F629" s="1" t="s">
        <v>68</v>
      </c>
      <c r="G629" s="45" t="s">
        <v>163</v>
      </c>
      <c r="H629" s="1" t="s">
        <v>164</v>
      </c>
      <c r="I629" s="1" t="s">
        <v>161</v>
      </c>
      <c r="J629" s="60">
        <v>0</v>
      </c>
      <c r="K629" s="24">
        <v>45329.670868055553</v>
      </c>
      <c r="L629" s="23">
        <v>40620</v>
      </c>
      <c r="O629" s="54">
        <v>440</v>
      </c>
      <c r="P629" s="33">
        <v>3</v>
      </c>
      <c r="Q629" s="33">
        <v>279.99999999999994</v>
      </c>
    </row>
    <row r="630" spans="2:17" x14ac:dyDescent="0.25">
      <c r="B630" s="45" t="s">
        <v>321</v>
      </c>
      <c r="C630" s="45" t="s">
        <v>479</v>
      </c>
      <c r="D630" s="20" t="s">
        <v>608</v>
      </c>
      <c r="E630" s="21">
        <v>250</v>
      </c>
      <c r="F630" s="1" t="s">
        <v>144</v>
      </c>
      <c r="G630" s="45" t="s">
        <v>145</v>
      </c>
      <c r="H630" s="1" t="s">
        <v>146</v>
      </c>
      <c r="I630" s="1" t="s">
        <v>147</v>
      </c>
      <c r="J630" s="60">
        <v>0</v>
      </c>
      <c r="K630" s="24">
        <v>45329.672592592593</v>
      </c>
      <c r="L630" s="23">
        <v>950</v>
      </c>
      <c r="O630" s="54">
        <v>10</v>
      </c>
      <c r="P630" s="33">
        <v>25</v>
      </c>
      <c r="Q630" s="33">
        <v>0</v>
      </c>
    </row>
    <row r="631" spans="2:17" x14ac:dyDescent="0.25">
      <c r="B631" s="45" t="s">
        <v>321</v>
      </c>
      <c r="C631" s="45" t="s">
        <v>479</v>
      </c>
      <c r="D631" s="20" t="s">
        <v>608</v>
      </c>
      <c r="E631" s="21">
        <v>120</v>
      </c>
      <c r="F631" s="1" t="s">
        <v>144</v>
      </c>
      <c r="G631" s="45" t="s">
        <v>148</v>
      </c>
      <c r="H631" s="1" t="s">
        <v>149</v>
      </c>
      <c r="I631" s="1" t="s">
        <v>147</v>
      </c>
      <c r="J631" s="60">
        <v>0</v>
      </c>
      <c r="K631" s="24">
        <v>45329.672638888886</v>
      </c>
      <c r="L631" s="23">
        <v>6132</v>
      </c>
      <c r="O631" s="54">
        <v>10</v>
      </c>
      <c r="P631" s="33">
        <v>12</v>
      </c>
      <c r="Q631" s="33">
        <v>0</v>
      </c>
    </row>
    <row r="632" spans="2:17" x14ac:dyDescent="0.25">
      <c r="B632" s="45" t="s">
        <v>321</v>
      </c>
      <c r="C632" s="45" t="s">
        <v>479</v>
      </c>
      <c r="D632" s="20" t="s">
        <v>608</v>
      </c>
      <c r="E632" s="21">
        <v>130</v>
      </c>
      <c r="F632" s="1" t="s">
        <v>144</v>
      </c>
      <c r="G632" s="45" t="s">
        <v>150</v>
      </c>
      <c r="H632" s="1" t="s">
        <v>151</v>
      </c>
      <c r="I632" s="1" t="s">
        <v>147</v>
      </c>
      <c r="J632" s="60">
        <v>0</v>
      </c>
      <c r="K632" s="24">
        <v>45329.672673611109</v>
      </c>
      <c r="L632" s="23">
        <v>655</v>
      </c>
      <c r="O632" s="54">
        <v>10</v>
      </c>
      <c r="P632" s="33">
        <v>13</v>
      </c>
      <c r="Q632" s="33">
        <v>0</v>
      </c>
    </row>
    <row r="633" spans="2:17" x14ac:dyDescent="0.25">
      <c r="B633" s="45" t="s">
        <v>321</v>
      </c>
      <c r="C633" s="45" t="s">
        <v>454</v>
      </c>
      <c r="D633" s="20" t="s">
        <v>609</v>
      </c>
      <c r="E633" s="21">
        <v>100</v>
      </c>
      <c r="F633" s="1" t="s">
        <v>68</v>
      </c>
      <c r="G633" s="45" t="s">
        <v>168</v>
      </c>
      <c r="H633" s="1" t="s">
        <v>169</v>
      </c>
      <c r="I633" s="1" t="s">
        <v>122</v>
      </c>
      <c r="J633" s="60">
        <v>0</v>
      </c>
      <c r="K633" s="24">
        <v>45330.346666666665</v>
      </c>
      <c r="L633" s="23">
        <v>1086</v>
      </c>
      <c r="O633" s="54">
        <v>200</v>
      </c>
      <c r="P633" s="33">
        <v>0</v>
      </c>
      <c r="Q633" s="33">
        <v>100</v>
      </c>
    </row>
    <row r="634" spans="2:17" x14ac:dyDescent="0.25">
      <c r="B634" s="45" t="s">
        <v>321</v>
      </c>
      <c r="C634" s="45" t="s">
        <v>509</v>
      </c>
      <c r="D634" s="20" t="s">
        <v>610</v>
      </c>
      <c r="E634" s="21">
        <v>12000</v>
      </c>
      <c r="F634" s="1" t="s">
        <v>68</v>
      </c>
      <c r="G634" s="45" t="s">
        <v>120</v>
      </c>
      <c r="H634" s="1" t="s">
        <v>121</v>
      </c>
      <c r="I634" s="1" t="s">
        <v>122</v>
      </c>
      <c r="J634" s="60">
        <v>0</v>
      </c>
      <c r="K634" s="24">
        <v>45330.346701388888</v>
      </c>
      <c r="L634" s="23">
        <v>85800</v>
      </c>
      <c r="O634" s="54">
        <v>2400</v>
      </c>
      <c r="P634" s="33">
        <v>5</v>
      </c>
      <c r="Q634" s="33">
        <v>0</v>
      </c>
    </row>
    <row r="635" spans="2:17" x14ac:dyDescent="0.25">
      <c r="B635" s="45" t="s">
        <v>321</v>
      </c>
      <c r="C635" s="45" t="s">
        <v>568</v>
      </c>
      <c r="D635" s="20" t="s">
        <v>611</v>
      </c>
      <c r="E635" s="21">
        <v>8000</v>
      </c>
      <c r="F635" s="1" t="s">
        <v>68</v>
      </c>
      <c r="G635" s="45" t="s">
        <v>124</v>
      </c>
      <c r="H635" s="1" t="s">
        <v>125</v>
      </c>
      <c r="I635" s="1" t="s">
        <v>122</v>
      </c>
      <c r="J635" s="60">
        <v>0</v>
      </c>
      <c r="K635" s="24">
        <v>45330.346805555557</v>
      </c>
      <c r="L635" s="23">
        <v>14000</v>
      </c>
      <c r="O635" s="54">
        <v>1200</v>
      </c>
      <c r="P635" s="33">
        <v>6</v>
      </c>
      <c r="Q635" s="33">
        <v>800.00000000000034</v>
      </c>
    </row>
    <row r="636" spans="2:17" x14ac:dyDescent="0.25">
      <c r="B636" s="45" t="s">
        <v>321</v>
      </c>
      <c r="C636" s="45" t="s">
        <v>592</v>
      </c>
      <c r="D636" s="20" t="s">
        <v>612</v>
      </c>
      <c r="E636" s="21">
        <v>30</v>
      </c>
      <c r="F636" s="1" t="s">
        <v>68</v>
      </c>
      <c r="G636" s="45" t="s">
        <v>175</v>
      </c>
      <c r="H636" s="1" t="s">
        <v>173</v>
      </c>
      <c r="J636" s="60">
        <v>0</v>
      </c>
      <c r="K636" s="24">
        <v>45330.346828703703</v>
      </c>
      <c r="L636" s="23">
        <v>1178</v>
      </c>
      <c r="O636" s="54">
        <v>12</v>
      </c>
      <c r="P636" s="33">
        <v>2</v>
      </c>
      <c r="Q636" s="33">
        <v>6</v>
      </c>
    </row>
    <row r="637" spans="2:17" x14ac:dyDescent="0.25">
      <c r="B637" s="45" t="s">
        <v>321</v>
      </c>
      <c r="C637" s="45" t="s">
        <v>592</v>
      </c>
      <c r="D637" s="20" t="s">
        <v>612</v>
      </c>
      <c r="E637" s="21">
        <v>150</v>
      </c>
      <c r="F637" s="1" t="s">
        <v>68</v>
      </c>
      <c r="G637" s="45" t="s">
        <v>170</v>
      </c>
      <c r="H637" s="1" t="s">
        <v>171</v>
      </c>
      <c r="I637" s="1" t="s">
        <v>122</v>
      </c>
      <c r="J637" s="60">
        <v>0</v>
      </c>
      <c r="K637" s="24">
        <v>45330.346863425926</v>
      </c>
      <c r="L637" s="23">
        <v>1150</v>
      </c>
      <c r="O637" s="54">
        <v>100</v>
      </c>
      <c r="P637" s="33">
        <v>1</v>
      </c>
      <c r="Q637" s="33">
        <v>50</v>
      </c>
    </row>
    <row r="638" spans="2:17" x14ac:dyDescent="0.25">
      <c r="B638" s="45" t="s">
        <v>321</v>
      </c>
      <c r="C638" s="45" t="s">
        <v>364</v>
      </c>
      <c r="D638" s="20" t="s">
        <v>613</v>
      </c>
      <c r="E638" s="21">
        <v>144</v>
      </c>
      <c r="F638" s="1" t="s">
        <v>152</v>
      </c>
      <c r="G638" s="45" t="s">
        <v>157</v>
      </c>
      <c r="H638" s="1" t="s">
        <v>154</v>
      </c>
      <c r="I638" s="1" t="s">
        <v>155</v>
      </c>
      <c r="J638" s="60">
        <v>0</v>
      </c>
      <c r="K638" s="24">
        <v>45330.346886574072</v>
      </c>
      <c r="L638" s="23">
        <v>1366</v>
      </c>
      <c r="O638" s="54">
        <v>144</v>
      </c>
      <c r="P638" s="33">
        <v>1</v>
      </c>
      <c r="Q638" s="33">
        <v>0</v>
      </c>
    </row>
    <row r="639" spans="2:17" x14ac:dyDescent="0.25">
      <c r="B639" s="45" t="s">
        <v>321</v>
      </c>
      <c r="C639" s="45" t="s">
        <v>265</v>
      </c>
      <c r="D639" s="20" t="s">
        <v>614</v>
      </c>
      <c r="E639" s="21">
        <v>6</v>
      </c>
      <c r="F639" s="1" t="s">
        <v>68</v>
      </c>
      <c r="G639" s="25" t="s">
        <v>786</v>
      </c>
      <c r="H639" s="1" t="s">
        <v>165</v>
      </c>
      <c r="I639" s="1" t="s">
        <v>161</v>
      </c>
      <c r="J639" s="60">
        <v>0</v>
      </c>
      <c r="K639" s="24">
        <v>45330.346921296295</v>
      </c>
      <c r="L639" s="23">
        <v>135</v>
      </c>
      <c r="O639" s="54">
        <v>24</v>
      </c>
      <c r="P639" s="33">
        <v>0</v>
      </c>
      <c r="Q639" s="33">
        <v>6</v>
      </c>
    </row>
    <row r="640" spans="2:17" x14ac:dyDescent="0.25">
      <c r="B640" s="45" t="s">
        <v>321</v>
      </c>
      <c r="C640" s="45" t="s">
        <v>266</v>
      </c>
      <c r="D640" s="20" t="s">
        <v>615</v>
      </c>
      <c r="E640" s="21">
        <v>27</v>
      </c>
      <c r="F640" s="1" t="s">
        <v>68</v>
      </c>
      <c r="G640" s="25" t="s">
        <v>787</v>
      </c>
      <c r="H640" s="1" t="s">
        <v>167</v>
      </c>
      <c r="I640" s="1" t="s">
        <v>161</v>
      </c>
      <c r="J640" s="60">
        <v>0</v>
      </c>
      <c r="K640" s="24">
        <v>45330.347013888888</v>
      </c>
      <c r="L640" s="23">
        <v>102</v>
      </c>
      <c r="O640" s="54">
        <v>4</v>
      </c>
      <c r="P640" s="33">
        <v>6</v>
      </c>
      <c r="Q640" s="33">
        <v>3</v>
      </c>
    </row>
    <row r="641" spans="2:18" x14ac:dyDescent="0.25">
      <c r="B641" s="45" t="s">
        <v>321</v>
      </c>
      <c r="C641" s="45" t="s">
        <v>594</v>
      </c>
      <c r="D641" s="20" t="s">
        <v>616</v>
      </c>
      <c r="E641" s="21">
        <v>240</v>
      </c>
      <c r="F641" s="1" t="s">
        <v>68</v>
      </c>
      <c r="G641" s="45" t="s">
        <v>181</v>
      </c>
      <c r="H641" s="1" t="s">
        <v>182</v>
      </c>
      <c r="I641" s="1" t="s">
        <v>183</v>
      </c>
      <c r="J641" s="60">
        <v>0</v>
      </c>
      <c r="K641" s="24">
        <v>45330.347048611111</v>
      </c>
      <c r="L641" s="23">
        <v>1520</v>
      </c>
      <c r="O641" s="54">
        <v>300</v>
      </c>
      <c r="P641" s="33">
        <v>0</v>
      </c>
      <c r="Q641" s="33">
        <v>240</v>
      </c>
    </row>
    <row r="642" spans="2:18" x14ac:dyDescent="0.25">
      <c r="B642" s="45" t="s">
        <v>321</v>
      </c>
      <c r="C642" s="45" t="s">
        <v>594</v>
      </c>
      <c r="D642" s="20" t="s">
        <v>616</v>
      </c>
      <c r="E642" s="21">
        <v>50</v>
      </c>
      <c r="F642" s="1" t="s">
        <v>68</v>
      </c>
      <c r="G642" s="25" t="s">
        <v>788</v>
      </c>
      <c r="H642" s="1" t="s">
        <v>187</v>
      </c>
      <c r="I642" s="1" t="s">
        <v>161</v>
      </c>
      <c r="J642" s="60">
        <v>0</v>
      </c>
      <c r="K642" s="24">
        <v>45330.347071759257</v>
      </c>
      <c r="L642" s="23">
        <v>290</v>
      </c>
      <c r="O642" s="54">
        <v>100</v>
      </c>
      <c r="P642" s="33">
        <v>0</v>
      </c>
      <c r="Q642" s="33">
        <v>50</v>
      </c>
    </row>
    <row r="643" spans="2:18" x14ac:dyDescent="0.25">
      <c r="B643" s="45" t="s">
        <v>321</v>
      </c>
      <c r="C643" s="45" t="s">
        <v>345</v>
      </c>
      <c r="D643" s="20" t="s">
        <v>617</v>
      </c>
      <c r="E643" s="21">
        <v>2500</v>
      </c>
      <c r="F643" s="1" t="s">
        <v>68</v>
      </c>
      <c r="G643" s="45" t="s">
        <v>163</v>
      </c>
      <c r="H643" s="1" t="s">
        <v>164</v>
      </c>
      <c r="I643" s="1" t="s">
        <v>161</v>
      </c>
      <c r="J643" s="60">
        <v>0</v>
      </c>
      <c r="K643" s="24">
        <v>45330.347094907411</v>
      </c>
      <c r="L643" s="23">
        <v>38120</v>
      </c>
      <c r="O643" s="54">
        <v>440</v>
      </c>
      <c r="P643" s="33">
        <v>5</v>
      </c>
      <c r="Q643" s="33">
        <v>299.99999999999994</v>
      </c>
    </row>
    <row r="644" spans="2:18" x14ac:dyDescent="0.25">
      <c r="B644" s="45" t="s">
        <v>321</v>
      </c>
      <c r="C644" s="45" t="s">
        <v>267</v>
      </c>
      <c r="D644" s="20" t="s">
        <v>618</v>
      </c>
      <c r="E644" s="21">
        <v>2</v>
      </c>
      <c r="F644" s="1" t="s">
        <v>68</v>
      </c>
      <c r="G644" s="25" t="s">
        <v>200</v>
      </c>
      <c r="H644" s="1" t="s">
        <v>201</v>
      </c>
      <c r="J644" s="60">
        <v>0</v>
      </c>
      <c r="K644" s="24">
        <v>45330.347245370373</v>
      </c>
      <c r="L644" s="23">
        <v>6</v>
      </c>
      <c r="O644" s="54">
        <v>36</v>
      </c>
      <c r="P644" s="33">
        <v>0</v>
      </c>
      <c r="Q644" s="33">
        <v>2</v>
      </c>
    </row>
    <row r="645" spans="2:18" x14ac:dyDescent="0.25">
      <c r="B645" s="45" t="s">
        <v>321</v>
      </c>
      <c r="C645" s="45" t="s">
        <v>267</v>
      </c>
      <c r="D645" s="20" t="s">
        <v>618</v>
      </c>
      <c r="E645" s="21">
        <v>120</v>
      </c>
      <c r="F645" s="1" t="s">
        <v>68</v>
      </c>
      <c r="G645" s="25" t="s">
        <v>427</v>
      </c>
      <c r="H645" s="1" t="s">
        <v>166</v>
      </c>
      <c r="I645" s="1" t="s">
        <v>161</v>
      </c>
      <c r="J645" s="60">
        <v>0</v>
      </c>
      <c r="K645" s="24">
        <v>45330.347291666665</v>
      </c>
      <c r="L645" s="23">
        <v>4880</v>
      </c>
      <c r="O645" s="54">
        <v>60</v>
      </c>
      <c r="P645" s="33">
        <v>2</v>
      </c>
      <c r="Q645" s="33">
        <v>0</v>
      </c>
    </row>
    <row r="646" spans="2:18" x14ac:dyDescent="0.25">
      <c r="B646" s="45" t="s">
        <v>321</v>
      </c>
      <c r="C646" s="45" t="s">
        <v>429</v>
      </c>
      <c r="D646" s="20" t="s">
        <v>619</v>
      </c>
      <c r="E646" s="21">
        <v>12000</v>
      </c>
      <c r="F646" s="1" t="s">
        <v>68</v>
      </c>
      <c r="G646" s="45" t="s">
        <v>140</v>
      </c>
      <c r="H646" s="1" t="s">
        <v>141</v>
      </c>
      <c r="I646" s="1" t="s">
        <v>122</v>
      </c>
      <c r="J646" s="60">
        <v>0</v>
      </c>
      <c r="K646" s="24">
        <v>45330.347349537034</v>
      </c>
      <c r="L646" s="23">
        <v>132100</v>
      </c>
      <c r="O646" s="54">
        <v>2400</v>
      </c>
      <c r="P646" s="33">
        <v>5</v>
      </c>
      <c r="Q646" s="33">
        <v>0</v>
      </c>
    </row>
    <row r="647" spans="2:18" x14ac:dyDescent="0.25">
      <c r="B647" s="45" t="s">
        <v>321</v>
      </c>
      <c r="C647" s="45" t="s">
        <v>429</v>
      </c>
      <c r="D647" s="20" t="s">
        <v>619</v>
      </c>
      <c r="E647" s="21">
        <v>120</v>
      </c>
      <c r="F647" s="1" t="s">
        <v>68</v>
      </c>
      <c r="G647" s="25" t="s">
        <v>219</v>
      </c>
      <c r="H647" s="1" t="s">
        <v>220</v>
      </c>
      <c r="I647" s="1" t="s">
        <v>161</v>
      </c>
      <c r="J647" s="60">
        <v>0</v>
      </c>
      <c r="K647" s="24">
        <v>45330.347384259258</v>
      </c>
      <c r="L647" s="23">
        <v>7400</v>
      </c>
      <c r="O647" s="54">
        <v>100</v>
      </c>
      <c r="P647" s="33">
        <v>1</v>
      </c>
      <c r="Q647" s="33">
        <v>19.999999999999996</v>
      </c>
    </row>
    <row r="648" spans="2:18" x14ac:dyDescent="0.25">
      <c r="B648" s="45" t="s">
        <v>321</v>
      </c>
      <c r="C648" s="45" t="s">
        <v>429</v>
      </c>
      <c r="D648" s="20" t="s">
        <v>619</v>
      </c>
      <c r="E648" s="21">
        <v>2</v>
      </c>
      <c r="F648" s="1" t="s">
        <v>68</v>
      </c>
      <c r="G648" s="25" t="s">
        <v>430</v>
      </c>
      <c r="H648" s="1" t="s">
        <v>199</v>
      </c>
      <c r="J648" s="60">
        <v>0</v>
      </c>
      <c r="K648" s="24">
        <v>45330.34747685185</v>
      </c>
      <c r="L648" s="23">
        <v>38</v>
      </c>
      <c r="O648" s="54">
        <v>40</v>
      </c>
      <c r="P648" s="33">
        <v>0</v>
      </c>
      <c r="Q648" s="33">
        <v>2</v>
      </c>
    </row>
    <row r="649" spans="2:18" x14ac:dyDescent="0.25">
      <c r="B649" s="45" t="s">
        <v>321</v>
      </c>
      <c r="C649" s="45" t="s">
        <v>504</v>
      </c>
      <c r="D649" s="20" t="s">
        <v>620</v>
      </c>
      <c r="E649" s="21">
        <v>36</v>
      </c>
      <c r="F649" s="1" t="s">
        <v>68</v>
      </c>
      <c r="G649" s="45" t="s">
        <v>184</v>
      </c>
      <c r="H649" s="1" t="s">
        <v>185</v>
      </c>
      <c r="J649" s="60">
        <v>0</v>
      </c>
      <c r="K649" s="24">
        <v>45330.347546296296</v>
      </c>
      <c r="L649" s="23">
        <v>227</v>
      </c>
      <c r="O649" s="54">
        <v>4</v>
      </c>
      <c r="P649" s="33">
        <v>9</v>
      </c>
      <c r="Q649" s="33">
        <v>0</v>
      </c>
    </row>
    <row r="650" spans="2:18" x14ac:dyDescent="0.25">
      <c r="B650" s="45" t="s">
        <v>176</v>
      </c>
      <c r="C650" s="45" t="s">
        <v>582</v>
      </c>
      <c r="D650" s="20" t="s">
        <v>621</v>
      </c>
      <c r="E650" s="21">
        <v>200</v>
      </c>
      <c r="F650" s="1" t="s">
        <v>68</v>
      </c>
      <c r="G650" s="45" t="s">
        <v>159</v>
      </c>
      <c r="H650" s="1" t="s">
        <v>160</v>
      </c>
      <c r="I650" s="1" t="s">
        <v>161</v>
      </c>
      <c r="J650" s="60">
        <v>0</v>
      </c>
      <c r="K650" s="24">
        <v>45331.510393518518</v>
      </c>
      <c r="L650" s="23">
        <v>96</v>
      </c>
      <c r="O650" s="54">
        <v>24</v>
      </c>
      <c r="P650" s="33">
        <v>8</v>
      </c>
      <c r="Q650" s="33">
        <v>8.0000000000000142</v>
      </c>
    </row>
    <row r="651" spans="2:18" x14ac:dyDescent="0.25">
      <c r="B651" s="45" t="s">
        <v>176</v>
      </c>
      <c r="C651" s="45" t="s">
        <v>387</v>
      </c>
      <c r="D651" s="20" t="s">
        <v>622</v>
      </c>
      <c r="E651" s="21">
        <v>1000</v>
      </c>
      <c r="F651" s="1" t="s">
        <v>68</v>
      </c>
      <c r="G651" s="45" t="s">
        <v>124</v>
      </c>
      <c r="H651" s="1" t="s">
        <v>125</v>
      </c>
      <c r="I651" s="1" t="s">
        <v>122</v>
      </c>
      <c r="J651" s="60">
        <v>0</v>
      </c>
      <c r="K651" s="24">
        <v>45331.51054398148</v>
      </c>
      <c r="L651" s="23">
        <v>13000</v>
      </c>
      <c r="O651" s="54">
        <v>1200</v>
      </c>
      <c r="P651" s="33">
        <v>0</v>
      </c>
      <c r="Q651" s="33">
        <v>1000</v>
      </c>
    </row>
    <row r="652" spans="2:18" x14ac:dyDescent="0.25">
      <c r="B652" s="45" t="s">
        <v>321</v>
      </c>
      <c r="C652" s="45" t="s">
        <v>623</v>
      </c>
      <c r="D652" s="20" t="s">
        <v>624</v>
      </c>
      <c r="E652" s="21">
        <v>1000</v>
      </c>
      <c r="F652" s="1" t="s">
        <v>68</v>
      </c>
      <c r="G652" s="45" t="s">
        <v>177</v>
      </c>
      <c r="H652" s="1" t="s">
        <v>178</v>
      </c>
      <c r="I652" s="1" t="s">
        <v>179</v>
      </c>
      <c r="J652" s="60">
        <v>0</v>
      </c>
      <c r="K652" s="24">
        <v>45331.630798611113</v>
      </c>
      <c r="L652" s="23">
        <v>1112</v>
      </c>
      <c r="O652" s="54">
        <v>36</v>
      </c>
      <c r="P652" s="33">
        <v>27</v>
      </c>
      <c r="Q652" s="33">
        <v>28.000000000000028</v>
      </c>
    </row>
    <row r="653" spans="2:18" x14ac:dyDescent="0.25">
      <c r="B653" s="45" t="s">
        <v>321</v>
      </c>
      <c r="C653" s="45" t="s">
        <v>625</v>
      </c>
      <c r="D653" s="20" t="s">
        <v>66</v>
      </c>
      <c r="E653" s="21">
        <v>5000</v>
      </c>
      <c r="F653" s="1" t="s">
        <v>68</v>
      </c>
      <c r="G653" s="45" t="s">
        <v>163</v>
      </c>
      <c r="H653" s="1" t="s">
        <v>164</v>
      </c>
      <c r="I653" s="1" t="s">
        <v>161</v>
      </c>
      <c r="J653" s="60">
        <v>0</v>
      </c>
      <c r="K653" s="24">
        <v>45332.566516203704</v>
      </c>
      <c r="L653" s="23">
        <v>33120</v>
      </c>
      <c r="O653" s="54">
        <v>440</v>
      </c>
      <c r="P653" s="33">
        <v>11</v>
      </c>
      <c r="Q653" s="33">
        <v>159.99999999999986</v>
      </c>
    </row>
    <row r="654" spans="2:18" x14ac:dyDescent="0.25">
      <c r="B654" s="45" t="s">
        <v>176</v>
      </c>
      <c r="C654" s="46" t="s">
        <v>262</v>
      </c>
      <c r="D654" s="21">
        <v>1387</v>
      </c>
      <c r="E654" s="21">
        <v>340</v>
      </c>
      <c r="F654" s="21" t="s">
        <v>68</v>
      </c>
      <c r="G654" s="46" t="s">
        <v>427</v>
      </c>
      <c r="H654" s="26" t="s">
        <v>166</v>
      </c>
      <c r="I654" s="1" t="s">
        <v>161</v>
      </c>
      <c r="J654" s="60">
        <v>0</v>
      </c>
      <c r="K654" s="24">
        <v>45335.535011574073</v>
      </c>
      <c r="L654" s="23">
        <v>4540</v>
      </c>
      <c r="O654" s="54">
        <v>60</v>
      </c>
      <c r="P654" s="33">
        <v>5</v>
      </c>
      <c r="Q654" s="76">
        <v>40.000000000000014</v>
      </c>
      <c r="R654" s="79"/>
    </row>
    <row r="655" spans="2:18" x14ac:dyDescent="0.25">
      <c r="B655" s="45" t="s">
        <v>176</v>
      </c>
      <c r="C655" s="45" t="s">
        <v>582</v>
      </c>
      <c r="D655" s="20" t="s">
        <v>626</v>
      </c>
      <c r="E655" s="21">
        <v>200</v>
      </c>
      <c r="F655" s="1" t="s">
        <v>68</v>
      </c>
      <c r="G655" s="45" t="s">
        <v>159</v>
      </c>
      <c r="H655" s="26" t="s">
        <v>160</v>
      </c>
      <c r="I655" s="1" t="s">
        <v>161</v>
      </c>
      <c r="J655" s="60">
        <v>0</v>
      </c>
      <c r="K655" s="24">
        <v>45335.535081018519</v>
      </c>
      <c r="L655" s="23">
        <v>7888</v>
      </c>
      <c r="O655" s="54">
        <v>24</v>
      </c>
      <c r="P655" s="33">
        <v>8</v>
      </c>
      <c r="Q655" s="33">
        <v>8.0000000000000142</v>
      </c>
    </row>
    <row r="656" spans="2:18" x14ac:dyDescent="0.25">
      <c r="B656" s="45" t="s">
        <v>176</v>
      </c>
      <c r="C656" s="45" t="s">
        <v>261</v>
      </c>
      <c r="D656" s="20" t="s">
        <v>627</v>
      </c>
      <c r="E656" s="21">
        <v>1000</v>
      </c>
      <c r="F656" s="1" t="s">
        <v>68</v>
      </c>
      <c r="G656" s="45" t="s">
        <v>181</v>
      </c>
      <c r="H656" s="26" t="s">
        <v>182</v>
      </c>
      <c r="I656" s="1" t="s">
        <v>183</v>
      </c>
      <c r="J656" s="60">
        <v>0</v>
      </c>
      <c r="K656" s="24">
        <v>45335.535104166665</v>
      </c>
      <c r="L656" s="23">
        <v>520</v>
      </c>
      <c r="O656" s="54">
        <v>300</v>
      </c>
      <c r="P656" s="33">
        <v>3</v>
      </c>
      <c r="Q656" s="33">
        <v>100.00000000000004</v>
      </c>
    </row>
    <row r="657" spans="2:18" x14ac:dyDescent="0.25">
      <c r="B657" s="45" t="s">
        <v>176</v>
      </c>
      <c r="C657" s="45" t="s">
        <v>261</v>
      </c>
      <c r="D657" s="20" t="s">
        <v>627</v>
      </c>
      <c r="E657" s="21">
        <v>800</v>
      </c>
      <c r="F657" s="1" t="s">
        <v>152</v>
      </c>
      <c r="G657" s="45" t="s">
        <v>156</v>
      </c>
      <c r="H657" s="26" t="s">
        <v>154</v>
      </c>
      <c r="I657" s="1" t="s">
        <v>155</v>
      </c>
      <c r="J657" s="60">
        <v>0</v>
      </c>
      <c r="K657" s="24">
        <v>45335.535115740742</v>
      </c>
      <c r="L657" s="23">
        <v>3568</v>
      </c>
      <c r="O657" s="54">
        <v>144</v>
      </c>
      <c r="P657" s="33">
        <v>5</v>
      </c>
      <c r="Q657" s="33">
        <v>79.999999999999972</v>
      </c>
    </row>
    <row r="658" spans="2:18" x14ac:dyDescent="0.25">
      <c r="B658" s="45" t="s">
        <v>176</v>
      </c>
      <c r="C658" s="45" t="s">
        <v>628</v>
      </c>
      <c r="D658" s="20" t="s">
        <v>629</v>
      </c>
      <c r="E658" s="21">
        <v>1200</v>
      </c>
      <c r="F658" s="1" t="s">
        <v>68</v>
      </c>
      <c r="G658" s="45" t="s">
        <v>120</v>
      </c>
      <c r="H658" s="26" t="s">
        <v>121</v>
      </c>
      <c r="I658" s="1" t="s">
        <v>122</v>
      </c>
      <c r="J658" s="60">
        <v>0</v>
      </c>
      <c r="K658" s="24">
        <v>45335.535127314812</v>
      </c>
      <c r="L658" s="23">
        <v>84600</v>
      </c>
      <c r="O658" s="54">
        <v>2400</v>
      </c>
      <c r="P658" s="33">
        <v>0</v>
      </c>
      <c r="Q658" s="33">
        <v>1200</v>
      </c>
    </row>
    <row r="659" spans="2:18" x14ac:dyDescent="0.25">
      <c r="B659" s="45" t="s">
        <v>176</v>
      </c>
      <c r="C659" s="45" t="s">
        <v>628</v>
      </c>
      <c r="D659" s="20" t="s">
        <v>629</v>
      </c>
      <c r="E659" s="21">
        <v>200</v>
      </c>
      <c r="F659" s="1" t="s">
        <v>144</v>
      </c>
      <c r="G659" s="45" t="s">
        <v>145</v>
      </c>
      <c r="H659" s="26" t="s">
        <v>146</v>
      </c>
      <c r="I659" s="1" t="s">
        <v>147</v>
      </c>
      <c r="J659" s="60">
        <v>0</v>
      </c>
      <c r="K659" s="24">
        <v>45335.535127314812</v>
      </c>
      <c r="L659" s="23">
        <v>750</v>
      </c>
      <c r="O659" s="54">
        <v>10</v>
      </c>
      <c r="P659" s="33">
        <v>20</v>
      </c>
      <c r="Q659" s="33">
        <v>0</v>
      </c>
    </row>
    <row r="660" spans="2:18" x14ac:dyDescent="0.25">
      <c r="B660" s="45" t="s">
        <v>176</v>
      </c>
      <c r="C660" s="45" t="s">
        <v>628</v>
      </c>
      <c r="D660" s="20" t="s">
        <v>629</v>
      </c>
      <c r="E660" s="21">
        <v>20</v>
      </c>
      <c r="F660" s="1" t="s">
        <v>144</v>
      </c>
      <c r="G660" s="45" t="s">
        <v>150</v>
      </c>
      <c r="H660" s="26" t="s">
        <v>151</v>
      </c>
      <c r="I660" s="1" t="s">
        <v>147</v>
      </c>
      <c r="J660" s="60">
        <v>0</v>
      </c>
      <c r="K660" s="24">
        <v>45335.535138888888</v>
      </c>
      <c r="L660" s="23">
        <v>635</v>
      </c>
      <c r="O660" s="54">
        <v>10</v>
      </c>
      <c r="P660" s="33">
        <v>2</v>
      </c>
      <c r="Q660" s="33">
        <v>0</v>
      </c>
    </row>
    <row r="661" spans="2:18" x14ac:dyDescent="0.25">
      <c r="B661" s="45" t="s">
        <v>176</v>
      </c>
      <c r="C661" s="45" t="s">
        <v>628</v>
      </c>
      <c r="D661" s="20" t="s">
        <v>629</v>
      </c>
      <c r="E661" s="21">
        <v>34</v>
      </c>
      <c r="F661" s="1" t="s">
        <v>144</v>
      </c>
      <c r="G661" s="45" t="s">
        <v>148</v>
      </c>
      <c r="H661" s="26" t="s">
        <v>149</v>
      </c>
      <c r="I661" s="1" t="s">
        <v>147</v>
      </c>
      <c r="J661" s="60">
        <v>0</v>
      </c>
      <c r="K661" s="24">
        <v>45335.535150462965</v>
      </c>
      <c r="L661" s="23">
        <v>6098</v>
      </c>
      <c r="O661" s="54">
        <v>10</v>
      </c>
      <c r="P661" s="33">
        <v>3</v>
      </c>
      <c r="Q661" s="33">
        <v>3.9999999999999991</v>
      </c>
    </row>
    <row r="662" spans="2:18" x14ac:dyDescent="0.25">
      <c r="B662" s="45" t="s">
        <v>176</v>
      </c>
      <c r="C662" s="45" t="s">
        <v>387</v>
      </c>
      <c r="D662" s="20" t="s">
        <v>630</v>
      </c>
      <c r="E662" s="21">
        <v>1600</v>
      </c>
      <c r="F662" s="1" t="s">
        <v>68</v>
      </c>
      <c r="G662" s="45" t="s">
        <v>188</v>
      </c>
      <c r="H662" s="26" t="s">
        <v>189</v>
      </c>
      <c r="I662" s="1" t="s">
        <v>122</v>
      </c>
      <c r="J662" s="60">
        <v>0</v>
      </c>
      <c r="K662" s="24">
        <v>45335.535162037035</v>
      </c>
      <c r="L662" s="23">
        <v>17400</v>
      </c>
      <c r="O662" s="54">
        <v>2400</v>
      </c>
      <c r="P662" s="33">
        <v>0</v>
      </c>
      <c r="Q662" s="33">
        <v>1600</v>
      </c>
    </row>
    <row r="663" spans="2:18" x14ac:dyDescent="0.25">
      <c r="B663" s="45" t="s">
        <v>176</v>
      </c>
      <c r="C663" s="45" t="s">
        <v>387</v>
      </c>
      <c r="D663" s="20" t="s">
        <v>630</v>
      </c>
      <c r="E663" s="21">
        <v>1000</v>
      </c>
      <c r="F663" s="1" t="s">
        <v>68</v>
      </c>
      <c r="G663" s="45" t="s">
        <v>124</v>
      </c>
      <c r="H663" s="26" t="s">
        <v>125</v>
      </c>
      <c r="I663" s="1" t="s">
        <v>122</v>
      </c>
      <c r="J663" s="60">
        <v>0</v>
      </c>
      <c r="K663" s="24">
        <v>45335.535173611112</v>
      </c>
      <c r="L663" s="23">
        <v>12000</v>
      </c>
      <c r="O663" s="54">
        <v>1200</v>
      </c>
      <c r="P663" s="33">
        <v>0</v>
      </c>
      <c r="Q663" s="33">
        <v>1000</v>
      </c>
    </row>
    <row r="664" spans="2:18" x14ac:dyDescent="0.25">
      <c r="B664" s="45" t="s">
        <v>176</v>
      </c>
      <c r="C664" s="45" t="s">
        <v>418</v>
      </c>
      <c r="D664" s="20" t="s">
        <v>631</v>
      </c>
      <c r="E664" s="21">
        <v>40</v>
      </c>
      <c r="F664" s="1" t="s">
        <v>68</v>
      </c>
      <c r="G664" s="25" t="s">
        <v>788</v>
      </c>
      <c r="H664" s="26" t="s">
        <v>187</v>
      </c>
      <c r="I664" s="1" t="s">
        <v>161</v>
      </c>
      <c r="J664" s="60">
        <v>0</v>
      </c>
      <c r="K664" s="24">
        <v>45335.535208333335</v>
      </c>
      <c r="L664" s="23">
        <v>250</v>
      </c>
      <c r="O664" s="54">
        <v>100</v>
      </c>
      <c r="P664" s="33">
        <v>0</v>
      </c>
      <c r="Q664" s="33">
        <v>40</v>
      </c>
    </row>
    <row r="665" spans="2:18" x14ac:dyDescent="0.25">
      <c r="B665" s="45" t="s">
        <v>176</v>
      </c>
      <c r="C665" s="45" t="s">
        <v>418</v>
      </c>
      <c r="D665" s="20" t="s">
        <v>631</v>
      </c>
      <c r="E665" s="21">
        <v>10</v>
      </c>
      <c r="F665" s="1" t="s">
        <v>68</v>
      </c>
      <c r="G665" s="25" t="s">
        <v>787</v>
      </c>
      <c r="H665" s="26" t="s">
        <v>167</v>
      </c>
      <c r="I665" s="1" t="s">
        <v>161</v>
      </c>
      <c r="J665" s="60">
        <v>0</v>
      </c>
      <c r="K665" s="24">
        <v>45335.535219907404</v>
      </c>
      <c r="L665" s="23">
        <v>92</v>
      </c>
      <c r="O665" s="54">
        <v>4</v>
      </c>
      <c r="P665" s="33">
        <v>2</v>
      </c>
      <c r="Q665" s="33">
        <v>2</v>
      </c>
    </row>
    <row r="666" spans="2:18" x14ac:dyDescent="0.25">
      <c r="B666" s="45" t="s">
        <v>176</v>
      </c>
      <c r="C666" s="45" t="s">
        <v>632</v>
      </c>
      <c r="D666" s="20" t="s">
        <v>633</v>
      </c>
      <c r="E666" s="21">
        <v>5000</v>
      </c>
      <c r="F666" s="1" t="s">
        <v>68</v>
      </c>
      <c r="G666" s="45" t="s">
        <v>163</v>
      </c>
      <c r="H666" s="26" t="s">
        <v>164</v>
      </c>
      <c r="I666" s="1" t="s">
        <v>161</v>
      </c>
      <c r="J666" s="60">
        <v>0</v>
      </c>
      <c r="K666" s="24">
        <v>45335.535266203704</v>
      </c>
      <c r="L666" s="23">
        <v>28120</v>
      </c>
      <c r="O666" s="54">
        <v>440</v>
      </c>
      <c r="P666" s="33">
        <v>11</v>
      </c>
      <c r="Q666" s="33">
        <v>159.99999999999986</v>
      </c>
      <c r="R666" s="79"/>
    </row>
    <row r="667" spans="2:18" x14ac:dyDescent="0.25">
      <c r="B667" s="45" t="s">
        <v>176</v>
      </c>
      <c r="C667" s="45" t="s">
        <v>392</v>
      </c>
      <c r="D667" s="20" t="s">
        <v>634</v>
      </c>
      <c r="E667" s="21">
        <v>1200</v>
      </c>
      <c r="F667" s="1" t="s">
        <v>68</v>
      </c>
      <c r="G667" s="25" t="s">
        <v>219</v>
      </c>
      <c r="H667" s="26" t="s">
        <v>220</v>
      </c>
      <c r="I667" s="1" t="s">
        <v>161</v>
      </c>
      <c r="J667" s="60">
        <v>0</v>
      </c>
      <c r="K667" s="24">
        <v>45335.53533564815</v>
      </c>
      <c r="L667" s="23">
        <v>6200</v>
      </c>
      <c r="O667" s="54">
        <v>100</v>
      </c>
      <c r="P667" s="33">
        <v>12</v>
      </c>
      <c r="Q667" s="33">
        <v>0</v>
      </c>
    </row>
    <row r="668" spans="2:18" x14ac:dyDescent="0.25">
      <c r="B668" s="45" t="s">
        <v>176</v>
      </c>
      <c r="C668" s="45" t="s">
        <v>422</v>
      </c>
      <c r="D668" s="20" t="s">
        <v>635</v>
      </c>
      <c r="E668" s="21">
        <v>400</v>
      </c>
      <c r="F668" s="1" t="s">
        <v>68</v>
      </c>
      <c r="G668" s="45" t="s">
        <v>136</v>
      </c>
      <c r="H668" s="26" t="s">
        <v>137</v>
      </c>
      <c r="I668" s="1" t="s">
        <v>122</v>
      </c>
      <c r="J668" s="60">
        <v>0</v>
      </c>
      <c r="K668" s="24">
        <v>45335.53534722222</v>
      </c>
      <c r="L668" s="23">
        <v>28400</v>
      </c>
      <c r="O668" s="54">
        <v>2400</v>
      </c>
      <c r="P668" s="33">
        <v>0</v>
      </c>
      <c r="Q668" s="33">
        <v>400</v>
      </c>
    </row>
    <row r="669" spans="2:18" x14ac:dyDescent="0.25">
      <c r="B669" s="45" t="s">
        <v>176</v>
      </c>
      <c r="C669" s="45" t="s">
        <v>537</v>
      </c>
      <c r="D669" s="20" t="s">
        <v>636</v>
      </c>
      <c r="E669" s="21">
        <v>600</v>
      </c>
      <c r="F669" s="1" t="s">
        <v>68</v>
      </c>
      <c r="G669" s="45" t="s">
        <v>134</v>
      </c>
      <c r="H669" s="26" t="s">
        <v>135</v>
      </c>
      <c r="I669" s="1" t="s">
        <v>122</v>
      </c>
      <c r="J669" s="60">
        <v>0</v>
      </c>
      <c r="K669" s="24">
        <v>45335.535358796296</v>
      </c>
      <c r="L669" s="23">
        <v>3800</v>
      </c>
      <c r="O669" s="54">
        <v>3000</v>
      </c>
      <c r="P669" s="33">
        <v>0</v>
      </c>
      <c r="Q669" s="33">
        <v>600</v>
      </c>
    </row>
    <row r="670" spans="2:18" x14ac:dyDescent="0.25">
      <c r="B670" s="45" t="s">
        <v>176</v>
      </c>
      <c r="C670" s="45" t="s">
        <v>395</v>
      </c>
      <c r="D670" s="20" t="s">
        <v>637</v>
      </c>
      <c r="E670" s="21">
        <v>5</v>
      </c>
      <c r="F670" s="1" t="s">
        <v>152</v>
      </c>
      <c r="G670" s="45" t="s">
        <v>235</v>
      </c>
      <c r="H670" s="26" t="s">
        <v>226</v>
      </c>
      <c r="I670" s="1" t="s">
        <v>227</v>
      </c>
      <c r="J670" s="60">
        <v>0</v>
      </c>
      <c r="K670" s="24">
        <v>45335.535370370373</v>
      </c>
      <c r="L670" s="23">
        <v>40</v>
      </c>
      <c r="O670" s="54">
        <v>1</v>
      </c>
      <c r="P670" s="33">
        <v>5</v>
      </c>
      <c r="Q670" s="33">
        <v>0</v>
      </c>
    </row>
    <row r="671" spans="2:18" x14ac:dyDescent="0.25">
      <c r="B671" s="45" t="s">
        <v>176</v>
      </c>
      <c r="C671" s="45" t="s">
        <v>395</v>
      </c>
      <c r="D671" s="20" t="s">
        <v>637</v>
      </c>
      <c r="E671" s="21">
        <v>5</v>
      </c>
      <c r="F671" s="1" t="s">
        <v>152</v>
      </c>
      <c r="G671" s="45" t="s">
        <v>236</v>
      </c>
      <c r="H671" s="26" t="s">
        <v>226</v>
      </c>
      <c r="I671" s="1" t="s">
        <v>227</v>
      </c>
      <c r="J671" s="60">
        <v>0</v>
      </c>
      <c r="K671" s="24">
        <v>45335.535393518519</v>
      </c>
      <c r="L671" s="23">
        <v>32</v>
      </c>
      <c r="O671" s="54">
        <v>1</v>
      </c>
      <c r="P671" s="33">
        <v>5</v>
      </c>
      <c r="Q671" s="33">
        <v>0</v>
      </c>
    </row>
    <row r="672" spans="2:18" x14ac:dyDescent="0.25">
      <c r="B672" s="45" t="s">
        <v>798</v>
      </c>
      <c r="C672" s="45" t="s">
        <v>66</v>
      </c>
      <c r="D672" s="20" t="s">
        <v>66</v>
      </c>
      <c r="E672" s="21">
        <v>7992</v>
      </c>
      <c r="F672" s="1" t="s">
        <v>68</v>
      </c>
      <c r="G672" s="45" t="s">
        <v>159</v>
      </c>
      <c r="H672" s="1" t="s">
        <v>160</v>
      </c>
      <c r="I672" s="1" t="s">
        <v>161</v>
      </c>
      <c r="J672" s="33">
        <v>1</v>
      </c>
      <c r="K672" s="24">
        <v>45335.534930555557</v>
      </c>
      <c r="L672" s="23">
        <v>8088</v>
      </c>
      <c r="M672" s="22">
        <v>45506</v>
      </c>
      <c r="O672" s="54">
        <v>24</v>
      </c>
      <c r="P672" s="33">
        <v>333</v>
      </c>
      <c r="Q672" s="33">
        <v>0</v>
      </c>
    </row>
    <row r="673" spans="2:17" x14ac:dyDescent="0.25">
      <c r="B673" s="45" t="s">
        <v>798</v>
      </c>
      <c r="C673" s="45" t="s">
        <v>66</v>
      </c>
      <c r="D673" s="20" t="s">
        <v>66</v>
      </c>
      <c r="E673" s="21">
        <v>152</v>
      </c>
      <c r="F673" s="1" t="s">
        <v>68</v>
      </c>
      <c r="G673" s="25" t="s">
        <v>787</v>
      </c>
      <c r="H673" s="1" t="s">
        <v>167</v>
      </c>
      <c r="I673" s="1" t="s">
        <v>161</v>
      </c>
      <c r="J673" s="33">
        <v>1</v>
      </c>
      <c r="K673" s="24">
        <v>45335.53597222222</v>
      </c>
      <c r="L673" s="23">
        <v>244</v>
      </c>
      <c r="M673" s="22">
        <v>45506</v>
      </c>
      <c r="O673" s="54">
        <v>4</v>
      </c>
      <c r="P673" s="33">
        <v>38</v>
      </c>
      <c r="Q673" s="33">
        <v>0</v>
      </c>
    </row>
    <row r="674" spans="2:17" x14ac:dyDescent="0.25">
      <c r="B674" s="45" t="s">
        <v>799</v>
      </c>
      <c r="C674" s="45" t="s">
        <v>66</v>
      </c>
      <c r="D674" s="20" t="s">
        <v>66</v>
      </c>
      <c r="E674" s="21">
        <v>50</v>
      </c>
      <c r="F674" s="1" t="s">
        <v>68</v>
      </c>
      <c r="G674" s="25" t="s">
        <v>430</v>
      </c>
      <c r="H674" s="1" t="s">
        <v>199</v>
      </c>
      <c r="J674" s="33">
        <v>1</v>
      </c>
      <c r="K674" s="24">
        <v>45335.536909722221</v>
      </c>
      <c r="L674" s="23">
        <v>88</v>
      </c>
      <c r="M674" s="22">
        <v>45506</v>
      </c>
      <c r="O674" s="54">
        <v>40</v>
      </c>
      <c r="P674" s="33">
        <v>1</v>
      </c>
      <c r="Q674" s="33">
        <v>10</v>
      </c>
    </row>
    <row r="675" spans="2:17" x14ac:dyDescent="0.25">
      <c r="B675" s="45" t="s">
        <v>800</v>
      </c>
      <c r="C675" s="45" t="s">
        <v>66</v>
      </c>
      <c r="D675" s="20" t="s">
        <v>66</v>
      </c>
      <c r="E675" s="21">
        <v>2304</v>
      </c>
      <c r="F675" s="1" t="s">
        <v>68</v>
      </c>
      <c r="G675" s="45" t="s">
        <v>172</v>
      </c>
      <c r="H675" s="1" t="s">
        <v>173</v>
      </c>
      <c r="J675" s="33">
        <v>1</v>
      </c>
      <c r="K675" s="24">
        <v>45335.537511574075</v>
      </c>
      <c r="L675" s="23">
        <v>2352</v>
      </c>
      <c r="M675" s="22">
        <v>45506</v>
      </c>
      <c r="O675" s="54">
        <v>24</v>
      </c>
      <c r="P675" s="33">
        <v>96</v>
      </c>
      <c r="Q675" s="33">
        <v>0</v>
      </c>
    </row>
    <row r="676" spans="2:17" x14ac:dyDescent="0.25">
      <c r="B676" s="45" t="s">
        <v>800</v>
      </c>
      <c r="C676" s="45" t="s">
        <v>66</v>
      </c>
      <c r="D676" s="20" t="s">
        <v>66</v>
      </c>
      <c r="E676" s="21">
        <v>768</v>
      </c>
      <c r="F676" s="1" t="s">
        <v>68</v>
      </c>
      <c r="G676" s="45" t="s">
        <v>126</v>
      </c>
      <c r="H676" s="1" t="s">
        <v>180</v>
      </c>
      <c r="J676" s="33">
        <v>1</v>
      </c>
      <c r="K676" s="24">
        <v>45335.537835648145</v>
      </c>
      <c r="L676" s="23">
        <v>880</v>
      </c>
      <c r="M676" s="22">
        <v>45506</v>
      </c>
      <c r="O676" s="54">
        <v>96</v>
      </c>
      <c r="P676" s="33">
        <v>8</v>
      </c>
      <c r="Q676" s="33">
        <v>0</v>
      </c>
    </row>
    <row r="677" spans="2:17" x14ac:dyDescent="0.25">
      <c r="B677" s="45" t="s">
        <v>638</v>
      </c>
      <c r="C677" s="45" t="s">
        <v>66</v>
      </c>
      <c r="D677" s="20" t="s">
        <v>66</v>
      </c>
      <c r="E677" s="21">
        <v>1440</v>
      </c>
      <c r="F677" s="1" t="s">
        <v>152</v>
      </c>
      <c r="G677" s="45" t="s">
        <v>156</v>
      </c>
      <c r="H677" s="1" t="s">
        <v>154</v>
      </c>
      <c r="I677" s="1" t="s">
        <v>155</v>
      </c>
      <c r="J677" s="33">
        <v>1</v>
      </c>
      <c r="K677" s="24">
        <v>45335.553124999999</v>
      </c>
      <c r="L677" s="23">
        <v>5008</v>
      </c>
      <c r="M677" s="22">
        <v>45506</v>
      </c>
      <c r="O677" s="54">
        <v>144</v>
      </c>
      <c r="P677" s="33">
        <v>10</v>
      </c>
      <c r="Q677" s="33">
        <v>0</v>
      </c>
    </row>
    <row r="678" spans="2:17" x14ac:dyDescent="0.25">
      <c r="B678" s="45" t="s">
        <v>638</v>
      </c>
      <c r="C678" s="45" t="s">
        <v>66</v>
      </c>
      <c r="D678" s="20" t="s">
        <v>66</v>
      </c>
      <c r="E678" s="21">
        <v>1008</v>
      </c>
      <c r="F678" s="1" t="s">
        <v>152</v>
      </c>
      <c r="G678" s="45" t="s">
        <v>153</v>
      </c>
      <c r="H678" s="1" t="s">
        <v>154</v>
      </c>
      <c r="I678" s="1" t="s">
        <v>155</v>
      </c>
      <c r="J678" s="33">
        <v>1</v>
      </c>
      <c r="K678" s="24">
        <v>45335.553796296299</v>
      </c>
      <c r="L678" s="23">
        <v>1228</v>
      </c>
      <c r="M678" s="22">
        <v>45506</v>
      </c>
      <c r="O678" s="54">
        <v>144</v>
      </c>
      <c r="P678" s="33">
        <v>7</v>
      </c>
      <c r="Q678" s="33">
        <v>0</v>
      </c>
    </row>
    <row r="679" spans="2:17" x14ac:dyDescent="0.25">
      <c r="B679" s="45" t="s">
        <v>638</v>
      </c>
      <c r="C679" s="45" t="s">
        <v>66</v>
      </c>
      <c r="D679" s="20" t="s">
        <v>66</v>
      </c>
      <c r="E679" s="21">
        <v>2880</v>
      </c>
      <c r="F679" s="1" t="s">
        <v>152</v>
      </c>
      <c r="G679" s="45" t="s">
        <v>157</v>
      </c>
      <c r="H679" s="1" t="s">
        <v>154</v>
      </c>
      <c r="I679" s="1" t="s">
        <v>155</v>
      </c>
      <c r="J679" s="33">
        <v>1</v>
      </c>
      <c r="K679" s="24">
        <v>45335.554837962962</v>
      </c>
      <c r="L679" s="23">
        <v>4246</v>
      </c>
      <c r="M679" s="22">
        <v>45506</v>
      </c>
      <c r="O679" s="54">
        <v>144</v>
      </c>
      <c r="P679" s="33">
        <v>20</v>
      </c>
      <c r="Q679" s="33">
        <v>0</v>
      </c>
    </row>
    <row r="680" spans="2:17" x14ac:dyDescent="0.25">
      <c r="B680" s="45" t="s">
        <v>638</v>
      </c>
      <c r="C680" s="45" t="s">
        <v>66</v>
      </c>
      <c r="D680" s="20" t="s">
        <v>736</v>
      </c>
      <c r="E680" s="21">
        <v>1008</v>
      </c>
      <c r="F680" s="1" t="s">
        <v>152</v>
      </c>
      <c r="G680" s="45" t="s">
        <v>158</v>
      </c>
      <c r="H680" s="1" t="s">
        <v>154</v>
      </c>
      <c r="I680" s="1" t="s">
        <v>155</v>
      </c>
      <c r="J680" s="33">
        <v>1</v>
      </c>
      <c r="K680" s="24">
        <v>45335.555208333331</v>
      </c>
      <c r="L680" s="23">
        <v>1868</v>
      </c>
      <c r="M680" s="22">
        <v>45506</v>
      </c>
      <c r="O680" s="54">
        <v>144</v>
      </c>
      <c r="P680" s="33">
        <v>7</v>
      </c>
      <c r="Q680" s="33">
        <v>0</v>
      </c>
    </row>
    <row r="681" spans="2:17" x14ac:dyDescent="0.25">
      <c r="B681" s="45" t="s">
        <v>639</v>
      </c>
      <c r="C681" s="45" t="s">
        <v>66</v>
      </c>
      <c r="D681" s="20" t="s">
        <v>66</v>
      </c>
      <c r="E681" s="21">
        <v>1000</v>
      </c>
      <c r="F681" s="1" t="s">
        <v>68</v>
      </c>
      <c r="G681" s="45" t="s">
        <v>170</v>
      </c>
      <c r="H681" s="1" t="s">
        <v>171</v>
      </c>
      <c r="I681" s="1" t="s">
        <v>122</v>
      </c>
      <c r="J681" s="33">
        <v>1</v>
      </c>
      <c r="K681" s="24">
        <v>45335.672453703701</v>
      </c>
      <c r="L681" s="23">
        <v>2150</v>
      </c>
      <c r="M681" s="22">
        <v>45330</v>
      </c>
      <c r="O681" s="54">
        <v>100</v>
      </c>
      <c r="P681" s="33">
        <v>10</v>
      </c>
      <c r="Q681" s="33">
        <v>0</v>
      </c>
    </row>
    <row r="682" spans="2:17" x14ac:dyDescent="0.25">
      <c r="B682" s="45" t="s">
        <v>321</v>
      </c>
      <c r="C682" s="45" t="s">
        <v>454</v>
      </c>
      <c r="D682" s="20" t="s">
        <v>640</v>
      </c>
      <c r="E682" s="21">
        <v>100</v>
      </c>
      <c r="F682" s="1" t="s">
        <v>68</v>
      </c>
      <c r="G682" s="45" t="s">
        <v>168</v>
      </c>
      <c r="H682" s="1" t="s">
        <v>169</v>
      </c>
      <c r="I682" s="1" t="s">
        <v>122</v>
      </c>
      <c r="J682" s="60">
        <v>0</v>
      </c>
      <c r="K682" s="24">
        <v>45336.484247685185</v>
      </c>
      <c r="L682" s="23">
        <v>986</v>
      </c>
      <c r="O682" s="54">
        <v>200</v>
      </c>
      <c r="P682" s="33">
        <v>0</v>
      </c>
      <c r="Q682" s="33">
        <v>100</v>
      </c>
    </row>
    <row r="683" spans="2:17" x14ac:dyDescent="0.25">
      <c r="B683" s="45" t="s">
        <v>321</v>
      </c>
      <c r="C683" s="45" t="s">
        <v>509</v>
      </c>
      <c r="D683" s="20" t="s">
        <v>641</v>
      </c>
      <c r="E683" s="21">
        <v>12000</v>
      </c>
      <c r="F683" s="1" t="s">
        <v>68</v>
      </c>
      <c r="G683" s="45" t="s">
        <v>120</v>
      </c>
      <c r="H683" s="1" t="s">
        <v>121</v>
      </c>
      <c r="I683" s="1" t="s">
        <v>122</v>
      </c>
      <c r="J683" s="60">
        <v>0</v>
      </c>
      <c r="K683" s="24">
        <v>45336.484293981484</v>
      </c>
      <c r="L683" s="23">
        <v>72600</v>
      </c>
      <c r="O683" s="54">
        <v>2400</v>
      </c>
      <c r="P683" s="33">
        <v>5</v>
      </c>
      <c r="Q683" s="33">
        <v>0</v>
      </c>
    </row>
    <row r="684" spans="2:17" x14ac:dyDescent="0.25">
      <c r="B684" s="45" t="s">
        <v>321</v>
      </c>
      <c r="C684" s="45" t="s">
        <v>568</v>
      </c>
      <c r="D684" s="20" t="s">
        <v>642</v>
      </c>
      <c r="E684" s="21">
        <v>6000</v>
      </c>
      <c r="F684" s="1" t="s">
        <v>68</v>
      </c>
      <c r="G684" s="45" t="s">
        <v>124</v>
      </c>
      <c r="H684" s="1" t="s">
        <v>125</v>
      </c>
      <c r="I684" s="1" t="s">
        <v>122</v>
      </c>
      <c r="J684" s="60">
        <v>0</v>
      </c>
      <c r="K684" s="24">
        <v>45336.484317129631</v>
      </c>
      <c r="L684" s="23">
        <v>6000</v>
      </c>
      <c r="O684" s="54">
        <v>1200</v>
      </c>
      <c r="P684" s="33">
        <v>5</v>
      </c>
      <c r="Q684" s="33">
        <v>0</v>
      </c>
    </row>
    <row r="685" spans="2:17" x14ac:dyDescent="0.25">
      <c r="B685" s="45" t="s">
        <v>321</v>
      </c>
      <c r="C685" s="45" t="s">
        <v>592</v>
      </c>
      <c r="D685" s="20" t="s">
        <v>643</v>
      </c>
      <c r="E685" s="21">
        <v>10</v>
      </c>
      <c r="F685" s="1" t="s">
        <v>68</v>
      </c>
      <c r="G685" s="45" t="s">
        <v>175</v>
      </c>
      <c r="H685" s="1" t="s">
        <v>173</v>
      </c>
      <c r="J685" s="60">
        <v>0</v>
      </c>
      <c r="K685" s="24">
        <v>45336.484340277777</v>
      </c>
      <c r="L685" s="23">
        <v>1168</v>
      </c>
      <c r="O685" s="54">
        <v>12</v>
      </c>
      <c r="P685" s="33">
        <v>0</v>
      </c>
      <c r="Q685" s="33">
        <v>10</v>
      </c>
    </row>
    <row r="686" spans="2:17" x14ac:dyDescent="0.25">
      <c r="B686" s="45" t="s">
        <v>321</v>
      </c>
      <c r="C686" s="45" t="s">
        <v>592</v>
      </c>
      <c r="D686" s="20" t="s">
        <v>643</v>
      </c>
      <c r="E686" s="21">
        <v>150</v>
      </c>
      <c r="F686" s="1" t="s">
        <v>68</v>
      </c>
      <c r="G686" s="45" t="s">
        <v>170</v>
      </c>
      <c r="H686" s="1" t="s">
        <v>171</v>
      </c>
      <c r="I686" s="1" t="s">
        <v>122</v>
      </c>
      <c r="J686" s="60">
        <v>0</v>
      </c>
      <c r="K686" s="24">
        <v>45336.484363425923</v>
      </c>
      <c r="L686" s="23">
        <v>2000</v>
      </c>
      <c r="O686" s="54">
        <v>100</v>
      </c>
      <c r="P686" s="33">
        <v>1</v>
      </c>
      <c r="Q686" s="33">
        <v>50</v>
      </c>
    </row>
    <row r="687" spans="2:17" x14ac:dyDescent="0.25">
      <c r="B687" s="45" t="s">
        <v>321</v>
      </c>
      <c r="C687" s="45" t="s">
        <v>364</v>
      </c>
      <c r="D687" s="20" t="s">
        <v>644</v>
      </c>
      <c r="E687" s="21">
        <v>144</v>
      </c>
      <c r="F687" s="1" t="s">
        <v>152</v>
      </c>
      <c r="G687" s="45" t="s">
        <v>157</v>
      </c>
      <c r="H687" s="1" t="s">
        <v>154</v>
      </c>
      <c r="I687" s="1" t="s">
        <v>155</v>
      </c>
      <c r="J687" s="60">
        <v>0</v>
      </c>
      <c r="K687" s="24">
        <v>45336.484386574077</v>
      </c>
      <c r="L687" s="23">
        <v>4102</v>
      </c>
      <c r="O687" s="54">
        <v>144</v>
      </c>
      <c r="P687" s="33">
        <v>1</v>
      </c>
      <c r="Q687" s="33">
        <v>0</v>
      </c>
    </row>
    <row r="688" spans="2:17" x14ac:dyDescent="0.25">
      <c r="B688" s="45" t="s">
        <v>321</v>
      </c>
      <c r="C688" s="45" t="s">
        <v>479</v>
      </c>
      <c r="D688" s="20" t="s">
        <v>645</v>
      </c>
      <c r="E688" s="21">
        <v>150</v>
      </c>
      <c r="F688" s="1" t="s">
        <v>144</v>
      </c>
      <c r="G688" s="45" t="s">
        <v>150</v>
      </c>
      <c r="H688" s="1" t="s">
        <v>151</v>
      </c>
      <c r="I688" s="1" t="s">
        <v>147</v>
      </c>
      <c r="J688" s="60">
        <v>0</v>
      </c>
      <c r="K688" s="24">
        <v>45336.484409722223</v>
      </c>
      <c r="L688" s="23">
        <v>485</v>
      </c>
      <c r="O688" s="54">
        <v>10</v>
      </c>
      <c r="P688" s="33">
        <v>15</v>
      </c>
      <c r="Q688" s="33">
        <v>0</v>
      </c>
    </row>
    <row r="689" spans="2:18" x14ac:dyDescent="0.25">
      <c r="B689" s="45" t="s">
        <v>321</v>
      </c>
      <c r="C689" s="45" t="s">
        <v>479</v>
      </c>
      <c r="D689" s="20" t="s">
        <v>645</v>
      </c>
      <c r="E689" s="21">
        <v>70</v>
      </c>
      <c r="F689" s="1" t="s">
        <v>144</v>
      </c>
      <c r="G689" s="45" t="s">
        <v>145</v>
      </c>
      <c r="H689" s="1" t="s">
        <v>146</v>
      </c>
      <c r="I689" s="1" t="s">
        <v>147</v>
      </c>
      <c r="J689" s="60">
        <v>0</v>
      </c>
      <c r="K689" s="24">
        <v>45336.484432870369</v>
      </c>
      <c r="L689" s="23">
        <v>680</v>
      </c>
      <c r="O689" s="54">
        <v>10</v>
      </c>
      <c r="P689" s="33">
        <v>7</v>
      </c>
      <c r="Q689" s="33">
        <v>0</v>
      </c>
    </row>
    <row r="690" spans="2:18" x14ac:dyDescent="0.25">
      <c r="B690" s="45" t="s">
        <v>321</v>
      </c>
      <c r="C690" s="45" t="s">
        <v>479</v>
      </c>
      <c r="D690" s="20" t="s">
        <v>645</v>
      </c>
      <c r="E690" s="21">
        <v>80</v>
      </c>
      <c r="F690" s="1" t="s">
        <v>144</v>
      </c>
      <c r="G690" s="45" t="s">
        <v>148</v>
      </c>
      <c r="H690" s="1" t="s">
        <v>149</v>
      </c>
      <c r="I690" s="1" t="s">
        <v>147</v>
      </c>
      <c r="J690" s="60">
        <v>0</v>
      </c>
      <c r="K690" s="24">
        <v>45336.484456018516</v>
      </c>
      <c r="L690" s="23">
        <v>6018</v>
      </c>
      <c r="O690" s="54">
        <v>10</v>
      </c>
      <c r="P690" s="33">
        <v>8</v>
      </c>
      <c r="Q690" s="33">
        <v>0</v>
      </c>
    </row>
    <row r="691" spans="2:18" x14ac:dyDescent="0.25">
      <c r="B691" s="45" t="s">
        <v>321</v>
      </c>
      <c r="C691" s="45" t="s">
        <v>265</v>
      </c>
      <c r="D691" s="20" t="s">
        <v>646</v>
      </c>
      <c r="E691" s="21">
        <v>6</v>
      </c>
      <c r="F691" s="1" t="s">
        <v>68</v>
      </c>
      <c r="G691" s="25" t="s">
        <v>786</v>
      </c>
      <c r="H691" s="1" t="s">
        <v>165</v>
      </c>
      <c r="I691" s="1" t="s">
        <v>161</v>
      </c>
      <c r="J691" s="60">
        <v>0</v>
      </c>
      <c r="K691" s="24">
        <v>45336.484479166669</v>
      </c>
      <c r="L691" s="23">
        <v>129</v>
      </c>
      <c r="O691" s="54">
        <v>24</v>
      </c>
      <c r="P691" s="33">
        <v>0</v>
      </c>
      <c r="Q691" s="33">
        <v>6</v>
      </c>
    </row>
    <row r="692" spans="2:18" x14ac:dyDescent="0.25">
      <c r="B692" s="45" t="s">
        <v>321</v>
      </c>
      <c r="C692" s="45" t="s">
        <v>594</v>
      </c>
      <c r="D692" s="20" t="s">
        <v>647</v>
      </c>
      <c r="E692" s="21">
        <v>240</v>
      </c>
      <c r="F692" s="1" t="s">
        <v>68</v>
      </c>
      <c r="G692" s="45" t="s">
        <v>181</v>
      </c>
      <c r="H692" s="1" t="s">
        <v>182</v>
      </c>
      <c r="I692" s="1" t="s">
        <v>183</v>
      </c>
      <c r="J692" s="60">
        <v>0</v>
      </c>
      <c r="K692" s="24">
        <v>45336.484513888892</v>
      </c>
      <c r="L692" s="23">
        <v>280</v>
      </c>
      <c r="O692" s="54">
        <v>300</v>
      </c>
      <c r="P692" s="33">
        <v>0</v>
      </c>
      <c r="Q692" s="33">
        <v>240</v>
      </c>
    </row>
    <row r="693" spans="2:18" x14ac:dyDescent="0.25">
      <c r="B693" s="45" t="s">
        <v>321</v>
      </c>
      <c r="C693" s="45" t="s">
        <v>594</v>
      </c>
      <c r="D693" s="20" t="s">
        <v>647</v>
      </c>
      <c r="E693" s="21">
        <v>50</v>
      </c>
      <c r="F693" s="1" t="s">
        <v>68</v>
      </c>
      <c r="G693" s="25" t="s">
        <v>788</v>
      </c>
      <c r="H693" s="1" t="s">
        <v>187</v>
      </c>
      <c r="I693" s="1" t="s">
        <v>161</v>
      </c>
      <c r="J693" s="60">
        <v>0</v>
      </c>
      <c r="K693" s="24">
        <v>45336.484537037039</v>
      </c>
      <c r="L693" s="23">
        <v>200</v>
      </c>
      <c r="O693" s="54">
        <v>100</v>
      </c>
      <c r="P693" s="33">
        <v>0</v>
      </c>
      <c r="Q693" s="33">
        <v>50</v>
      </c>
    </row>
    <row r="694" spans="2:18" x14ac:dyDescent="0.25">
      <c r="B694" s="45" t="s">
        <v>321</v>
      </c>
      <c r="C694" s="45" t="s">
        <v>594</v>
      </c>
      <c r="D694" s="20" t="s">
        <v>647</v>
      </c>
      <c r="E694" s="21">
        <v>10</v>
      </c>
      <c r="F694" s="1" t="s">
        <v>68</v>
      </c>
      <c r="G694" s="25" t="s">
        <v>787</v>
      </c>
      <c r="H694" s="1" t="s">
        <v>167</v>
      </c>
      <c r="I694" s="1" t="s">
        <v>161</v>
      </c>
      <c r="J694" s="60">
        <v>0</v>
      </c>
      <c r="K694" s="24">
        <v>45336.484560185185</v>
      </c>
      <c r="L694" s="23">
        <v>234</v>
      </c>
      <c r="O694" s="54">
        <v>4</v>
      </c>
      <c r="P694" s="33">
        <v>2</v>
      </c>
      <c r="Q694" s="33">
        <v>2</v>
      </c>
    </row>
    <row r="695" spans="2:18" x14ac:dyDescent="0.25">
      <c r="B695" s="45" t="s">
        <v>321</v>
      </c>
      <c r="C695" s="45" t="s">
        <v>345</v>
      </c>
      <c r="D695" s="20" t="s">
        <v>648</v>
      </c>
      <c r="E695" s="21">
        <v>2500</v>
      </c>
      <c r="F695" s="1" t="s">
        <v>68</v>
      </c>
      <c r="G695" s="45" t="s">
        <v>163</v>
      </c>
      <c r="H695" s="1" t="s">
        <v>164</v>
      </c>
      <c r="I695" s="1" t="s">
        <v>161</v>
      </c>
      <c r="J695" s="60">
        <v>0</v>
      </c>
      <c r="K695" s="24">
        <v>45336.484618055554</v>
      </c>
      <c r="L695" s="23">
        <v>25620</v>
      </c>
      <c r="O695" s="54">
        <v>440</v>
      </c>
      <c r="P695" s="33">
        <v>5</v>
      </c>
      <c r="Q695" s="33">
        <v>299.99999999999994</v>
      </c>
      <c r="R695" s="79"/>
    </row>
    <row r="696" spans="2:18" x14ac:dyDescent="0.25">
      <c r="B696" s="45" t="s">
        <v>321</v>
      </c>
      <c r="C696" s="45" t="s">
        <v>267</v>
      </c>
      <c r="D696" s="20" t="s">
        <v>649</v>
      </c>
      <c r="E696" s="21">
        <v>2</v>
      </c>
      <c r="F696" s="1" t="s">
        <v>68</v>
      </c>
      <c r="G696" s="45" t="s">
        <v>200</v>
      </c>
      <c r="H696" s="1" t="s">
        <v>201</v>
      </c>
      <c r="J696" s="60">
        <v>0</v>
      </c>
      <c r="K696" s="24">
        <v>45336.4846875</v>
      </c>
      <c r="L696" s="23">
        <v>4</v>
      </c>
      <c r="O696" s="54">
        <v>36</v>
      </c>
      <c r="P696" s="33">
        <v>0</v>
      </c>
      <c r="Q696" s="33">
        <v>2</v>
      </c>
    </row>
    <row r="697" spans="2:18" x14ac:dyDescent="0.25">
      <c r="B697" s="45" t="s">
        <v>321</v>
      </c>
      <c r="C697" s="45" t="s">
        <v>267</v>
      </c>
      <c r="D697" s="20" t="s">
        <v>649</v>
      </c>
      <c r="E697" s="21">
        <v>120</v>
      </c>
      <c r="F697" s="1" t="s">
        <v>68</v>
      </c>
      <c r="G697" s="25" t="s">
        <v>427</v>
      </c>
      <c r="H697" s="1" t="s">
        <v>166</v>
      </c>
      <c r="I697" s="1" t="s">
        <v>161</v>
      </c>
      <c r="J697" s="60">
        <v>0</v>
      </c>
      <c r="K697" s="24">
        <v>45336.484722222223</v>
      </c>
      <c r="L697" s="23">
        <v>4420</v>
      </c>
      <c r="O697" s="54">
        <v>60</v>
      </c>
      <c r="P697" s="33">
        <v>2</v>
      </c>
      <c r="Q697" s="33">
        <v>0</v>
      </c>
    </row>
    <row r="698" spans="2:18" x14ac:dyDescent="0.25">
      <c r="B698" s="45" t="s">
        <v>321</v>
      </c>
      <c r="C698" s="45" t="s">
        <v>429</v>
      </c>
      <c r="D698" s="20" t="s">
        <v>650</v>
      </c>
      <c r="E698" s="21">
        <v>12000</v>
      </c>
      <c r="F698" s="1" t="s">
        <v>68</v>
      </c>
      <c r="G698" s="45" t="s">
        <v>140</v>
      </c>
      <c r="H698" s="1" t="s">
        <v>141</v>
      </c>
      <c r="I698" s="1" t="s">
        <v>122</v>
      </c>
      <c r="J698" s="60">
        <v>0</v>
      </c>
      <c r="K698" s="24">
        <v>45336.484756944446</v>
      </c>
      <c r="L698" s="23">
        <v>120100</v>
      </c>
      <c r="O698" s="54">
        <v>2400</v>
      </c>
      <c r="P698" s="33">
        <v>5</v>
      </c>
      <c r="Q698" s="33">
        <v>0</v>
      </c>
    </row>
    <row r="699" spans="2:18" x14ac:dyDescent="0.25">
      <c r="B699" s="45" t="s">
        <v>321</v>
      </c>
      <c r="C699" s="45" t="s">
        <v>429</v>
      </c>
      <c r="D699" s="20" t="s">
        <v>650</v>
      </c>
      <c r="E699" s="21">
        <v>120</v>
      </c>
      <c r="F699" s="1" t="s">
        <v>68</v>
      </c>
      <c r="G699" s="25" t="s">
        <v>219</v>
      </c>
      <c r="H699" s="1" t="s">
        <v>220</v>
      </c>
      <c r="I699" s="1" t="s">
        <v>161</v>
      </c>
      <c r="J699" s="60">
        <v>0</v>
      </c>
      <c r="K699" s="24">
        <v>45336.484780092593</v>
      </c>
      <c r="L699" s="23">
        <v>6080</v>
      </c>
      <c r="O699" s="54">
        <v>100</v>
      </c>
      <c r="P699" s="33">
        <v>1</v>
      </c>
      <c r="Q699" s="33">
        <v>19.999999999999996</v>
      </c>
    </row>
    <row r="700" spans="2:18" x14ac:dyDescent="0.25">
      <c r="B700" s="45" t="s">
        <v>321</v>
      </c>
      <c r="C700" s="45" t="s">
        <v>429</v>
      </c>
      <c r="D700" s="20" t="s">
        <v>650</v>
      </c>
      <c r="E700" s="21">
        <v>2</v>
      </c>
      <c r="F700" s="1" t="s">
        <v>68</v>
      </c>
      <c r="G700" s="25" t="s">
        <v>430</v>
      </c>
      <c r="H700" s="1" t="s">
        <v>199</v>
      </c>
      <c r="J700" s="60">
        <v>0</v>
      </c>
      <c r="K700" s="24">
        <v>45336.484814814816</v>
      </c>
      <c r="L700" s="23">
        <v>86</v>
      </c>
      <c r="O700" s="54">
        <v>40</v>
      </c>
      <c r="P700" s="33">
        <v>0</v>
      </c>
      <c r="Q700" s="33">
        <v>2</v>
      </c>
    </row>
    <row r="701" spans="2:18" x14ac:dyDescent="0.25">
      <c r="B701" s="45" t="s">
        <v>321</v>
      </c>
      <c r="C701" s="45" t="s">
        <v>504</v>
      </c>
      <c r="D701" s="20" t="s">
        <v>651</v>
      </c>
      <c r="E701" s="21">
        <v>36</v>
      </c>
      <c r="F701" s="1" t="s">
        <v>68</v>
      </c>
      <c r="G701" s="45" t="s">
        <v>184</v>
      </c>
      <c r="H701" s="1" t="s">
        <v>185</v>
      </c>
      <c r="J701" s="60">
        <v>0</v>
      </c>
      <c r="K701" s="24">
        <v>45336.484849537039</v>
      </c>
      <c r="L701" s="23">
        <v>191</v>
      </c>
      <c r="O701" s="54">
        <v>4</v>
      </c>
      <c r="P701" s="33">
        <v>9</v>
      </c>
      <c r="Q701" s="33">
        <v>0</v>
      </c>
    </row>
    <row r="702" spans="2:18" x14ac:dyDescent="0.25">
      <c r="B702" s="45" t="s">
        <v>321</v>
      </c>
      <c r="C702" s="45" t="s">
        <v>652</v>
      </c>
      <c r="D702" s="20" t="s">
        <v>653</v>
      </c>
      <c r="E702" s="21">
        <v>300</v>
      </c>
      <c r="F702" s="1" t="s">
        <v>68</v>
      </c>
      <c r="G702" s="45" t="s">
        <v>177</v>
      </c>
      <c r="H702" s="1" t="s">
        <v>178</v>
      </c>
      <c r="I702" s="1" t="s">
        <v>179</v>
      </c>
      <c r="J702" s="60">
        <v>0</v>
      </c>
      <c r="K702" s="24">
        <v>45336.484907407408</v>
      </c>
      <c r="L702" s="23">
        <v>812</v>
      </c>
      <c r="O702" s="54">
        <v>36</v>
      </c>
      <c r="P702" s="33">
        <v>8</v>
      </c>
      <c r="Q702" s="33">
        <v>12.000000000000021</v>
      </c>
    </row>
    <row r="703" spans="2:18" x14ac:dyDescent="0.25">
      <c r="B703" s="45" t="s">
        <v>654</v>
      </c>
      <c r="C703" s="45" t="s">
        <v>66</v>
      </c>
      <c r="D703" s="20" t="s">
        <v>66</v>
      </c>
      <c r="E703" s="21">
        <v>400</v>
      </c>
      <c r="F703" s="1" t="s">
        <v>68</v>
      </c>
      <c r="G703" s="45" t="s">
        <v>296</v>
      </c>
      <c r="H703" s="1" t="s">
        <v>297</v>
      </c>
      <c r="I703" s="1" t="s">
        <v>122</v>
      </c>
      <c r="J703" s="33">
        <v>1</v>
      </c>
      <c r="K703" s="24">
        <v>45336.542685185188</v>
      </c>
      <c r="L703" s="23">
        <v>400</v>
      </c>
      <c r="M703" s="22">
        <v>45537</v>
      </c>
      <c r="O703" s="54">
        <v>1</v>
      </c>
      <c r="P703" s="33">
        <v>400</v>
      </c>
      <c r="Q703" s="33">
        <v>0</v>
      </c>
    </row>
    <row r="704" spans="2:18" x14ac:dyDescent="0.25">
      <c r="B704" s="45" t="s">
        <v>654</v>
      </c>
      <c r="C704" s="45" t="s">
        <v>66</v>
      </c>
      <c r="D704" s="20" t="s">
        <v>66</v>
      </c>
      <c r="E704" s="21">
        <v>40000</v>
      </c>
      <c r="F704" s="1" t="s">
        <v>68</v>
      </c>
      <c r="G704" s="45" t="s">
        <v>124</v>
      </c>
      <c r="H704" s="1" t="s">
        <v>125</v>
      </c>
      <c r="I704" s="1" t="s">
        <v>122</v>
      </c>
      <c r="J704" s="33">
        <v>1</v>
      </c>
      <c r="K704" s="24">
        <v>45336.542800925927</v>
      </c>
      <c r="L704" s="23">
        <v>46000</v>
      </c>
      <c r="M704" s="22">
        <v>45537</v>
      </c>
      <c r="O704" s="54">
        <v>1200</v>
      </c>
      <c r="P704" s="33">
        <v>33</v>
      </c>
      <c r="Q704" s="33">
        <v>400.00000000000284</v>
      </c>
    </row>
    <row r="705" spans="1:17" x14ac:dyDescent="0.25">
      <c r="B705" s="45" t="s">
        <v>321</v>
      </c>
      <c r="C705" s="45" t="s">
        <v>429</v>
      </c>
      <c r="D705" s="20" t="s">
        <v>655</v>
      </c>
      <c r="E705" s="21">
        <v>250</v>
      </c>
      <c r="F705" s="1" t="s">
        <v>68</v>
      </c>
      <c r="G705" s="45" t="s">
        <v>172</v>
      </c>
      <c r="H705" s="1" t="s">
        <v>173</v>
      </c>
      <c r="J705" s="60">
        <v>0</v>
      </c>
      <c r="K705" s="24">
        <v>45337.672777777778</v>
      </c>
      <c r="L705" s="23">
        <v>2102</v>
      </c>
      <c r="O705" s="54">
        <v>24</v>
      </c>
      <c r="P705" s="33">
        <v>10</v>
      </c>
      <c r="Q705" s="33">
        <v>9.9999999999999858</v>
      </c>
    </row>
    <row r="706" spans="1:17" x14ac:dyDescent="0.25">
      <c r="B706" s="45" t="s">
        <v>321</v>
      </c>
      <c r="C706" s="45" t="s">
        <v>656</v>
      </c>
      <c r="D706" s="20" t="s">
        <v>657</v>
      </c>
      <c r="E706" s="21">
        <v>500</v>
      </c>
      <c r="F706" s="1" t="s">
        <v>68</v>
      </c>
      <c r="G706" s="45" t="s">
        <v>132</v>
      </c>
      <c r="H706" s="1" t="s">
        <v>133</v>
      </c>
      <c r="I706" s="1" t="s">
        <v>122</v>
      </c>
      <c r="J706" s="60">
        <v>0</v>
      </c>
      <c r="K706" s="24">
        <v>45337.673333333332</v>
      </c>
      <c r="L706" s="23">
        <v>13800</v>
      </c>
      <c r="O706" s="54">
        <v>1200</v>
      </c>
      <c r="P706" s="33">
        <v>0</v>
      </c>
      <c r="Q706" s="33">
        <v>500</v>
      </c>
    </row>
    <row r="707" spans="1:17" x14ac:dyDescent="0.25">
      <c r="B707" s="45" t="s">
        <v>176</v>
      </c>
      <c r="C707" s="45" t="s">
        <v>262</v>
      </c>
      <c r="D707" s="20" t="s">
        <v>658</v>
      </c>
      <c r="E707" s="21">
        <v>100</v>
      </c>
      <c r="F707" s="1" t="s">
        <v>68</v>
      </c>
      <c r="G707" s="45" t="s">
        <v>184</v>
      </c>
      <c r="H707" s="1" t="s">
        <v>185</v>
      </c>
      <c r="J707" s="60">
        <v>0</v>
      </c>
      <c r="K707" s="24">
        <v>45337.677893518521</v>
      </c>
      <c r="L707" s="23">
        <v>91</v>
      </c>
      <c r="O707" s="54">
        <v>4</v>
      </c>
      <c r="P707" s="33">
        <v>25</v>
      </c>
      <c r="Q707" s="33">
        <v>0</v>
      </c>
    </row>
    <row r="708" spans="1:17" x14ac:dyDescent="0.25">
      <c r="B708" s="45" t="s">
        <v>176</v>
      </c>
      <c r="C708" s="45" t="s">
        <v>659</v>
      </c>
      <c r="D708" s="20" t="s">
        <v>660</v>
      </c>
      <c r="E708" s="21">
        <v>5600</v>
      </c>
      <c r="F708" s="1" t="s">
        <v>68</v>
      </c>
      <c r="G708" s="45" t="s">
        <v>140</v>
      </c>
      <c r="H708" s="1" t="s">
        <v>141</v>
      </c>
      <c r="I708" s="1" t="s">
        <v>122</v>
      </c>
      <c r="J708" s="60">
        <v>0</v>
      </c>
      <c r="K708" s="24">
        <v>45337.677928240744</v>
      </c>
      <c r="L708" s="23">
        <v>114500</v>
      </c>
      <c r="O708" s="54">
        <v>2400</v>
      </c>
      <c r="P708" s="33">
        <v>2</v>
      </c>
      <c r="Q708" s="33">
        <v>800.00000000000034</v>
      </c>
    </row>
    <row r="709" spans="1:17" x14ac:dyDescent="0.25">
      <c r="B709" s="45" t="s">
        <v>176</v>
      </c>
      <c r="C709" s="45" t="s">
        <v>387</v>
      </c>
      <c r="D709" s="20" t="s">
        <v>661</v>
      </c>
      <c r="E709" s="21">
        <v>1000</v>
      </c>
      <c r="F709" s="1" t="s">
        <v>68</v>
      </c>
      <c r="G709" s="45" t="s">
        <v>124</v>
      </c>
      <c r="H709" s="1" t="s">
        <v>125</v>
      </c>
      <c r="I709" s="1" t="s">
        <v>122</v>
      </c>
      <c r="J709" s="60">
        <v>0</v>
      </c>
      <c r="K709" s="24">
        <v>45337.67796296296</v>
      </c>
      <c r="L709" s="23">
        <v>45000</v>
      </c>
      <c r="O709" s="54">
        <v>1200</v>
      </c>
      <c r="P709" s="33">
        <v>0</v>
      </c>
      <c r="Q709" s="33">
        <v>1000</v>
      </c>
    </row>
    <row r="710" spans="1:17" x14ac:dyDescent="0.25">
      <c r="B710" s="45" t="s">
        <v>176</v>
      </c>
      <c r="C710" s="45" t="s">
        <v>387</v>
      </c>
      <c r="D710" s="20" t="s">
        <v>661</v>
      </c>
      <c r="E710" s="21">
        <v>1600</v>
      </c>
      <c r="F710" s="1" t="s">
        <v>68</v>
      </c>
      <c r="G710" s="45" t="s">
        <v>188</v>
      </c>
      <c r="H710" s="1" t="s">
        <v>189</v>
      </c>
      <c r="I710" s="1" t="s">
        <v>122</v>
      </c>
      <c r="J710" s="60">
        <v>0</v>
      </c>
      <c r="K710" s="24">
        <v>45337.677986111114</v>
      </c>
      <c r="L710" s="23">
        <v>15800</v>
      </c>
      <c r="O710" s="54">
        <v>2400</v>
      </c>
      <c r="P710" s="33">
        <v>0</v>
      </c>
      <c r="Q710" s="33">
        <v>1600</v>
      </c>
    </row>
    <row r="711" spans="1:17" x14ac:dyDescent="0.25">
      <c r="B711" s="45" t="s">
        <v>176</v>
      </c>
      <c r="C711" s="45" t="s">
        <v>582</v>
      </c>
      <c r="D711" s="20" t="s">
        <v>662</v>
      </c>
      <c r="E711" s="21">
        <v>200</v>
      </c>
      <c r="F711" s="1" t="s">
        <v>68</v>
      </c>
      <c r="G711" s="45" t="s">
        <v>159</v>
      </c>
      <c r="H711" s="1" t="s">
        <v>160</v>
      </c>
      <c r="I711" s="1" t="s">
        <v>161</v>
      </c>
      <c r="J711" s="60">
        <v>0</v>
      </c>
      <c r="K711" s="24">
        <v>45337.67800925926</v>
      </c>
      <c r="L711" s="23">
        <v>7688</v>
      </c>
      <c r="O711" s="54">
        <v>24</v>
      </c>
      <c r="P711" s="33">
        <v>8</v>
      </c>
      <c r="Q711" s="33">
        <v>8.0000000000000142</v>
      </c>
    </row>
    <row r="712" spans="1:17" x14ac:dyDescent="0.25">
      <c r="B712" s="45" t="s">
        <v>176</v>
      </c>
      <c r="C712" s="45" t="s">
        <v>628</v>
      </c>
      <c r="D712" s="20" t="s">
        <v>663</v>
      </c>
      <c r="E712" s="21">
        <v>1200</v>
      </c>
      <c r="F712" s="1" t="s">
        <v>68</v>
      </c>
      <c r="G712" s="45" t="s">
        <v>120</v>
      </c>
      <c r="H712" s="1" t="s">
        <v>121</v>
      </c>
      <c r="I712" s="1" t="s">
        <v>122</v>
      </c>
      <c r="J712" s="60">
        <v>0</v>
      </c>
      <c r="K712" s="24">
        <v>45337.678032407406</v>
      </c>
      <c r="L712" s="23">
        <v>71400</v>
      </c>
      <c r="O712" s="54">
        <v>2400</v>
      </c>
      <c r="P712" s="33">
        <v>0</v>
      </c>
      <c r="Q712" s="33">
        <v>1200</v>
      </c>
    </row>
    <row r="713" spans="1:17" x14ac:dyDescent="0.25">
      <c r="B713" s="45" t="s">
        <v>176</v>
      </c>
      <c r="C713" s="45" t="s">
        <v>628</v>
      </c>
      <c r="D713" s="20" t="s">
        <v>663</v>
      </c>
      <c r="E713" s="21">
        <v>200</v>
      </c>
      <c r="F713" s="1" t="s">
        <v>144</v>
      </c>
      <c r="G713" s="45" t="s">
        <v>145</v>
      </c>
      <c r="H713" s="1" t="s">
        <v>146</v>
      </c>
      <c r="I713" s="1" t="s">
        <v>147</v>
      </c>
      <c r="J713" s="60">
        <v>0</v>
      </c>
      <c r="K713" s="24">
        <v>45337.678055555552</v>
      </c>
      <c r="L713" s="23">
        <v>480</v>
      </c>
      <c r="O713" s="54">
        <v>10</v>
      </c>
      <c r="P713" s="33">
        <v>20</v>
      </c>
      <c r="Q713" s="33">
        <v>0</v>
      </c>
    </row>
    <row r="714" spans="1:17" x14ac:dyDescent="0.25">
      <c r="B714" s="45" t="s">
        <v>176</v>
      </c>
      <c r="C714" s="45" t="s">
        <v>628</v>
      </c>
      <c r="D714" s="20" t="s">
        <v>663</v>
      </c>
      <c r="E714" s="21">
        <v>20</v>
      </c>
      <c r="F714" s="1" t="s">
        <v>144</v>
      </c>
      <c r="G714" s="45" t="s">
        <v>145</v>
      </c>
      <c r="H714" s="1" t="s">
        <v>146</v>
      </c>
      <c r="I714" s="1" t="s">
        <v>147</v>
      </c>
      <c r="J714" s="60">
        <v>0</v>
      </c>
      <c r="K714" s="24">
        <v>45337.678078703706</v>
      </c>
      <c r="L714" s="23">
        <v>460</v>
      </c>
      <c r="O714" s="54">
        <v>10</v>
      </c>
      <c r="P714" s="33">
        <v>2</v>
      </c>
      <c r="Q714" s="33">
        <v>0</v>
      </c>
    </row>
    <row r="715" spans="1:17" x14ac:dyDescent="0.25">
      <c r="B715" s="45" t="s">
        <v>176</v>
      </c>
      <c r="C715" s="45" t="s">
        <v>628</v>
      </c>
      <c r="D715" s="20" t="s">
        <v>663</v>
      </c>
      <c r="E715" s="21">
        <v>34</v>
      </c>
      <c r="F715" s="1" t="s">
        <v>144</v>
      </c>
      <c r="G715" s="45" t="s">
        <v>148</v>
      </c>
      <c r="H715" s="1" t="s">
        <v>149</v>
      </c>
      <c r="I715" s="1" t="s">
        <v>147</v>
      </c>
      <c r="J715" s="60">
        <v>0</v>
      </c>
      <c r="K715" s="24">
        <v>45337.678113425929</v>
      </c>
      <c r="L715" s="23">
        <v>5984</v>
      </c>
      <c r="O715" s="54">
        <v>10</v>
      </c>
      <c r="P715" s="33">
        <v>3</v>
      </c>
      <c r="Q715" s="33">
        <v>3.9999999999999991</v>
      </c>
    </row>
    <row r="716" spans="1:17" x14ac:dyDescent="0.25">
      <c r="B716" s="45" t="s">
        <v>176</v>
      </c>
      <c r="C716" s="45" t="s">
        <v>418</v>
      </c>
      <c r="D716" s="20" t="s">
        <v>664</v>
      </c>
      <c r="E716" s="21">
        <v>10</v>
      </c>
      <c r="F716" s="1" t="s">
        <v>68</v>
      </c>
      <c r="G716" s="25" t="s">
        <v>787</v>
      </c>
      <c r="H716" s="1" t="s">
        <v>167</v>
      </c>
      <c r="I716" s="1" t="s">
        <v>161</v>
      </c>
      <c r="J716" s="60">
        <v>0</v>
      </c>
      <c r="K716" s="24">
        <v>45337.678136574075</v>
      </c>
      <c r="L716" s="23">
        <v>224</v>
      </c>
      <c r="O716" s="54">
        <v>4</v>
      </c>
      <c r="P716" s="33">
        <v>2</v>
      </c>
      <c r="Q716" s="33">
        <v>2</v>
      </c>
    </row>
    <row r="717" spans="1:17" x14ac:dyDescent="0.25">
      <c r="B717" s="45" t="s">
        <v>176</v>
      </c>
      <c r="C717" s="45" t="s">
        <v>261</v>
      </c>
      <c r="D717" s="20" t="s">
        <v>665</v>
      </c>
      <c r="E717" s="21">
        <v>120</v>
      </c>
      <c r="F717" s="1" t="s">
        <v>68</v>
      </c>
      <c r="G717" s="45" t="s">
        <v>181</v>
      </c>
      <c r="H717" s="1" t="s">
        <v>182</v>
      </c>
      <c r="I717" s="1" t="s">
        <v>183</v>
      </c>
      <c r="J717" s="60">
        <v>0</v>
      </c>
      <c r="K717" s="24">
        <v>45337.678171296298</v>
      </c>
      <c r="L717" s="23">
        <v>160</v>
      </c>
      <c r="O717" s="54">
        <v>300</v>
      </c>
      <c r="P717" s="33">
        <v>0</v>
      </c>
      <c r="Q717" s="33">
        <v>120</v>
      </c>
    </row>
    <row r="718" spans="1:17" x14ac:dyDescent="0.25">
      <c r="B718" s="45" t="s">
        <v>666</v>
      </c>
      <c r="C718" s="45" t="s">
        <v>67</v>
      </c>
      <c r="D718" s="20" t="s">
        <v>67</v>
      </c>
      <c r="E718" s="21">
        <v>600</v>
      </c>
      <c r="F718" s="1" t="s">
        <v>68</v>
      </c>
      <c r="G718" s="45" t="s">
        <v>184</v>
      </c>
      <c r="H718" s="1" t="s">
        <v>185</v>
      </c>
      <c r="J718" s="33">
        <v>1</v>
      </c>
      <c r="K718" s="24">
        <v>45338.583553240744</v>
      </c>
      <c r="L718" s="23">
        <v>691</v>
      </c>
      <c r="M718" s="22">
        <v>45324</v>
      </c>
      <c r="O718" s="54">
        <v>4</v>
      </c>
      <c r="P718" s="33">
        <v>150</v>
      </c>
      <c r="Q718" s="33">
        <v>0</v>
      </c>
    </row>
    <row r="719" spans="1:17" x14ac:dyDescent="0.25">
      <c r="A719" s="1" t="s">
        <v>667</v>
      </c>
      <c r="B719" s="25" t="s">
        <v>321</v>
      </c>
      <c r="C719" s="25" t="s">
        <v>768</v>
      </c>
      <c r="D719" s="25" t="s">
        <v>668</v>
      </c>
      <c r="E719" s="1">
        <v>812</v>
      </c>
      <c r="F719" s="1" t="s">
        <v>68</v>
      </c>
      <c r="G719" s="25" t="s">
        <v>177</v>
      </c>
      <c r="H719" s="1" t="s">
        <v>178</v>
      </c>
      <c r="I719" s="1" t="s">
        <v>179</v>
      </c>
      <c r="J719" s="10">
        <v>0</v>
      </c>
      <c r="K719" s="24">
        <v>45342.652199074073</v>
      </c>
      <c r="L719" s="23">
        <v>0</v>
      </c>
      <c r="O719" s="54">
        <v>36</v>
      </c>
      <c r="P719" s="33">
        <v>22</v>
      </c>
      <c r="Q719" s="33">
        <v>20.000000000000057</v>
      </c>
    </row>
    <row r="720" spans="1:17" x14ac:dyDescent="0.25">
      <c r="B720" s="25" t="s">
        <v>321</v>
      </c>
      <c r="C720" s="25" t="s">
        <v>594</v>
      </c>
      <c r="D720" s="1" t="s">
        <v>669</v>
      </c>
      <c r="E720" s="1">
        <v>170</v>
      </c>
      <c r="F720" s="1" t="s">
        <v>68</v>
      </c>
      <c r="G720" s="25" t="s">
        <v>181</v>
      </c>
      <c r="H720" s="1" t="s">
        <v>182</v>
      </c>
      <c r="I720" s="1" t="s">
        <v>183</v>
      </c>
      <c r="J720" s="10">
        <v>0</v>
      </c>
      <c r="K720" s="24">
        <v>45342.654687499999</v>
      </c>
      <c r="L720" s="23">
        <v>-10</v>
      </c>
      <c r="O720" s="54">
        <v>300</v>
      </c>
      <c r="P720" s="33">
        <v>0</v>
      </c>
      <c r="Q720" s="33">
        <v>170</v>
      </c>
    </row>
    <row r="721" spans="1:18" x14ac:dyDescent="0.25">
      <c r="B721" s="45" t="s">
        <v>321</v>
      </c>
      <c r="C721" s="45" t="s">
        <v>594</v>
      </c>
      <c r="D721" s="20" t="s">
        <v>669</v>
      </c>
      <c r="E721" s="21">
        <v>20</v>
      </c>
      <c r="F721" s="1" t="s">
        <v>68</v>
      </c>
      <c r="G721" s="25" t="s">
        <v>787</v>
      </c>
      <c r="H721" s="1" t="s">
        <v>167</v>
      </c>
      <c r="I721" s="1" t="s">
        <v>161</v>
      </c>
      <c r="J721" s="10">
        <v>0</v>
      </c>
      <c r="K721" s="24">
        <v>45342.656076388892</v>
      </c>
      <c r="L721" s="23">
        <v>204</v>
      </c>
      <c r="O721" s="54">
        <v>4</v>
      </c>
      <c r="P721" s="33">
        <v>5</v>
      </c>
      <c r="Q721" s="33">
        <v>0</v>
      </c>
    </row>
    <row r="722" spans="1:18" x14ac:dyDescent="0.25">
      <c r="B722" s="45" t="s">
        <v>321</v>
      </c>
      <c r="C722" s="45" t="s">
        <v>479</v>
      </c>
      <c r="D722" s="20" t="s">
        <v>670</v>
      </c>
      <c r="E722" s="21">
        <v>500</v>
      </c>
      <c r="F722" s="1" t="s">
        <v>144</v>
      </c>
      <c r="G722" s="25" t="s">
        <v>145</v>
      </c>
      <c r="H722" s="1" t="s">
        <v>146</v>
      </c>
      <c r="I722" s="1" t="s">
        <v>147</v>
      </c>
      <c r="J722" s="60">
        <v>0</v>
      </c>
      <c r="K722" s="24">
        <v>45342.647743055553</v>
      </c>
      <c r="L722" s="23">
        <v>-40</v>
      </c>
      <c r="O722" s="54">
        <v>10</v>
      </c>
      <c r="P722" s="33">
        <v>50</v>
      </c>
      <c r="Q722" s="33">
        <v>0</v>
      </c>
    </row>
    <row r="723" spans="1:18" x14ac:dyDescent="0.25">
      <c r="B723" s="45" t="s">
        <v>321</v>
      </c>
      <c r="C723" s="45" t="s">
        <v>364</v>
      </c>
      <c r="D723" s="20" t="s">
        <v>671</v>
      </c>
      <c r="E723" s="21">
        <v>600</v>
      </c>
      <c r="F723" s="1" t="s">
        <v>152</v>
      </c>
      <c r="G723" s="25" t="s">
        <v>157</v>
      </c>
      <c r="H723" s="1" t="s">
        <v>154</v>
      </c>
      <c r="I723" s="1" t="s">
        <v>155</v>
      </c>
      <c r="J723" s="60">
        <v>0</v>
      </c>
      <c r="K723" s="24">
        <v>45342.656122685185</v>
      </c>
      <c r="L723" s="23">
        <v>3502</v>
      </c>
      <c r="O723" s="54">
        <v>144</v>
      </c>
      <c r="P723" s="33">
        <v>4</v>
      </c>
      <c r="Q723" s="33">
        <v>24.000000000000043</v>
      </c>
    </row>
    <row r="724" spans="1:18" x14ac:dyDescent="0.25">
      <c r="B724" s="45" t="s">
        <v>321</v>
      </c>
      <c r="C724" s="45" t="s">
        <v>568</v>
      </c>
      <c r="D724" s="20" t="s">
        <v>672</v>
      </c>
      <c r="E724" s="21">
        <v>21400</v>
      </c>
      <c r="F724" s="1" t="s">
        <v>68</v>
      </c>
      <c r="G724" s="25" t="s">
        <v>124</v>
      </c>
      <c r="H724" s="1" t="s">
        <v>125</v>
      </c>
      <c r="I724" s="1" t="s">
        <v>122</v>
      </c>
      <c r="J724" s="60">
        <v>0</v>
      </c>
      <c r="K724" s="24">
        <v>45342.656157407408</v>
      </c>
      <c r="L724" s="23">
        <v>23600</v>
      </c>
      <c r="O724" s="54">
        <v>1200</v>
      </c>
      <c r="P724" s="33">
        <v>17</v>
      </c>
      <c r="Q724" s="33">
        <v>999.99999999999864</v>
      </c>
    </row>
    <row r="725" spans="1:18" x14ac:dyDescent="0.25">
      <c r="B725" s="45" t="s">
        <v>321</v>
      </c>
      <c r="C725" s="45" t="s">
        <v>509</v>
      </c>
      <c r="D725" s="20" t="s">
        <v>673</v>
      </c>
      <c r="E725" s="21">
        <v>5600</v>
      </c>
      <c r="F725" s="1" t="s">
        <v>68</v>
      </c>
      <c r="G725" s="38" t="s">
        <v>120</v>
      </c>
      <c r="H725" s="1" t="s">
        <v>121</v>
      </c>
      <c r="I725" s="1" t="s">
        <v>122</v>
      </c>
      <c r="J725" s="60">
        <v>0</v>
      </c>
      <c r="K725" s="24">
        <v>45342.656192129631</v>
      </c>
      <c r="L725" s="23">
        <v>65800</v>
      </c>
      <c r="O725" s="54">
        <v>2400</v>
      </c>
      <c r="P725" s="33">
        <v>2</v>
      </c>
      <c r="Q725" s="33">
        <v>800.00000000000034</v>
      </c>
      <c r="R725" s="79"/>
    </row>
    <row r="726" spans="1:18" x14ac:dyDescent="0.25">
      <c r="A726" s="1" t="s">
        <v>667</v>
      </c>
      <c r="B726" s="45" t="s">
        <v>321</v>
      </c>
      <c r="C726" s="45" t="s">
        <v>656</v>
      </c>
      <c r="D726" s="20" t="s">
        <v>674</v>
      </c>
      <c r="E726" s="21">
        <v>20000</v>
      </c>
      <c r="F726" s="1" t="s">
        <v>68</v>
      </c>
      <c r="G726" s="25" t="s">
        <v>120</v>
      </c>
      <c r="H726" s="1" t="s">
        <v>121</v>
      </c>
      <c r="I726" s="1" t="s">
        <v>122</v>
      </c>
      <c r="J726" s="60">
        <v>0</v>
      </c>
      <c r="K726" s="24">
        <v>45342.656226851854</v>
      </c>
      <c r="L726" s="23">
        <v>45800</v>
      </c>
      <c r="O726" s="54">
        <v>2400</v>
      </c>
      <c r="P726" s="33">
        <v>8</v>
      </c>
      <c r="Q726" s="33">
        <v>800.00000000000136</v>
      </c>
    </row>
    <row r="727" spans="1:18" x14ac:dyDescent="0.25">
      <c r="B727" s="45" t="s">
        <v>321</v>
      </c>
      <c r="C727" s="45" t="s">
        <v>656</v>
      </c>
      <c r="D727" s="20" t="s">
        <v>674</v>
      </c>
      <c r="E727" s="21">
        <v>1250</v>
      </c>
      <c r="F727" s="1" t="s">
        <v>68</v>
      </c>
      <c r="G727" s="25" t="s">
        <v>132</v>
      </c>
      <c r="H727" s="1" t="s">
        <v>133</v>
      </c>
      <c r="I727" s="1" t="s">
        <v>122</v>
      </c>
      <c r="J727" s="60">
        <v>0</v>
      </c>
      <c r="K727" s="24">
        <v>45342.656261574077</v>
      </c>
      <c r="L727" s="23">
        <v>12550</v>
      </c>
      <c r="O727" s="54">
        <v>1200</v>
      </c>
      <c r="P727" s="33">
        <v>1</v>
      </c>
      <c r="Q727" s="33">
        <v>50.000000000000085</v>
      </c>
    </row>
    <row r="728" spans="1:18" x14ac:dyDescent="0.25">
      <c r="A728" s="1" t="s">
        <v>667</v>
      </c>
      <c r="B728" s="45" t="s">
        <v>321</v>
      </c>
      <c r="C728" s="45" t="s">
        <v>561</v>
      </c>
      <c r="D728" s="20" t="s">
        <v>675</v>
      </c>
      <c r="E728" s="21">
        <v>1400</v>
      </c>
      <c r="F728" s="1" t="s">
        <v>68</v>
      </c>
      <c r="G728" s="25" t="s">
        <v>142</v>
      </c>
      <c r="H728" s="1" t="s">
        <v>143</v>
      </c>
      <c r="I728" s="1" t="s">
        <v>122</v>
      </c>
      <c r="J728" s="60">
        <v>0</v>
      </c>
      <c r="K728" s="24">
        <v>45342.6562962963</v>
      </c>
      <c r="L728" s="23">
        <v>10700</v>
      </c>
      <c r="O728" s="54">
        <v>2400</v>
      </c>
      <c r="P728" s="33">
        <v>0</v>
      </c>
      <c r="Q728" s="33">
        <v>1400</v>
      </c>
    </row>
    <row r="729" spans="1:18" x14ac:dyDescent="0.25">
      <c r="B729" s="45" t="s">
        <v>321</v>
      </c>
      <c r="C729" s="45" t="s">
        <v>429</v>
      </c>
      <c r="D729" s="20" t="s">
        <v>676</v>
      </c>
      <c r="E729" s="21">
        <v>12000</v>
      </c>
      <c r="F729" s="1" t="s">
        <v>68</v>
      </c>
      <c r="G729" s="25" t="s">
        <v>140</v>
      </c>
      <c r="H729" s="1" t="s">
        <v>141</v>
      </c>
      <c r="I729" s="1" t="s">
        <v>122</v>
      </c>
      <c r="J729" s="60">
        <v>0</v>
      </c>
      <c r="K729" s="24">
        <v>45342.656342592592</v>
      </c>
      <c r="L729" s="23">
        <v>102500</v>
      </c>
      <c r="O729" s="54">
        <v>2400</v>
      </c>
      <c r="P729" s="33">
        <v>5</v>
      </c>
      <c r="Q729" s="33">
        <v>0</v>
      </c>
    </row>
    <row r="730" spans="1:18" x14ac:dyDescent="0.25">
      <c r="B730" s="25" t="s">
        <v>176</v>
      </c>
      <c r="C730" s="25" t="s">
        <v>628</v>
      </c>
      <c r="D730" s="25" t="s">
        <v>677</v>
      </c>
      <c r="E730" s="1">
        <v>20</v>
      </c>
      <c r="F730" s="1" t="s">
        <v>144</v>
      </c>
      <c r="G730" s="25" t="s">
        <v>150</v>
      </c>
      <c r="H730" s="1" t="s">
        <v>151</v>
      </c>
      <c r="I730" s="1" t="s">
        <v>147</v>
      </c>
      <c r="J730" s="60">
        <v>0</v>
      </c>
      <c r="K730" s="24">
        <v>45343.410358796296</v>
      </c>
      <c r="L730" s="23">
        <v>465</v>
      </c>
      <c r="O730" s="54">
        <v>10</v>
      </c>
      <c r="P730" s="33">
        <v>2</v>
      </c>
      <c r="Q730" s="33">
        <v>0</v>
      </c>
    </row>
    <row r="731" spans="1:18" x14ac:dyDescent="0.25">
      <c r="B731" s="25" t="s">
        <v>176</v>
      </c>
      <c r="C731" s="25" t="s">
        <v>628</v>
      </c>
      <c r="D731" s="1">
        <v>522</v>
      </c>
      <c r="E731" s="1">
        <v>34</v>
      </c>
      <c r="F731" s="1" t="s">
        <v>144</v>
      </c>
      <c r="G731" s="25" t="s">
        <v>148</v>
      </c>
      <c r="H731" s="1" t="s">
        <v>149</v>
      </c>
      <c r="I731" s="1" t="s">
        <v>147</v>
      </c>
      <c r="J731" s="60">
        <v>0</v>
      </c>
      <c r="K731" s="24">
        <v>45343.410393518519</v>
      </c>
      <c r="L731" s="23">
        <v>5900</v>
      </c>
      <c r="O731" s="54">
        <v>10</v>
      </c>
      <c r="P731" s="33">
        <v>3</v>
      </c>
      <c r="Q731" s="33">
        <v>3.9999999999999991</v>
      </c>
    </row>
    <row r="732" spans="1:18" x14ac:dyDescent="0.25">
      <c r="B732" s="25" t="s">
        <v>176</v>
      </c>
      <c r="C732" s="25" t="s">
        <v>387</v>
      </c>
      <c r="D732" s="25" t="s">
        <v>678</v>
      </c>
      <c r="E732" s="1">
        <v>1600</v>
      </c>
      <c r="F732" s="1" t="s">
        <v>68</v>
      </c>
      <c r="G732" s="25" t="s">
        <v>188</v>
      </c>
      <c r="H732" s="1" t="s">
        <v>189</v>
      </c>
      <c r="I732" s="1" t="s">
        <v>122</v>
      </c>
      <c r="J732" s="60">
        <v>0</v>
      </c>
      <c r="K732" s="24">
        <v>45343.410416666666</v>
      </c>
      <c r="L732" s="23">
        <v>14200</v>
      </c>
      <c r="O732" s="54">
        <v>2400</v>
      </c>
      <c r="P732" s="33">
        <v>0</v>
      </c>
      <c r="Q732" s="33">
        <v>1600</v>
      </c>
    </row>
    <row r="733" spans="1:18" x14ac:dyDescent="0.25">
      <c r="B733" s="25" t="s">
        <v>176</v>
      </c>
      <c r="C733" s="25" t="s">
        <v>387</v>
      </c>
      <c r="D733" s="1">
        <v>523</v>
      </c>
      <c r="E733" s="1">
        <v>1000</v>
      </c>
      <c r="F733" s="1" t="s">
        <v>68</v>
      </c>
      <c r="G733" s="25" t="s">
        <v>124</v>
      </c>
      <c r="H733" s="1" t="s">
        <v>125</v>
      </c>
      <c r="I733" s="1" t="s">
        <v>122</v>
      </c>
      <c r="J733" s="60">
        <v>0</v>
      </c>
      <c r="K733" s="24">
        <v>45343.410439814812</v>
      </c>
      <c r="L733" s="23">
        <v>22600</v>
      </c>
      <c r="O733" s="54">
        <v>1200</v>
      </c>
      <c r="P733" s="33">
        <v>0</v>
      </c>
      <c r="Q733" s="33">
        <v>1000</v>
      </c>
    </row>
    <row r="734" spans="1:18" x14ac:dyDescent="0.25">
      <c r="B734" s="25" t="s">
        <v>176</v>
      </c>
      <c r="C734" s="25" t="s">
        <v>418</v>
      </c>
      <c r="D734" s="25" t="s">
        <v>679</v>
      </c>
      <c r="E734" s="1">
        <v>20</v>
      </c>
      <c r="F734" s="1" t="s">
        <v>68</v>
      </c>
      <c r="G734" s="25" t="s">
        <v>787</v>
      </c>
      <c r="H734" s="1" t="s">
        <v>167</v>
      </c>
      <c r="I734" s="1" t="s">
        <v>161</v>
      </c>
      <c r="J734" s="60">
        <v>0</v>
      </c>
      <c r="K734" s="24">
        <v>45343.410532407404</v>
      </c>
      <c r="L734" s="23">
        <v>184</v>
      </c>
      <c r="O734" s="54">
        <v>4</v>
      </c>
      <c r="P734" s="33">
        <v>5</v>
      </c>
      <c r="Q734" s="33">
        <v>0</v>
      </c>
    </row>
    <row r="735" spans="1:18" x14ac:dyDescent="0.25">
      <c r="B735" s="25" t="s">
        <v>176</v>
      </c>
      <c r="C735" s="25" t="s">
        <v>582</v>
      </c>
      <c r="D735" s="25" t="s">
        <v>680</v>
      </c>
      <c r="E735" s="1">
        <v>200</v>
      </c>
      <c r="F735" s="1" t="s">
        <v>68</v>
      </c>
      <c r="G735" s="25" t="s">
        <v>159</v>
      </c>
      <c r="H735" s="1" t="s">
        <v>160</v>
      </c>
      <c r="I735" s="1" t="s">
        <v>161</v>
      </c>
      <c r="J735" s="60">
        <v>0</v>
      </c>
      <c r="K735" s="24">
        <v>45343.410590277781</v>
      </c>
      <c r="L735" s="23">
        <v>7488</v>
      </c>
      <c r="O735" s="54">
        <v>24</v>
      </c>
      <c r="P735" s="33">
        <v>8</v>
      </c>
      <c r="Q735" s="33">
        <v>8.0000000000000142</v>
      </c>
    </row>
    <row r="736" spans="1:18" x14ac:dyDescent="0.25">
      <c r="B736" s="25" t="s">
        <v>176</v>
      </c>
      <c r="C736" s="25" t="s">
        <v>582</v>
      </c>
      <c r="D736" s="1">
        <v>525</v>
      </c>
      <c r="E736" s="1">
        <v>900</v>
      </c>
      <c r="F736" s="1" t="s">
        <v>68</v>
      </c>
      <c r="G736" s="25" t="s">
        <v>219</v>
      </c>
      <c r="H736" s="1" t="s">
        <v>220</v>
      </c>
      <c r="I736" s="1" t="s">
        <v>161</v>
      </c>
      <c r="J736" s="60">
        <v>0</v>
      </c>
      <c r="K736" s="24">
        <v>45343.41064814815</v>
      </c>
      <c r="L736" s="23">
        <v>5180</v>
      </c>
      <c r="O736" s="54">
        <v>100</v>
      </c>
      <c r="P736" s="33">
        <v>9</v>
      </c>
      <c r="Q736" s="33">
        <v>0</v>
      </c>
    </row>
    <row r="737" spans="1:18" x14ac:dyDescent="0.25">
      <c r="B737" s="25" t="s">
        <v>176</v>
      </c>
      <c r="C737" s="25" t="s">
        <v>582</v>
      </c>
      <c r="D737" s="25" t="s">
        <v>681</v>
      </c>
      <c r="E737" s="1">
        <v>900</v>
      </c>
      <c r="F737" s="1" t="s">
        <v>68</v>
      </c>
      <c r="G737" s="25" t="s">
        <v>789</v>
      </c>
      <c r="H737" s="1" t="s">
        <v>196</v>
      </c>
      <c r="I737" s="1" t="s">
        <v>161</v>
      </c>
      <c r="J737" s="60">
        <v>0</v>
      </c>
      <c r="K737" s="24">
        <v>45343.675694444442</v>
      </c>
      <c r="L737" s="23">
        <v>1310</v>
      </c>
      <c r="O737" s="54">
        <v>100</v>
      </c>
      <c r="P737" s="33">
        <v>9</v>
      </c>
      <c r="Q737" s="33">
        <v>0</v>
      </c>
    </row>
    <row r="738" spans="1:18" x14ac:dyDescent="0.25">
      <c r="B738" s="25" t="s">
        <v>176</v>
      </c>
      <c r="C738" s="25" t="s">
        <v>582</v>
      </c>
      <c r="D738" s="1">
        <v>535</v>
      </c>
      <c r="E738" s="1">
        <v>400</v>
      </c>
      <c r="F738" s="1" t="s">
        <v>68</v>
      </c>
      <c r="G738" s="25" t="s">
        <v>159</v>
      </c>
      <c r="H738" s="1" t="s">
        <v>160</v>
      </c>
      <c r="I738" s="1" t="s">
        <v>161</v>
      </c>
      <c r="J738" s="60">
        <v>0</v>
      </c>
      <c r="K738" s="24">
        <v>45343.675706018519</v>
      </c>
      <c r="L738" s="23">
        <v>7088</v>
      </c>
      <c r="O738" s="54">
        <v>24</v>
      </c>
      <c r="P738" s="33">
        <v>16</v>
      </c>
      <c r="Q738" s="33">
        <v>16.000000000000028</v>
      </c>
    </row>
    <row r="739" spans="1:18" x14ac:dyDescent="0.25">
      <c r="B739" s="25" t="s">
        <v>176</v>
      </c>
      <c r="C739" s="25" t="s">
        <v>628</v>
      </c>
      <c r="D739" s="25" t="s">
        <v>682</v>
      </c>
      <c r="E739" s="1">
        <v>200</v>
      </c>
      <c r="F739" s="1" t="s">
        <v>144</v>
      </c>
      <c r="G739" s="25" t="s">
        <v>145</v>
      </c>
      <c r="H739" s="1" t="s">
        <v>146</v>
      </c>
      <c r="I739" s="1" t="s">
        <v>147</v>
      </c>
      <c r="J739" s="60">
        <v>0</v>
      </c>
      <c r="K739" s="24">
        <v>45343.675729166665</v>
      </c>
      <c r="L739" s="23">
        <v>-193</v>
      </c>
      <c r="N739" s="1" t="s">
        <v>683</v>
      </c>
      <c r="O739" s="54">
        <v>10</v>
      </c>
      <c r="P739" s="33">
        <v>20</v>
      </c>
      <c r="Q739" s="33">
        <v>0</v>
      </c>
    </row>
    <row r="740" spans="1:18" x14ac:dyDescent="0.25">
      <c r="B740" s="25" t="s">
        <v>176</v>
      </c>
      <c r="C740" s="25" t="s">
        <v>628</v>
      </c>
      <c r="D740" s="1">
        <v>536</v>
      </c>
      <c r="E740" s="1">
        <v>200</v>
      </c>
      <c r="F740" s="1" t="s">
        <v>144</v>
      </c>
      <c r="G740" s="25" t="s">
        <v>150</v>
      </c>
      <c r="H740" s="1" t="s">
        <v>151</v>
      </c>
      <c r="I740" s="1" t="s">
        <v>147</v>
      </c>
      <c r="J740" s="60">
        <v>0</v>
      </c>
      <c r="K740" s="24">
        <v>45343.675775462965</v>
      </c>
      <c r="L740" s="23">
        <v>265</v>
      </c>
      <c r="O740" s="54">
        <v>10</v>
      </c>
      <c r="P740" s="33">
        <v>20</v>
      </c>
      <c r="Q740" s="33">
        <v>0</v>
      </c>
    </row>
    <row r="741" spans="1:18" x14ac:dyDescent="0.25">
      <c r="B741" s="25" t="s">
        <v>176</v>
      </c>
      <c r="C741" s="25" t="s">
        <v>628</v>
      </c>
      <c r="D741" s="1">
        <v>536</v>
      </c>
      <c r="E741" s="1">
        <v>300</v>
      </c>
      <c r="F741" s="1" t="s">
        <v>68</v>
      </c>
      <c r="G741" s="25" t="s">
        <v>120</v>
      </c>
      <c r="H741" s="1" t="s">
        <v>121</v>
      </c>
      <c r="I741" s="1" t="s">
        <v>122</v>
      </c>
      <c r="J741" s="60">
        <v>0</v>
      </c>
      <c r="K741" s="24">
        <v>45343.675810185188</v>
      </c>
      <c r="L741" s="23">
        <v>45500</v>
      </c>
      <c r="O741" s="54">
        <v>2400</v>
      </c>
      <c r="P741" s="33">
        <v>0</v>
      </c>
      <c r="Q741" s="33">
        <v>300</v>
      </c>
    </row>
    <row r="742" spans="1:18" x14ac:dyDescent="0.25">
      <c r="B742" s="25" t="s">
        <v>176</v>
      </c>
      <c r="C742" s="25" t="s">
        <v>628</v>
      </c>
      <c r="D742" s="1">
        <v>536</v>
      </c>
      <c r="E742" s="1">
        <v>1200</v>
      </c>
      <c r="F742" s="1" t="s">
        <v>144</v>
      </c>
      <c r="G742" s="25" t="s">
        <v>148</v>
      </c>
      <c r="H742" s="1" t="s">
        <v>149</v>
      </c>
      <c r="I742" s="1" t="s">
        <v>147</v>
      </c>
      <c r="J742" s="60">
        <v>0</v>
      </c>
      <c r="K742" s="24">
        <v>45343.675821759258</v>
      </c>
      <c r="L742" s="23">
        <v>4700</v>
      </c>
      <c r="O742" s="54">
        <v>10</v>
      </c>
      <c r="P742" s="33">
        <v>120</v>
      </c>
      <c r="Q742" s="33">
        <v>0</v>
      </c>
    </row>
    <row r="743" spans="1:18" x14ac:dyDescent="0.25">
      <c r="B743" s="25" t="s">
        <v>176</v>
      </c>
      <c r="C743" s="25" t="s">
        <v>262</v>
      </c>
      <c r="D743" s="25" t="s">
        <v>684</v>
      </c>
      <c r="E743" s="1">
        <v>200</v>
      </c>
      <c r="F743" s="1" t="s">
        <v>68</v>
      </c>
      <c r="G743" s="25" t="s">
        <v>184</v>
      </c>
      <c r="H743" s="1" t="s">
        <v>185</v>
      </c>
      <c r="J743" s="60">
        <v>0</v>
      </c>
      <c r="K743" s="24">
        <v>45343.675844907404</v>
      </c>
      <c r="L743" s="23">
        <v>491</v>
      </c>
      <c r="O743" s="54">
        <v>4</v>
      </c>
      <c r="P743" s="33">
        <v>50</v>
      </c>
      <c r="Q743" s="33">
        <v>0</v>
      </c>
    </row>
    <row r="744" spans="1:18" x14ac:dyDescent="0.25">
      <c r="B744" s="25" t="s">
        <v>176</v>
      </c>
      <c r="C744" s="25" t="s">
        <v>387</v>
      </c>
      <c r="D744" s="25" t="s">
        <v>685</v>
      </c>
      <c r="E744" s="1">
        <v>1000</v>
      </c>
      <c r="F744" s="1" t="s">
        <v>68</v>
      </c>
      <c r="G744" s="25" t="s">
        <v>124</v>
      </c>
      <c r="H744" s="1" t="s">
        <v>125</v>
      </c>
      <c r="I744" s="1" t="s">
        <v>122</v>
      </c>
      <c r="J744" s="60">
        <v>0</v>
      </c>
      <c r="K744" s="24">
        <v>45343.675856481481</v>
      </c>
      <c r="L744" s="23">
        <v>21600</v>
      </c>
      <c r="O744" s="54">
        <v>1200</v>
      </c>
      <c r="P744" s="33">
        <v>0</v>
      </c>
      <c r="Q744" s="33">
        <v>1000</v>
      </c>
    </row>
    <row r="745" spans="1:18" x14ac:dyDescent="0.25">
      <c r="B745" s="25" t="s">
        <v>176</v>
      </c>
      <c r="C745" s="25" t="s">
        <v>387</v>
      </c>
      <c r="D745" s="1">
        <v>538</v>
      </c>
      <c r="E745" s="1">
        <v>1600</v>
      </c>
      <c r="F745" s="1" t="s">
        <v>68</v>
      </c>
      <c r="G745" s="25" t="s">
        <v>188</v>
      </c>
      <c r="H745" s="1" t="s">
        <v>189</v>
      </c>
      <c r="I745" s="1" t="s">
        <v>122</v>
      </c>
      <c r="J745" s="60">
        <v>0</v>
      </c>
      <c r="K745" s="24">
        <v>45343.675868055558</v>
      </c>
      <c r="L745" s="23">
        <v>12600</v>
      </c>
      <c r="O745" s="54">
        <v>2400</v>
      </c>
      <c r="P745" s="33">
        <v>0</v>
      </c>
      <c r="Q745" s="33">
        <v>1600</v>
      </c>
    </row>
    <row r="746" spans="1:18" x14ac:dyDescent="0.25">
      <c r="B746" s="25" t="s">
        <v>176</v>
      </c>
      <c r="C746" s="25" t="s">
        <v>418</v>
      </c>
      <c r="D746" s="25" t="s">
        <v>686</v>
      </c>
      <c r="E746" s="1">
        <v>20</v>
      </c>
      <c r="F746" s="1" t="s">
        <v>68</v>
      </c>
      <c r="G746" s="25" t="s">
        <v>787</v>
      </c>
      <c r="H746" s="1" t="s">
        <v>167</v>
      </c>
      <c r="I746" s="1" t="s">
        <v>161</v>
      </c>
      <c r="J746" s="60">
        <v>0</v>
      </c>
      <c r="K746" s="24">
        <v>45343.675891203704</v>
      </c>
      <c r="L746" s="23">
        <v>164</v>
      </c>
      <c r="O746" s="54">
        <v>4</v>
      </c>
      <c r="P746" s="33">
        <v>5</v>
      </c>
      <c r="Q746" s="33">
        <v>0</v>
      </c>
    </row>
    <row r="747" spans="1:18" x14ac:dyDescent="0.25">
      <c r="B747" s="25" t="s">
        <v>176</v>
      </c>
      <c r="C747" s="25" t="s">
        <v>418</v>
      </c>
      <c r="D747" s="1">
        <v>539</v>
      </c>
      <c r="E747" s="1">
        <v>40</v>
      </c>
      <c r="F747" s="1" t="s">
        <v>68</v>
      </c>
      <c r="G747" s="25" t="s">
        <v>788</v>
      </c>
      <c r="H747" s="1" t="s">
        <v>187</v>
      </c>
      <c r="I747" s="1" t="s">
        <v>161</v>
      </c>
      <c r="J747" s="60">
        <v>0</v>
      </c>
      <c r="K747" s="24">
        <v>45343.675902777781</v>
      </c>
      <c r="L747" s="23">
        <v>160</v>
      </c>
      <c r="O747" s="54">
        <v>100</v>
      </c>
      <c r="P747" s="33">
        <v>0</v>
      </c>
      <c r="Q747" s="33">
        <v>40</v>
      </c>
    </row>
    <row r="748" spans="1:18" x14ac:dyDescent="0.25">
      <c r="A748" s="1" t="s">
        <v>687</v>
      </c>
      <c r="B748" s="25" t="s">
        <v>176</v>
      </c>
      <c r="C748" s="25" t="s">
        <v>632</v>
      </c>
      <c r="D748" s="25" t="s">
        <v>688</v>
      </c>
      <c r="E748" s="1">
        <v>2000</v>
      </c>
      <c r="F748" s="1" t="s">
        <v>68</v>
      </c>
      <c r="G748" s="25" t="s">
        <v>163</v>
      </c>
      <c r="H748" s="1" t="s">
        <v>164</v>
      </c>
      <c r="I748" s="1" t="s">
        <v>161</v>
      </c>
      <c r="J748" s="60">
        <v>0</v>
      </c>
      <c r="K748" s="24">
        <v>45343.67596064815</v>
      </c>
      <c r="L748" s="23">
        <v>23620</v>
      </c>
      <c r="O748" s="54">
        <v>440</v>
      </c>
      <c r="P748" s="33">
        <v>4</v>
      </c>
      <c r="Q748" s="33">
        <v>240.00000000000017</v>
      </c>
      <c r="R748" s="79"/>
    </row>
    <row r="749" spans="1:18" x14ac:dyDescent="0.25">
      <c r="B749" s="45" t="s">
        <v>689</v>
      </c>
      <c r="C749" s="45" t="s">
        <v>67</v>
      </c>
      <c r="D749" s="20" t="s">
        <v>67</v>
      </c>
      <c r="E749" s="21">
        <v>400</v>
      </c>
      <c r="F749" s="1" t="s">
        <v>68</v>
      </c>
      <c r="G749" s="25" t="s">
        <v>788</v>
      </c>
      <c r="H749" s="1" t="s">
        <v>187</v>
      </c>
      <c r="I749" s="1" t="s">
        <v>161</v>
      </c>
      <c r="J749" s="33">
        <v>1</v>
      </c>
      <c r="K749" s="24">
        <v>45343.676608796297</v>
      </c>
      <c r="L749" s="23">
        <v>560</v>
      </c>
      <c r="M749" s="1" t="s">
        <v>690</v>
      </c>
      <c r="O749" s="54">
        <v>100</v>
      </c>
      <c r="P749" s="33">
        <v>4</v>
      </c>
      <c r="Q749" s="33">
        <v>0</v>
      </c>
    </row>
    <row r="750" spans="1:18" x14ac:dyDescent="0.25">
      <c r="B750" s="45" t="s">
        <v>691</v>
      </c>
      <c r="C750" s="45" t="s">
        <v>67</v>
      </c>
      <c r="D750" s="20" t="s">
        <v>67</v>
      </c>
      <c r="E750" s="21">
        <v>54</v>
      </c>
      <c r="F750" s="1" t="s">
        <v>152</v>
      </c>
      <c r="G750" s="45" t="s">
        <v>234</v>
      </c>
      <c r="H750" s="1" t="s">
        <v>226</v>
      </c>
      <c r="I750" s="1" t="s">
        <v>227</v>
      </c>
      <c r="J750" s="33">
        <v>1</v>
      </c>
      <c r="K750" s="24">
        <v>45343.684895833336</v>
      </c>
      <c r="L750" s="23">
        <v>54</v>
      </c>
      <c r="M750" s="1" t="s">
        <v>692</v>
      </c>
      <c r="O750" s="54">
        <v>1</v>
      </c>
      <c r="P750" s="33">
        <v>54</v>
      </c>
      <c r="Q750" s="33">
        <v>0</v>
      </c>
    </row>
    <row r="751" spans="1:18" x14ac:dyDescent="0.25">
      <c r="B751" s="45" t="s">
        <v>691</v>
      </c>
      <c r="C751" s="45" t="s">
        <v>67</v>
      </c>
      <c r="D751" s="20" t="s">
        <v>67</v>
      </c>
      <c r="E751" s="21">
        <v>4</v>
      </c>
      <c r="F751" s="1" t="s">
        <v>152</v>
      </c>
      <c r="G751" s="45" t="s">
        <v>238</v>
      </c>
      <c r="H751" s="1" t="s">
        <v>226</v>
      </c>
      <c r="I751" s="1" t="s">
        <v>227</v>
      </c>
      <c r="J751" s="33">
        <v>1</v>
      </c>
      <c r="K751" s="24">
        <v>45343.684988425928</v>
      </c>
      <c r="L751" s="23">
        <v>4</v>
      </c>
      <c r="M751" s="1" t="s">
        <v>692</v>
      </c>
      <c r="O751" s="54">
        <v>1</v>
      </c>
      <c r="P751" s="33">
        <v>4</v>
      </c>
      <c r="Q751" s="33">
        <v>0</v>
      </c>
    </row>
    <row r="752" spans="1:18" x14ac:dyDescent="0.25">
      <c r="B752" s="45" t="s">
        <v>691</v>
      </c>
      <c r="C752" s="45" t="s">
        <v>67</v>
      </c>
      <c r="D752" s="20" t="s">
        <v>67</v>
      </c>
      <c r="E752" s="21">
        <v>58</v>
      </c>
      <c r="F752" s="1" t="s">
        <v>152</v>
      </c>
      <c r="G752" s="45" t="s">
        <v>64</v>
      </c>
      <c r="H752" s="1" t="s">
        <v>226</v>
      </c>
      <c r="I752" s="1" t="s">
        <v>227</v>
      </c>
      <c r="J752" s="33">
        <v>1</v>
      </c>
      <c r="K752" s="24">
        <v>45343.685023148151</v>
      </c>
      <c r="L752" s="23">
        <v>58</v>
      </c>
      <c r="M752" s="1" t="s">
        <v>692</v>
      </c>
      <c r="O752" s="54">
        <v>1</v>
      </c>
      <c r="P752" s="33">
        <v>58</v>
      </c>
      <c r="Q752" s="33">
        <v>0</v>
      </c>
    </row>
    <row r="753" spans="2:17" x14ac:dyDescent="0.25">
      <c r="B753" s="45" t="s">
        <v>691</v>
      </c>
      <c r="C753" s="45" t="s">
        <v>67</v>
      </c>
      <c r="D753" s="20" t="s">
        <v>67</v>
      </c>
      <c r="E753" s="21">
        <v>30</v>
      </c>
      <c r="F753" s="1" t="s">
        <v>152</v>
      </c>
      <c r="G753" s="45" t="s">
        <v>65</v>
      </c>
      <c r="H753" s="1" t="s">
        <v>226</v>
      </c>
      <c r="I753" s="1" t="s">
        <v>227</v>
      </c>
      <c r="J753" s="33">
        <v>1</v>
      </c>
      <c r="K753" s="24">
        <v>45343.685046296298</v>
      </c>
      <c r="L753" s="23">
        <v>33</v>
      </c>
      <c r="M753" s="1" t="s">
        <v>692</v>
      </c>
      <c r="O753" s="54">
        <v>1</v>
      </c>
      <c r="P753" s="33">
        <v>30</v>
      </c>
      <c r="Q753" s="33">
        <v>0</v>
      </c>
    </row>
    <row r="754" spans="2:17" x14ac:dyDescent="0.25">
      <c r="B754" s="45" t="s">
        <v>691</v>
      </c>
      <c r="C754" s="45" t="s">
        <v>67</v>
      </c>
      <c r="D754" s="20" t="s">
        <v>67</v>
      </c>
      <c r="E754" s="21">
        <v>60</v>
      </c>
      <c r="F754" s="1" t="s">
        <v>152</v>
      </c>
      <c r="G754" s="45" t="s">
        <v>62</v>
      </c>
      <c r="H754" s="1" t="s">
        <v>226</v>
      </c>
      <c r="I754" s="1" t="s">
        <v>227</v>
      </c>
      <c r="J754" s="33">
        <v>1</v>
      </c>
      <c r="K754" s="24">
        <v>45343.685081018521</v>
      </c>
      <c r="L754" s="23">
        <v>69</v>
      </c>
      <c r="M754" s="1" t="s">
        <v>692</v>
      </c>
      <c r="O754" s="54">
        <v>1</v>
      </c>
      <c r="P754" s="33">
        <v>60</v>
      </c>
      <c r="Q754" s="33">
        <v>0</v>
      </c>
    </row>
    <row r="755" spans="2:17" x14ac:dyDescent="0.25">
      <c r="B755" s="45" t="s">
        <v>691</v>
      </c>
      <c r="C755" s="45" t="s">
        <v>67</v>
      </c>
      <c r="D755" s="20" t="s">
        <v>67</v>
      </c>
      <c r="E755" s="21">
        <v>4</v>
      </c>
      <c r="F755" s="1" t="s">
        <v>152</v>
      </c>
      <c r="G755" s="45" t="s">
        <v>246</v>
      </c>
      <c r="H755" s="1" t="s">
        <v>226</v>
      </c>
      <c r="I755" s="1" t="s">
        <v>227</v>
      </c>
      <c r="J755" s="33">
        <v>1</v>
      </c>
      <c r="K755" s="24">
        <v>45343.685104166667</v>
      </c>
      <c r="L755" s="23">
        <v>4</v>
      </c>
      <c r="M755" s="1" t="s">
        <v>692</v>
      </c>
      <c r="O755" s="54">
        <v>1</v>
      </c>
      <c r="P755" s="33">
        <v>4</v>
      </c>
      <c r="Q755" s="33">
        <v>0</v>
      </c>
    </row>
    <row r="756" spans="2:17" x14ac:dyDescent="0.25">
      <c r="B756" s="45" t="s">
        <v>691</v>
      </c>
      <c r="C756" s="45" t="s">
        <v>67</v>
      </c>
      <c r="D756" s="20" t="s">
        <v>67</v>
      </c>
      <c r="E756" s="21">
        <v>4</v>
      </c>
      <c r="F756" s="1" t="s">
        <v>152</v>
      </c>
      <c r="G756" s="45" t="s">
        <v>247</v>
      </c>
      <c r="H756" s="1" t="s">
        <v>226</v>
      </c>
      <c r="I756" s="1" t="s">
        <v>227</v>
      </c>
      <c r="J756" s="33">
        <v>1</v>
      </c>
      <c r="K756" s="24">
        <v>45343.685127314813</v>
      </c>
      <c r="L756" s="23">
        <v>4</v>
      </c>
      <c r="M756" s="1" t="s">
        <v>692</v>
      </c>
      <c r="O756" s="54">
        <v>1</v>
      </c>
      <c r="P756" s="33">
        <v>4</v>
      </c>
      <c r="Q756" s="33">
        <v>0</v>
      </c>
    </row>
    <row r="757" spans="2:17" x14ac:dyDescent="0.25">
      <c r="B757" s="45" t="s">
        <v>691</v>
      </c>
      <c r="C757" s="45" t="s">
        <v>67</v>
      </c>
      <c r="D757" s="20" t="s">
        <v>67</v>
      </c>
      <c r="E757" s="21">
        <v>22</v>
      </c>
      <c r="F757" s="1" t="s">
        <v>152</v>
      </c>
      <c r="G757" s="45" t="s">
        <v>376</v>
      </c>
      <c r="H757" s="1" t="s">
        <v>226</v>
      </c>
      <c r="I757" s="1" t="s">
        <v>227</v>
      </c>
      <c r="J757" s="33">
        <v>1</v>
      </c>
      <c r="K757" s="24">
        <v>45343.685162037036</v>
      </c>
      <c r="L757" s="23">
        <v>22</v>
      </c>
      <c r="M757" s="1" t="s">
        <v>692</v>
      </c>
      <c r="O757" s="54">
        <v>1</v>
      </c>
      <c r="P757" s="33">
        <v>22</v>
      </c>
      <c r="Q757" s="33">
        <v>0</v>
      </c>
    </row>
    <row r="758" spans="2:17" x14ac:dyDescent="0.25">
      <c r="B758" s="45" t="s">
        <v>691</v>
      </c>
      <c r="C758" s="45" t="s">
        <v>67</v>
      </c>
      <c r="D758" s="20" t="s">
        <v>67</v>
      </c>
      <c r="E758" s="21">
        <v>4</v>
      </c>
      <c r="F758" s="1" t="s">
        <v>152</v>
      </c>
      <c r="G758" s="45" t="s">
        <v>63</v>
      </c>
      <c r="H758" s="1" t="s">
        <v>226</v>
      </c>
      <c r="I758" s="1" t="s">
        <v>227</v>
      </c>
      <c r="J758" s="33">
        <v>1</v>
      </c>
      <c r="K758" s="24">
        <v>45343.685185185182</v>
      </c>
      <c r="L758" s="23">
        <v>4</v>
      </c>
      <c r="M758" s="1" t="s">
        <v>692</v>
      </c>
      <c r="O758" s="54">
        <v>1</v>
      </c>
      <c r="P758" s="33">
        <v>4</v>
      </c>
      <c r="Q758" s="33">
        <v>0</v>
      </c>
    </row>
    <row r="759" spans="2:17" x14ac:dyDescent="0.25">
      <c r="B759" s="45" t="s">
        <v>693</v>
      </c>
      <c r="C759" s="45" t="s">
        <v>67</v>
      </c>
      <c r="D759" s="20" t="s">
        <v>67</v>
      </c>
      <c r="E759" s="21">
        <v>15000</v>
      </c>
      <c r="F759" s="1" t="s">
        <v>68</v>
      </c>
      <c r="G759" s="45" t="s">
        <v>138</v>
      </c>
      <c r="H759" s="1" t="s">
        <v>139</v>
      </c>
      <c r="I759" s="1" t="s">
        <v>122</v>
      </c>
      <c r="J759" s="33">
        <v>1</v>
      </c>
      <c r="K759" s="24">
        <v>45343.689236111109</v>
      </c>
      <c r="L759" s="23">
        <v>34200</v>
      </c>
      <c r="M759" s="1" t="s">
        <v>692</v>
      </c>
      <c r="O759" s="54">
        <v>3000</v>
      </c>
      <c r="P759" s="33">
        <v>5</v>
      </c>
      <c r="Q759" s="33">
        <v>0</v>
      </c>
    </row>
    <row r="760" spans="2:17" x14ac:dyDescent="0.25">
      <c r="B760" s="45" t="s">
        <v>693</v>
      </c>
      <c r="C760" s="45" t="s">
        <v>67</v>
      </c>
      <c r="D760" s="20" t="s">
        <v>67</v>
      </c>
      <c r="E760" s="21">
        <v>3000</v>
      </c>
      <c r="F760" s="1" t="s">
        <v>68</v>
      </c>
      <c r="G760" s="45" t="s">
        <v>127</v>
      </c>
      <c r="H760" s="1" t="s">
        <v>128</v>
      </c>
      <c r="I760" s="1" t="s">
        <v>122</v>
      </c>
      <c r="J760" s="33">
        <v>1</v>
      </c>
      <c r="K760" s="24">
        <v>45343.689282407409</v>
      </c>
      <c r="L760" s="23">
        <v>7800</v>
      </c>
      <c r="M760" s="1" t="s">
        <v>692</v>
      </c>
      <c r="O760" s="54">
        <v>2400</v>
      </c>
      <c r="P760" s="33">
        <v>1</v>
      </c>
      <c r="Q760" s="33">
        <v>600</v>
      </c>
    </row>
    <row r="761" spans="2:17" x14ac:dyDescent="0.25">
      <c r="B761" s="45" t="s">
        <v>694</v>
      </c>
      <c r="C761" s="45" t="s">
        <v>695</v>
      </c>
      <c r="D761" s="20" t="s">
        <v>67</v>
      </c>
      <c r="E761" s="21">
        <v>0</v>
      </c>
      <c r="F761" s="1" t="s">
        <v>144</v>
      </c>
      <c r="G761" s="25" t="s">
        <v>148</v>
      </c>
      <c r="H761" s="1" t="s">
        <v>149</v>
      </c>
      <c r="I761" s="1" t="s">
        <v>147</v>
      </c>
      <c r="J761" s="60">
        <v>0</v>
      </c>
      <c r="K761" s="24">
        <v>45343.731342592589</v>
      </c>
      <c r="L761" s="23">
        <v>4700</v>
      </c>
      <c r="O761" s="54">
        <v>10</v>
      </c>
      <c r="P761" s="33">
        <v>0</v>
      </c>
      <c r="Q761" s="33">
        <v>0</v>
      </c>
    </row>
    <row r="762" spans="2:17" x14ac:dyDescent="0.25">
      <c r="B762" s="45" t="s">
        <v>694</v>
      </c>
      <c r="C762" s="45" t="s">
        <v>696</v>
      </c>
      <c r="D762" s="20" t="s">
        <v>67</v>
      </c>
      <c r="E762" s="21">
        <v>0</v>
      </c>
      <c r="F762" s="1" t="s">
        <v>144</v>
      </c>
      <c r="G762" s="25" t="s">
        <v>150</v>
      </c>
      <c r="H762" s="1" t="s">
        <v>151</v>
      </c>
      <c r="I762" s="1" t="s">
        <v>147</v>
      </c>
      <c r="J762" s="60">
        <v>0</v>
      </c>
      <c r="K762" s="24">
        <v>45343.731377314813</v>
      </c>
      <c r="L762" s="23">
        <v>265</v>
      </c>
      <c r="O762" s="54">
        <v>10</v>
      </c>
      <c r="P762" s="33">
        <v>0</v>
      </c>
      <c r="Q762" s="33">
        <v>0</v>
      </c>
    </row>
    <row r="763" spans="2:17" x14ac:dyDescent="0.25">
      <c r="B763" s="45" t="s">
        <v>694</v>
      </c>
      <c r="C763" s="45" t="s">
        <v>697</v>
      </c>
      <c r="D763" s="20" t="s">
        <v>67</v>
      </c>
      <c r="E763" s="21">
        <v>0</v>
      </c>
      <c r="F763" s="1" t="s">
        <v>144</v>
      </c>
      <c r="G763" s="25" t="s">
        <v>145</v>
      </c>
      <c r="H763" s="1" t="s">
        <v>151</v>
      </c>
      <c r="I763" s="1" t="s">
        <v>147</v>
      </c>
      <c r="J763" s="60">
        <v>0</v>
      </c>
      <c r="K763" s="24">
        <v>45344.731377256947</v>
      </c>
      <c r="L763" s="23">
        <v>266</v>
      </c>
    </row>
    <row r="764" spans="2:17" x14ac:dyDescent="0.25">
      <c r="B764" s="45" t="s">
        <v>321</v>
      </c>
      <c r="C764" s="45" t="s">
        <v>550</v>
      </c>
      <c r="D764" s="20" t="s">
        <v>96</v>
      </c>
      <c r="E764" s="21">
        <v>20</v>
      </c>
      <c r="F764" s="1" t="s">
        <v>152</v>
      </c>
      <c r="G764" s="25" t="s">
        <v>62</v>
      </c>
      <c r="H764" s="1" t="s">
        <v>226</v>
      </c>
      <c r="I764" s="1" t="s">
        <v>227</v>
      </c>
      <c r="J764" s="60">
        <v>0</v>
      </c>
      <c r="K764" s="24">
        <v>45344.378125000003</v>
      </c>
      <c r="L764" s="23">
        <v>49</v>
      </c>
      <c r="O764" s="54">
        <v>1</v>
      </c>
      <c r="P764" s="33">
        <v>20</v>
      </c>
      <c r="Q764" s="33">
        <v>0</v>
      </c>
    </row>
    <row r="765" spans="2:17" x14ac:dyDescent="0.25">
      <c r="B765" s="45" t="s">
        <v>321</v>
      </c>
      <c r="C765" s="45" t="s">
        <v>550</v>
      </c>
      <c r="D765" s="20" t="s">
        <v>96</v>
      </c>
      <c r="E765" s="21">
        <v>15</v>
      </c>
      <c r="F765" s="1" t="s">
        <v>152</v>
      </c>
      <c r="G765" s="25" t="s">
        <v>234</v>
      </c>
      <c r="H765" s="1" t="s">
        <v>226</v>
      </c>
      <c r="I765" s="1" t="s">
        <v>227</v>
      </c>
      <c r="J765" s="60">
        <v>0</v>
      </c>
      <c r="K765" s="24">
        <v>45344.378159722219</v>
      </c>
      <c r="L765" s="23">
        <v>39</v>
      </c>
      <c r="O765" s="54">
        <v>1</v>
      </c>
      <c r="P765" s="33">
        <v>15</v>
      </c>
      <c r="Q765" s="33">
        <v>0</v>
      </c>
    </row>
    <row r="766" spans="2:17" x14ac:dyDescent="0.25">
      <c r="B766" s="45" t="s">
        <v>321</v>
      </c>
      <c r="C766" s="45" t="s">
        <v>550</v>
      </c>
      <c r="D766" s="20" t="s">
        <v>96</v>
      </c>
      <c r="E766" s="21">
        <v>30</v>
      </c>
      <c r="F766" s="1" t="s">
        <v>152</v>
      </c>
      <c r="G766" s="25" t="s">
        <v>64</v>
      </c>
      <c r="H766" s="1" t="s">
        <v>226</v>
      </c>
      <c r="I766" s="1" t="s">
        <v>227</v>
      </c>
      <c r="J766" s="60">
        <v>0</v>
      </c>
      <c r="K766" s="24">
        <v>45344.378171296295</v>
      </c>
      <c r="L766" s="23">
        <v>28</v>
      </c>
      <c r="O766" s="54">
        <v>1</v>
      </c>
      <c r="P766" s="33">
        <v>30</v>
      </c>
      <c r="Q766" s="33">
        <v>0</v>
      </c>
    </row>
    <row r="767" spans="2:17" x14ac:dyDescent="0.25">
      <c r="B767" s="45" t="s">
        <v>321</v>
      </c>
      <c r="C767" s="45" t="s">
        <v>550</v>
      </c>
      <c r="D767" s="20" t="s">
        <v>96</v>
      </c>
      <c r="E767" s="21">
        <v>12</v>
      </c>
      <c r="F767" s="1" t="s">
        <v>152</v>
      </c>
      <c r="G767" s="25" t="s">
        <v>376</v>
      </c>
      <c r="H767" s="1" t="s">
        <v>226</v>
      </c>
      <c r="I767" s="1" t="s">
        <v>227</v>
      </c>
      <c r="J767" s="60">
        <v>0</v>
      </c>
      <c r="K767" s="24">
        <v>45344.378182870372</v>
      </c>
      <c r="L767" s="23">
        <v>10</v>
      </c>
      <c r="O767" s="54">
        <v>1</v>
      </c>
      <c r="P767" s="33">
        <v>12</v>
      </c>
      <c r="Q767" s="33">
        <v>0</v>
      </c>
    </row>
    <row r="768" spans="2:17" x14ac:dyDescent="0.25">
      <c r="B768" s="45" t="s">
        <v>321</v>
      </c>
      <c r="C768" s="45" t="s">
        <v>550</v>
      </c>
      <c r="D768" s="20" t="s">
        <v>96</v>
      </c>
      <c r="E768" s="21">
        <v>5</v>
      </c>
      <c r="F768" s="1" t="s">
        <v>152</v>
      </c>
      <c r="G768" s="25" t="s">
        <v>65</v>
      </c>
      <c r="H768" s="1" t="s">
        <v>226</v>
      </c>
      <c r="I768" s="1" t="s">
        <v>227</v>
      </c>
      <c r="J768" s="60">
        <v>0</v>
      </c>
      <c r="K768" s="24">
        <v>45344.378194444442</v>
      </c>
      <c r="L768" s="23">
        <v>28</v>
      </c>
      <c r="O768" s="54">
        <v>1</v>
      </c>
      <c r="P768" s="33">
        <v>5</v>
      </c>
      <c r="Q768" s="33">
        <v>0</v>
      </c>
    </row>
    <row r="769" spans="2:17" x14ac:dyDescent="0.25">
      <c r="B769" s="45" t="s">
        <v>321</v>
      </c>
      <c r="C769" s="45" t="s">
        <v>550</v>
      </c>
      <c r="D769" s="20" t="s">
        <v>96</v>
      </c>
      <c r="E769" s="21">
        <v>2</v>
      </c>
      <c r="F769" s="1" t="s">
        <v>152</v>
      </c>
      <c r="G769" s="25" t="s">
        <v>238</v>
      </c>
      <c r="H769" s="1" t="s">
        <v>226</v>
      </c>
      <c r="I769" s="1" t="s">
        <v>227</v>
      </c>
      <c r="J769" s="60">
        <v>0</v>
      </c>
      <c r="K769" s="24">
        <v>45344.378217592595</v>
      </c>
      <c r="L769" s="23">
        <v>2</v>
      </c>
      <c r="O769" s="54">
        <v>1</v>
      </c>
      <c r="P769" s="33">
        <v>2</v>
      </c>
      <c r="Q769" s="33">
        <v>0</v>
      </c>
    </row>
    <row r="770" spans="2:17" x14ac:dyDescent="0.25">
      <c r="B770" s="45" t="s">
        <v>321</v>
      </c>
      <c r="C770" s="45" t="s">
        <v>550</v>
      </c>
      <c r="D770" s="20" t="s">
        <v>96</v>
      </c>
      <c r="E770" s="21">
        <v>2</v>
      </c>
      <c r="F770" s="1" t="s">
        <v>152</v>
      </c>
      <c r="G770" s="25" t="s">
        <v>63</v>
      </c>
      <c r="H770" s="1" t="s">
        <v>226</v>
      </c>
      <c r="I770" s="1" t="s">
        <v>227</v>
      </c>
      <c r="J770" s="60">
        <v>0</v>
      </c>
      <c r="K770" s="24">
        <v>45344.378229166665</v>
      </c>
      <c r="L770" s="23">
        <v>2</v>
      </c>
      <c r="O770" s="54">
        <v>1</v>
      </c>
      <c r="P770" s="33">
        <v>2</v>
      </c>
      <c r="Q770" s="33">
        <v>0</v>
      </c>
    </row>
    <row r="771" spans="2:17" x14ac:dyDescent="0.25">
      <c r="B771" s="45" t="s">
        <v>321</v>
      </c>
      <c r="C771" s="45" t="s">
        <v>550</v>
      </c>
      <c r="D771" s="20" t="s">
        <v>96</v>
      </c>
      <c r="E771" s="21">
        <v>2</v>
      </c>
      <c r="F771" s="1" t="s">
        <v>152</v>
      </c>
      <c r="G771" s="25" t="s">
        <v>246</v>
      </c>
      <c r="H771" s="1" t="s">
        <v>226</v>
      </c>
      <c r="I771" s="1" t="s">
        <v>227</v>
      </c>
      <c r="J771" s="60">
        <v>0</v>
      </c>
      <c r="K771" s="24">
        <v>45344.378240740742</v>
      </c>
      <c r="L771" s="23">
        <v>2</v>
      </c>
      <c r="O771" s="54">
        <v>1</v>
      </c>
      <c r="P771" s="33">
        <v>2</v>
      </c>
      <c r="Q771" s="33">
        <v>0</v>
      </c>
    </row>
    <row r="772" spans="2:17" x14ac:dyDescent="0.25">
      <c r="B772" s="45" t="s">
        <v>321</v>
      </c>
      <c r="C772" s="45" t="s">
        <v>429</v>
      </c>
      <c r="D772" s="20" t="s">
        <v>698</v>
      </c>
      <c r="E772" s="21">
        <v>250</v>
      </c>
      <c r="F772" s="1" t="s">
        <v>68</v>
      </c>
      <c r="G772" s="25" t="s">
        <v>172</v>
      </c>
      <c r="H772" s="1" t="s">
        <v>173</v>
      </c>
      <c r="J772" s="60">
        <v>0</v>
      </c>
      <c r="K772" s="24">
        <v>45344.378252314818</v>
      </c>
      <c r="L772" s="23">
        <v>1852</v>
      </c>
      <c r="O772" s="54">
        <v>24</v>
      </c>
      <c r="P772" s="33">
        <v>10</v>
      </c>
      <c r="Q772" s="33">
        <v>9.9999999999999858</v>
      </c>
    </row>
    <row r="773" spans="2:17" x14ac:dyDescent="0.25">
      <c r="B773" s="45" t="s">
        <v>321</v>
      </c>
      <c r="C773" s="45" t="s">
        <v>568</v>
      </c>
      <c r="D773" s="20" t="s">
        <v>699</v>
      </c>
      <c r="E773" s="21">
        <v>10000</v>
      </c>
      <c r="F773" s="1" t="s">
        <v>68</v>
      </c>
      <c r="G773" s="25" t="s">
        <v>124</v>
      </c>
      <c r="H773" s="1" t="s">
        <v>125</v>
      </c>
      <c r="I773" s="1" t="s">
        <v>122</v>
      </c>
      <c r="J773" s="60">
        <v>0</v>
      </c>
      <c r="K773" s="24">
        <v>45344.378321759257</v>
      </c>
      <c r="L773" s="23">
        <v>11600</v>
      </c>
      <c r="O773" s="54">
        <v>1200</v>
      </c>
      <c r="P773" s="33">
        <v>8</v>
      </c>
      <c r="Q773" s="33">
        <v>400.00000000000068</v>
      </c>
    </row>
    <row r="774" spans="2:17" x14ac:dyDescent="0.25">
      <c r="B774" s="45" t="s">
        <v>321</v>
      </c>
      <c r="C774" s="45" t="s">
        <v>454</v>
      </c>
      <c r="D774" s="20" t="s">
        <v>700</v>
      </c>
      <c r="E774" s="21">
        <v>200</v>
      </c>
      <c r="F774" s="1" t="s">
        <v>68</v>
      </c>
      <c r="G774" s="25" t="s">
        <v>168</v>
      </c>
      <c r="H774" s="1" t="s">
        <v>169</v>
      </c>
      <c r="I774" s="1" t="s">
        <v>122</v>
      </c>
      <c r="J774" s="60">
        <v>0</v>
      </c>
      <c r="K774" s="24">
        <v>45344.378333333334</v>
      </c>
      <c r="L774" s="23">
        <v>786</v>
      </c>
      <c r="O774" s="54">
        <v>200</v>
      </c>
      <c r="P774" s="33">
        <v>1</v>
      </c>
      <c r="Q774" s="33">
        <v>0</v>
      </c>
    </row>
    <row r="775" spans="2:17" x14ac:dyDescent="0.25">
      <c r="B775" s="45" t="s">
        <v>321</v>
      </c>
      <c r="C775" s="45" t="s">
        <v>656</v>
      </c>
      <c r="D775" s="20" t="s">
        <v>701</v>
      </c>
      <c r="E775" s="21">
        <v>750</v>
      </c>
      <c r="F775" s="1" t="s">
        <v>68</v>
      </c>
      <c r="G775" s="25" t="s">
        <v>132</v>
      </c>
      <c r="H775" s="1" t="s">
        <v>133</v>
      </c>
      <c r="I775" s="1" t="s">
        <v>122</v>
      </c>
      <c r="J775" s="60">
        <v>0</v>
      </c>
      <c r="K775" s="24">
        <v>45344.378344907411</v>
      </c>
      <c r="L775" s="23">
        <v>11800</v>
      </c>
      <c r="O775" s="54">
        <v>1200</v>
      </c>
      <c r="P775" s="33">
        <v>0</v>
      </c>
      <c r="Q775" s="33">
        <v>750</v>
      </c>
    </row>
    <row r="776" spans="2:17" x14ac:dyDescent="0.25">
      <c r="B776" s="45" t="s">
        <v>321</v>
      </c>
      <c r="C776" s="45" t="s">
        <v>594</v>
      </c>
      <c r="D776" s="20" t="s">
        <v>702</v>
      </c>
      <c r="E776" s="21">
        <v>240</v>
      </c>
      <c r="F776" s="1" t="s">
        <v>68</v>
      </c>
      <c r="G776" s="25" t="s">
        <v>181</v>
      </c>
      <c r="H776" s="1" t="s">
        <v>182</v>
      </c>
      <c r="I776" s="1" t="s">
        <v>183</v>
      </c>
      <c r="J776" s="60">
        <v>0</v>
      </c>
      <c r="K776" s="24">
        <v>45344.378368055557</v>
      </c>
      <c r="L776" s="23">
        <v>-246</v>
      </c>
      <c r="O776" s="54">
        <v>300</v>
      </c>
      <c r="P776" s="33">
        <v>0</v>
      </c>
      <c r="Q776" s="33">
        <v>240</v>
      </c>
    </row>
    <row r="777" spans="2:17" x14ac:dyDescent="0.25">
      <c r="B777" s="25" t="s">
        <v>176</v>
      </c>
      <c r="C777" s="25" t="s">
        <v>628</v>
      </c>
      <c r="D777" s="1" t="s">
        <v>709</v>
      </c>
      <c r="E777" s="1">
        <v>40</v>
      </c>
      <c r="F777" s="1" t="s">
        <v>144</v>
      </c>
      <c r="G777" s="25" t="s">
        <v>148</v>
      </c>
      <c r="H777" s="1" t="s">
        <v>149</v>
      </c>
      <c r="I777" s="1" t="s">
        <v>147</v>
      </c>
      <c r="J777" s="60">
        <v>0</v>
      </c>
      <c r="K777" s="24">
        <v>45345.714942129627</v>
      </c>
      <c r="L777" s="23">
        <v>4660</v>
      </c>
      <c r="O777" s="54">
        <v>10</v>
      </c>
      <c r="P777" s="33">
        <v>4</v>
      </c>
      <c r="Q777" s="33">
        <v>0</v>
      </c>
    </row>
    <row r="778" spans="2:17" x14ac:dyDescent="0.25">
      <c r="B778" s="25" t="s">
        <v>176</v>
      </c>
      <c r="C778" s="25" t="s">
        <v>628</v>
      </c>
      <c r="D778" s="1">
        <v>548</v>
      </c>
      <c r="E778" s="1">
        <v>20</v>
      </c>
      <c r="F778" s="1" t="s">
        <v>144</v>
      </c>
      <c r="G778" s="25" t="s">
        <v>150</v>
      </c>
      <c r="H778" s="1" t="s">
        <v>151</v>
      </c>
      <c r="I778" s="1" t="s">
        <v>147</v>
      </c>
      <c r="J778" s="60">
        <v>0</v>
      </c>
      <c r="K778" s="24">
        <v>45345.714965277781</v>
      </c>
      <c r="L778" s="23">
        <v>245</v>
      </c>
      <c r="O778" s="54">
        <v>10</v>
      </c>
      <c r="P778" s="33">
        <v>2</v>
      </c>
      <c r="Q778" s="33">
        <v>0</v>
      </c>
    </row>
    <row r="779" spans="2:17" x14ac:dyDescent="0.25">
      <c r="B779" s="25" t="s">
        <v>176</v>
      </c>
      <c r="C779" s="25" t="s">
        <v>582</v>
      </c>
      <c r="D779" s="1" t="s">
        <v>710</v>
      </c>
      <c r="E779" s="1">
        <v>200</v>
      </c>
      <c r="F779" s="1" t="s">
        <v>68</v>
      </c>
      <c r="G779" s="25" t="s">
        <v>159</v>
      </c>
      <c r="H779" s="1" t="s">
        <v>160</v>
      </c>
      <c r="I779" s="1" t="s">
        <v>161</v>
      </c>
      <c r="J779" s="60">
        <v>0</v>
      </c>
      <c r="K779" s="24">
        <v>45345.71497685185</v>
      </c>
      <c r="L779" s="23">
        <v>6888</v>
      </c>
      <c r="O779" s="54">
        <v>24</v>
      </c>
      <c r="P779" s="33">
        <v>8</v>
      </c>
      <c r="Q779" s="33">
        <v>8.0000000000000142</v>
      </c>
    </row>
    <row r="780" spans="2:17" x14ac:dyDescent="0.25">
      <c r="B780" s="25" t="s">
        <v>176</v>
      </c>
      <c r="C780" s="25" t="s">
        <v>392</v>
      </c>
      <c r="D780" s="1" t="s">
        <v>711</v>
      </c>
      <c r="E780" s="1">
        <v>1000</v>
      </c>
      <c r="F780" s="1" t="s">
        <v>68</v>
      </c>
      <c r="G780" s="25" t="s">
        <v>181</v>
      </c>
      <c r="H780" s="1" t="s">
        <v>182</v>
      </c>
      <c r="I780" s="1" t="s">
        <v>183</v>
      </c>
      <c r="J780" s="60">
        <v>0</v>
      </c>
      <c r="K780" s="24">
        <v>45345.71497685185</v>
      </c>
      <c r="L780" s="23">
        <v>-1246</v>
      </c>
      <c r="O780" s="54">
        <v>300</v>
      </c>
      <c r="P780" s="33">
        <v>3</v>
      </c>
      <c r="Q780" s="33">
        <v>100.00000000000004</v>
      </c>
    </row>
    <row r="781" spans="2:17" x14ac:dyDescent="0.25">
      <c r="B781" s="25" t="s">
        <v>176</v>
      </c>
      <c r="C781" s="25" t="s">
        <v>769</v>
      </c>
      <c r="D781" s="1" t="s">
        <v>712</v>
      </c>
      <c r="E781" s="1">
        <v>500</v>
      </c>
      <c r="F781" s="1" t="s">
        <v>152</v>
      </c>
      <c r="G781" s="25" t="s">
        <v>158</v>
      </c>
      <c r="H781" s="1" t="s">
        <v>154</v>
      </c>
      <c r="I781" s="1" t="s">
        <v>155</v>
      </c>
      <c r="J781" s="60">
        <v>0</v>
      </c>
      <c r="K781" s="24">
        <v>45345.714999999997</v>
      </c>
      <c r="L781" s="23">
        <v>1368</v>
      </c>
      <c r="O781" s="54">
        <v>144</v>
      </c>
      <c r="P781" s="33">
        <v>3</v>
      </c>
      <c r="Q781" s="33">
        <v>68.000000000000014</v>
      </c>
    </row>
    <row r="782" spans="2:17" x14ac:dyDescent="0.25">
      <c r="B782" s="25" t="s">
        <v>321</v>
      </c>
      <c r="C782" s="25" t="s">
        <v>592</v>
      </c>
      <c r="D782" s="1" t="s">
        <v>704</v>
      </c>
      <c r="E782" s="1">
        <v>50</v>
      </c>
      <c r="F782" s="1" t="s">
        <v>68</v>
      </c>
      <c r="G782" s="25" t="s">
        <v>175</v>
      </c>
      <c r="H782" s="1" t="s">
        <v>173</v>
      </c>
      <c r="J782" s="60">
        <v>0</v>
      </c>
      <c r="K782" s="24">
        <v>45348.563460648147</v>
      </c>
      <c r="L782" s="23">
        <v>1118</v>
      </c>
      <c r="O782" s="54">
        <v>12</v>
      </c>
      <c r="P782" s="33">
        <v>4</v>
      </c>
      <c r="Q782" s="33">
        <v>2.0000000000000036</v>
      </c>
    </row>
    <row r="783" spans="2:17" x14ac:dyDescent="0.25">
      <c r="B783" s="25" t="s">
        <v>321</v>
      </c>
      <c r="C783" s="25" t="s">
        <v>265</v>
      </c>
      <c r="D783" s="1" t="s">
        <v>705</v>
      </c>
      <c r="E783" s="1">
        <v>3000</v>
      </c>
      <c r="F783" s="1" t="s">
        <v>68</v>
      </c>
      <c r="G783" s="25" t="s">
        <v>138</v>
      </c>
      <c r="H783" s="1" t="s">
        <v>139</v>
      </c>
      <c r="I783" s="1" t="s">
        <v>122</v>
      </c>
      <c r="J783" s="60">
        <v>0</v>
      </c>
      <c r="K783" s="24">
        <v>45348.56349537037</v>
      </c>
      <c r="L783" s="23">
        <v>31200</v>
      </c>
      <c r="O783" s="54">
        <v>3000</v>
      </c>
      <c r="P783" s="33">
        <v>1</v>
      </c>
      <c r="Q783" s="33">
        <v>0</v>
      </c>
    </row>
    <row r="784" spans="2:17" x14ac:dyDescent="0.25">
      <c r="B784" s="25" t="s">
        <v>321</v>
      </c>
      <c r="C784" s="25" t="s">
        <v>345</v>
      </c>
      <c r="D784" s="1" t="s">
        <v>706</v>
      </c>
      <c r="E784" s="1">
        <v>2000</v>
      </c>
      <c r="F784" s="1" t="s">
        <v>68</v>
      </c>
      <c r="G784" s="25" t="s">
        <v>197</v>
      </c>
      <c r="H784" s="1" t="s">
        <v>198</v>
      </c>
      <c r="I784" s="1" t="s">
        <v>161</v>
      </c>
      <c r="J784" s="60">
        <v>0</v>
      </c>
      <c r="K784" s="24">
        <v>45348.563530092593</v>
      </c>
      <c r="L784" s="23">
        <v>-2000</v>
      </c>
      <c r="O784" s="54">
        <v>2000</v>
      </c>
      <c r="P784" s="33">
        <v>1</v>
      </c>
      <c r="Q784" s="33">
        <v>0</v>
      </c>
    </row>
    <row r="785" spans="2:17" x14ac:dyDescent="0.25">
      <c r="B785" s="25" t="s">
        <v>321</v>
      </c>
      <c r="C785" s="25" t="s">
        <v>770</v>
      </c>
      <c r="D785" s="1" t="s">
        <v>707</v>
      </c>
      <c r="E785" s="1">
        <v>20</v>
      </c>
      <c r="F785" s="1" t="s">
        <v>68</v>
      </c>
      <c r="G785" s="25" t="s">
        <v>794</v>
      </c>
      <c r="H785" s="1" t="s">
        <v>251</v>
      </c>
      <c r="I785" s="1" t="s">
        <v>252</v>
      </c>
      <c r="J785" s="60">
        <v>0</v>
      </c>
      <c r="K785" s="24">
        <v>45348.563622685186</v>
      </c>
      <c r="L785" s="23">
        <v>0</v>
      </c>
      <c r="O785" s="54">
        <v>1</v>
      </c>
      <c r="P785" s="33">
        <v>20</v>
      </c>
      <c r="Q785" s="33">
        <v>0</v>
      </c>
    </row>
    <row r="786" spans="2:17" x14ac:dyDescent="0.25">
      <c r="B786" s="25" t="s">
        <v>321</v>
      </c>
      <c r="C786" s="25" t="s">
        <v>479</v>
      </c>
      <c r="D786" s="1" t="s">
        <v>708</v>
      </c>
      <c r="E786" s="1">
        <v>170</v>
      </c>
      <c r="F786" s="1" t="s">
        <v>144</v>
      </c>
      <c r="G786" s="25" t="s">
        <v>148</v>
      </c>
      <c r="H786" s="1" t="s">
        <v>149</v>
      </c>
      <c r="I786" s="1" t="s">
        <v>147</v>
      </c>
      <c r="J786" s="60">
        <v>0</v>
      </c>
      <c r="K786" s="24">
        <v>45348.563692129632</v>
      </c>
      <c r="L786" s="23">
        <v>4490</v>
      </c>
      <c r="O786" s="54">
        <v>10</v>
      </c>
      <c r="P786" s="33">
        <v>17</v>
      </c>
      <c r="Q786" s="33">
        <v>0</v>
      </c>
    </row>
    <row r="787" spans="2:17" x14ac:dyDescent="0.25">
      <c r="B787" s="45" t="s">
        <v>713</v>
      </c>
      <c r="C787" s="45" t="s">
        <v>67</v>
      </c>
      <c r="D787" s="20" t="s">
        <v>67</v>
      </c>
      <c r="E787" s="21">
        <v>10000</v>
      </c>
      <c r="F787" s="1" t="s">
        <v>68</v>
      </c>
      <c r="G787" s="45" t="s">
        <v>197</v>
      </c>
      <c r="H787" s="1" t="s">
        <v>198</v>
      </c>
      <c r="I787" s="1" t="s">
        <v>161</v>
      </c>
      <c r="J787" s="33">
        <v>1</v>
      </c>
      <c r="K787" s="24">
        <v>45348.5705787037</v>
      </c>
      <c r="L787" s="23">
        <v>8000</v>
      </c>
      <c r="M787" s="1" t="s">
        <v>714</v>
      </c>
      <c r="O787" s="54">
        <v>2000</v>
      </c>
      <c r="P787" s="33">
        <v>5</v>
      </c>
      <c r="Q787" s="33">
        <v>0</v>
      </c>
    </row>
    <row r="788" spans="2:17" x14ac:dyDescent="0.25">
      <c r="B788" s="45" t="s">
        <v>715</v>
      </c>
      <c r="C788" s="45" t="s">
        <v>67</v>
      </c>
      <c r="D788" s="20" t="s">
        <v>67</v>
      </c>
      <c r="E788" s="21">
        <v>14000</v>
      </c>
      <c r="F788" s="1" t="s">
        <v>68</v>
      </c>
      <c r="G788" s="45" t="s">
        <v>197</v>
      </c>
      <c r="H788" s="1" t="s">
        <v>198</v>
      </c>
      <c r="I788" s="1" t="s">
        <v>161</v>
      </c>
      <c r="J788" s="33">
        <v>1</v>
      </c>
      <c r="K788" s="24">
        <v>45348.571747685186</v>
      </c>
      <c r="L788" s="23">
        <v>22000</v>
      </c>
      <c r="M788" s="1" t="s">
        <v>714</v>
      </c>
      <c r="O788" s="54">
        <v>2000</v>
      </c>
      <c r="P788" s="33">
        <v>7</v>
      </c>
      <c r="Q788" s="33">
        <v>0</v>
      </c>
    </row>
    <row r="789" spans="2:17" x14ac:dyDescent="0.25">
      <c r="B789" s="45" t="s">
        <v>716</v>
      </c>
      <c r="C789" s="45" t="s">
        <v>67</v>
      </c>
      <c r="D789" s="20" t="s">
        <v>67</v>
      </c>
      <c r="E789" s="21">
        <v>8000</v>
      </c>
      <c r="F789" s="1" t="s">
        <v>68</v>
      </c>
      <c r="G789" s="25" t="s">
        <v>197</v>
      </c>
      <c r="H789" s="1" t="s">
        <v>198</v>
      </c>
      <c r="I789" s="1" t="s">
        <v>161</v>
      </c>
      <c r="J789" s="33">
        <v>1</v>
      </c>
      <c r="K789" s="24">
        <v>45348.572233796294</v>
      </c>
      <c r="L789" s="23">
        <v>30000</v>
      </c>
      <c r="M789" s="1" t="s">
        <v>714</v>
      </c>
      <c r="O789" s="54">
        <v>2000</v>
      </c>
      <c r="P789" s="33">
        <v>4</v>
      </c>
      <c r="Q789" s="33">
        <v>0</v>
      </c>
    </row>
    <row r="790" spans="2:17" x14ac:dyDescent="0.25">
      <c r="B790" s="45" t="s">
        <v>717</v>
      </c>
      <c r="C790" s="45" t="s">
        <v>67</v>
      </c>
      <c r="D790" s="20" t="s">
        <v>67</v>
      </c>
      <c r="E790" s="21">
        <v>40</v>
      </c>
      <c r="F790" s="1" t="s">
        <v>152</v>
      </c>
      <c r="G790" s="25" t="s">
        <v>415</v>
      </c>
      <c r="H790" s="1" t="s">
        <v>226</v>
      </c>
      <c r="I790" s="1" t="s">
        <v>227</v>
      </c>
      <c r="J790" s="33">
        <v>1</v>
      </c>
      <c r="K790" s="24">
        <v>45348.57980324074</v>
      </c>
      <c r="L790" s="23">
        <v>76</v>
      </c>
      <c r="M790" s="1" t="s">
        <v>714</v>
      </c>
      <c r="O790" s="54">
        <v>1</v>
      </c>
      <c r="P790" s="33">
        <v>40</v>
      </c>
      <c r="Q790" s="33">
        <v>0</v>
      </c>
    </row>
    <row r="791" spans="2:17" x14ac:dyDescent="0.25">
      <c r="B791" s="45" t="s">
        <v>717</v>
      </c>
      <c r="C791" s="45" t="s">
        <v>67</v>
      </c>
      <c r="D791" s="20" t="s">
        <v>67</v>
      </c>
      <c r="E791" s="21">
        <v>44</v>
      </c>
      <c r="F791" s="1" t="s">
        <v>152</v>
      </c>
      <c r="G791" s="25" t="s">
        <v>376</v>
      </c>
      <c r="H791" s="1" t="s">
        <v>226</v>
      </c>
      <c r="I791" s="1" t="s">
        <v>227</v>
      </c>
      <c r="J791" s="33">
        <v>1</v>
      </c>
      <c r="K791" s="24">
        <v>45348.579942129632</v>
      </c>
      <c r="L791" s="23">
        <v>54</v>
      </c>
      <c r="M791" s="1" t="s">
        <v>714</v>
      </c>
      <c r="O791" s="54">
        <v>1</v>
      </c>
      <c r="P791" s="33">
        <v>44</v>
      </c>
      <c r="Q791" s="33">
        <v>0</v>
      </c>
    </row>
    <row r="792" spans="2:17" x14ac:dyDescent="0.25">
      <c r="B792" s="45" t="s">
        <v>717</v>
      </c>
      <c r="C792" s="45" t="s">
        <v>67</v>
      </c>
      <c r="D792" s="20" t="s">
        <v>67</v>
      </c>
      <c r="E792" s="21">
        <v>40</v>
      </c>
      <c r="F792" s="1" t="s">
        <v>152</v>
      </c>
      <c r="G792" s="25" t="s">
        <v>245</v>
      </c>
      <c r="H792" s="1" t="s">
        <v>226</v>
      </c>
      <c r="I792" s="1" t="s">
        <v>227</v>
      </c>
      <c r="J792" s="33">
        <v>1</v>
      </c>
      <c r="K792" s="24">
        <v>45348.58</v>
      </c>
      <c r="L792" s="23">
        <v>70</v>
      </c>
      <c r="M792" s="1" t="s">
        <v>714</v>
      </c>
      <c r="O792" s="54">
        <v>1</v>
      </c>
      <c r="P792" s="33">
        <v>40</v>
      </c>
      <c r="Q792" s="33">
        <v>0</v>
      </c>
    </row>
    <row r="793" spans="2:17" x14ac:dyDescent="0.25">
      <c r="B793" s="45" t="s">
        <v>717</v>
      </c>
      <c r="C793" s="45" t="s">
        <v>67</v>
      </c>
      <c r="D793" s="20" t="s">
        <v>67</v>
      </c>
      <c r="E793" s="21">
        <v>26</v>
      </c>
      <c r="F793" s="1" t="s">
        <v>152</v>
      </c>
      <c r="G793" s="25" t="s">
        <v>234</v>
      </c>
      <c r="H793" s="1" t="s">
        <v>226</v>
      </c>
      <c r="I793" s="1" t="s">
        <v>227</v>
      </c>
      <c r="J793" s="33">
        <v>1</v>
      </c>
      <c r="K793" s="24">
        <v>45348.580046296294</v>
      </c>
      <c r="L793" s="23">
        <v>65</v>
      </c>
      <c r="M793" s="1" t="s">
        <v>714</v>
      </c>
      <c r="O793" s="54">
        <v>1</v>
      </c>
      <c r="P793" s="33">
        <v>26</v>
      </c>
      <c r="Q793" s="33">
        <v>0</v>
      </c>
    </row>
    <row r="794" spans="2:17" x14ac:dyDescent="0.25">
      <c r="B794" s="45" t="s">
        <v>717</v>
      </c>
      <c r="C794" s="45" t="s">
        <v>67</v>
      </c>
      <c r="D794" s="20" t="s">
        <v>67</v>
      </c>
      <c r="E794" s="21">
        <v>4</v>
      </c>
      <c r="F794" s="1" t="s">
        <v>152</v>
      </c>
      <c r="G794" s="25" t="s">
        <v>248</v>
      </c>
      <c r="H794" s="1" t="s">
        <v>226</v>
      </c>
      <c r="I794" s="1" t="s">
        <v>227</v>
      </c>
      <c r="J794" s="33">
        <v>1</v>
      </c>
      <c r="K794" s="24">
        <v>45348.580104166664</v>
      </c>
      <c r="L794" s="23">
        <v>4</v>
      </c>
      <c r="M794" s="1" t="s">
        <v>714</v>
      </c>
      <c r="O794" s="54">
        <v>1</v>
      </c>
      <c r="P794" s="33">
        <v>4</v>
      </c>
      <c r="Q794" s="33">
        <v>0</v>
      </c>
    </row>
    <row r="795" spans="2:17" x14ac:dyDescent="0.25">
      <c r="B795" s="45" t="s">
        <v>717</v>
      </c>
      <c r="C795" s="45" t="s">
        <v>67</v>
      </c>
      <c r="D795" s="20" t="s">
        <v>67</v>
      </c>
      <c r="E795" s="21">
        <v>28</v>
      </c>
      <c r="F795" s="1" t="s">
        <v>152</v>
      </c>
      <c r="G795" s="25" t="s">
        <v>64</v>
      </c>
      <c r="H795" s="1" t="s">
        <v>226</v>
      </c>
      <c r="I795" s="1" t="s">
        <v>227</v>
      </c>
      <c r="J795" s="33">
        <v>1</v>
      </c>
      <c r="K795" s="24">
        <v>45348.580150462964</v>
      </c>
      <c r="L795" s="23">
        <v>56</v>
      </c>
      <c r="M795" s="1" t="s">
        <v>714</v>
      </c>
      <c r="O795" s="54">
        <v>1</v>
      </c>
      <c r="P795" s="33">
        <v>28</v>
      </c>
      <c r="Q795" s="33">
        <v>0</v>
      </c>
    </row>
    <row r="796" spans="2:17" x14ac:dyDescent="0.25">
      <c r="B796" s="45" t="s">
        <v>717</v>
      </c>
      <c r="C796" s="45" t="s">
        <v>67</v>
      </c>
      <c r="D796" s="20" t="s">
        <v>67</v>
      </c>
      <c r="E796" s="21">
        <v>10</v>
      </c>
      <c r="F796" s="1" t="s">
        <v>152</v>
      </c>
      <c r="G796" s="25" t="s">
        <v>65</v>
      </c>
      <c r="H796" s="1" t="s">
        <v>226</v>
      </c>
      <c r="I796" s="1" t="s">
        <v>227</v>
      </c>
      <c r="J796" s="33">
        <v>1</v>
      </c>
      <c r="K796" s="24">
        <v>45348.580208333333</v>
      </c>
      <c r="L796" s="23">
        <v>38</v>
      </c>
      <c r="M796" s="1" t="s">
        <v>714</v>
      </c>
      <c r="O796" s="54">
        <v>1</v>
      </c>
      <c r="P796" s="33">
        <v>10</v>
      </c>
      <c r="Q796" s="33">
        <v>0</v>
      </c>
    </row>
    <row r="797" spans="2:17" x14ac:dyDescent="0.25">
      <c r="B797" s="45" t="s">
        <v>176</v>
      </c>
      <c r="C797" s="45" t="s">
        <v>418</v>
      </c>
      <c r="D797" s="20" t="s">
        <v>737</v>
      </c>
      <c r="E797" s="21">
        <v>40</v>
      </c>
      <c r="F797" s="1" t="s">
        <v>68</v>
      </c>
      <c r="G797" s="25" t="s">
        <v>788</v>
      </c>
      <c r="H797" s="1" t="s">
        <v>187</v>
      </c>
      <c r="I797" s="1" t="s">
        <v>161</v>
      </c>
      <c r="J797" s="60">
        <v>0</v>
      </c>
      <c r="K797" s="24">
        <v>45349.692291666666</v>
      </c>
      <c r="L797" s="23">
        <v>520</v>
      </c>
      <c r="O797" s="54">
        <v>100</v>
      </c>
      <c r="P797" s="33">
        <v>0</v>
      </c>
      <c r="Q797" s="33">
        <v>40</v>
      </c>
    </row>
    <row r="798" spans="2:17" x14ac:dyDescent="0.25">
      <c r="B798" s="45" t="s">
        <v>176</v>
      </c>
      <c r="C798" s="45" t="s">
        <v>418</v>
      </c>
      <c r="D798" s="20" t="s">
        <v>737</v>
      </c>
      <c r="E798" s="21">
        <v>30</v>
      </c>
      <c r="F798" s="1" t="s">
        <v>68</v>
      </c>
      <c r="G798" s="25" t="s">
        <v>787</v>
      </c>
      <c r="H798" s="1" t="s">
        <v>167</v>
      </c>
      <c r="I798" s="1" t="s">
        <v>161</v>
      </c>
      <c r="J798" s="60">
        <v>0</v>
      </c>
      <c r="K798" s="24">
        <v>45349.692395833335</v>
      </c>
      <c r="L798" s="23">
        <v>134</v>
      </c>
      <c r="O798" s="54">
        <v>4</v>
      </c>
      <c r="P798" s="33">
        <v>7</v>
      </c>
      <c r="Q798" s="33">
        <v>2</v>
      </c>
    </row>
    <row r="799" spans="2:17" x14ac:dyDescent="0.25">
      <c r="B799" s="45" t="s">
        <v>176</v>
      </c>
      <c r="C799" s="45" t="s">
        <v>387</v>
      </c>
      <c r="D799" s="20" t="s">
        <v>738</v>
      </c>
      <c r="E799" s="21">
        <v>1000</v>
      </c>
      <c r="F799" s="1" t="s">
        <v>68</v>
      </c>
      <c r="G799" s="45" t="s">
        <v>124</v>
      </c>
      <c r="H799" s="1" t="s">
        <v>125</v>
      </c>
      <c r="I799" s="1" t="s">
        <v>122</v>
      </c>
      <c r="J799" s="60">
        <v>0</v>
      </c>
      <c r="K799" s="24">
        <v>45349.692407407405</v>
      </c>
      <c r="L799" s="23">
        <v>10600</v>
      </c>
      <c r="O799" s="54">
        <v>1200</v>
      </c>
      <c r="P799" s="33">
        <v>0</v>
      </c>
      <c r="Q799" s="33">
        <v>1000</v>
      </c>
    </row>
    <row r="800" spans="2:17" x14ac:dyDescent="0.25">
      <c r="B800" s="45" t="s">
        <v>176</v>
      </c>
      <c r="C800" s="45" t="s">
        <v>387</v>
      </c>
      <c r="D800" s="20" t="s">
        <v>738</v>
      </c>
      <c r="E800" s="21">
        <v>1600</v>
      </c>
      <c r="F800" s="1" t="s">
        <v>68</v>
      </c>
      <c r="G800" s="25" t="s">
        <v>188</v>
      </c>
      <c r="H800" s="1" t="s">
        <v>189</v>
      </c>
      <c r="I800" s="1" t="s">
        <v>122</v>
      </c>
      <c r="J800" s="60">
        <v>0</v>
      </c>
      <c r="K800" s="24">
        <v>45349.692430555559</v>
      </c>
      <c r="L800" s="23">
        <v>11000</v>
      </c>
      <c r="O800" s="54">
        <v>2400</v>
      </c>
      <c r="P800" s="33">
        <v>0</v>
      </c>
      <c r="Q800" s="33">
        <v>1600</v>
      </c>
    </row>
    <row r="801" spans="2:17" x14ac:dyDescent="0.25">
      <c r="B801" s="45" t="s">
        <v>176</v>
      </c>
      <c r="C801" s="45" t="s">
        <v>392</v>
      </c>
      <c r="D801" s="20" t="s">
        <v>739</v>
      </c>
      <c r="E801" s="21">
        <v>1000</v>
      </c>
      <c r="F801" s="1" t="s">
        <v>68</v>
      </c>
      <c r="G801" s="45" t="s">
        <v>181</v>
      </c>
      <c r="H801" s="1" t="s">
        <v>182</v>
      </c>
      <c r="I801" s="1" t="s">
        <v>183</v>
      </c>
      <c r="J801" s="60">
        <v>0</v>
      </c>
      <c r="K801" s="24">
        <v>45349.692523148151</v>
      </c>
      <c r="L801" s="23">
        <v>-2246</v>
      </c>
      <c r="O801" s="54">
        <v>300</v>
      </c>
      <c r="P801" s="33">
        <v>3</v>
      </c>
      <c r="Q801" s="33">
        <v>100.00000000000004</v>
      </c>
    </row>
    <row r="802" spans="2:17" x14ac:dyDescent="0.25">
      <c r="B802" s="45" t="s">
        <v>176</v>
      </c>
      <c r="C802" s="45" t="s">
        <v>628</v>
      </c>
      <c r="D802" s="20" t="s">
        <v>740</v>
      </c>
      <c r="E802" s="21">
        <v>40</v>
      </c>
      <c r="F802" s="1" t="s">
        <v>144</v>
      </c>
      <c r="G802" s="45" t="s">
        <v>148</v>
      </c>
      <c r="H802" s="1" t="s">
        <v>149</v>
      </c>
      <c r="I802" s="1" t="s">
        <v>147</v>
      </c>
      <c r="J802" s="60">
        <v>0</v>
      </c>
      <c r="K802" s="24">
        <v>45349.692615740743</v>
      </c>
      <c r="L802" s="23">
        <v>4450</v>
      </c>
      <c r="O802" s="54">
        <v>10</v>
      </c>
      <c r="P802" s="33">
        <v>4</v>
      </c>
      <c r="Q802" s="33">
        <v>0</v>
      </c>
    </row>
    <row r="803" spans="2:17" x14ac:dyDescent="0.25">
      <c r="B803" s="45" t="s">
        <v>176</v>
      </c>
      <c r="C803" s="45" t="s">
        <v>628</v>
      </c>
      <c r="D803" s="20" t="s">
        <v>740</v>
      </c>
      <c r="E803" s="21">
        <v>1200</v>
      </c>
      <c r="F803" s="1" t="s">
        <v>68</v>
      </c>
      <c r="G803" s="45" t="s">
        <v>120</v>
      </c>
      <c r="H803" s="1" t="s">
        <v>121</v>
      </c>
      <c r="I803" s="1" t="s">
        <v>122</v>
      </c>
      <c r="J803" s="60">
        <v>0</v>
      </c>
      <c r="K803" s="24">
        <v>45349.69263888889</v>
      </c>
      <c r="L803" s="23">
        <v>44300</v>
      </c>
      <c r="O803" s="54">
        <v>2400</v>
      </c>
      <c r="P803" s="33">
        <v>0</v>
      </c>
      <c r="Q803" s="33">
        <v>1200</v>
      </c>
    </row>
    <row r="804" spans="2:17" x14ac:dyDescent="0.25">
      <c r="B804" s="45" t="s">
        <v>176</v>
      </c>
      <c r="C804" s="45" t="s">
        <v>628</v>
      </c>
      <c r="D804" s="20" t="s">
        <v>740</v>
      </c>
      <c r="E804" s="21">
        <v>50</v>
      </c>
      <c r="F804" s="1" t="s">
        <v>144</v>
      </c>
      <c r="G804" s="25" t="s">
        <v>150</v>
      </c>
      <c r="H804" s="1" t="s">
        <v>151</v>
      </c>
      <c r="I804" s="1" t="s">
        <v>147</v>
      </c>
      <c r="J804" s="60">
        <v>0</v>
      </c>
      <c r="K804" s="24">
        <v>45349.692650462966</v>
      </c>
      <c r="L804" s="23">
        <v>195</v>
      </c>
      <c r="O804" s="54">
        <v>10</v>
      </c>
      <c r="P804" s="33">
        <v>5</v>
      </c>
      <c r="Q804" s="33">
        <v>0</v>
      </c>
    </row>
    <row r="805" spans="2:17" x14ac:dyDescent="0.25">
      <c r="B805" s="45" t="s">
        <v>741</v>
      </c>
      <c r="C805" s="45" t="s">
        <v>742</v>
      </c>
      <c r="D805" s="20" t="s">
        <v>66</v>
      </c>
      <c r="E805" s="21">
        <v>4000</v>
      </c>
      <c r="F805" s="1" t="s">
        <v>68</v>
      </c>
      <c r="G805" s="45" t="s">
        <v>181</v>
      </c>
      <c r="H805" s="1" t="s">
        <v>182</v>
      </c>
      <c r="I805" s="1" t="s">
        <v>183</v>
      </c>
      <c r="J805" s="33">
        <v>1</v>
      </c>
      <c r="K805" s="24">
        <v>45349.709305555552</v>
      </c>
      <c r="L805" s="23">
        <v>-6246</v>
      </c>
      <c r="M805" s="22">
        <v>45324</v>
      </c>
      <c r="O805" s="54">
        <v>300</v>
      </c>
      <c r="P805" s="33">
        <v>13</v>
      </c>
      <c r="Q805" s="33">
        <v>100.00000000000017</v>
      </c>
    </row>
    <row r="806" spans="2:17" x14ac:dyDescent="0.25">
      <c r="B806" s="45" t="s">
        <v>694</v>
      </c>
      <c r="C806" s="45" t="s">
        <v>123</v>
      </c>
      <c r="D806" s="20">
        <v>1905</v>
      </c>
      <c r="E806" s="21">
        <v>0</v>
      </c>
      <c r="F806" s="21" t="s">
        <v>144</v>
      </c>
      <c r="G806" s="25" t="s">
        <v>150</v>
      </c>
      <c r="H806" s="1" t="s">
        <v>151</v>
      </c>
      <c r="I806" s="1" t="s">
        <v>147</v>
      </c>
      <c r="J806" s="60">
        <v>0</v>
      </c>
      <c r="K806" s="24">
        <v>45349.71366898148</v>
      </c>
      <c r="L806" s="23">
        <v>1905</v>
      </c>
      <c r="O806" s="54">
        <v>10</v>
      </c>
      <c r="P806" s="33">
        <v>0</v>
      </c>
      <c r="Q806" s="33">
        <v>0</v>
      </c>
    </row>
    <row r="807" spans="2:17" x14ac:dyDescent="0.25">
      <c r="B807" s="45" t="s">
        <v>694</v>
      </c>
      <c r="C807" s="45" t="s">
        <v>123</v>
      </c>
      <c r="D807" s="20" t="s">
        <v>195</v>
      </c>
      <c r="E807" s="21">
        <v>0</v>
      </c>
      <c r="F807" s="1" t="s">
        <v>144</v>
      </c>
      <c r="G807" s="25" t="s">
        <v>145</v>
      </c>
      <c r="H807" s="1" t="s">
        <v>146</v>
      </c>
      <c r="I807" s="1" t="s">
        <v>147</v>
      </c>
      <c r="J807" s="60">
        <v>0</v>
      </c>
      <c r="K807" s="24">
        <v>45349.714375000003</v>
      </c>
      <c r="L807" s="23">
        <v>-193</v>
      </c>
      <c r="O807" s="54">
        <v>10</v>
      </c>
      <c r="P807" s="33">
        <v>0</v>
      </c>
      <c r="Q807" s="33">
        <v>0</v>
      </c>
    </row>
    <row r="808" spans="2:17" x14ac:dyDescent="0.25">
      <c r="B808" s="45" t="s">
        <v>694</v>
      </c>
      <c r="C808" s="45" t="s">
        <v>743</v>
      </c>
      <c r="D808" s="20" t="s">
        <v>66</v>
      </c>
      <c r="E808" s="21">
        <v>0</v>
      </c>
      <c r="F808" s="1" t="s">
        <v>144</v>
      </c>
      <c r="G808" s="45" t="s">
        <v>148</v>
      </c>
      <c r="H808" s="1" t="s">
        <v>149</v>
      </c>
      <c r="I808" s="1" t="s">
        <v>147</v>
      </c>
      <c r="J808" s="60">
        <v>0</v>
      </c>
      <c r="K808" s="24">
        <v>45349.715868055559</v>
      </c>
      <c r="L808" s="23">
        <v>4450</v>
      </c>
      <c r="O808" s="54">
        <v>10</v>
      </c>
      <c r="P808" s="33">
        <v>0</v>
      </c>
      <c r="Q808" s="33">
        <v>0</v>
      </c>
    </row>
    <row r="809" spans="2:17" x14ac:dyDescent="0.25">
      <c r="B809" s="45" t="s">
        <v>694</v>
      </c>
      <c r="C809" s="45" t="s">
        <v>744</v>
      </c>
      <c r="D809" s="20" t="s">
        <v>745</v>
      </c>
      <c r="E809" s="21">
        <v>0</v>
      </c>
      <c r="F809" s="1" t="s">
        <v>152</v>
      </c>
      <c r="G809" s="25" t="s">
        <v>153</v>
      </c>
      <c r="H809" s="1" t="s">
        <v>154</v>
      </c>
      <c r="I809" s="1" t="s">
        <v>155</v>
      </c>
      <c r="J809" s="60">
        <v>0</v>
      </c>
      <c r="K809" s="24">
        <v>45350.666354166664</v>
      </c>
      <c r="L809" s="23">
        <v>1228</v>
      </c>
      <c r="O809" s="54">
        <v>144</v>
      </c>
      <c r="P809" s="33">
        <v>0</v>
      </c>
      <c r="Q809" s="33">
        <v>0</v>
      </c>
    </row>
    <row r="810" spans="2:17" x14ac:dyDescent="0.25">
      <c r="B810" s="45" t="s">
        <v>694</v>
      </c>
      <c r="C810" s="45" t="s">
        <v>746</v>
      </c>
      <c r="D810" s="20" t="s">
        <v>747</v>
      </c>
      <c r="E810" s="21">
        <v>0</v>
      </c>
      <c r="F810" s="1" t="s">
        <v>152</v>
      </c>
      <c r="G810" s="25" t="s">
        <v>156</v>
      </c>
      <c r="H810" s="1" t="s">
        <v>154</v>
      </c>
      <c r="I810" s="1" t="s">
        <v>155</v>
      </c>
      <c r="J810" s="60">
        <v>0</v>
      </c>
      <c r="K810" s="24">
        <v>45350.666400462964</v>
      </c>
      <c r="L810" s="23">
        <v>5008</v>
      </c>
      <c r="O810" s="54">
        <v>144</v>
      </c>
      <c r="P810" s="33">
        <v>0</v>
      </c>
      <c r="Q810" s="33">
        <v>0</v>
      </c>
    </row>
    <row r="811" spans="2:17" x14ac:dyDescent="0.25">
      <c r="B811" s="45" t="s">
        <v>694</v>
      </c>
      <c r="C811" s="45" t="s">
        <v>748</v>
      </c>
      <c r="D811" s="20" t="s">
        <v>749</v>
      </c>
      <c r="E811" s="21">
        <v>0</v>
      </c>
      <c r="F811" s="1" t="s">
        <v>152</v>
      </c>
      <c r="G811" s="25" t="s">
        <v>157</v>
      </c>
      <c r="H811" s="1" t="s">
        <v>154</v>
      </c>
      <c r="I811" s="1" t="s">
        <v>155</v>
      </c>
      <c r="J811" s="60">
        <v>0</v>
      </c>
      <c r="K811" s="24">
        <v>45350.666446759256</v>
      </c>
      <c r="L811" s="23">
        <v>3502</v>
      </c>
      <c r="O811" s="54">
        <v>144</v>
      </c>
      <c r="P811" s="33">
        <v>0</v>
      </c>
      <c r="Q811" s="33">
        <v>0</v>
      </c>
    </row>
    <row r="812" spans="2:17" x14ac:dyDescent="0.25">
      <c r="B812" s="45" t="s">
        <v>694</v>
      </c>
      <c r="C812" s="45" t="s">
        <v>620</v>
      </c>
      <c r="D812" s="20" t="s">
        <v>750</v>
      </c>
      <c r="E812" s="21">
        <v>0</v>
      </c>
      <c r="F812" s="1" t="s">
        <v>152</v>
      </c>
      <c r="G812" s="25" t="s">
        <v>158</v>
      </c>
      <c r="H812" s="1" t="s">
        <v>154</v>
      </c>
      <c r="I812" s="1" t="s">
        <v>155</v>
      </c>
      <c r="J812" s="60">
        <v>0</v>
      </c>
      <c r="K812" s="24">
        <v>45350.666481481479</v>
      </c>
      <c r="L812" s="23">
        <v>1368</v>
      </c>
      <c r="O812" s="54">
        <v>144</v>
      </c>
      <c r="P812" s="33">
        <v>0</v>
      </c>
      <c r="Q812" s="33">
        <v>0</v>
      </c>
    </row>
    <row r="813" spans="2:17" x14ac:dyDescent="0.25">
      <c r="B813" s="45" t="s">
        <v>176</v>
      </c>
      <c r="C813" s="45" t="s">
        <v>392</v>
      </c>
      <c r="D813" s="20" t="s">
        <v>751</v>
      </c>
      <c r="E813" s="21">
        <v>220</v>
      </c>
      <c r="F813" s="1" t="s">
        <v>152</v>
      </c>
      <c r="G813" s="25" t="s">
        <v>153</v>
      </c>
      <c r="H813" s="1" t="s">
        <v>154</v>
      </c>
      <c r="I813" s="1" t="s">
        <v>155</v>
      </c>
      <c r="J813" s="60">
        <v>0</v>
      </c>
      <c r="K813" s="24">
        <v>45330.688067129631</v>
      </c>
      <c r="L813" s="23">
        <v>788</v>
      </c>
      <c r="O813" s="54">
        <v>144</v>
      </c>
      <c r="P813" s="33">
        <v>1</v>
      </c>
      <c r="Q813" s="33">
        <v>75.999999999999986</v>
      </c>
    </row>
    <row r="814" spans="2:17" x14ac:dyDescent="0.25">
      <c r="B814" s="45" t="s">
        <v>176</v>
      </c>
      <c r="C814" s="45" t="s">
        <v>392</v>
      </c>
      <c r="D814" s="20" t="s">
        <v>751</v>
      </c>
      <c r="E814" s="21">
        <v>800</v>
      </c>
      <c r="F814" s="1" t="s">
        <v>152</v>
      </c>
      <c r="G814" s="25" t="s">
        <v>156</v>
      </c>
      <c r="H814" s="1" t="s">
        <v>154</v>
      </c>
      <c r="I814" s="1" t="s">
        <v>155</v>
      </c>
      <c r="J814" s="60">
        <v>0</v>
      </c>
      <c r="K814" s="24">
        <v>45330.688067129631</v>
      </c>
      <c r="L814" s="23">
        <v>4208</v>
      </c>
      <c r="O814" s="54">
        <v>144</v>
      </c>
      <c r="P814" s="33">
        <v>5</v>
      </c>
      <c r="Q814" s="33">
        <v>79.999999999999972</v>
      </c>
    </row>
    <row r="815" spans="2:17" x14ac:dyDescent="0.25">
      <c r="B815" s="45" t="s">
        <v>176</v>
      </c>
      <c r="C815" s="45" t="s">
        <v>392</v>
      </c>
      <c r="D815" s="20" t="s">
        <v>751</v>
      </c>
      <c r="E815" s="21">
        <v>700</v>
      </c>
      <c r="F815" s="1" t="s">
        <v>152</v>
      </c>
      <c r="G815" s="25" t="s">
        <v>157</v>
      </c>
      <c r="H815" s="1" t="s">
        <v>154</v>
      </c>
      <c r="I815" s="1" t="s">
        <v>155</v>
      </c>
      <c r="J815" s="60">
        <v>0</v>
      </c>
      <c r="K815" s="24">
        <v>45330.688067129631</v>
      </c>
      <c r="L815" s="23">
        <v>2802</v>
      </c>
      <c r="O815" s="54">
        <v>144</v>
      </c>
      <c r="P815" s="33">
        <v>4</v>
      </c>
      <c r="Q815" s="33">
        <v>123.99999999999994</v>
      </c>
    </row>
    <row r="816" spans="2:17" x14ac:dyDescent="0.25">
      <c r="B816" s="45" t="s">
        <v>176</v>
      </c>
      <c r="C816" s="45" t="s">
        <v>387</v>
      </c>
      <c r="D816" s="20" t="s">
        <v>752</v>
      </c>
      <c r="E816" s="21">
        <v>1600</v>
      </c>
      <c r="F816" s="1" t="s">
        <v>68</v>
      </c>
      <c r="G816" s="45" t="s">
        <v>188</v>
      </c>
      <c r="H816" s="1" t="s">
        <v>189</v>
      </c>
      <c r="I816" s="1" t="s">
        <v>122</v>
      </c>
      <c r="J816" s="60">
        <v>0</v>
      </c>
      <c r="K816" s="24">
        <v>45330.688067129631</v>
      </c>
      <c r="L816" s="23">
        <v>9400</v>
      </c>
      <c r="O816" s="54">
        <v>2400</v>
      </c>
      <c r="P816" s="33">
        <v>0</v>
      </c>
      <c r="Q816" s="33">
        <v>1600</v>
      </c>
    </row>
    <row r="817" spans="2:17" x14ac:dyDescent="0.25">
      <c r="B817" s="45" t="s">
        <v>176</v>
      </c>
      <c r="C817" s="45" t="s">
        <v>418</v>
      </c>
      <c r="D817" s="20" t="s">
        <v>753</v>
      </c>
      <c r="E817" s="21">
        <v>2500</v>
      </c>
      <c r="F817" s="1" t="s">
        <v>68</v>
      </c>
      <c r="G817" s="45" t="s">
        <v>142</v>
      </c>
      <c r="H817" s="1" t="s">
        <v>143</v>
      </c>
      <c r="I817" s="1" t="s">
        <v>122</v>
      </c>
      <c r="J817" s="60">
        <v>0</v>
      </c>
      <c r="K817" s="24">
        <v>45330.688067129631</v>
      </c>
      <c r="L817" s="23">
        <v>8200</v>
      </c>
      <c r="O817" s="54">
        <v>2400</v>
      </c>
      <c r="P817" s="33">
        <v>1</v>
      </c>
      <c r="Q817" s="33">
        <v>100.00000000000017</v>
      </c>
    </row>
    <row r="818" spans="2:17" x14ac:dyDescent="0.25">
      <c r="B818" s="45" t="s">
        <v>176</v>
      </c>
      <c r="C818" s="45" t="s">
        <v>418</v>
      </c>
      <c r="D818" s="20" t="s">
        <v>753</v>
      </c>
      <c r="E818" s="21">
        <v>40</v>
      </c>
      <c r="F818" s="1" t="s">
        <v>68</v>
      </c>
      <c r="G818" s="25" t="s">
        <v>788</v>
      </c>
      <c r="H818" s="1" t="s">
        <v>187</v>
      </c>
      <c r="I818" s="1" t="s">
        <v>161</v>
      </c>
      <c r="J818" s="60">
        <v>0</v>
      </c>
      <c r="K818" s="24">
        <v>45330.688067129631</v>
      </c>
      <c r="L818" s="23">
        <v>480</v>
      </c>
      <c r="O818" s="54">
        <v>100</v>
      </c>
      <c r="P818" s="33">
        <v>0</v>
      </c>
      <c r="Q818" s="33">
        <v>40</v>
      </c>
    </row>
    <row r="819" spans="2:17" x14ac:dyDescent="0.25">
      <c r="B819" s="45" t="s">
        <v>321</v>
      </c>
      <c r="C819" s="45" t="s">
        <v>561</v>
      </c>
      <c r="D819" s="20" t="s">
        <v>754</v>
      </c>
      <c r="E819" s="21">
        <v>600</v>
      </c>
      <c r="F819" s="1" t="s">
        <v>68</v>
      </c>
      <c r="G819" s="45" t="s">
        <v>142</v>
      </c>
      <c r="H819" s="1" t="s">
        <v>143</v>
      </c>
      <c r="I819" s="1" t="s">
        <v>122</v>
      </c>
      <c r="J819" s="60">
        <v>0</v>
      </c>
      <c r="K819" s="24">
        <v>45330.688067129631</v>
      </c>
      <c r="L819" s="23">
        <v>7600</v>
      </c>
      <c r="O819" s="54">
        <v>2400</v>
      </c>
      <c r="P819" s="33">
        <v>0</v>
      </c>
      <c r="Q819" s="33">
        <v>600</v>
      </c>
    </row>
    <row r="820" spans="2:17" x14ac:dyDescent="0.25">
      <c r="B820" s="45" t="s">
        <v>321</v>
      </c>
      <c r="C820" s="45" t="s">
        <v>755</v>
      </c>
      <c r="D820" s="20" t="s">
        <v>756</v>
      </c>
      <c r="E820" s="21">
        <v>500</v>
      </c>
      <c r="F820" s="1" t="s">
        <v>68</v>
      </c>
      <c r="G820" s="45" t="s">
        <v>132</v>
      </c>
      <c r="H820" s="1" t="s">
        <v>133</v>
      </c>
      <c r="I820" s="1" t="s">
        <v>122</v>
      </c>
      <c r="J820" s="60">
        <v>0</v>
      </c>
      <c r="K820" s="24">
        <v>45330.688067129631</v>
      </c>
      <c r="L820" s="23">
        <v>11300</v>
      </c>
      <c r="O820" s="54">
        <v>1200</v>
      </c>
      <c r="P820" s="33">
        <v>0</v>
      </c>
      <c r="Q820" s="33">
        <v>500</v>
      </c>
    </row>
    <row r="821" spans="2:17" x14ac:dyDescent="0.25">
      <c r="B821" s="45" t="s">
        <v>176</v>
      </c>
      <c r="C821" s="45" t="s">
        <v>628</v>
      </c>
      <c r="D821" s="20" t="s">
        <v>757</v>
      </c>
      <c r="E821" s="21">
        <v>40</v>
      </c>
      <c r="F821" s="1" t="s">
        <v>144</v>
      </c>
      <c r="G821" s="25" t="s">
        <v>148</v>
      </c>
      <c r="H821" s="1" t="s">
        <v>149</v>
      </c>
      <c r="I821" s="1" t="s">
        <v>147</v>
      </c>
      <c r="J821" s="60">
        <v>0</v>
      </c>
      <c r="K821" s="24">
        <v>45351.560983796298</v>
      </c>
      <c r="L821" s="23">
        <v>4810</v>
      </c>
      <c r="O821" s="54">
        <v>10</v>
      </c>
      <c r="P821" s="33">
        <v>4</v>
      </c>
      <c r="Q821" s="33">
        <v>0</v>
      </c>
    </row>
    <row r="822" spans="2:17" x14ac:dyDescent="0.25">
      <c r="B822" s="45" t="s">
        <v>176</v>
      </c>
      <c r="C822" s="45" t="s">
        <v>628</v>
      </c>
      <c r="D822" s="20" t="s">
        <v>757</v>
      </c>
      <c r="E822" s="21">
        <v>1200</v>
      </c>
      <c r="F822" s="1" t="s">
        <v>68</v>
      </c>
      <c r="G822" s="25" t="s">
        <v>120</v>
      </c>
      <c r="H822" s="1" t="s">
        <v>121</v>
      </c>
      <c r="I822" s="1" t="s">
        <v>122</v>
      </c>
      <c r="J822" s="60">
        <v>0</v>
      </c>
      <c r="K822" s="24">
        <v>45351.561030092591</v>
      </c>
      <c r="L822" s="23">
        <v>43100</v>
      </c>
      <c r="O822" s="54">
        <v>2400</v>
      </c>
      <c r="P822" s="33">
        <v>0</v>
      </c>
      <c r="Q822" s="33">
        <v>1200</v>
      </c>
    </row>
    <row r="823" spans="2:17" x14ac:dyDescent="0.25">
      <c r="B823" s="45" t="s">
        <v>176</v>
      </c>
      <c r="C823" s="45" t="s">
        <v>628</v>
      </c>
      <c r="D823" s="20" t="s">
        <v>757</v>
      </c>
      <c r="E823" s="21">
        <v>20</v>
      </c>
      <c r="F823" s="1" t="s">
        <v>144</v>
      </c>
      <c r="G823" s="25" t="s">
        <v>150</v>
      </c>
      <c r="H823" s="1" t="s">
        <v>151</v>
      </c>
      <c r="I823" s="1" t="s">
        <v>147</v>
      </c>
      <c r="J823" s="60">
        <v>0</v>
      </c>
      <c r="K823" s="24">
        <v>45351.56318287037</v>
      </c>
      <c r="L823" s="23">
        <v>1885</v>
      </c>
      <c r="O823" s="54">
        <v>10</v>
      </c>
      <c r="P823" s="33">
        <v>2</v>
      </c>
      <c r="Q823" s="33">
        <v>0</v>
      </c>
    </row>
    <row r="824" spans="2:17" x14ac:dyDescent="0.25">
      <c r="B824" s="45" t="s">
        <v>176</v>
      </c>
      <c r="C824" s="45" t="s">
        <v>418</v>
      </c>
      <c r="D824" s="20" t="s">
        <v>758</v>
      </c>
      <c r="E824" s="21">
        <v>40</v>
      </c>
      <c r="F824" s="1" t="s">
        <v>68</v>
      </c>
      <c r="G824" s="25" t="s">
        <v>788</v>
      </c>
      <c r="H824" s="1" t="s">
        <v>187</v>
      </c>
      <c r="I824" s="1" t="s">
        <v>161</v>
      </c>
      <c r="J824" s="60">
        <v>0</v>
      </c>
      <c r="K824" s="24">
        <v>45351.563217592593</v>
      </c>
      <c r="L824" s="23">
        <v>440</v>
      </c>
      <c r="O824" s="54">
        <v>100</v>
      </c>
      <c r="P824" s="33">
        <v>0</v>
      </c>
      <c r="Q824" s="33">
        <v>40</v>
      </c>
    </row>
    <row r="825" spans="2:17" x14ac:dyDescent="0.25">
      <c r="B825" s="45" t="s">
        <v>176</v>
      </c>
      <c r="C825" s="45" t="s">
        <v>310</v>
      </c>
      <c r="D825" s="20" t="s">
        <v>759</v>
      </c>
      <c r="E825" s="21">
        <v>5600</v>
      </c>
      <c r="F825" s="1" t="s">
        <v>68</v>
      </c>
      <c r="G825" s="25" t="s">
        <v>140</v>
      </c>
      <c r="H825" s="1" t="s">
        <v>141</v>
      </c>
      <c r="I825" s="1" t="s">
        <v>122</v>
      </c>
      <c r="J825" s="60">
        <v>0</v>
      </c>
      <c r="K825" s="24">
        <v>45351.563263888886</v>
      </c>
      <c r="L825" s="23">
        <v>96900</v>
      </c>
      <c r="O825" s="54">
        <v>2400</v>
      </c>
      <c r="P825" s="33">
        <v>2</v>
      </c>
      <c r="Q825" s="33">
        <v>800.00000000000034</v>
      </c>
    </row>
    <row r="826" spans="2:17" x14ac:dyDescent="0.25">
      <c r="B826" s="45" t="s">
        <v>176</v>
      </c>
      <c r="C826" s="45" t="s">
        <v>392</v>
      </c>
      <c r="D826" s="20" t="s">
        <v>760</v>
      </c>
      <c r="E826" s="21">
        <v>1000</v>
      </c>
      <c r="F826" s="1" t="s">
        <v>68</v>
      </c>
      <c r="G826" s="25" t="s">
        <v>181</v>
      </c>
      <c r="H826" s="1" t="s">
        <v>182</v>
      </c>
      <c r="I826" s="1" t="s">
        <v>183</v>
      </c>
      <c r="J826" s="60">
        <v>0</v>
      </c>
      <c r="K826" s="24">
        <v>45351.563356481478</v>
      </c>
      <c r="L826" s="23">
        <v>-7246</v>
      </c>
      <c r="O826" s="54">
        <v>300</v>
      </c>
      <c r="P826" s="33">
        <v>3</v>
      </c>
      <c r="Q826" s="33">
        <v>100.00000000000004</v>
      </c>
    </row>
    <row r="827" spans="2:17" x14ac:dyDescent="0.25">
      <c r="B827" s="45" t="s">
        <v>176</v>
      </c>
      <c r="C827" s="45" t="s">
        <v>392</v>
      </c>
      <c r="D827" s="20" t="s">
        <v>725</v>
      </c>
      <c r="E827" s="21">
        <v>5600</v>
      </c>
      <c r="F827" s="1" t="s">
        <v>68</v>
      </c>
      <c r="G827" s="25" t="s">
        <v>140</v>
      </c>
      <c r="H827" s="1" t="s">
        <v>141</v>
      </c>
      <c r="I827" s="1" t="s">
        <v>122</v>
      </c>
      <c r="J827" s="60">
        <v>0</v>
      </c>
      <c r="K827" s="24">
        <v>45352.328344907408</v>
      </c>
      <c r="L827" s="23">
        <v>91300</v>
      </c>
      <c r="O827" s="54">
        <v>2400</v>
      </c>
      <c r="P827" s="33">
        <v>2</v>
      </c>
      <c r="Q827" s="33">
        <v>800.00000000000034</v>
      </c>
    </row>
    <row r="828" spans="2:17" x14ac:dyDescent="0.25">
      <c r="B828" s="45" t="s">
        <v>176</v>
      </c>
      <c r="C828" s="45" t="s">
        <v>392</v>
      </c>
      <c r="D828" s="20" t="s">
        <v>725</v>
      </c>
      <c r="E828" s="21">
        <v>698</v>
      </c>
      <c r="F828" s="1" t="s">
        <v>152</v>
      </c>
      <c r="G828" s="25" t="s">
        <v>153</v>
      </c>
      <c r="H828" s="1" t="s">
        <v>154</v>
      </c>
      <c r="I828" s="1" t="s">
        <v>155</v>
      </c>
      <c r="J828" s="60">
        <v>0</v>
      </c>
      <c r="K828" s="24">
        <v>45352.3283912037</v>
      </c>
      <c r="L828" s="23">
        <v>90</v>
      </c>
      <c r="O828" s="54">
        <v>144</v>
      </c>
      <c r="P828" s="33">
        <v>4</v>
      </c>
      <c r="Q828" s="33">
        <v>122.00000000000001</v>
      </c>
    </row>
    <row r="829" spans="2:17" x14ac:dyDescent="0.25">
      <c r="B829" s="45" t="s">
        <v>176</v>
      </c>
      <c r="C829" s="45" t="s">
        <v>418</v>
      </c>
      <c r="D829" s="20" t="s">
        <v>726</v>
      </c>
      <c r="E829" s="21">
        <v>30</v>
      </c>
      <c r="F829" s="1" t="s">
        <v>68</v>
      </c>
      <c r="G829" s="25" t="s">
        <v>788</v>
      </c>
      <c r="H829" s="1" t="s">
        <v>187</v>
      </c>
      <c r="I829" s="1" t="s">
        <v>161</v>
      </c>
      <c r="J829" s="60">
        <v>0</v>
      </c>
      <c r="K829" s="24">
        <v>45352.328414351854</v>
      </c>
      <c r="L829" s="23">
        <v>410</v>
      </c>
      <c r="O829" s="54">
        <v>100</v>
      </c>
      <c r="P829" s="33">
        <v>0</v>
      </c>
      <c r="Q829" s="33">
        <v>30</v>
      </c>
    </row>
    <row r="830" spans="2:17" x14ac:dyDescent="0.25">
      <c r="B830" s="45" t="s">
        <v>176</v>
      </c>
      <c r="C830" s="45" t="s">
        <v>628</v>
      </c>
      <c r="D830" s="20" t="s">
        <v>727</v>
      </c>
      <c r="E830" s="21">
        <v>40</v>
      </c>
      <c r="F830" s="1" t="s">
        <v>144</v>
      </c>
      <c r="G830" s="25" t="s">
        <v>148</v>
      </c>
      <c r="H830" s="1" t="s">
        <v>149</v>
      </c>
      <c r="I830" s="1" t="s">
        <v>147</v>
      </c>
      <c r="J830" s="60">
        <v>0</v>
      </c>
      <c r="K830" s="24">
        <v>45352.3284375</v>
      </c>
      <c r="L830" s="23">
        <v>4770</v>
      </c>
      <c r="O830" s="54">
        <v>10</v>
      </c>
      <c r="P830" s="33">
        <v>4</v>
      </c>
      <c r="Q830" s="33">
        <v>0</v>
      </c>
    </row>
    <row r="831" spans="2:17" x14ac:dyDescent="0.25">
      <c r="B831" s="45" t="s">
        <v>176</v>
      </c>
      <c r="C831" s="45" t="s">
        <v>628</v>
      </c>
      <c r="D831" s="20" t="s">
        <v>727</v>
      </c>
      <c r="E831" s="21">
        <v>1200</v>
      </c>
      <c r="F831" s="1" t="s">
        <v>68</v>
      </c>
      <c r="G831" s="25" t="s">
        <v>120</v>
      </c>
      <c r="H831" s="1" t="s">
        <v>121</v>
      </c>
      <c r="I831" s="1" t="s">
        <v>122</v>
      </c>
      <c r="J831" s="60">
        <v>0</v>
      </c>
      <c r="K831" s="24">
        <v>45352.328460648147</v>
      </c>
      <c r="L831" s="23">
        <v>41900</v>
      </c>
      <c r="O831" s="54">
        <v>2400</v>
      </c>
      <c r="P831" s="33">
        <v>0</v>
      </c>
      <c r="Q831" s="33">
        <v>1200</v>
      </c>
    </row>
    <row r="832" spans="2:17" x14ac:dyDescent="0.25">
      <c r="B832" s="45" t="s">
        <v>176</v>
      </c>
      <c r="C832" s="45" t="s">
        <v>771</v>
      </c>
      <c r="D832" s="20" t="s">
        <v>728</v>
      </c>
      <c r="E832" s="21">
        <v>500</v>
      </c>
      <c r="F832" s="1" t="s">
        <v>152</v>
      </c>
      <c r="G832" s="25" t="s">
        <v>158</v>
      </c>
      <c r="H832" s="1" t="s">
        <v>154</v>
      </c>
      <c r="I832" s="1" t="s">
        <v>155</v>
      </c>
      <c r="J832" s="60">
        <v>0</v>
      </c>
      <c r="K832" s="24">
        <v>45352.328472222223</v>
      </c>
      <c r="L832" s="23">
        <v>868</v>
      </c>
      <c r="O832" s="54">
        <v>144</v>
      </c>
      <c r="P832" s="33">
        <v>3</v>
      </c>
      <c r="Q832" s="33">
        <v>68.000000000000014</v>
      </c>
    </row>
    <row r="833" spans="2:18" x14ac:dyDescent="0.25">
      <c r="B833" s="45" t="s">
        <v>176</v>
      </c>
      <c r="C833" s="45" t="s">
        <v>771</v>
      </c>
      <c r="D833" s="20" t="s">
        <v>728</v>
      </c>
      <c r="E833" s="21">
        <v>30</v>
      </c>
      <c r="F833" s="1" t="s">
        <v>68</v>
      </c>
      <c r="G833" s="25" t="s">
        <v>787</v>
      </c>
      <c r="H833" s="1" t="s">
        <v>167</v>
      </c>
      <c r="I833" s="1" t="s">
        <v>161</v>
      </c>
      <c r="J833" s="60">
        <v>0</v>
      </c>
      <c r="K833" s="24">
        <v>45352.328483796293</v>
      </c>
      <c r="L833" s="23">
        <v>104</v>
      </c>
      <c r="O833" s="54">
        <v>4</v>
      </c>
      <c r="P833" s="33">
        <v>7</v>
      </c>
      <c r="Q833" s="33">
        <v>2</v>
      </c>
    </row>
    <row r="834" spans="2:18" x14ac:dyDescent="0.25">
      <c r="B834" s="45" t="s">
        <v>176</v>
      </c>
      <c r="C834" s="45" t="s">
        <v>771</v>
      </c>
      <c r="D834" s="20" t="s">
        <v>728</v>
      </c>
      <c r="E834" s="21">
        <v>1000</v>
      </c>
      <c r="F834" s="1" t="s">
        <v>68</v>
      </c>
      <c r="G834" s="25" t="s">
        <v>159</v>
      </c>
      <c r="H834" s="1" t="s">
        <v>160</v>
      </c>
      <c r="I834" s="1" t="s">
        <v>161</v>
      </c>
      <c r="J834" s="60">
        <v>0</v>
      </c>
      <c r="K834" s="24">
        <v>45352.328506944446</v>
      </c>
      <c r="L834" s="23">
        <v>5888</v>
      </c>
      <c r="O834" s="54">
        <v>24</v>
      </c>
      <c r="P834" s="33">
        <v>41</v>
      </c>
      <c r="Q834" s="33">
        <v>15.999999999999943</v>
      </c>
    </row>
    <row r="835" spans="2:18" x14ac:dyDescent="0.25">
      <c r="B835" s="45" t="s">
        <v>176</v>
      </c>
      <c r="C835" s="45" t="s">
        <v>772</v>
      </c>
      <c r="D835" s="20" t="s">
        <v>729</v>
      </c>
      <c r="E835" s="21">
        <v>5000</v>
      </c>
      <c r="F835" s="1" t="s">
        <v>68</v>
      </c>
      <c r="G835" s="25" t="s">
        <v>163</v>
      </c>
      <c r="H835" s="1" t="s">
        <v>164</v>
      </c>
      <c r="I835" s="1" t="s">
        <v>161</v>
      </c>
      <c r="J835" s="60">
        <v>0</v>
      </c>
      <c r="K835" s="24">
        <v>45352.328541666669</v>
      </c>
      <c r="L835" s="23">
        <v>18620</v>
      </c>
      <c r="O835" s="54">
        <v>440</v>
      </c>
      <c r="P835" s="33">
        <v>11</v>
      </c>
      <c r="Q835" s="33">
        <v>159.99999999999986</v>
      </c>
      <c r="R835" s="79"/>
    </row>
    <row r="836" spans="2:18" ht="45" x14ac:dyDescent="0.25">
      <c r="B836" s="45" t="s">
        <v>321</v>
      </c>
      <c r="C836" s="74" t="s">
        <v>732</v>
      </c>
      <c r="D836" s="1">
        <v>2113</v>
      </c>
      <c r="E836" s="1">
        <v>2500</v>
      </c>
      <c r="F836" s="1" t="s">
        <v>68</v>
      </c>
      <c r="G836" s="38" t="s">
        <v>163</v>
      </c>
      <c r="H836" s="1" t="s">
        <v>164</v>
      </c>
      <c r="I836" s="1" t="s">
        <v>161</v>
      </c>
      <c r="K836" s="24">
        <v>45352.37127314815</v>
      </c>
      <c r="O836" s="54">
        <v>440</v>
      </c>
      <c r="P836" s="33">
        <v>5</v>
      </c>
      <c r="Q836" s="33">
        <v>299.99999999999994</v>
      </c>
      <c r="R836" s="79"/>
    </row>
    <row r="837" spans="2:18" ht="45" x14ac:dyDescent="0.25">
      <c r="B837" s="45" t="s">
        <v>321</v>
      </c>
      <c r="C837" s="74" t="s">
        <v>732</v>
      </c>
      <c r="D837" s="1">
        <v>2113</v>
      </c>
      <c r="E837" s="1">
        <v>1000</v>
      </c>
      <c r="F837" s="1" t="s">
        <v>68</v>
      </c>
      <c r="G837" s="38" t="s">
        <v>197</v>
      </c>
      <c r="H837" s="1" t="s">
        <v>198</v>
      </c>
      <c r="I837" s="1" t="s">
        <v>161</v>
      </c>
      <c r="K837" s="24">
        <v>45352.371354166666</v>
      </c>
      <c r="O837" s="54">
        <v>2000</v>
      </c>
      <c r="P837" s="33">
        <v>0</v>
      </c>
      <c r="Q837" s="33">
        <v>1000</v>
      </c>
    </row>
    <row r="838" spans="2:18" x14ac:dyDescent="0.25">
      <c r="B838" s="45" t="s">
        <v>321</v>
      </c>
      <c r="C838" s="25" t="s">
        <v>724</v>
      </c>
      <c r="D838" s="1">
        <v>2111</v>
      </c>
      <c r="E838" s="1">
        <v>2</v>
      </c>
      <c r="F838" s="1" t="s">
        <v>68</v>
      </c>
      <c r="G838" s="38" t="s">
        <v>430</v>
      </c>
      <c r="H838" s="1" t="s">
        <v>199</v>
      </c>
      <c r="K838" s="24">
        <v>45352.371932870374</v>
      </c>
      <c r="O838" s="54">
        <v>40</v>
      </c>
      <c r="P838" s="33">
        <v>0</v>
      </c>
      <c r="Q838" s="33">
        <v>2</v>
      </c>
    </row>
    <row r="839" spans="2:18" x14ac:dyDescent="0.25">
      <c r="B839" s="45" t="s">
        <v>321</v>
      </c>
      <c r="C839" s="25" t="s">
        <v>724</v>
      </c>
      <c r="D839" s="1">
        <v>2111</v>
      </c>
      <c r="E839" s="1">
        <v>120</v>
      </c>
      <c r="F839" s="1" t="s">
        <v>68</v>
      </c>
      <c r="G839" s="38" t="s">
        <v>219</v>
      </c>
      <c r="H839" s="1" t="s">
        <v>220</v>
      </c>
      <c r="I839" s="1" t="s">
        <v>161</v>
      </c>
      <c r="K839" s="24">
        <v>45352.372048611112</v>
      </c>
      <c r="O839" s="54">
        <v>100</v>
      </c>
      <c r="P839" s="33">
        <v>1</v>
      </c>
      <c r="Q839" s="33">
        <v>19.999999999999996</v>
      </c>
    </row>
    <row r="840" spans="2:18" x14ac:dyDescent="0.25">
      <c r="B840" s="45" t="s">
        <v>321</v>
      </c>
      <c r="C840" s="25" t="s">
        <v>724</v>
      </c>
      <c r="D840" s="1">
        <v>2111</v>
      </c>
      <c r="E840" s="1">
        <v>250</v>
      </c>
      <c r="F840" s="1" t="s">
        <v>68</v>
      </c>
      <c r="G840" s="38" t="s">
        <v>172</v>
      </c>
      <c r="H840" s="1" t="s">
        <v>173</v>
      </c>
      <c r="K840" s="24">
        <v>45352.372777777775</v>
      </c>
      <c r="O840" s="54">
        <v>24</v>
      </c>
      <c r="P840" s="33">
        <v>10</v>
      </c>
      <c r="Q840" s="33">
        <v>9.9999999999999858</v>
      </c>
    </row>
    <row r="841" spans="2:18" x14ac:dyDescent="0.25">
      <c r="B841" s="45" t="s">
        <v>321</v>
      </c>
      <c r="C841" s="25" t="s">
        <v>724</v>
      </c>
      <c r="D841" s="1">
        <v>2111</v>
      </c>
      <c r="E841" s="1">
        <v>12000</v>
      </c>
      <c r="F841" s="1" t="s">
        <v>68</v>
      </c>
      <c r="G841" s="38" t="s">
        <v>140</v>
      </c>
      <c r="H841" s="1" t="s">
        <v>141</v>
      </c>
      <c r="I841" s="1" t="s">
        <v>122</v>
      </c>
      <c r="K841" s="24">
        <v>45352.372777777775</v>
      </c>
      <c r="O841" s="54">
        <v>2400</v>
      </c>
      <c r="P841" s="33">
        <v>5</v>
      </c>
      <c r="Q841" s="33">
        <v>0</v>
      </c>
    </row>
    <row r="842" spans="2:18" x14ac:dyDescent="0.25">
      <c r="B842" s="45" t="s">
        <v>321</v>
      </c>
      <c r="C842" s="25" t="s">
        <v>724</v>
      </c>
      <c r="D842" s="1">
        <v>2112</v>
      </c>
      <c r="E842" s="18">
        <v>2</v>
      </c>
      <c r="F842" s="1" t="s">
        <v>68</v>
      </c>
      <c r="G842" s="38" t="s">
        <v>200</v>
      </c>
      <c r="H842" s="1" t="s">
        <v>201</v>
      </c>
      <c r="K842" s="24">
        <v>45352.372789351852</v>
      </c>
      <c r="O842" s="54">
        <v>36</v>
      </c>
      <c r="P842" s="33">
        <v>0</v>
      </c>
      <c r="Q842" s="33">
        <v>2</v>
      </c>
    </row>
    <row r="843" spans="2:18" x14ac:dyDescent="0.25">
      <c r="B843" s="45" t="s">
        <v>321</v>
      </c>
      <c r="C843" s="25" t="s">
        <v>724</v>
      </c>
      <c r="D843" s="1">
        <v>2112</v>
      </c>
      <c r="E843" s="1">
        <v>120</v>
      </c>
      <c r="F843" s="1" t="s">
        <v>68</v>
      </c>
      <c r="G843" s="38" t="s">
        <v>427</v>
      </c>
      <c r="H843" s="1" t="s">
        <v>166</v>
      </c>
      <c r="I843" s="1" t="s">
        <v>161</v>
      </c>
      <c r="K843" s="24">
        <v>45352.372789351852</v>
      </c>
      <c r="O843" s="54">
        <v>60</v>
      </c>
      <c r="P843" s="33">
        <v>2</v>
      </c>
      <c r="Q843" s="33">
        <v>0</v>
      </c>
    </row>
    <row r="844" spans="2:18" x14ac:dyDescent="0.25">
      <c r="B844" s="45" t="s">
        <v>321</v>
      </c>
      <c r="C844" s="25" t="s">
        <v>724</v>
      </c>
      <c r="D844" s="1">
        <v>2119</v>
      </c>
      <c r="E844" s="1">
        <v>10</v>
      </c>
      <c r="F844" s="1" t="s">
        <v>68</v>
      </c>
      <c r="G844" s="38" t="s">
        <v>175</v>
      </c>
      <c r="H844" s="1" t="s">
        <v>173</v>
      </c>
      <c r="K844" s="24">
        <v>45352.372800925928</v>
      </c>
      <c r="O844" s="54">
        <v>12</v>
      </c>
      <c r="P844" s="33">
        <v>0</v>
      </c>
      <c r="Q844" s="33">
        <v>10</v>
      </c>
    </row>
    <row r="845" spans="2:18" x14ac:dyDescent="0.25">
      <c r="B845" s="45" t="s">
        <v>321</v>
      </c>
      <c r="C845" s="25" t="s">
        <v>724</v>
      </c>
      <c r="D845" s="1">
        <v>2119</v>
      </c>
      <c r="E845" s="1">
        <v>200</v>
      </c>
      <c r="F845" s="1" t="s">
        <v>68</v>
      </c>
      <c r="G845" s="38" t="s">
        <v>170</v>
      </c>
      <c r="H845" s="1" t="s">
        <v>171</v>
      </c>
      <c r="I845" s="1" t="s">
        <v>122</v>
      </c>
      <c r="K845" s="24">
        <v>45352.372800925928</v>
      </c>
      <c r="O845" s="54">
        <v>100</v>
      </c>
      <c r="P845" s="33">
        <v>2</v>
      </c>
      <c r="Q845" s="33">
        <v>0</v>
      </c>
    </row>
    <row r="846" spans="2:18" x14ac:dyDescent="0.25">
      <c r="B846" s="45" t="s">
        <v>321</v>
      </c>
      <c r="C846" s="25" t="s">
        <v>724</v>
      </c>
      <c r="D846" s="1">
        <v>2122</v>
      </c>
      <c r="E846" s="1">
        <v>130</v>
      </c>
      <c r="F846" s="1" t="s">
        <v>68</v>
      </c>
      <c r="G846" s="38" t="s">
        <v>168</v>
      </c>
      <c r="H846" s="1" t="s">
        <v>169</v>
      </c>
      <c r="I846" s="1" t="s">
        <v>122</v>
      </c>
      <c r="K846" s="24">
        <v>45352.372835648152</v>
      </c>
      <c r="O846" s="54">
        <v>200</v>
      </c>
      <c r="P846" s="33">
        <v>0</v>
      </c>
      <c r="Q846" s="33">
        <v>130</v>
      </c>
    </row>
    <row r="847" spans="2:18" x14ac:dyDescent="0.25">
      <c r="B847" s="45" t="s">
        <v>321</v>
      </c>
      <c r="C847" s="25" t="s">
        <v>724</v>
      </c>
      <c r="D847" s="1">
        <v>2120</v>
      </c>
      <c r="E847" s="1">
        <v>10000</v>
      </c>
      <c r="F847" s="1" t="s">
        <v>68</v>
      </c>
      <c r="G847" s="38" t="s">
        <v>124</v>
      </c>
      <c r="H847" s="1" t="s">
        <v>125</v>
      </c>
      <c r="I847" s="1" t="s">
        <v>122</v>
      </c>
      <c r="K847" s="24">
        <v>45352.373055555552</v>
      </c>
      <c r="O847" s="54">
        <v>1200</v>
      </c>
      <c r="P847" s="33">
        <v>8</v>
      </c>
      <c r="Q847" s="33">
        <v>400.00000000000068</v>
      </c>
    </row>
    <row r="848" spans="2:18" x14ac:dyDescent="0.25">
      <c r="B848" s="45" t="s">
        <v>321</v>
      </c>
      <c r="C848" s="25" t="s">
        <v>724</v>
      </c>
      <c r="D848" s="1">
        <v>2118</v>
      </c>
      <c r="E848" s="1">
        <v>144</v>
      </c>
      <c r="F848" s="1" t="s">
        <v>152</v>
      </c>
      <c r="G848" s="38" t="s">
        <v>157</v>
      </c>
      <c r="H848" s="1" t="s">
        <v>154</v>
      </c>
      <c r="I848" s="1" t="s">
        <v>155</v>
      </c>
      <c r="K848" s="24">
        <v>45352.373055555552</v>
      </c>
      <c r="O848" s="54">
        <v>144</v>
      </c>
      <c r="P848" s="33">
        <v>1</v>
      </c>
      <c r="Q848" s="33">
        <v>0</v>
      </c>
    </row>
    <row r="849" spans="1:17" x14ac:dyDescent="0.25">
      <c r="B849" s="45" t="s">
        <v>321</v>
      </c>
      <c r="C849" s="25" t="s">
        <v>724</v>
      </c>
      <c r="D849" s="1">
        <v>2117</v>
      </c>
      <c r="E849" s="1">
        <v>175</v>
      </c>
      <c r="F849" s="1" t="s">
        <v>144</v>
      </c>
      <c r="G849" s="38" t="s">
        <v>150</v>
      </c>
      <c r="H849" s="1" t="s">
        <v>151</v>
      </c>
      <c r="I849" s="1" t="s">
        <v>147</v>
      </c>
      <c r="K849" s="24">
        <v>45352.373067129629</v>
      </c>
      <c r="O849" s="54">
        <v>10</v>
      </c>
      <c r="P849" s="33">
        <v>17</v>
      </c>
      <c r="Q849" s="33">
        <v>5</v>
      </c>
    </row>
    <row r="850" spans="1:17" x14ac:dyDescent="0.25">
      <c r="B850" s="45" t="s">
        <v>321</v>
      </c>
      <c r="C850" s="25" t="s">
        <v>724</v>
      </c>
      <c r="D850" s="1">
        <v>2117</v>
      </c>
      <c r="E850" s="1">
        <v>4</v>
      </c>
      <c r="F850" s="1" t="s">
        <v>144</v>
      </c>
      <c r="G850" s="38" t="s">
        <v>148</v>
      </c>
      <c r="H850" s="1" t="s">
        <v>149</v>
      </c>
      <c r="I850" s="1" t="s">
        <v>147</v>
      </c>
      <c r="K850" s="24">
        <v>45352.373067129629</v>
      </c>
      <c r="O850" s="54">
        <v>10</v>
      </c>
      <c r="P850" s="33">
        <v>0</v>
      </c>
      <c r="Q850" s="33">
        <v>4</v>
      </c>
    </row>
    <row r="851" spans="1:17" x14ac:dyDescent="0.25">
      <c r="B851" s="45" t="s">
        <v>321</v>
      </c>
      <c r="C851" s="25" t="s">
        <v>724</v>
      </c>
      <c r="D851" s="1">
        <v>2115</v>
      </c>
      <c r="E851" s="1">
        <v>6</v>
      </c>
      <c r="F851" s="1" t="s">
        <v>68</v>
      </c>
      <c r="G851" s="38" t="s">
        <v>786</v>
      </c>
      <c r="H851" s="1" t="s">
        <v>165</v>
      </c>
      <c r="I851" s="1" t="s">
        <v>161</v>
      </c>
      <c r="K851" s="24">
        <v>45352.373090277775</v>
      </c>
      <c r="O851" s="54">
        <v>24</v>
      </c>
      <c r="P851" s="33">
        <v>0</v>
      </c>
      <c r="Q851" s="33">
        <v>6</v>
      </c>
    </row>
    <row r="852" spans="1:17" x14ac:dyDescent="0.25">
      <c r="B852" s="45" t="s">
        <v>321</v>
      </c>
      <c r="C852" s="25" t="s">
        <v>724</v>
      </c>
      <c r="D852" s="1">
        <v>2115</v>
      </c>
      <c r="E852" s="1">
        <v>3700</v>
      </c>
      <c r="F852" s="1" t="s">
        <v>68</v>
      </c>
      <c r="G852" s="38" t="s">
        <v>138</v>
      </c>
      <c r="H852" s="1" t="s">
        <v>139</v>
      </c>
      <c r="I852" s="1" t="s">
        <v>122</v>
      </c>
      <c r="K852" s="24">
        <v>45352.373229166667</v>
      </c>
      <c r="O852" s="54">
        <v>3000</v>
      </c>
      <c r="P852" s="33">
        <v>1</v>
      </c>
      <c r="Q852" s="33">
        <v>700.00000000000023</v>
      </c>
    </row>
    <row r="853" spans="1:17" x14ac:dyDescent="0.25">
      <c r="B853" s="45" t="s">
        <v>321</v>
      </c>
      <c r="C853" s="25" t="s">
        <v>724</v>
      </c>
      <c r="D853" s="1">
        <v>2121</v>
      </c>
      <c r="E853" s="1">
        <v>12000</v>
      </c>
      <c r="F853" s="1" t="s">
        <v>68</v>
      </c>
      <c r="G853" s="38" t="s">
        <v>120</v>
      </c>
      <c r="H853" s="1" t="s">
        <v>121</v>
      </c>
      <c r="I853" s="1" t="s">
        <v>122</v>
      </c>
      <c r="K853" s="24">
        <v>45352.373437499999</v>
      </c>
      <c r="O853" s="54">
        <v>2400</v>
      </c>
      <c r="P853" s="33">
        <v>5</v>
      </c>
      <c r="Q853" s="33">
        <v>0</v>
      </c>
    </row>
    <row r="854" spans="1:17" x14ac:dyDescent="0.25">
      <c r="B854" s="45" t="s">
        <v>321</v>
      </c>
      <c r="C854" s="25" t="s">
        <v>724</v>
      </c>
      <c r="D854" s="1">
        <v>2121</v>
      </c>
      <c r="E854" s="1">
        <v>500</v>
      </c>
      <c r="F854" s="1" t="s">
        <v>68</v>
      </c>
      <c r="G854" s="38" t="s">
        <v>132</v>
      </c>
      <c r="H854" s="1" t="s">
        <v>133</v>
      </c>
      <c r="I854" s="1" t="s">
        <v>122</v>
      </c>
      <c r="K854" s="24">
        <v>45352.373449074075</v>
      </c>
      <c r="O854" s="54">
        <v>1200</v>
      </c>
      <c r="P854" s="33">
        <v>0</v>
      </c>
      <c r="Q854" s="33">
        <v>500</v>
      </c>
    </row>
    <row r="855" spans="1:17" x14ac:dyDescent="0.25">
      <c r="B855" s="45" t="s">
        <v>321</v>
      </c>
      <c r="C855" s="25" t="s">
        <v>724</v>
      </c>
      <c r="D855" s="1">
        <v>2114</v>
      </c>
      <c r="E855" s="1">
        <v>240</v>
      </c>
      <c r="F855" s="1" t="s">
        <v>68</v>
      </c>
      <c r="G855" s="38" t="s">
        <v>181</v>
      </c>
      <c r="H855" s="1" t="s">
        <v>182</v>
      </c>
      <c r="I855" s="1" t="s">
        <v>183</v>
      </c>
      <c r="K855" s="24">
        <v>45352.373449074075</v>
      </c>
      <c r="O855" s="54">
        <v>300</v>
      </c>
      <c r="P855" s="33">
        <v>0</v>
      </c>
      <c r="Q855" s="33">
        <v>240</v>
      </c>
    </row>
    <row r="856" spans="1:17" x14ac:dyDescent="0.25">
      <c r="B856" s="45" t="s">
        <v>321</v>
      </c>
      <c r="C856" s="25" t="s">
        <v>724</v>
      </c>
      <c r="D856" s="1">
        <v>2114</v>
      </c>
      <c r="E856" s="1">
        <v>10</v>
      </c>
      <c r="F856" s="1" t="s">
        <v>68</v>
      </c>
      <c r="G856" s="38" t="s">
        <v>787</v>
      </c>
      <c r="H856" s="1" t="s">
        <v>167</v>
      </c>
      <c r="I856" s="1" t="s">
        <v>161</v>
      </c>
      <c r="K856" s="24">
        <v>45352.373449074075</v>
      </c>
      <c r="O856" s="54">
        <v>4</v>
      </c>
      <c r="P856" s="33">
        <v>2</v>
      </c>
      <c r="Q856" s="33">
        <v>2</v>
      </c>
    </row>
    <row r="857" spans="1:17" x14ac:dyDescent="0.25">
      <c r="B857" s="45" t="s">
        <v>321</v>
      </c>
      <c r="C857" s="25" t="s">
        <v>724</v>
      </c>
      <c r="D857" s="1">
        <v>2114</v>
      </c>
      <c r="E857" s="1">
        <v>50</v>
      </c>
      <c r="F857" s="1" t="s">
        <v>68</v>
      </c>
      <c r="G857" s="38" t="s">
        <v>788</v>
      </c>
      <c r="H857" s="1" t="s">
        <v>187</v>
      </c>
      <c r="I857" s="1" t="s">
        <v>161</v>
      </c>
      <c r="K857" s="24">
        <v>45352.373460648145</v>
      </c>
      <c r="O857" s="54">
        <v>100</v>
      </c>
      <c r="P857" s="33">
        <v>0</v>
      </c>
      <c r="Q857" s="33">
        <v>50</v>
      </c>
    </row>
    <row r="858" spans="1:17" x14ac:dyDescent="0.25">
      <c r="B858" s="45" t="s">
        <v>321</v>
      </c>
      <c r="C858" s="25" t="s">
        <v>724</v>
      </c>
      <c r="D858" s="1">
        <v>2110</v>
      </c>
      <c r="E858" s="1">
        <v>36</v>
      </c>
      <c r="F858" s="1" t="s">
        <v>68</v>
      </c>
      <c r="G858" s="38" t="s">
        <v>184</v>
      </c>
      <c r="H858" s="1" t="s">
        <v>185</v>
      </c>
      <c r="K858" s="24">
        <v>45352.373460648145</v>
      </c>
      <c r="O858" s="54">
        <v>4</v>
      </c>
      <c r="P858" s="33">
        <v>9</v>
      </c>
      <c r="Q858" s="33">
        <v>0</v>
      </c>
    </row>
    <row r="859" spans="1:17" x14ac:dyDescent="0.25">
      <c r="A859" s="1" t="s">
        <v>801</v>
      </c>
      <c r="B859" s="45" t="s">
        <v>321</v>
      </c>
      <c r="C859" s="20">
        <v>41219425</v>
      </c>
      <c r="D859" s="20" t="s">
        <v>802</v>
      </c>
      <c r="E859" s="21">
        <v>12000</v>
      </c>
      <c r="F859" s="1" t="s">
        <v>68</v>
      </c>
      <c r="G859" s="25" t="s">
        <v>140</v>
      </c>
      <c r="H859" s="1" t="s">
        <v>141</v>
      </c>
      <c r="I859" s="1" t="s">
        <v>122</v>
      </c>
      <c r="J859" s="60">
        <v>0</v>
      </c>
      <c r="K859" s="24">
        <v>45352.662499999999</v>
      </c>
      <c r="L859" s="23">
        <v>79300</v>
      </c>
      <c r="O859" s="54">
        <v>2400</v>
      </c>
      <c r="P859" s="33">
        <v>5</v>
      </c>
      <c r="Q859" s="33">
        <v>0</v>
      </c>
    </row>
    <row r="860" spans="1:17" x14ac:dyDescent="0.25">
      <c r="A860" s="1" t="s">
        <v>801</v>
      </c>
      <c r="B860" s="45" t="s">
        <v>321</v>
      </c>
      <c r="C860" s="20">
        <v>41219425</v>
      </c>
      <c r="D860" s="20" t="s">
        <v>802</v>
      </c>
      <c r="E860" s="21">
        <v>250</v>
      </c>
      <c r="F860" s="1" t="s">
        <v>68</v>
      </c>
      <c r="G860" s="25" t="s">
        <v>172</v>
      </c>
      <c r="H860" s="1" t="s">
        <v>173</v>
      </c>
      <c r="J860" s="60">
        <v>0</v>
      </c>
      <c r="K860" s="24">
        <v>45352.662592592591</v>
      </c>
      <c r="L860" s="23">
        <v>1602</v>
      </c>
      <c r="O860" s="54">
        <v>24</v>
      </c>
      <c r="P860" s="33">
        <v>10</v>
      </c>
      <c r="Q860" s="33">
        <v>9.9999999999999858</v>
      </c>
    </row>
    <row r="861" spans="1:17" x14ac:dyDescent="0.25">
      <c r="A861" s="1" t="s">
        <v>801</v>
      </c>
      <c r="B861" s="45" t="s">
        <v>321</v>
      </c>
      <c r="C861" s="20">
        <v>41219425</v>
      </c>
      <c r="D861" s="20" t="s">
        <v>802</v>
      </c>
      <c r="E861" s="21">
        <v>120</v>
      </c>
      <c r="F861" s="1" t="s">
        <v>68</v>
      </c>
      <c r="G861" s="25" t="s">
        <v>219</v>
      </c>
      <c r="H861" s="1" t="s">
        <v>220</v>
      </c>
      <c r="I861" s="1" t="s">
        <v>161</v>
      </c>
      <c r="J861" s="60">
        <v>0</v>
      </c>
      <c r="K861" s="24">
        <v>45352.662615740737</v>
      </c>
      <c r="L861" s="23">
        <v>5060</v>
      </c>
      <c r="O861" s="54">
        <v>100</v>
      </c>
      <c r="P861" s="33">
        <v>1</v>
      </c>
      <c r="Q861" s="33">
        <v>19.999999999999996</v>
      </c>
    </row>
    <row r="862" spans="1:17" x14ac:dyDescent="0.25">
      <c r="A862" s="1" t="s">
        <v>801</v>
      </c>
      <c r="B862" s="45" t="s">
        <v>321</v>
      </c>
      <c r="C862" s="20">
        <v>41219425</v>
      </c>
      <c r="D862" s="20" t="s">
        <v>802</v>
      </c>
      <c r="E862" s="21">
        <v>2</v>
      </c>
      <c r="F862" s="1" t="s">
        <v>68</v>
      </c>
      <c r="G862" s="25" t="s">
        <v>430</v>
      </c>
      <c r="H862" s="1" t="s">
        <v>199</v>
      </c>
      <c r="J862" s="60">
        <v>0</v>
      </c>
      <c r="K862" s="24">
        <v>45352.662638888891</v>
      </c>
      <c r="L862" s="23">
        <v>84</v>
      </c>
      <c r="O862" s="54">
        <v>40</v>
      </c>
      <c r="P862" s="33">
        <v>0</v>
      </c>
      <c r="Q862" s="33">
        <v>2</v>
      </c>
    </row>
    <row r="863" spans="1:17" x14ac:dyDescent="0.25">
      <c r="A863" s="1" t="s">
        <v>801</v>
      </c>
      <c r="B863" s="45" t="s">
        <v>321</v>
      </c>
      <c r="C863" s="20">
        <v>41218860</v>
      </c>
      <c r="D863" s="20" t="s">
        <v>803</v>
      </c>
      <c r="E863" s="21">
        <v>2</v>
      </c>
      <c r="F863" s="1" t="s">
        <v>68</v>
      </c>
      <c r="G863" s="25" t="s">
        <v>200</v>
      </c>
      <c r="H863" s="1" t="s">
        <v>201</v>
      </c>
      <c r="J863" s="60">
        <v>0</v>
      </c>
      <c r="K863" s="24">
        <v>45352.662662037037</v>
      </c>
      <c r="L863" s="23">
        <v>2</v>
      </c>
      <c r="O863" s="54">
        <v>36</v>
      </c>
      <c r="P863" s="33">
        <v>0</v>
      </c>
      <c r="Q863" s="33">
        <v>2</v>
      </c>
    </row>
    <row r="864" spans="1:17" x14ac:dyDescent="0.25">
      <c r="A864" s="1" t="s">
        <v>801</v>
      </c>
      <c r="B864" s="45" t="s">
        <v>321</v>
      </c>
      <c r="C864" s="20">
        <v>41218860</v>
      </c>
      <c r="D864" s="20" t="s">
        <v>803</v>
      </c>
      <c r="E864" s="21">
        <v>120</v>
      </c>
      <c r="F864" s="1" t="s">
        <v>68</v>
      </c>
      <c r="G864" s="25" t="s">
        <v>427</v>
      </c>
      <c r="H864" s="1" t="s">
        <v>166</v>
      </c>
      <c r="I864" s="1" t="s">
        <v>161</v>
      </c>
      <c r="J864" s="60">
        <v>0</v>
      </c>
      <c r="K864" s="24">
        <v>45352.662685185183</v>
      </c>
      <c r="L864" s="23">
        <v>4300</v>
      </c>
      <c r="O864" s="54">
        <v>60</v>
      </c>
      <c r="P864" s="33">
        <v>2</v>
      </c>
      <c r="Q864" s="33">
        <v>0</v>
      </c>
    </row>
    <row r="865" spans="1:18" x14ac:dyDescent="0.25">
      <c r="A865" s="1" t="s">
        <v>801</v>
      </c>
      <c r="B865" s="45" t="s">
        <v>321</v>
      </c>
      <c r="C865" s="20">
        <v>41219252</v>
      </c>
      <c r="D865" s="20" t="s">
        <v>804</v>
      </c>
      <c r="E865" s="21">
        <v>1000</v>
      </c>
      <c r="F865" s="1" t="s">
        <v>68</v>
      </c>
      <c r="G865" s="25" t="s">
        <v>197</v>
      </c>
      <c r="H865" s="1" t="s">
        <v>198</v>
      </c>
      <c r="I865" s="1" t="s">
        <v>161</v>
      </c>
      <c r="J865" s="60">
        <v>0</v>
      </c>
      <c r="K865" s="24">
        <v>45352.66269675926</v>
      </c>
      <c r="L865" s="23">
        <v>29000</v>
      </c>
      <c r="O865" s="54">
        <v>2000</v>
      </c>
      <c r="P865" s="33">
        <v>0</v>
      </c>
      <c r="Q865" s="33">
        <v>1000</v>
      </c>
    </row>
    <row r="866" spans="1:18" x14ac:dyDescent="0.25">
      <c r="A866" s="1" t="s">
        <v>801</v>
      </c>
      <c r="B866" s="45" t="s">
        <v>321</v>
      </c>
      <c r="C866" s="20">
        <v>41219252</v>
      </c>
      <c r="D866" s="20" t="s">
        <v>804</v>
      </c>
      <c r="E866" s="21">
        <v>2500</v>
      </c>
      <c r="F866" s="1" t="s">
        <v>68</v>
      </c>
      <c r="G866" s="25" t="s">
        <v>163</v>
      </c>
      <c r="H866" s="1" t="s">
        <v>164</v>
      </c>
      <c r="I866" s="1" t="s">
        <v>161</v>
      </c>
      <c r="J866" s="60">
        <v>0</v>
      </c>
      <c r="K866" s="24">
        <v>45352.662731481483</v>
      </c>
      <c r="L866" s="23">
        <v>16120</v>
      </c>
      <c r="O866" s="54">
        <v>440</v>
      </c>
      <c r="P866" s="33">
        <v>5</v>
      </c>
      <c r="Q866" s="33">
        <v>299.99999999999994</v>
      </c>
      <c r="R866" s="79"/>
    </row>
    <row r="867" spans="1:18" x14ac:dyDescent="0.25">
      <c r="A867" s="1" t="s">
        <v>801</v>
      </c>
      <c r="B867" s="45" t="s">
        <v>321</v>
      </c>
      <c r="C867" s="20">
        <v>41219949</v>
      </c>
      <c r="D867" s="20" t="s">
        <v>805</v>
      </c>
      <c r="E867" s="21">
        <v>240</v>
      </c>
      <c r="F867" s="1" t="s">
        <v>68</v>
      </c>
      <c r="G867" s="25" t="s">
        <v>181</v>
      </c>
      <c r="H867" s="1" t="s">
        <v>182</v>
      </c>
      <c r="I867" s="1" t="s">
        <v>183</v>
      </c>
      <c r="J867" s="60">
        <v>0</v>
      </c>
      <c r="K867" s="24">
        <v>45352.662777777776</v>
      </c>
      <c r="L867" s="23">
        <v>-7486</v>
      </c>
      <c r="O867" s="54">
        <v>300</v>
      </c>
      <c r="P867" s="33">
        <v>0</v>
      </c>
      <c r="Q867" s="33">
        <v>240</v>
      </c>
    </row>
    <row r="868" spans="1:18" x14ac:dyDescent="0.25">
      <c r="A868" s="1" t="s">
        <v>801</v>
      </c>
      <c r="B868" s="45" t="s">
        <v>321</v>
      </c>
      <c r="C868" s="20">
        <v>41219949</v>
      </c>
      <c r="D868" s="20" t="s">
        <v>805</v>
      </c>
      <c r="E868" s="21">
        <v>50</v>
      </c>
      <c r="F868" s="1" t="s">
        <v>68</v>
      </c>
      <c r="G868" s="25" t="s">
        <v>788</v>
      </c>
      <c r="H868" s="1" t="s">
        <v>187</v>
      </c>
      <c r="I868" s="1" t="s">
        <v>161</v>
      </c>
      <c r="J868" s="60">
        <v>0</v>
      </c>
      <c r="K868" s="24">
        <v>45352.662812499999</v>
      </c>
      <c r="L868" s="23">
        <v>360</v>
      </c>
      <c r="O868" s="54">
        <v>100</v>
      </c>
      <c r="P868" s="33">
        <v>0</v>
      </c>
      <c r="Q868" s="33">
        <v>50</v>
      </c>
    </row>
    <row r="869" spans="1:18" x14ac:dyDescent="0.25">
      <c r="A869" s="1" t="s">
        <v>801</v>
      </c>
      <c r="B869" s="45" t="s">
        <v>321</v>
      </c>
      <c r="C869" s="20">
        <v>41219949</v>
      </c>
      <c r="D869" s="20" t="s">
        <v>805</v>
      </c>
      <c r="E869" s="21">
        <v>10</v>
      </c>
      <c r="F869" s="1" t="s">
        <v>68</v>
      </c>
      <c r="G869" s="25" t="s">
        <v>787</v>
      </c>
      <c r="H869" s="1" t="s">
        <v>167</v>
      </c>
      <c r="I869" s="1" t="s">
        <v>161</v>
      </c>
      <c r="J869" s="60">
        <v>0</v>
      </c>
      <c r="K869" s="24">
        <v>45352.662824074076</v>
      </c>
      <c r="L869" s="23">
        <v>94</v>
      </c>
      <c r="O869" s="54">
        <v>4</v>
      </c>
      <c r="P869" s="33">
        <v>2</v>
      </c>
      <c r="Q869" s="33">
        <v>2</v>
      </c>
    </row>
    <row r="870" spans="1:18" x14ac:dyDescent="0.25">
      <c r="A870" s="1" t="s">
        <v>801</v>
      </c>
      <c r="B870" s="45" t="s">
        <v>321</v>
      </c>
      <c r="C870" s="20">
        <v>41218896</v>
      </c>
      <c r="D870" s="20" t="s">
        <v>806</v>
      </c>
      <c r="E870" s="21">
        <v>3700</v>
      </c>
      <c r="F870" s="1" t="s">
        <v>68</v>
      </c>
      <c r="G870" s="25" t="s">
        <v>138</v>
      </c>
      <c r="H870" s="1" t="s">
        <v>139</v>
      </c>
      <c r="I870" s="1" t="s">
        <v>122</v>
      </c>
      <c r="J870" s="60">
        <v>0</v>
      </c>
      <c r="K870" s="24">
        <v>45352.662835648145</v>
      </c>
      <c r="L870" s="23">
        <v>27500</v>
      </c>
      <c r="O870" s="54">
        <v>3000</v>
      </c>
      <c r="P870" s="33">
        <v>1</v>
      </c>
      <c r="Q870" s="33">
        <v>700.00000000000023</v>
      </c>
    </row>
    <row r="871" spans="1:18" x14ac:dyDescent="0.25">
      <c r="A871" s="1" t="s">
        <v>801</v>
      </c>
      <c r="B871" s="45" t="s">
        <v>321</v>
      </c>
      <c r="C871" s="20">
        <v>41218896</v>
      </c>
      <c r="D871" s="20" t="s">
        <v>806</v>
      </c>
      <c r="E871" s="21">
        <v>6</v>
      </c>
      <c r="F871" s="1" t="s">
        <v>68</v>
      </c>
      <c r="G871" s="25" t="s">
        <v>786</v>
      </c>
      <c r="H871" s="1" t="s">
        <v>165</v>
      </c>
      <c r="I871" s="1" t="s">
        <v>161</v>
      </c>
      <c r="J871" s="60">
        <v>0</v>
      </c>
      <c r="K871" s="24">
        <v>45352.662847222222</v>
      </c>
      <c r="L871" s="23">
        <v>123</v>
      </c>
      <c r="O871" s="54">
        <v>24</v>
      </c>
      <c r="P871" s="33">
        <v>0</v>
      </c>
      <c r="Q871" s="33">
        <v>6</v>
      </c>
    </row>
    <row r="872" spans="1:18" x14ac:dyDescent="0.25">
      <c r="A872" s="1" t="s">
        <v>801</v>
      </c>
      <c r="B872" s="45" t="s">
        <v>321</v>
      </c>
      <c r="C872" s="20">
        <v>41219694</v>
      </c>
      <c r="D872" s="20" t="s">
        <v>807</v>
      </c>
      <c r="E872" s="21">
        <v>175</v>
      </c>
      <c r="F872" s="1" t="s">
        <v>144</v>
      </c>
      <c r="G872" s="25" t="s">
        <v>150</v>
      </c>
      <c r="H872" s="1" t="s">
        <v>151</v>
      </c>
      <c r="I872" s="1" t="s">
        <v>147</v>
      </c>
      <c r="J872" s="60">
        <v>0</v>
      </c>
      <c r="K872" s="24">
        <v>45352.662858796299</v>
      </c>
      <c r="L872" s="23">
        <v>1710</v>
      </c>
      <c r="O872" s="54">
        <v>10</v>
      </c>
      <c r="P872" s="33">
        <v>17</v>
      </c>
      <c r="Q872" s="33">
        <v>5</v>
      </c>
    </row>
    <row r="873" spans="1:18" x14ac:dyDescent="0.25">
      <c r="A873" s="1" t="s">
        <v>801</v>
      </c>
      <c r="B873" s="45" t="s">
        <v>321</v>
      </c>
      <c r="C873" s="20">
        <v>41219694</v>
      </c>
      <c r="D873" s="20" t="s">
        <v>807</v>
      </c>
      <c r="E873" s="21">
        <v>4</v>
      </c>
      <c r="F873" s="1" t="s">
        <v>144</v>
      </c>
      <c r="G873" s="25" t="s">
        <v>148</v>
      </c>
      <c r="H873" s="1" t="s">
        <v>149</v>
      </c>
      <c r="I873" s="1" t="s">
        <v>147</v>
      </c>
      <c r="J873" s="60">
        <v>0</v>
      </c>
      <c r="K873" s="24">
        <v>45352.662870370368</v>
      </c>
      <c r="L873" s="23">
        <v>4766</v>
      </c>
      <c r="O873" s="54">
        <v>10</v>
      </c>
      <c r="P873" s="33">
        <v>0</v>
      </c>
      <c r="Q873" s="33">
        <v>4</v>
      </c>
    </row>
    <row r="874" spans="1:18" x14ac:dyDescent="0.25">
      <c r="A874" s="1" t="s">
        <v>801</v>
      </c>
      <c r="B874" s="45" t="s">
        <v>321</v>
      </c>
      <c r="C874" s="20">
        <v>41217314</v>
      </c>
      <c r="D874" s="20" t="s">
        <v>808</v>
      </c>
      <c r="E874" s="21">
        <v>144</v>
      </c>
      <c r="F874" s="1" t="s">
        <v>152</v>
      </c>
      <c r="G874" s="25" t="s">
        <v>157</v>
      </c>
      <c r="H874" s="1" t="s">
        <v>154</v>
      </c>
      <c r="I874" s="1" t="s">
        <v>155</v>
      </c>
      <c r="J874" s="60">
        <v>0</v>
      </c>
      <c r="K874" s="24">
        <v>45352.662881944445</v>
      </c>
      <c r="L874" s="23">
        <v>2658</v>
      </c>
      <c r="O874" s="54">
        <v>144</v>
      </c>
      <c r="P874" s="33">
        <v>1</v>
      </c>
      <c r="Q874" s="33">
        <v>0</v>
      </c>
    </row>
    <row r="875" spans="1:18" x14ac:dyDescent="0.25">
      <c r="A875" s="1" t="s">
        <v>801</v>
      </c>
      <c r="B875" s="45" t="s">
        <v>321</v>
      </c>
      <c r="C875" s="20">
        <v>41219951</v>
      </c>
      <c r="D875" s="20" t="s">
        <v>809</v>
      </c>
      <c r="E875" s="21">
        <v>10</v>
      </c>
      <c r="F875" s="1" t="s">
        <v>68</v>
      </c>
      <c r="G875" s="25" t="s">
        <v>175</v>
      </c>
      <c r="H875" s="1" t="s">
        <v>173</v>
      </c>
      <c r="J875" s="60">
        <v>0</v>
      </c>
      <c r="K875" s="24">
        <v>45352.662893518522</v>
      </c>
      <c r="L875" s="23">
        <v>1108</v>
      </c>
      <c r="O875" s="54">
        <v>12</v>
      </c>
      <c r="P875" s="33">
        <v>0</v>
      </c>
      <c r="Q875" s="33">
        <v>10</v>
      </c>
    </row>
    <row r="876" spans="1:18" x14ac:dyDescent="0.25">
      <c r="A876" s="1" t="s">
        <v>801</v>
      </c>
      <c r="B876" s="45" t="s">
        <v>321</v>
      </c>
      <c r="C876" s="20">
        <v>41219951</v>
      </c>
      <c r="D876" s="20" t="s">
        <v>809</v>
      </c>
      <c r="E876" s="21">
        <v>200</v>
      </c>
      <c r="F876" s="1" t="s">
        <v>68</v>
      </c>
      <c r="G876" s="25" t="s">
        <v>170</v>
      </c>
      <c r="H876" s="1" t="s">
        <v>171</v>
      </c>
      <c r="I876" s="1" t="s">
        <v>122</v>
      </c>
      <c r="J876" s="60">
        <v>0</v>
      </c>
      <c r="K876" s="24">
        <v>45352.662905092591</v>
      </c>
      <c r="L876" s="23">
        <v>1800</v>
      </c>
      <c r="O876" s="54">
        <v>100</v>
      </c>
      <c r="P876" s="33">
        <v>2</v>
      </c>
      <c r="Q876" s="33">
        <v>0</v>
      </c>
    </row>
    <row r="877" spans="1:18" x14ac:dyDescent="0.25">
      <c r="A877" s="1" t="s">
        <v>801</v>
      </c>
      <c r="B877" s="45" t="s">
        <v>321</v>
      </c>
      <c r="C877" s="20">
        <v>41217777</v>
      </c>
      <c r="D877" s="20" t="s">
        <v>810</v>
      </c>
      <c r="E877" s="21">
        <v>10000</v>
      </c>
      <c r="F877" s="1" t="s">
        <v>68</v>
      </c>
      <c r="G877" s="25" t="s">
        <v>124</v>
      </c>
      <c r="H877" s="1" t="s">
        <v>125</v>
      </c>
      <c r="I877" s="1" t="s">
        <v>122</v>
      </c>
      <c r="J877" s="60">
        <v>0</v>
      </c>
      <c r="K877" s="24">
        <v>45352.662916666668</v>
      </c>
      <c r="L877" s="23">
        <v>600</v>
      </c>
      <c r="O877" s="54">
        <v>1200</v>
      </c>
      <c r="P877" s="33">
        <v>8</v>
      </c>
      <c r="Q877" s="33">
        <v>400.00000000000068</v>
      </c>
    </row>
    <row r="878" spans="1:18" x14ac:dyDescent="0.25">
      <c r="A878" s="1" t="s">
        <v>801</v>
      </c>
      <c r="B878" s="45" t="s">
        <v>321</v>
      </c>
      <c r="C878" s="20">
        <v>41220015</v>
      </c>
      <c r="D878" s="20" t="s">
        <v>811</v>
      </c>
      <c r="E878" s="21">
        <v>12000</v>
      </c>
      <c r="F878" s="1" t="s">
        <v>68</v>
      </c>
      <c r="G878" s="25" t="s">
        <v>120</v>
      </c>
      <c r="H878" s="1" t="s">
        <v>121</v>
      </c>
      <c r="I878" s="1" t="s">
        <v>122</v>
      </c>
      <c r="J878" s="60">
        <v>0</v>
      </c>
      <c r="K878" s="24">
        <v>45352.662951388891</v>
      </c>
      <c r="L878" s="23">
        <v>29900</v>
      </c>
      <c r="O878" s="54">
        <v>2400</v>
      </c>
      <c r="P878" s="33">
        <v>5</v>
      </c>
      <c r="Q878" s="33">
        <v>0</v>
      </c>
    </row>
    <row r="879" spans="1:18" x14ac:dyDescent="0.25">
      <c r="A879" s="1" t="s">
        <v>801</v>
      </c>
      <c r="B879" s="45" t="s">
        <v>321</v>
      </c>
      <c r="C879" s="20">
        <v>41220015</v>
      </c>
      <c r="D879" s="20" t="s">
        <v>811</v>
      </c>
      <c r="E879" s="21">
        <v>500</v>
      </c>
      <c r="F879" s="1" t="s">
        <v>68</v>
      </c>
      <c r="G879" s="25" t="s">
        <v>132</v>
      </c>
      <c r="H879" s="1" t="s">
        <v>133</v>
      </c>
      <c r="I879" s="1" t="s">
        <v>122</v>
      </c>
      <c r="J879" s="60">
        <v>0</v>
      </c>
      <c r="K879" s="24">
        <v>45352.662962962961</v>
      </c>
      <c r="L879" s="23">
        <v>10800</v>
      </c>
      <c r="O879" s="54">
        <v>1200</v>
      </c>
      <c r="P879" s="33">
        <v>0</v>
      </c>
      <c r="Q879" s="33">
        <v>500</v>
      </c>
    </row>
    <row r="880" spans="1:18" x14ac:dyDescent="0.25">
      <c r="A880" s="1" t="s">
        <v>801</v>
      </c>
      <c r="B880" s="45" t="s">
        <v>321</v>
      </c>
      <c r="C880" s="20">
        <v>41217485</v>
      </c>
      <c r="D880" s="20" t="s">
        <v>812</v>
      </c>
      <c r="E880" s="21">
        <v>130</v>
      </c>
      <c r="F880" s="1" t="s">
        <v>68</v>
      </c>
      <c r="G880" s="25" t="s">
        <v>168</v>
      </c>
      <c r="H880" s="1" t="s">
        <v>169</v>
      </c>
      <c r="I880" s="1" t="s">
        <v>122</v>
      </c>
      <c r="J880" s="60">
        <v>0</v>
      </c>
      <c r="K880" s="24">
        <v>45352.662986111114</v>
      </c>
      <c r="L880" s="23">
        <v>656</v>
      </c>
      <c r="O880" s="54">
        <v>200</v>
      </c>
      <c r="P880" s="33">
        <v>0</v>
      </c>
      <c r="Q880" s="33">
        <v>130</v>
      </c>
    </row>
    <row r="881" spans="2:18" x14ac:dyDescent="0.25">
      <c r="B881" s="45" t="s">
        <v>813</v>
      </c>
      <c r="C881" s="20" t="s">
        <v>67</v>
      </c>
      <c r="D881" s="20" t="s">
        <v>67</v>
      </c>
      <c r="E881" s="21">
        <v>4000</v>
      </c>
      <c r="F881" s="1" t="s">
        <v>68</v>
      </c>
      <c r="G881" s="45" t="s">
        <v>181</v>
      </c>
      <c r="H881" s="1" t="s">
        <v>182</v>
      </c>
      <c r="I881" s="1" t="s">
        <v>183</v>
      </c>
      <c r="J881" s="33">
        <v>1</v>
      </c>
      <c r="K881" s="24">
        <v>45355.693865740737</v>
      </c>
      <c r="L881" s="23">
        <v>-3486</v>
      </c>
      <c r="M881" s="1" t="s">
        <v>814</v>
      </c>
      <c r="O881" s="54">
        <v>12</v>
      </c>
      <c r="P881" s="33">
        <v>333</v>
      </c>
      <c r="Q881" s="33">
        <v>3.9999999999997726</v>
      </c>
      <c r="R881" s="79"/>
    </row>
    <row r="882" spans="2:18" x14ac:dyDescent="0.25">
      <c r="B882" s="45" t="s">
        <v>815</v>
      </c>
      <c r="C882" s="20" t="s">
        <v>67</v>
      </c>
      <c r="D882" s="20" t="s">
        <v>67</v>
      </c>
      <c r="E882" s="21">
        <v>2500</v>
      </c>
      <c r="F882" s="1" t="s">
        <v>144</v>
      </c>
      <c r="G882" s="25" t="s">
        <v>145</v>
      </c>
      <c r="H882" s="1" t="s">
        <v>146</v>
      </c>
      <c r="I882" s="1" t="s">
        <v>147</v>
      </c>
      <c r="J882" s="33">
        <v>1</v>
      </c>
      <c r="K882" s="24">
        <v>45355.681307870371</v>
      </c>
      <c r="L882" s="23">
        <v>2510</v>
      </c>
      <c r="M882" s="1" t="s">
        <v>816</v>
      </c>
      <c r="O882" s="54">
        <v>10</v>
      </c>
      <c r="P882" s="33">
        <v>250</v>
      </c>
      <c r="Q882" s="76">
        <v>0</v>
      </c>
    </row>
    <row r="883" spans="2:18" x14ac:dyDescent="0.25">
      <c r="B883" s="20">
        <v>6</v>
      </c>
      <c r="C883" s="20">
        <v>41219432</v>
      </c>
      <c r="D883" s="20" t="s">
        <v>773</v>
      </c>
      <c r="E883" s="21">
        <v>1600</v>
      </c>
      <c r="F883" s="1" t="s">
        <v>68</v>
      </c>
      <c r="G883" s="25" t="s">
        <v>188</v>
      </c>
      <c r="H883" s="1" t="s">
        <v>189</v>
      </c>
      <c r="I883" s="1" t="s">
        <v>122</v>
      </c>
      <c r="J883" s="60">
        <v>0</v>
      </c>
      <c r="K883" s="24">
        <v>45356.530497685184</v>
      </c>
      <c r="L883" s="23">
        <v>7800</v>
      </c>
      <c r="O883" s="54">
        <v>2400</v>
      </c>
      <c r="P883" s="33">
        <v>0</v>
      </c>
      <c r="Q883" s="76">
        <v>1600</v>
      </c>
    </row>
    <row r="884" spans="2:18" x14ac:dyDescent="0.25">
      <c r="B884" s="20">
        <v>6</v>
      </c>
      <c r="C884" s="20">
        <v>41219432</v>
      </c>
      <c r="D884" s="20" t="s">
        <v>773</v>
      </c>
      <c r="E884" s="21">
        <v>600</v>
      </c>
      <c r="F884" s="1" t="s">
        <v>68</v>
      </c>
      <c r="G884" s="1" t="s">
        <v>124</v>
      </c>
      <c r="H884" s="1" t="s">
        <v>125</v>
      </c>
      <c r="I884" s="1" t="s">
        <v>122</v>
      </c>
      <c r="J884" s="60">
        <v>0</v>
      </c>
      <c r="K884" s="24">
        <v>45356.530740740738</v>
      </c>
      <c r="L884" s="23">
        <v>0</v>
      </c>
      <c r="O884" s="54">
        <v>1200</v>
      </c>
      <c r="P884" s="33">
        <v>0</v>
      </c>
      <c r="Q884" s="33">
        <v>600</v>
      </c>
    </row>
    <row r="885" spans="2:18" x14ac:dyDescent="0.25">
      <c r="B885" s="20">
        <v>6</v>
      </c>
      <c r="C885" s="20">
        <v>41220183</v>
      </c>
      <c r="D885" s="20" t="s">
        <v>774</v>
      </c>
      <c r="E885" s="21">
        <v>2000</v>
      </c>
      <c r="F885" s="1" t="s">
        <v>68</v>
      </c>
      <c r="G885" s="1" t="s">
        <v>120</v>
      </c>
      <c r="H885" s="1" t="s">
        <v>121</v>
      </c>
      <c r="I885" s="1" t="s">
        <v>122</v>
      </c>
      <c r="J885" s="60">
        <v>0</v>
      </c>
      <c r="K885" s="24">
        <v>45356.530844907407</v>
      </c>
      <c r="L885" s="23">
        <v>27900</v>
      </c>
      <c r="O885" s="54">
        <v>2400</v>
      </c>
      <c r="P885" s="33">
        <v>0</v>
      </c>
      <c r="Q885" s="33">
        <v>2000</v>
      </c>
    </row>
    <row r="886" spans="2:18" x14ac:dyDescent="0.25">
      <c r="B886" s="20">
        <v>6</v>
      </c>
      <c r="C886" s="20">
        <v>41220183</v>
      </c>
      <c r="D886" s="20" t="s">
        <v>782</v>
      </c>
      <c r="E886" s="21">
        <v>2000</v>
      </c>
      <c r="G886" s="1" t="s">
        <v>120</v>
      </c>
      <c r="H886" s="1" t="s">
        <v>121</v>
      </c>
      <c r="I886" s="1" t="s">
        <v>122</v>
      </c>
      <c r="J886" s="60">
        <v>0</v>
      </c>
      <c r="K886" s="24">
        <v>45356.722627314812</v>
      </c>
      <c r="L886" s="23">
        <v>25900</v>
      </c>
      <c r="O886" s="54">
        <v>2400</v>
      </c>
      <c r="P886" s="33">
        <v>0</v>
      </c>
      <c r="Q886" s="33">
        <v>2000</v>
      </c>
    </row>
    <row r="887" spans="2:18" x14ac:dyDescent="0.25">
      <c r="B887" s="20">
        <v>6</v>
      </c>
      <c r="C887" s="20">
        <v>41220281</v>
      </c>
      <c r="D887" s="20" t="s">
        <v>783</v>
      </c>
      <c r="E887" s="21">
        <v>5000</v>
      </c>
      <c r="F887" s="1" t="s">
        <v>68</v>
      </c>
      <c r="G887" s="1" t="s">
        <v>163</v>
      </c>
      <c r="H887" s="1" t="s">
        <v>164</v>
      </c>
      <c r="I887" s="1" t="s">
        <v>161</v>
      </c>
      <c r="J887" s="60">
        <v>0</v>
      </c>
      <c r="K887" s="24">
        <v>45356.722673611112</v>
      </c>
      <c r="L887" s="23">
        <v>11120</v>
      </c>
      <c r="O887" s="54">
        <v>440</v>
      </c>
      <c r="P887" s="33">
        <v>11</v>
      </c>
      <c r="Q887" s="33">
        <v>159.99999999999986</v>
      </c>
    </row>
    <row r="888" spans="2:18" x14ac:dyDescent="0.25">
      <c r="B888" s="20">
        <v>6</v>
      </c>
      <c r="C888" s="20">
        <v>41220281</v>
      </c>
      <c r="D888" s="20" t="s">
        <v>783</v>
      </c>
      <c r="E888" s="21">
        <v>10</v>
      </c>
      <c r="F888" s="1" t="s">
        <v>68</v>
      </c>
      <c r="G888" s="1" t="s">
        <v>200</v>
      </c>
      <c r="H888" s="1" t="s">
        <v>201</v>
      </c>
      <c r="J888" s="60">
        <v>0</v>
      </c>
      <c r="K888" s="24">
        <v>45356.722719907404</v>
      </c>
      <c r="L888" s="23">
        <v>-8</v>
      </c>
      <c r="O888" s="54">
        <v>36</v>
      </c>
      <c r="P888" s="33">
        <v>0</v>
      </c>
      <c r="Q888" s="33">
        <v>10</v>
      </c>
    </row>
    <row r="889" spans="2:18" x14ac:dyDescent="0.25">
      <c r="B889" s="20">
        <v>6</v>
      </c>
      <c r="C889" s="20">
        <v>41220289</v>
      </c>
      <c r="D889" s="20" t="s">
        <v>784</v>
      </c>
      <c r="E889" s="21">
        <v>30</v>
      </c>
      <c r="F889" s="1" t="s">
        <v>68</v>
      </c>
      <c r="G889" s="25" t="s">
        <v>787</v>
      </c>
      <c r="H889" s="1" t="s">
        <v>167</v>
      </c>
      <c r="I889" s="1" t="s">
        <v>161</v>
      </c>
      <c r="J889" s="60">
        <v>0</v>
      </c>
      <c r="K889" s="24">
        <v>45356.72278935185</v>
      </c>
      <c r="L889" s="23">
        <v>64</v>
      </c>
      <c r="O889" s="54">
        <v>4</v>
      </c>
      <c r="P889" s="33">
        <v>7</v>
      </c>
      <c r="Q889" s="33">
        <v>2</v>
      </c>
    </row>
  </sheetData>
  <autoFilter ref="A1:K889" xr:uid="{3EFB4FEA-6566-4A08-BBD4-A6959652A9F1}">
    <filterColumn colId="4">
      <customFilters>
        <customFilter operator="notEqual" val=" "/>
      </customFilters>
    </filterColumn>
  </autoFilter>
  <pageMargins left="0.25" right="0.25" top="0.75" bottom="0.75" header="0.3" footer="0.3"/>
  <pageSetup paperSize="9" scale="38" orientation="landscape" horizontalDpi="360" verticalDpi="360" r:id="rId1"/>
  <colBreaks count="1" manualBreakCount="1">
    <brk id="22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893E0-64EC-40CD-B79F-841CD920D499}">
  <sheetPr codeName="Hoja6"/>
  <dimension ref="A1:W823"/>
  <sheetViews>
    <sheetView workbookViewId="0">
      <selection activeCell="H21" sqref="H21"/>
    </sheetView>
  </sheetViews>
  <sheetFormatPr baseColWidth="10" defaultRowHeight="15" x14ac:dyDescent="0.25"/>
  <sheetData>
    <row r="1" spans="1:23" x14ac:dyDescent="0.25">
      <c r="A1" t="s">
        <v>97</v>
      </c>
      <c r="B1" t="s">
        <v>98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L1" t="s">
        <v>108</v>
      </c>
      <c r="M1" t="s">
        <v>109</v>
      </c>
      <c r="N1" t="s">
        <v>110</v>
      </c>
      <c r="O1" t="s">
        <v>111</v>
      </c>
      <c r="P1" t="s">
        <v>112</v>
      </c>
      <c r="Q1" t="s">
        <v>113</v>
      </c>
      <c r="R1" t="s">
        <v>817</v>
      </c>
      <c r="S1" t="s">
        <v>818</v>
      </c>
      <c r="T1" t="s">
        <v>114</v>
      </c>
      <c r="U1" t="s">
        <v>115</v>
      </c>
      <c r="V1" t="s">
        <v>819</v>
      </c>
      <c r="W1" t="s">
        <v>116</v>
      </c>
    </row>
    <row r="2" spans="1:23" x14ac:dyDescent="0.25">
      <c r="B2" t="s">
        <v>321</v>
      </c>
      <c r="C2" t="s">
        <v>265</v>
      </c>
      <c r="D2">
        <v>431</v>
      </c>
      <c r="E2">
        <v>900</v>
      </c>
      <c r="F2" t="s">
        <v>68</v>
      </c>
      <c r="G2" t="s">
        <v>132</v>
      </c>
      <c r="H2" t="s">
        <v>202</v>
      </c>
      <c r="I2">
        <v>0</v>
      </c>
      <c r="J2" t="s">
        <v>120</v>
      </c>
      <c r="K2">
        <v>45224</v>
      </c>
      <c r="O2">
        <v>100</v>
      </c>
    </row>
    <row r="3" spans="1:23" x14ac:dyDescent="0.25">
      <c r="B3" t="s">
        <v>321</v>
      </c>
      <c r="C3" t="s">
        <v>265</v>
      </c>
      <c r="D3">
        <v>432</v>
      </c>
      <c r="E3">
        <v>2500</v>
      </c>
      <c r="F3" t="s">
        <v>68</v>
      </c>
      <c r="G3" t="s">
        <v>138</v>
      </c>
      <c r="H3" t="s">
        <v>203</v>
      </c>
      <c r="I3">
        <v>0</v>
      </c>
      <c r="J3" t="s">
        <v>124</v>
      </c>
      <c r="K3">
        <v>45224</v>
      </c>
      <c r="O3">
        <v>1</v>
      </c>
    </row>
    <row r="4" spans="1:23" x14ac:dyDescent="0.25">
      <c r="B4" t="s">
        <v>321</v>
      </c>
      <c r="C4" t="s">
        <v>406</v>
      </c>
      <c r="D4">
        <v>432</v>
      </c>
      <c r="E4">
        <v>800</v>
      </c>
      <c r="F4" t="s">
        <v>68</v>
      </c>
      <c r="G4" t="s">
        <v>142</v>
      </c>
      <c r="H4" t="s">
        <v>143</v>
      </c>
      <c r="I4">
        <v>0</v>
      </c>
      <c r="J4" t="s">
        <v>127</v>
      </c>
      <c r="K4">
        <v>45224</v>
      </c>
      <c r="O4">
        <v>1</v>
      </c>
    </row>
    <row r="5" spans="1:23" x14ac:dyDescent="0.25">
      <c r="B5" t="s">
        <v>321</v>
      </c>
      <c r="C5" t="s">
        <v>267</v>
      </c>
      <c r="D5">
        <v>433</v>
      </c>
      <c r="E5">
        <v>300</v>
      </c>
      <c r="F5" t="s">
        <v>144</v>
      </c>
      <c r="G5" t="s">
        <v>145</v>
      </c>
      <c r="H5" t="s">
        <v>204</v>
      </c>
      <c r="I5">
        <v>0</v>
      </c>
      <c r="J5" t="s">
        <v>130</v>
      </c>
      <c r="K5">
        <v>45224</v>
      </c>
      <c r="O5">
        <v>1</v>
      </c>
    </row>
    <row r="6" spans="1:23" x14ac:dyDescent="0.25">
      <c r="B6" t="s">
        <v>321</v>
      </c>
      <c r="C6" t="s">
        <v>267</v>
      </c>
      <c r="D6">
        <v>433</v>
      </c>
      <c r="E6">
        <v>350</v>
      </c>
      <c r="F6" t="s">
        <v>68</v>
      </c>
      <c r="G6" t="s">
        <v>177</v>
      </c>
      <c r="H6" t="s">
        <v>205</v>
      </c>
      <c r="I6">
        <v>0</v>
      </c>
      <c r="J6" t="s">
        <v>132</v>
      </c>
      <c r="K6">
        <v>45224</v>
      </c>
      <c r="O6">
        <v>1</v>
      </c>
    </row>
    <row r="7" spans="1:23" x14ac:dyDescent="0.25">
      <c r="B7" t="s">
        <v>321</v>
      </c>
      <c r="C7" t="s">
        <v>267</v>
      </c>
      <c r="D7">
        <v>433</v>
      </c>
      <c r="E7">
        <v>25000</v>
      </c>
      <c r="F7" t="s">
        <v>68</v>
      </c>
      <c r="G7" t="s">
        <v>120</v>
      </c>
      <c r="H7" t="s">
        <v>206</v>
      </c>
      <c r="I7">
        <v>0</v>
      </c>
      <c r="J7" t="s">
        <v>134</v>
      </c>
      <c r="K7">
        <v>45224</v>
      </c>
      <c r="O7">
        <v>1</v>
      </c>
    </row>
    <row r="8" spans="1:23" x14ac:dyDescent="0.25">
      <c r="B8" t="s">
        <v>321</v>
      </c>
      <c r="C8" t="s">
        <v>267</v>
      </c>
      <c r="D8">
        <v>433</v>
      </c>
      <c r="E8">
        <v>5</v>
      </c>
      <c r="F8" t="s">
        <v>68</v>
      </c>
      <c r="G8" t="s">
        <v>200</v>
      </c>
      <c r="H8" t="s">
        <v>201</v>
      </c>
      <c r="I8">
        <v>0</v>
      </c>
      <c r="J8" t="s">
        <v>136</v>
      </c>
      <c r="K8">
        <v>45224</v>
      </c>
      <c r="O8">
        <v>1</v>
      </c>
    </row>
    <row r="9" spans="1:23" x14ac:dyDescent="0.25">
      <c r="B9" t="s">
        <v>321</v>
      </c>
      <c r="C9" t="s">
        <v>525</v>
      </c>
      <c r="D9">
        <v>434</v>
      </c>
      <c r="E9">
        <v>2000</v>
      </c>
      <c r="F9" t="s">
        <v>68</v>
      </c>
      <c r="G9" t="s">
        <v>159</v>
      </c>
      <c r="H9" t="s">
        <v>160</v>
      </c>
      <c r="I9">
        <v>0</v>
      </c>
      <c r="J9" t="s">
        <v>138</v>
      </c>
      <c r="O9">
        <v>1</v>
      </c>
    </row>
    <row r="10" spans="1:23" x14ac:dyDescent="0.25">
      <c r="B10" t="s">
        <v>321</v>
      </c>
      <c r="C10" t="s">
        <v>343</v>
      </c>
      <c r="D10">
        <v>438</v>
      </c>
      <c r="E10">
        <v>20000</v>
      </c>
      <c r="F10" t="s">
        <v>68</v>
      </c>
      <c r="G10" t="s">
        <v>140</v>
      </c>
      <c r="H10" t="s">
        <v>141</v>
      </c>
      <c r="I10">
        <v>20000</v>
      </c>
      <c r="J10" t="s">
        <v>140</v>
      </c>
      <c r="K10">
        <v>45229.493993055556</v>
      </c>
      <c r="O10">
        <v>1</v>
      </c>
    </row>
    <row r="11" spans="1:23" x14ac:dyDescent="0.25">
      <c r="B11" t="s">
        <v>321</v>
      </c>
      <c r="C11" t="s">
        <v>343</v>
      </c>
      <c r="D11">
        <v>435</v>
      </c>
      <c r="E11">
        <v>3000</v>
      </c>
      <c r="F11" t="s">
        <v>68</v>
      </c>
      <c r="G11" t="s">
        <v>124</v>
      </c>
      <c r="H11" t="s">
        <v>207</v>
      </c>
      <c r="I11">
        <v>0</v>
      </c>
      <c r="J11" t="s">
        <v>142</v>
      </c>
      <c r="K11">
        <v>45229.480821759258</v>
      </c>
      <c r="O11">
        <v>1</v>
      </c>
    </row>
    <row r="12" spans="1:23" x14ac:dyDescent="0.25">
      <c r="B12" t="s">
        <v>208</v>
      </c>
      <c r="C12" t="s">
        <v>209</v>
      </c>
      <c r="E12">
        <v>2000</v>
      </c>
      <c r="F12" t="s">
        <v>144</v>
      </c>
      <c r="G12" t="s">
        <v>148</v>
      </c>
      <c r="H12" t="s">
        <v>210</v>
      </c>
      <c r="I12">
        <v>0</v>
      </c>
      <c r="J12" t="s">
        <v>145</v>
      </c>
      <c r="K12">
        <v>45229.506006944444</v>
      </c>
      <c r="N12" t="s">
        <v>211</v>
      </c>
      <c r="O12">
        <v>1</v>
      </c>
    </row>
    <row r="13" spans="1:23" x14ac:dyDescent="0.25">
      <c r="B13" t="s">
        <v>790</v>
      </c>
      <c r="C13" t="s">
        <v>212</v>
      </c>
      <c r="D13">
        <v>797576</v>
      </c>
      <c r="E13">
        <v>20000</v>
      </c>
      <c r="F13" t="s">
        <v>68</v>
      </c>
      <c r="G13" t="s">
        <v>163</v>
      </c>
      <c r="H13" t="s">
        <v>213</v>
      </c>
      <c r="I13">
        <v>0</v>
      </c>
      <c r="J13" t="s">
        <v>148</v>
      </c>
      <c r="K13">
        <v>45229.613541666666</v>
      </c>
      <c r="N13" t="s">
        <v>214</v>
      </c>
      <c r="O13">
        <v>1</v>
      </c>
    </row>
    <row r="14" spans="1:23" x14ac:dyDescent="0.25">
      <c r="B14" t="s">
        <v>791</v>
      </c>
      <c r="C14" t="s">
        <v>215</v>
      </c>
      <c r="D14">
        <v>793970</v>
      </c>
      <c r="E14">
        <v>300</v>
      </c>
      <c r="F14" t="s">
        <v>68</v>
      </c>
      <c r="G14" t="s">
        <v>789</v>
      </c>
      <c r="H14" t="s">
        <v>216</v>
      </c>
      <c r="I14">
        <v>0</v>
      </c>
      <c r="J14" t="s">
        <v>150</v>
      </c>
      <c r="K14">
        <v>45229.616666666669</v>
      </c>
      <c r="O14">
        <v>1</v>
      </c>
    </row>
    <row r="15" spans="1:23" x14ac:dyDescent="0.25">
      <c r="B15" t="s">
        <v>792</v>
      </c>
      <c r="C15" t="s">
        <v>212</v>
      </c>
      <c r="D15">
        <v>789278</v>
      </c>
      <c r="E15">
        <v>600</v>
      </c>
      <c r="F15" t="s">
        <v>68</v>
      </c>
      <c r="G15" t="s">
        <v>788</v>
      </c>
      <c r="H15" t="s">
        <v>217</v>
      </c>
      <c r="I15">
        <v>0</v>
      </c>
      <c r="J15" t="s">
        <v>153</v>
      </c>
      <c r="K15">
        <v>45229.619004629632</v>
      </c>
      <c r="N15" t="s">
        <v>218</v>
      </c>
      <c r="O15">
        <v>1</v>
      </c>
    </row>
    <row r="16" spans="1:23" x14ac:dyDescent="0.25">
      <c r="B16" t="s">
        <v>793</v>
      </c>
      <c r="C16" t="s">
        <v>215</v>
      </c>
      <c r="D16">
        <v>782092</v>
      </c>
      <c r="E16">
        <v>700</v>
      </c>
      <c r="F16" t="s">
        <v>68</v>
      </c>
      <c r="G16" t="s">
        <v>789</v>
      </c>
      <c r="H16" t="s">
        <v>216</v>
      </c>
      <c r="I16">
        <v>0</v>
      </c>
      <c r="J16" t="s">
        <v>157</v>
      </c>
      <c r="K16">
        <v>45229.636782407404</v>
      </c>
      <c r="O16">
        <v>1</v>
      </c>
    </row>
    <row r="17" spans="2:15" x14ac:dyDescent="0.25">
      <c r="B17" t="s">
        <v>793</v>
      </c>
      <c r="C17" t="s">
        <v>215</v>
      </c>
      <c r="D17">
        <v>782092</v>
      </c>
      <c r="E17">
        <v>2000</v>
      </c>
      <c r="F17" t="s">
        <v>68</v>
      </c>
      <c r="G17" t="s">
        <v>219</v>
      </c>
      <c r="H17" t="s">
        <v>220</v>
      </c>
      <c r="I17">
        <v>0</v>
      </c>
      <c r="J17" t="s">
        <v>158</v>
      </c>
      <c r="K17">
        <v>45229.641840277778</v>
      </c>
      <c r="O17">
        <v>1</v>
      </c>
    </row>
    <row r="18" spans="2:15" x14ac:dyDescent="0.25">
      <c r="B18" t="s">
        <v>793</v>
      </c>
      <c r="C18" t="s">
        <v>215</v>
      </c>
      <c r="D18">
        <v>782092</v>
      </c>
      <c r="E18">
        <v>1680</v>
      </c>
      <c r="F18" t="s">
        <v>68</v>
      </c>
      <c r="G18" t="s">
        <v>427</v>
      </c>
      <c r="H18" t="s">
        <v>221</v>
      </c>
      <c r="I18">
        <v>0</v>
      </c>
      <c r="J18" t="s">
        <v>159</v>
      </c>
      <c r="K18">
        <v>45229.643807870372</v>
      </c>
      <c r="O18">
        <v>100</v>
      </c>
    </row>
    <row r="19" spans="2:15" x14ac:dyDescent="0.25">
      <c r="B19" t="s">
        <v>321</v>
      </c>
      <c r="C19" t="s">
        <v>267</v>
      </c>
      <c r="D19">
        <v>1061</v>
      </c>
      <c r="E19">
        <v>600</v>
      </c>
      <c r="F19" t="s">
        <v>68</v>
      </c>
      <c r="G19" t="s">
        <v>132</v>
      </c>
      <c r="H19" t="s">
        <v>222</v>
      </c>
      <c r="I19">
        <v>0</v>
      </c>
      <c r="J19" t="s">
        <v>785</v>
      </c>
      <c r="K19">
        <v>45231.507141203707</v>
      </c>
    </row>
    <row r="20" spans="2:15" x14ac:dyDescent="0.25">
      <c r="B20" t="s">
        <v>321</v>
      </c>
      <c r="C20" t="s">
        <v>267</v>
      </c>
      <c r="D20">
        <v>1061</v>
      </c>
      <c r="E20">
        <v>240</v>
      </c>
      <c r="F20" t="s">
        <v>68</v>
      </c>
      <c r="G20" t="s">
        <v>789</v>
      </c>
      <c r="H20" t="s">
        <v>223</v>
      </c>
      <c r="I20">
        <v>0</v>
      </c>
      <c r="J20" t="s">
        <v>163</v>
      </c>
      <c r="K20">
        <v>45231.510972222219</v>
      </c>
    </row>
    <row r="21" spans="2:15" x14ac:dyDescent="0.25">
      <c r="B21" t="s">
        <v>321</v>
      </c>
      <c r="C21" t="s">
        <v>267</v>
      </c>
      <c r="D21">
        <v>1061</v>
      </c>
      <c r="E21">
        <v>60</v>
      </c>
      <c r="F21" t="s">
        <v>68</v>
      </c>
      <c r="G21" t="s">
        <v>788</v>
      </c>
      <c r="H21" t="s">
        <v>187</v>
      </c>
      <c r="I21">
        <v>0</v>
      </c>
      <c r="J21" t="s">
        <v>786</v>
      </c>
      <c r="K21">
        <v>45231.51253472222</v>
      </c>
    </row>
    <row r="22" spans="2:15" x14ac:dyDescent="0.25">
      <c r="B22" t="s">
        <v>321</v>
      </c>
      <c r="C22" t="s">
        <v>267</v>
      </c>
      <c r="D22">
        <v>1061</v>
      </c>
      <c r="E22">
        <v>24</v>
      </c>
      <c r="F22" t="s">
        <v>68</v>
      </c>
      <c r="G22" t="s">
        <v>787</v>
      </c>
      <c r="H22" t="s">
        <v>167</v>
      </c>
      <c r="I22">
        <v>0</v>
      </c>
      <c r="J22" t="s">
        <v>427</v>
      </c>
      <c r="K22">
        <v>45231.513194444444</v>
      </c>
    </row>
    <row r="23" spans="2:15" x14ac:dyDescent="0.25">
      <c r="B23" t="s">
        <v>321</v>
      </c>
      <c r="C23" t="s">
        <v>266</v>
      </c>
      <c r="D23">
        <v>1062</v>
      </c>
      <c r="E23">
        <v>422</v>
      </c>
      <c r="F23" t="s">
        <v>68</v>
      </c>
      <c r="G23" t="s">
        <v>172</v>
      </c>
      <c r="H23" t="s">
        <v>173</v>
      </c>
      <c r="I23">
        <v>0</v>
      </c>
      <c r="J23" t="s">
        <v>787</v>
      </c>
      <c r="K23">
        <v>45231.516064814816</v>
      </c>
    </row>
    <row r="24" spans="2:15" x14ac:dyDescent="0.25">
      <c r="B24" t="s">
        <v>321</v>
      </c>
      <c r="C24" t="s">
        <v>266</v>
      </c>
      <c r="D24">
        <v>1062</v>
      </c>
      <c r="E24">
        <v>10</v>
      </c>
      <c r="F24" t="s">
        <v>68</v>
      </c>
      <c r="G24" t="s">
        <v>175</v>
      </c>
      <c r="H24" t="s">
        <v>173</v>
      </c>
      <c r="I24">
        <v>0</v>
      </c>
      <c r="J24" t="s">
        <v>168</v>
      </c>
      <c r="K24">
        <v>45231.516967592594</v>
      </c>
    </row>
    <row r="25" spans="2:15" x14ac:dyDescent="0.25">
      <c r="B25" t="s">
        <v>321</v>
      </c>
      <c r="C25" t="s">
        <v>266</v>
      </c>
      <c r="D25">
        <v>1062</v>
      </c>
      <c r="E25">
        <v>300</v>
      </c>
      <c r="F25" t="s">
        <v>68</v>
      </c>
      <c r="G25" t="s">
        <v>168</v>
      </c>
      <c r="H25" t="s">
        <v>224</v>
      </c>
      <c r="I25">
        <v>0</v>
      </c>
      <c r="J25" t="s">
        <v>170</v>
      </c>
      <c r="K25">
        <v>45231.519120370373</v>
      </c>
    </row>
    <row r="26" spans="2:15" x14ac:dyDescent="0.25">
      <c r="B26" t="s">
        <v>176</v>
      </c>
      <c r="C26" t="s">
        <v>260</v>
      </c>
      <c r="D26">
        <v>1063</v>
      </c>
      <c r="E26">
        <v>12</v>
      </c>
      <c r="F26" t="s">
        <v>68</v>
      </c>
      <c r="G26" t="s">
        <v>786</v>
      </c>
      <c r="H26" t="s">
        <v>225</v>
      </c>
      <c r="I26">
        <v>0</v>
      </c>
      <c r="J26" t="s">
        <v>172</v>
      </c>
      <c r="K26">
        <v>45231.658310185187</v>
      </c>
    </row>
    <row r="27" spans="2:15" x14ac:dyDescent="0.25">
      <c r="B27" t="s">
        <v>176</v>
      </c>
      <c r="C27" t="s">
        <v>395</v>
      </c>
      <c r="D27">
        <v>1064</v>
      </c>
      <c r="E27">
        <v>4</v>
      </c>
      <c r="F27" t="s">
        <v>152</v>
      </c>
      <c r="G27" t="s">
        <v>64</v>
      </c>
      <c r="H27" t="s">
        <v>226</v>
      </c>
      <c r="I27">
        <v>0</v>
      </c>
      <c r="J27" t="s">
        <v>175</v>
      </c>
      <c r="K27">
        <v>45231.658356481479</v>
      </c>
      <c r="N27" t="s">
        <v>228</v>
      </c>
    </row>
    <row r="28" spans="2:15" x14ac:dyDescent="0.25">
      <c r="B28" t="s">
        <v>176</v>
      </c>
      <c r="C28" t="s">
        <v>390</v>
      </c>
      <c r="D28">
        <v>1065</v>
      </c>
      <c r="E28">
        <v>198</v>
      </c>
      <c r="F28" t="s">
        <v>152</v>
      </c>
      <c r="G28" t="s">
        <v>158</v>
      </c>
      <c r="H28" t="s">
        <v>154</v>
      </c>
      <c r="I28">
        <v>0</v>
      </c>
      <c r="J28" t="s">
        <v>177</v>
      </c>
      <c r="K28">
        <v>45231.658692129633</v>
      </c>
    </row>
    <row r="29" spans="2:15" x14ac:dyDescent="0.25">
      <c r="B29" t="s">
        <v>176</v>
      </c>
      <c r="C29" t="s">
        <v>262</v>
      </c>
      <c r="D29">
        <v>1066</v>
      </c>
      <c r="E29">
        <v>1000</v>
      </c>
      <c r="F29" t="s">
        <v>68</v>
      </c>
      <c r="G29" t="s">
        <v>138</v>
      </c>
      <c r="H29" t="s">
        <v>229</v>
      </c>
      <c r="I29">
        <v>0</v>
      </c>
      <c r="J29" t="s">
        <v>126</v>
      </c>
      <c r="K29">
        <v>45231.659155092595</v>
      </c>
    </row>
    <row r="30" spans="2:15" x14ac:dyDescent="0.25">
      <c r="B30" t="s">
        <v>176</v>
      </c>
      <c r="C30" t="s">
        <v>262</v>
      </c>
      <c r="D30">
        <v>1066</v>
      </c>
      <c r="E30">
        <v>12</v>
      </c>
      <c r="F30" t="s">
        <v>144</v>
      </c>
      <c r="G30" t="s">
        <v>150</v>
      </c>
      <c r="H30" t="s">
        <v>230</v>
      </c>
      <c r="I30">
        <v>0</v>
      </c>
      <c r="J30" t="s">
        <v>181</v>
      </c>
      <c r="K30">
        <v>45231.661168981482</v>
      </c>
    </row>
    <row r="31" spans="2:15" x14ac:dyDescent="0.25">
      <c r="B31" t="s">
        <v>176</v>
      </c>
      <c r="C31" t="s">
        <v>262</v>
      </c>
      <c r="D31">
        <v>1066</v>
      </c>
      <c r="E31">
        <v>6</v>
      </c>
      <c r="F31" t="s">
        <v>144</v>
      </c>
      <c r="G31" t="s">
        <v>148</v>
      </c>
      <c r="H31" t="s">
        <v>230</v>
      </c>
      <c r="I31">
        <v>0</v>
      </c>
      <c r="J31" t="s">
        <v>184</v>
      </c>
      <c r="K31">
        <v>45231.662118055552</v>
      </c>
    </row>
    <row r="32" spans="2:15" x14ac:dyDescent="0.25">
      <c r="B32" t="s">
        <v>321</v>
      </c>
      <c r="C32" t="s">
        <v>263</v>
      </c>
      <c r="D32">
        <v>1067</v>
      </c>
      <c r="E32">
        <v>100</v>
      </c>
      <c r="F32" t="s">
        <v>192</v>
      </c>
      <c r="G32" t="s">
        <v>193</v>
      </c>
      <c r="H32" t="s">
        <v>194</v>
      </c>
      <c r="I32">
        <v>0</v>
      </c>
      <c r="J32" t="s">
        <v>186</v>
      </c>
      <c r="K32">
        <v>45231.659317129626</v>
      </c>
      <c r="N32" t="s">
        <v>231</v>
      </c>
    </row>
    <row r="33" spans="2:14" x14ac:dyDescent="0.25">
      <c r="B33" t="s">
        <v>176</v>
      </c>
      <c r="C33" t="s">
        <v>261</v>
      </c>
      <c r="D33">
        <v>1068</v>
      </c>
      <c r="E33">
        <v>480</v>
      </c>
      <c r="F33" t="s">
        <v>68</v>
      </c>
      <c r="G33" t="s">
        <v>181</v>
      </c>
      <c r="H33" t="s">
        <v>232</v>
      </c>
      <c r="I33">
        <v>0</v>
      </c>
      <c r="J33" t="s">
        <v>788</v>
      </c>
      <c r="K33">
        <v>45232.418055555558</v>
      </c>
    </row>
    <row r="34" spans="2:14" x14ac:dyDescent="0.25">
      <c r="B34" t="s">
        <v>176</v>
      </c>
      <c r="C34" t="s">
        <v>261</v>
      </c>
      <c r="D34">
        <v>1068</v>
      </c>
      <c r="E34">
        <v>360</v>
      </c>
      <c r="F34" t="s">
        <v>152</v>
      </c>
      <c r="G34" t="s">
        <v>153</v>
      </c>
      <c r="H34" t="s">
        <v>154</v>
      </c>
      <c r="I34">
        <v>0</v>
      </c>
      <c r="J34" t="s">
        <v>188</v>
      </c>
      <c r="K34">
        <v>45232.419178240743</v>
      </c>
    </row>
    <row r="35" spans="2:14" x14ac:dyDescent="0.25">
      <c r="B35" t="s">
        <v>176</v>
      </c>
      <c r="C35" t="s">
        <v>261</v>
      </c>
      <c r="D35">
        <v>1068</v>
      </c>
      <c r="E35">
        <v>360</v>
      </c>
      <c r="F35" t="s">
        <v>152</v>
      </c>
      <c r="G35" t="s">
        <v>156</v>
      </c>
      <c r="H35" t="s">
        <v>154</v>
      </c>
      <c r="I35">
        <v>0</v>
      </c>
      <c r="J35" t="s">
        <v>190</v>
      </c>
      <c r="K35">
        <v>45232.419722222221</v>
      </c>
    </row>
    <row r="36" spans="2:14" x14ac:dyDescent="0.25">
      <c r="B36" t="s">
        <v>176</v>
      </c>
      <c r="C36" t="s">
        <v>261</v>
      </c>
      <c r="D36">
        <v>1068</v>
      </c>
      <c r="E36">
        <v>360</v>
      </c>
      <c r="F36" t="s">
        <v>152</v>
      </c>
      <c r="G36" t="s">
        <v>157</v>
      </c>
      <c r="H36" t="s">
        <v>154</v>
      </c>
      <c r="I36">
        <v>0</v>
      </c>
      <c r="J36" t="s">
        <v>193</v>
      </c>
      <c r="K36">
        <v>45232.42019675926</v>
      </c>
    </row>
    <row r="37" spans="2:14" x14ac:dyDescent="0.25">
      <c r="B37" t="s">
        <v>321</v>
      </c>
      <c r="C37" t="s">
        <v>525</v>
      </c>
      <c r="D37">
        <v>1070</v>
      </c>
      <c r="E37">
        <v>2000</v>
      </c>
      <c r="F37" t="s">
        <v>68</v>
      </c>
      <c r="G37" t="s">
        <v>159</v>
      </c>
      <c r="H37" t="s">
        <v>160</v>
      </c>
      <c r="I37">
        <v>0</v>
      </c>
      <c r="J37" t="s">
        <v>789</v>
      </c>
      <c r="K37">
        <v>45232.545243055552</v>
      </c>
    </row>
    <row r="38" spans="2:14" x14ac:dyDescent="0.25">
      <c r="B38" t="s">
        <v>321</v>
      </c>
      <c r="C38" t="s">
        <v>550</v>
      </c>
      <c r="D38">
        <v>1069</v>
      </c>
      <c r="E38">
        <v>2</v>
      </c>
      <c r="F38" t="s">
        <v>152</v>
      </c>
      <c r="G38" t="s">
        <v>233</v>
      </c>
      <c r="H38" t="s">
        <v>226</v>
      </c>
      <c r="I38">
        <v>0</v>
      </c>
      <c r="J38" t="s">
        <v>197</v>
      </c>
      <c r="K38">
        <v>45232.545312499999</v>
      </c>
      <c r="N38" t="s">
        <v>228</v>
      </c>
    </row>
    <row r="39" spans="2:14" x14ac:dyDescent="0.25">
      <c r="B39" t="s">
        <v>321</v>
      </c>
      <c r="C39" t="s">
        <v>550</v>
      </c>
      <c r="D39">
        <v>1069</v>
      </c>
      <c r="E39">
        <v>10</v>
      </c>
      <c r="F39" t="s">
        <v>152</v>
      </c>
      <c r="G39" t="s">
        <v>234</v>
      </c>
      <c r="H39" t="s">
        <v>226</v>
      </c>
      <c r="I39">
        <v>0</v>
      </c>
      <c r="J39" t="s">
        <v>430</v>
      </c>
      <c r="K39">
        <v>45232.545381944445</v>
      </c>
      <c r="N39" t="s">
        <v>228</v>
      </c>
    </row>
    <row r="40" spans="2:14" x14ac:dyDescent="0.25">
      <c r="B40" t="s">
        <v>321</v>
      </c>
      <c r="C40" t="s">
        <v>550</v>
      </c>
      <c r="D40">
        <v>1069</v>
      </c>
      <c r="E40">
        <v>10</v>
      </c>
      <c r="F40" t="s">
        <v>152</v>
      </c>
      <c r="G40" t="s">
        <v>235</v>
      </c>
      <c r="H40" t="s">
        <v>226</v>
      </c>
      <c r="I40">
        <v>0</v>
      </c>
      <c r="J40" t="s">
        <v>200</v>
      </c>
      <c r="K40">
        <v>45232.545405092591</v>
      </c>
      <c r="N40" t="s">
        <v>228</v>
      </c>
    </row>
    <row r="41" spans="2:14" x14ac:dyDescent="0.25">
      <c r="B41" t="s">
        <v>321</v>
      </c>
      <c r="C41" t="s">
        <v>550</v>
      </c>
      <c r="D41">
        <v>1069</v>
      </c>
      <c r="E41">
        <v>20</v>
      </c>
      <c r="F41" t="s">
        <v>152</v>
      </c>
      <c r="G41" t="s">
        <v>236</v>
      </c>
      <c r="H41" t="s">
        <v>226</v>
      </c>
      <c r="I41">
        <v>0</v>
      </c>
      <c r="J41" t="s">
        <v>219</v>
      </c>
      <c r="K41">
        <v>45232.545439814814</v>
      </c>
      <c r="N41" t="s">
        <v>228</v>
      </c>
    </row>
    <row r="42" spans="2:14" x14ac:dyDescent="0.25">
      <c r="B42" t="s">
        <v>321</v>
      </c>
      <c r="C42" t="s">
        <v>550</v>
      </c>
      <c r="D42">
        <v>1069</v>
      </c>
      <c r="E42">
        <v>2</v>
      </c>
      <c r="F42" t="s">
        <v>152</v>
      </c>
      <c r="G42" t="s">
        <v>237</v>
      </c>
      <c r="H42" t="s">
        <v>226</v>
      </c>
      <c r="I42">
        <v>0</v>
      </c>
      <c r="J42" t="s">
        <v>243</v>
      </c>
      <c r="K42">
        <v>45232.54550925926</v>
      </c>
      <c r="N42" t="s">
        <v>228</v>
      </c>
    </row>
    <row r="43" spans="2:14" x14ac:dyDescent="0.25">
      <c r="B43" t="s">
        <v>321</v>
      </c>
      <c r="C43" t="s">
        <v>550</v>
      </c>
      <c r="D43">
        <v>1069</v>
      </c>
      <c r="E43">
        <v>1</v>
      </c>
      <c r="F43" t="s">
        <v>152</v>
      </c>
      <c r="G43" t="s">
        <v>238</v>
      </c>
      <c r="H43" t="s">
        <v>226</v>
      </c>
      <c r="I43">
        <v>0</v>
      </c>
      <c r="J43" t="s">
        <v>244</v>
      </c>
      <c r="K43">
        <v>45232.545532407406</v>
      </c>
      <c r="N43" t="s">
        <v>228</v>
      </c>
    </row>
    <row r="44" spans="2:14" x14ac:dyDescent="0.25">
      <c r="B44" t="s">
        <v>321</v>
      </c>
      <c r="C44" t="s">
        <v>266</v>
      </c>
      <c r="D44">
        <v>1072</v>
      </c>
      <c r="E44">
        <v>50</v>
      </c>
      <c r="F44" t="s">
        <v>68</v>
      </c>
      <c r="G44" t="s">
        <v>175</v>
      </c>
      <c r="H44" t="s">
        <v>173</v>
      </c>
      <c r="I44">
        <v>0</v>
      </c>
      <c r="J44" t="s">
        <v>62</v>
      </c>
      <c r="K44">
        <v>45233.506597222222</v>
      </c>
      <c r="N44" t="s">
        <v>239</v>
      </c>
    </row>
    <row r="45" spans="2:14" x14ac:dyDescent="0.25">
      <c r="B45" t="s">
        <v>321</v>
      </c>
      <c r="C45" t="s">
        <v>267</v>
      </c>
      <c r="D45">
        <v>1073</v>
      </c>
      <c r="E45">
        <v>350</v>
      </c>
      <c r="F45" t="s">
        <v>144</v>
      </c>
      <c r="G45" t="s">
        <v>145</v>
      </c>
      <c r="H45" t="s">
        <v>146</v>
      </c>
      <c r="I45">
        <v>0</v>
      </c>
      <c r="J45" t="s">
        <v>245</v>
      </c>
      <c r="K45">
        <v>45233.50922453704</v>
      </c>
    </row>
    <row r="46" spans="2:14" x14ac:dyDescent="0.25">
      <c r="B46" t="s">
        <v>321</v>
      </c>
      <c r="C46" t="s">
        <v>368</v>
      </c>
      <c r="D46">
        <v>1071</v>
      </c>
      <c r="E46">
        <v>5000</v>
      </c>
      <c r="F46" t="s">
        <v>68</v>
      </c>
      <c r="G46" t="s">
        <v>124</v>
      </c>
      <c r="H46" t="s">
        <v>207</v>
      </c>
      <c r="I46">
        <v>0</v>
      </c>
      <c r="J46" t="s">
        <v>63</v>
      </c>
      <c r="K46">
        <v>45233.51021990741</v>
      </c>
    </row>
    <row r="47" spans="2:14" x14ac:dyDescent="0.25">
      <c r="B47" t="s">
        <v>176</v>
      </c>
      <c r="C47" t="s">
        <v>260</v>
      </c>
      <c r="D47">
        <v>1074</v>
      </c>
      <c r="E47">
        <v>24</v>
      </c>
      <c r="F47" t="s">
        <v>68</v>
      </c>
      <c r="G47" t="s">
        <v>786</v>
      </c>
      <c r="H47" t="s">
        <v>165</v>
      </c>
      <c r="I47">
        <v>0</v>
      </c>
      <c r="J47" t="s">
        <v>246</v>
      </c>
      <c r="K47">
        <v>45233.654537037037</v>
      </c>
    </row>
    <row r="48" spans="2:14" x14ac:dyDescent="0.25">
      <c r="B48" t="s">
        <v>176</v>
      </c>
      <c r="C48" t="s">
        <v>261</v>
      </c>
      <c r="D48">
        <v>1077</v>
      </c>
      <c r="E48">
        <v>100</v>
      </c>
      <c r="F48" t="s">
        <v>152</v>
      </c>
      <c r="G48" t="s">
        <v>153</v>
      </c>
      <c r="H48" t="s">
        <v>154</v>
      </c>
      <c r="I48">
        <v>0</v>
      </c>
      <c r="J48" t="s">
        <v>247</v>
      </c>
      <c r="K48">
        <v>45233.654675925929</v>
      </c>
    </row>
    <row r="49" spans="2:15" x14ac:dyDescent="0.25">
      <c r="B49" t="s">
        <v>176</v>
      </c>
      <c r="C49" t="s">
        <v>347</v>
      </c>
      <c r="D49">
        <v>1078</v>
      </c>
      <c r="E49">
        <v>1200</v>
      </c>
      <c r="F49" t="s">
        <v>68</v>
      </c>
      <c r="G49" t="s">
        <v>134</v>
      </c>
      <c r="H49" t="s">
        <v>135</v>
      </c>
      <c r="I49">
        <v>0</v>
      </c>
      <c r="J49" t="s">
        <v>248</v>
      </c>
      <c r="K49">
        <v>45233.654849537037</v>
      </c>
    </row>
    <row r="50" spans="2:15" x14ac:dyDescent="0.25">
      <c r="B50" t="s">
        <v>176</v>
      </c>
      <c r="C50" t="s">
        <v>262</v>
      </c>
      <c r="D50">
        <v>1075</v>
      </c>
      <c r="E50">
        <v>2000</v>
      </c>
      <c r="F50" t="s">
        <v>68</v>
      </c>
      <c r="G50" t="s">
        <v>138</v>
      </c>
      <c r="H50" t="s">
        <v>229</v>
      </c>
      <c r="I50">
        <v>0</v>
      </c>
      <c r="J50" t="s">
        <v>64</v>
      </c>
      <c r="K50">
        <v>45233.654999999999</v>
      </c>
    </row>
    <row r="51" spans="2:15" x14ac:dyDescent="0.25">
      <c r="B51" t="s">
        <v>176</v>
      </c>
      <c r="C51" t="s">
        <v>262</v>
      </c>
      <c r="D51">
        <v>1075</v>
      </c>
      <c r="E51">
        <v>10</v>
      </c>
      <c r="F51" t="s">
        <v>144</v>
      </c>
      <c r="G51" t="s">
        <v>148</v>
      </c>
      <c r="H51" t="s">
        <v>149</v>
      </c>
      <c r="I51">
        <v>0</v>
      </c>
      <c r="J51" t="s">
        <v>233</v>
      </c>
      <c r="K51">
        <v>45233.655486111114</v>
      </c>
    </row>
    <row r="52" spans="2:15" x14ac:dyDescent="0.25">
      <c r="B52" t="s">
        <v>176</v>
      </c>
      <c r="C52" t="s">
        <v>329</v>
      </c>
      <c r="D52">
        <v>1076</v>
      </c>
      <c r="E52">
        <v>2000</v>
      </c>
      <c r="F52" t="s">
        <v>68</v>
      </c>
      <c r="G52" t="s">
        <v>163</v>
      </c>
      <c r="H52" t="s">
        <v>240</v>
      </c>
      <c r="I52">
        <v>0</v>
      </c>
      <c r="J52" t="s">
        <v>234</v>
      </c>
      <c r="K52">
        <v>45233.655729166669</v>
      </c>
    </row>
    <row r="53" spans="2:15" x14ac:dyDescent="0.25">
      <c r="B53" t="s">
        <v>241</v>
      </c>
      <c r="C53" t="s">
        <v>209</v>
      </c>
      <c r="D53" t="s">
        <v>242</v>
      </c>
      <c r="E53">
        <v>2200</v>
      </c>
      <c r="F53" t="s">
        <v>144</v>
      </c>
      <c r="G53" t="s">
        <v>145</v>
      </c>
      <c r="H53" t="s">
        <v>146</v>
      </c>
      <c r="I53">
        <v>0</v>
      </c>
      <c r="J53" t="s">
        <v>235</v>
      </c>
      <c r="K53">
        <v>45236.532256944447</v>
      </c>
    </row>
    <row r="54" spans="2:15" x14ac:dyDescent="0.25">
      <c r="B54" t="s">
        <v>241</v>
      </c>
      <c r="C54" t="s">
        <v>209</v>
      </c>
      <c r="D54" t="s">
        <v>242</v>
      </c>
      <c r="E54">
        <v>2400</v>
      </c>
      <c r="F54" t="s">
        <v>144</v>
      </c>
      <c r="G54" t="s">
        <v>148</v>
      </c>
      <c r="H54" t="s">
        <v>149</v>
      </c>
      <c r="I54">
        <v>0</v>
      </c>
      <c r="J54" t="s">
        <v>236</v>
      </c>
      <c r="K54">
        <v>45236.532187500001</v>
      </c>
    </row>
    <row r="55" spans="2:15" x14ac:dyDescent="0.25">
      <c r="B55" t="s">
        <v>761</v>
      </c>
      <c r="C55" t="s">
        <v>249</v>
      </c>
      <c r="D55" t="s">
        <v>67</v>
      </c>
      <c r="E55">
        <v>3456</v>
      </c>
      <c r="F55" t="s">
        <v>68</v>
      </c>
      <c r="G55" t="s">
        <v>172</v>
      </c>
      <c r="H55" t="s">
        <v>173</v>
      </c>
      <c r="I55" t="s">
        <v>250</v>
      </c>
      <c r="J55">
        <v>1</v>
      </c>
      <c r="K55">
        <v>45237.457673611112</v>
      </c>
      <c r="O55">
        <v>3000</v>
      </c>
    </row>
    <row r="56" spans="2:15" x14ac:dyDescent="0.25">
      <c r="B56" t="s">
        <v>253</v>
      </c>
      <c r="C56" t="s">
        <v>66</v>
      </c>
      <c r="D56" t="s">
        <v>66</v>
      </c>
      <c r="E56">
        <v>2000</v>
      </c>
      <c r="F56" t="s">
        <v>68</v>
      </c>
      <c r="G56" t="s">
        <v>170</v>
      </c>
      <c r="H56" t="s">
        <v>171</v>
      </c>
      <c r="I56" t="s">
        <v>122</v>
      </c>
      <c r="J56">
        <v>1</v>
      </c>
      <c r="K56">
        <v>45238.746886574074</v>
      </c>
      <c r="M56">
        <v>45232</v>
      </c>
    </row>
    <row r="57" spans="2:15" x14ac:dyDescent="0.25">
      <c r="B57" t="s">
        <v>321</v>
      </c>
      <c r="C57" t="s">
        <v>344</v>
      </c>
      <c r="D57">
        <v>1104</v>
      </c>
      <c r="E57">
        <v>360</v>
      </c>
      <c r="F57" t="s">
        <v>68</v>
      </c>
      <c r="G57" t="s">
        <v>181</v>
      </c>
      <c r="H57" t="s">
        <v>232</v>
      </c>
      <c r="I57">
        <v>0</v>
      </c>
      <c r="J57">
        <v>0</v>
      </c>
      <c r="K57">
        <v>45238.748333333337</v>
      </c>
    </row>
    <row r="58" spans="2:15" x14ac:dyDescent="0.25">
      <c r="B58" t="s">
        <v>321</v>
      </c>
      <c r="C58" t="s">
        <v>364</v>
      </c>
      <c r="D58">
        <v>1103</v>
      </c>
      <c r="E58">
        <v>240</v>
      </c>
      <c r="F58" t="s">
        <v>152</v>
      </c>
      <c r="G58" t="s">
        <v>157</v>
      </c>
      <c r="H58" t="s">
        <v>154</v>
      </c>
      <c r="I58">
        <v>0</v>
      </c>
      <c r="J58">
        <v>0</v>
      </c>
      <c r="K58">
        <v>45238.749212962961</v>
      </c>
      <c r="O58">
        <v>3000</v>
      </c>
    </row>
    <row r="59" spans="2:15" x14ac:dyDescent="0.25">
      <c r="B59" t="s">
        <v>321</v>
      </c>
      <c r="C59" t="s">
        <v>762</v>
      </c>
      <c r="D59">
        <v>1102</v>
      </c>
      <c r="E59">
        <v>1000</v>
      </c>
      <c r="F59" t="s">
        <v>68</v>
      </c>
      <c r="G59" t="s">
        <v>197</v>
      </c>
      <c r="H59" t="s">
        <v>198</v>
      </c>
      <c r="I59">
        <v>0</v>
      </c>
      <c r="J59">
        <v>0</v>
      </c>
      <c r="K59">
        <v>45238.750486111108</v>
      </c>
      <c r="O59">
        <v>2400</v>
      </c>
    </row>
    <row r="60" spans="2:15" x14ac:dyDescent="0.25">
      <c r="B60" t="s">
        <v>321</v>
      </c>
      <c r="C60" t="s">
        <v>368</v>
      </c>
      <c r="D60">
        <v>1101</v>
      </c>
      <c r="E60">
        <v>3500</v>
      </c>
      <c r="F60" t="s">
        <v>68</v>
      </c>
      <c r="G60" t="s">
        <v>124</v>
      </c>
      <c r="H60" t="s">
        <v>125</v>
      </c>
      <c r="I60">
        <v>0</v>
      </c>
      <c r="J60">
        <v>0</v>
      </c>
      <c r="K60">
        <v>45238.751608796294</v>
      </c>
    </row>
    <row r="61" spans="2:15" x14ac:dyDescent="0.25">
      <c r="B61" t="s">
        <v>321</v>
      </c>
      <c r="C61" t="s">
        <v>267</v>
      </c>
      <c r="D61">
        <v>1100</v>
      </c>
      <c r="E61">
        <v>16500</v>
      </c>
      <c r="F61" t="s">
        <v>68</v>
      </c>
      <c r="G61" t="s">
        <v>120</v>
      </c>
      <c r="H61" t="s">
        <v>121</v>
      </c>
      <c r="I61">
        <v>0</v>
      </c>
      <c r="J61">
        <v>0</v>
      </c>
      <c r="K61">
        <v>45238.752418981479</v>
      </c>
      <c r="O61">
        <v>10</v>
      </c>
    </row>
    <row r="62" spans="2:15" x14ac:dyDescent="0.25">
      <c r="B62" t="s">
        <v>321</v>
      </c>
      <c r="C62" t="s">
        <v>267</v>
      </c>
      <c r="D62">
        <v>1100</v>
      </c>
      <c r="E62">
        <v>40</v>
      </c>
      <c r="F62" t="s">
        <v>68</v>
      </c>
      <c r="G62" t="s">
        <v>788</v>
      </c>
      <c r="H62" t="s">
        <v>187</v>
      </c>
      <c r="I62">
        <v>0</v>
      </c>
      <c r="J62">
        <v>0</v>
      </c>
      <c r="K62">
        <v>45238.752743055556</v>
      </c>
      <c r="O62">
        <v>10</v>
      </c>
    </row>
    <row r="63" spans="2:15" x14ac:dyDescent="0.25">
      <c r="B63" t="s">
        <v>321</v>
      </c>
      <c r="C63" t="s">
        <v>267</v>
      </c>
      <c r="D63">
        <v>1100</v>
      </c>
      <c r="E63">
        <v>60</v>
      </c>
      <c r="F63" t="s">
        <v>68</v>
      </c>
      <c r="G63" t="s">
        <v>184</v>
      </c>
      <c r="H63" t="s">
        <v>185</v>
      </c>
      <c r="I63">
        <v>0</v>
      </c>
      <c r="J63">
        <v>0</v>
      </c>
      <c r="K63">
        <v>45238.752951388888</v>
      </c>
      <c r="O63">
        <v>10</v>
      </c>
    </row>
    <row r="64" spans="2:15" x14ac:dyDescent="0.25">
      <c r="B64" t="s">
        <v>321</v>
      </c>
      <c r="C64" t="s">
        <v>267</v>
      </c>
      <c r="D64">
        <v>1100</v>
      </c>
      <c r="E64">
        <v>24</v>
      </c>
      <c r="F64" t="s">
        <v>68</v>
      </c>
      <c r="G64" t="s">
        <v>787</v>
      </c>
      <c r="H64" t="s">
        <v>167</v>
      </c>
      <c r="I64">
        <v>0</v>
      </c>
      <c r="J64">
        <v>0</v>
      </c>
      <c r="K64">
        <v>45238.753159722219</v>
      </c>
      <c r="O64">
        <v>144</v>
      </c>
    </row>
    <row r="65" spans="2:15" x14ac:dyDescent="0.25">
      <c r="B65" t="s">
        <v>176</v>
      </c>
      <c r="C65" t="s">
        <v>263</v>
      </c>
      <c r="D65">
        <v>1106</v>
      </c>
      <c r="E65">
        <v>160</v>
      </c>
      <c r="F65" t="s">
        <v>192</v>
      </c>
      <c r="G65" t="s">
        <v>193</v>
      </c>
      <c r="H65" t="s">
        <v>194</v>
      </c>
      <c r="I65">
        <v>0</v>
      </c>
      <c r="J65">
        <v>0</v>
      </c>
      <c r="K65">
        <v>45238.753935185188</v>
      </c>
      <c r="O65">
        <v>144</v>
      </c>
    </row>
    <row r="66" spans="2:15" x14ac:dyDescent="0.25">
      <c r="B66" t="s">
        <v>176</v>
      </c>
      <c r="C66" t="s">
        <v>261</v>
      </c>
      <c r="D66">
        <v>1109</v>
      </c>
      <c r="E66">
        <v>480</v>
      </c>
      <c r="F66" t="s">
        <v>68</v>
      </c>
      <c r="G66" t="s">
        <v>181</v>
      </c>
      <c r="H66" t="s">
        <v>232</v>
      </c>
      <c r="I66">
        <v>0</v>
      </c>
      <c r="J66">
        <v>0</v>
      </c>
      <c r="K66">
        <v>45238.756006944444</v>
      </c>
      <c r="O66">
        <v>144</v>
      </c>
    </row>
    <row r="67" spans="2:15" x14ac:dyDescent="0.25">
      <c r="B67" t="s">
        <v>176</v>
      </c>
      <c r="C67" t="s">
        <v>261</v>
      </c>
      <c r="D67">
        <v>1109</v>
      </c>
      <c r="E67">
        <v>480</v>
      </c>
      <c r="F67" t="s">
        <v>152</v>
      </c>
      <c r="G67" t="s">
        <v>153</v>
      </c>
      <c r="H67" t="s">
        <v>154</v>
      </c>
      <c r="I67">
        <v>0</v>
      </c>
      <c r="J67">
        <v>0</v>
      </c>
      <c r="K67">
        <v>45238.75644675926</v>
      </c>
      <c r="O67">
        <v>144</v>
      </c>
    </row>
    <row r="68" spans="2:15" x14ac:dyDescent="0.25">
      <c r="B68" t="s">
        <v>176</v>
      </c>
      <c r="C68" t="s">
        <v>262</v>
      </c>
      <c r="D68">
        <v>1108</v>
      </c>
      <c r="E68">
        <v>1500</v>
      </c>
      <c r="F68" t="s">
        <v>68</v>
      </c>
      <c r="G68" t="s">
        <v>138</v>
      </c>
      <c r="H68" t="s">
        <v>229</v>
      </c>
      <c r="I68">
        <v>0</v>
      </c>
      <c r="J68">
        <v>0</v>
      </c>
      <c r="K68">
        <v>45238.757870370369</v>
      </c>
      <c r="O68">
        <v>24</v>
      </c>
    </row>
    <row r="69" spans="2:15" x14ac:dyDescent="0.25">
      <c r="B69" t="s">
        <v>176</v>
      </c>
      <c r="C69" t="s">
        <v>262</v>
      </c>
      <c r="D69">
        <v>1108</v>
      </c>
      <c r="E69">
        <v>10</v>
      </c>
      <c r="F69" t="s">
        <v>144</v>
      </c>
      <c r="G69" t="s">
        <v>148</v>
      </c>
      <c r="H69" t="s">
        <v>149</v>
      </c>
      <c r="I69">
        <v>0</v>
      </c>
      <c r="J69">
        <v>0</v>
      </c>
      <c r="K69">
        <v>45238.758252314816</v>
      </c>
      <c r="O69">
        <v>440</v>
      </c>
    </row>
    <row r="70" spans="2:15" x14ac:dyDescent="0.25">
      <c r="B70" t="s">
        <v>176</v>
      </c>
      <c r="C70" t="s">
        <v>262</v>
      </c>
      <c r="D70">
        <v>1108</v>
      </c>
      <c r="E70">
        <v>10</v>
      </c>
      <c r="F70" t="s">
        <v>144</v>
      </c>
      <c r="G70" t="s">
        <v>150</v>
      </c>
      <c r="H70" t="s">
        <v>151</v>
      </c>
      <c r="I70">
        <v>0</v>
      </c>
      <c r="J70">
        <v>0</v>
      </c>
      <c r="K70">
        <v>45238.758530092593</v>
      </c>
      <c r="O70">
        <v>500</v>
      </c>
    </row>
    <row r="71" spans="2:15" x14ac:dyDescent="0.25">
      <c r="B71" t="s">
        <v>176</v>
      </c>
      <c r="C71" t="s">
        <v>260</v>
      </c>
      <c r="D71">
        <v>1107</v>
      </c>
      <c r="E71">
        <v>15</v>
      </c>
      <c r="F71" t="s">
        <v>68</v>
      </c>
      <c r="G71" t="s">
        <v>786</v>
      </c>
      <c r="H71" t="s">
        <v>165</v>
      </c>
      <c r="I71">
        <v>0</v>
      </c>
      <c r="J71">
        <v>0</v>
      </c>
      <c r="K71">
        <v>45238.759120370371</v>
      </c>
      <c r="O71">
        <v>24</v>
      </c>
    </row>
    <row r="72" spans="2:15" x14ac:dyDescent="0.25">
      <c r="B72" t="s">
        <v>176</v>
      </c>
      <c r="C72" t="s">
        <v>270</v>
      </c>
      <c r="D72">
        <v>1110</v>
      </c>
      <c r="E72">
        <v>3000</v>
      </c>
      <c r="F72" t="s">
        <v>68</v>
      </c>
      <c r="G72" t="s">
        <v>163</v>
      </c>
      <c r="H72" t="s">
        <v>240</v>
      </c>
      <c r="I72">
        <v>0</v>
      </c>
      <c r="J72">
        <v>0</v>
      </c>
      <c r="K72">
        <v>45239.48946759259</v>
      </c>
      <c r="O72">
        <v>60</v>
      </c>
    </row>
    <row r="73" spans="2:15" x14ac:dyDescent="0.25">
      <c r="B73" t="s">
        <v>176</v>
      </c>
      <c r="C73" t="s">
        <v>347</v>
      </c>
      <c r="D73">
        <v>1111</v>
      </c>
      <c r="E73">
        <v>2000</v>
      </c>
      <c r="F73" t="s">
        <v>68</v>
      </c>
      <c r="G73" t="s">
        <v>136</v>
      </c>
      <c r="H73" t="s">
        <v>137</v>
      </c>
      <c r="I73">
        <v>0</v>
      </c>
      <c r="J73">
        <v>0</v>
      </c>
      <c r="K73">
        <v>45240.715162037035</v>
      </c>
      <c r="O73">
        <v>4</v>
      </c>
    </row>
    <row r="74" spans="2:15" x14ac:dyDescent="0.25">
      <c r="B74" t="s">
        <v>176</v>
      </c>
      <c r="C74" t="s">
        <v>264</v>
      </c>
      <c r="D74">
        <v>1112</v>
      </c>
      <c r="E74">
        <v>8000</v>
      </c>
      <c r="F74" t="s">
        <v>68</v>
      </c>
      <c r="G74" t="s">
        <v>120</v>
      </c>
      <c r="H74" t="s">
        <v>121</v>
      </c>
      <c r="I74">
        <v>0</v>
      </c>
      <c r="J74">
        <v>0</v>
      </c>
      <c r="K74">
        <v>45240.715231481481</v>
      </c>
      <c r="O74">
        <v>200</v>
      </c>
    </row>
    <row r="75" spans="2:15" x14ac:dyDescent="0.25">
      <c r="B75" t="s">
        <v>176</v>
      </c>
      <c r="C75" t="s">
        <v>262</v>
      </c>
      <c r="D75">
        <v>1113</v>
      </c>
      <c r="E75">
        <v>2000</v>
      </c>
      <c r="F75" t="s">
        <v>68</v>
      </c>
      <c r="G75" t="s">
        <v>138</v>
      </c>
      <c r="H75" t="s">
        <v>229</v>
      </c>
      <c r="I75">
        <v>0</v>
      </c>
      <c r="J75">
        <v>0</v>
      </c>
      <c r="K75">
        <v>45240.715289351851</v>
      </c>
      <c r="O75">
        <v>100</v>
      </c>
    </row>
    <row r="76" spans="2:15" x14ac:dyDescent="0.25">
      <c r="B76" t="s">
        <v>176</v>
      </c>
      <c r="C76" t="s">
        <v>262</v>
      </c>
      <c r="D76">
        <v>1113</v>
      </c>
      <c r="E76">
        <v>10</v>
      </c>
      <c r="F76" t="s">
        <v>144</v>
      </c>
      <c r="G76" t="s">
        <v>148</v>
      </c>
      <c r="H76" t="s">
        <v>149</v>
      </c>
      <c r="I76">
        <v>0</v>
      </c>
      <c r="J76">
        <v>0</v>
      </c>
      <c r="K76">
        <v>45240.71534722222</v>
      </c>
    </row>
    <row r="77" spans="2:15" x14ac:dyDescent="0.25">
      <c r="B77" t="s">
        <v>176</v>
      </c>
      <c r="C77" t="s">
        <v>262</v>
      </c>
      <c r="D77">
        <v>1113</v>
      </c>
      <c r="E77">
        <v>10</v>
      </c>
      <c r="F77" t="s">
        <v>144</v>
      </c>
      <c r="G77" t="s">
        <v>150</v>
      </c>
      <c r="H77" t="s">
        <v>151</v>
      </c>
      <c r="I77">
        <v>0</v>
      </c>
      <c r="J77">
        <v>0</v>
      </c>
      <c r="K77">
        <v>45240.71539351852</v>
      </c>
    </row>
    <row r="78" spans="2:15" x14ac:dyDescent="0.25">
      <c r="B78" t="s">
        <v>176</v>
      </c>
      <c r="C78" t="s">
        <v>261</v>
      </c>
      <c r="D78">
        <v>1114</v>
      </c>
      <c r="E78">
        <v>68</v>
      </c>
      <c r="F78" t="s">
        <v>152</v>
      </c>
      <c r="G78" t="s">
        <v>153</v>
      </c>
      <c r="H78" t="s">
        <v>154</v>
      </c>
      <c r="I78">
        <v>0</v>
      </c>
      <c r="J78">
        <v>0</v>
      </c>
      <c r="K78">
        <v>45240.715462962966</v>
      </c>
      <c r="O78">
        <v>36</v>
      </c>
    </row>
    <row r="79" spans="2:15" x14ac:dyDescent="0.25">
      <c r="B79" t="s">
        <v>254</v>
      </c>
      <c r="C79" t="s">
        <v>763</v>
      </c>
      <c r="D79">
        <v>789363</v>
      </c>
      <c r="E79">
        <v>2000</v>
      </c>
      <c r="F79" t="s">
        <v>68</v>
      </c>
      <c r="G79" t="s">
        <v>219</v>
      </c>
      <c r="H79" t="s">
        <v>220</v>
      </c>
      <c r="I79" t="s">
        <v>161</v>
      </c>
      <c r="J79">
        <v>1</v>
      </c>
      <c r="K79">
        <v>45244.428923611114</v>
      </c>
      <c r="M79">
        <v>45180</v>
      </c>
      <c r="O79">
        <v>96</v>
      </c>
    </row>
    <row r="80" spans="2:15" x14ac:dyDescent="0.25">
      <c r="B80" t="s">
        <v>255</v>
      </c>
      <c r="C80" t="s">
        <v>764</v>
      </c>
      <c r="D80">
        <v>797939</v>
      </c>
      <c r="E80">
        <v>6000</v>
      </c>
      <c r="F80" t="s">
        <v>152</v>
      </c>
      <c r="G80" t="s">
        <v>197</v>
      </c>
      <c r="H80" t="s">
        <v>198</v>
      </c>
      <c r="I80" t="s">
        <v>161</v>
      </c>
      <c r="J80">
        <v>1</v>
      </c>
      <c r="K80">
        <v>45244.42863425926</v>
      </c>
      <c r="M80">
        <v>45180</v>
      </c>
      <c r="O80">
        <v>300</v>
      </c>
    </row>
    <row r="81" spans="2:15" x14ac:dyDescent="0.25">
      <c r="B81" t="s">
        <v>256</v>
      </c>
      <c r="C81" t="s">
        <v>257</v>
      </c>
      <c r="D81" t="s">
        <v>249</v>
      </c>
      <c r="E81">
        <v>720</v>
      </c>
      <c r="F81" t="s">
        <v>152</v>
      </c>
      <c r="G81" t="s">
        <v>158</v>
      </c>
      <c r="H81" t="s">
        <v>154</v>
      </c>
      <c r="I81" t="s">
        <v>155</v>
      </c>
      <c r="J81">
        <v>1</v>
      </c>
      <c r="K81">
        <v>45244.428148148145</v>
      </c>
      <c r="M81">
        <v>45210</v>
      </c>
      <c r="O81">
        <v>4</v>
      </c>
    </row>
    <row r="82" spans="2:15" x14ac:dyDescent="0.25">
      <c r="B82" t="s">
        <v>176</v>
      </c>
      <c r="C82" t="s">
        <v>258</v>
      </c>
      <c r="D82">
        <v>1118</v>
      </c>
      <c r="E82">
        <v>40</v>
      </c>
      <c r="F82" t="s">
        <v>68</v>
      </c>
      <c r="G82" t="s">
        <v>126</v>
      </c>
      <c r="H82" t="s">
        <v>259</v>
      </c>
      <c r="I82">
        <v>0</v>
      </c>
      <c r="J82">
        <v>0</v>
      </c>
      <c r="K82">
        <v>45244.724849537037</v>
      </c>
      <c r="O82">
        <v>500</v>
      </c>
    </row>
    <row r="83" spans="2:15" x14ac:dyDescent="0.25">
      <c r="B83" t="s">
        <v>176</v>
      </c>
      <c r="C83" t="s">
        <v>260</v>
      </c>
      <c r="D83">
        <v>1120</v>
      </c>
      <c r="E83">
        <v>26</v>
      </c>
      <c r="F83" t="s">
        <v>68</v>
      </c>
      <c r="G83" t="s">
        <v>786</v>
      </c>
      <c r="H83" t="s">
        <v>165</v>
      </c>
      <c r="I83">
        <v>0</v>
      </c>
      <c r="J83">
        <v>0</v>
      </c>
      <c r="K83">
        <v>45244.724803240744</v>
      </c>
      <c r="O83">
        <v>100</v>
      </c>
    </row>
    <row r="84" spans="2:15" x14ac:dyDescent="0.25">
      <c r="B84" t="s">
        <v>176</v>
      </c>
      <c r="C84" t="s">
        <v>261</v>
      </c>
      <c r="D84">
        <v>1119</v>
      </c>
      <c r="E84">
        <v>480</v>
      </c>
      <c r="F84" t="s">
        <v>68</v>
      </c>
      <c r="G84" t="s">
        <v>181</v>
      </c>
      <c r="H84" t="s">
        <v>232</v>
      </c>
      <c r="I84">
        <v>0</v>
      </c>
      <c r="J84">
        <v>0</v>
      </c>
      <c r="K84">
        <v>45244.724710648145</v>
      </c>
      <c r="O84">
        <v>2400</v>
      </c>
    </row>
    <row r="85" spans="2:15" x14ac:dyDescent="0.25">
      <c r="B85" t="s">
        <v>176</v>
      </c>
      <c r="C85" t="s">
        <v>262</v>
      </c>
      <c r="D85">
        <v>1121</v>
      </c>
      <c r="E85">
        <v>3600</v>
      </c>
      <c r="F85" t="s">
        <v>68</v>
      </c>
      <c r="G85" t="s">
        <v>138</v>
      </c>
      <c r="H85" t="s">
        <v>229</v>
      </c>
      <c r="I85">
        <v>0</v>
      </c>
      <c r="J85">
        <v>0</v>
      </c>
      <c r="K85">
        <v>45244.724618055552</v>
      </c>
    </row>
    <row r="86" spans="2:15" x14ac:dyDescent="0.25">
      <c r="B86" t="s">
        <v>176</v>
      </c>
      <c r="C86" t="s">
        <v>262</v>
      </c>
      <c r="D86">
        <v>1121</v>
      </c>
      <c r="E86">
        <v>5</v>
      </c>
      <c r="F86" t="s">
        <v>144</v>
      </c>
      <c r="G86" t="s">
        <v>148</v>
      </c>
      <c r="H86" t="s">
        <v>149</v>
      </c>
      <c r="I86">
        <v>0</v>
      </c>
      <c r="J86">
        <v>0</v>
      </c>
      <c r="K86">
        <v>45244.724560185183</v>
      </c>
      <c r="O86">
        <v>20</v>
      </c>
    </row>
    <row r="87" spans="2:15" x14ac:dyDescent="0.25">
      <c r="B87" t="s">
        <v>176</v>
      </c>
      <c r="C87" t="s">
        <v>262</v>
      </c>
      <c r="D87">
        <v>1121</v>
      </c>
      <c r="E87">
        <v>150</v>
      </c>
      <c r="F87" t="s">
        <v>68</v>
      </c>
      <c r="G87" t="s">
        <v>184</v>
      </c>
      <c r="H87" t="s">
        <v>185</v>
      </c>
      <c r="I87">
        <v>0</v>
      </c>
      <c r="J87">
        <v>0</v>
      </c>
      <c r="K87">
        <v>45244.724930555552</v>
      </c>
      <c r="O87">
        <v>100</v>
      </c>
    </row>
    <row r="88" spans="2:15" x14ac:dyDescent="0.25">
      <c r="B88" t="s">
        <v>176</v>
      </c>
      <c r="C88" t="s">
        <v>263</v>
      </c>
      <c r="D88">
        <v>1122</v>
      </c>
      <c r="E88">
        <v>408</v>
      </c>
      <c r="F88" t="s">
        <v>68</v>
      </c>
      <c r="G88" t="s">
        <v>159</v>
      </c>
      <c r="H88" t="s">
        <v>160</v>
      </c>
      <c r="I88">
        <v>0</v>
      </c>
      <c r="J88">
        <v>0</v>
      </c>
      <c r="K88">
        <v>45244.724999999999</v>
      </c>
      <c r="O88">
        <v>2000</v>
      </c>
    </row>
    <row r="89" spans="2:15" x14ac:dyDescent="0.25">
      <c r="B89" t="s">
        <v>176</v>
      </c>
      <c r="C89" t="s">
        <v>264</v>
      </c>
      <c r="D89">
        <v>1123</v>
      </c>
      <c r="E89">
        <v>2000</v>
      </c>
      <c r="F89" t="s">
        <v>68</v>
      </c>
      <c r="G89" t="s">
        <v>142</v>
      </c>
      <c r="H89" t="s">
        <v>143</v>
      </c>
      <c r="I89">
        <v>0</v>
      </c>
      <c r="J89">
        <v>0</v>
      </c>
      <c r="K89">
        <v>45244.725057870368</v>
      </c>
      <c r="O89">
        <v>40</v>
      </c>
    </row>
    <row r="90" spans="2:15" x14ac:dyDescent="0.25">
      <c r="B90" t="s">
        <v>321</v>
      </c>
      <c r="C90" t="s">
        <v>265</v>
      </c>
      <c r="D90">
        <v>1115</v>
      </c>
      <c r="E90">
        <v>900</v>
      </c>
      <c r="F90" t="s">
        <v>68</v>
      </c>
      <c r="G90" t="s">
        <v>132</v>
      </c>
      <c r="H90" t="s">
        <v>133</v>
      </c>
      <c r="I90">
        <v>0</v>
      </c>
      <c r="J90">
        <v>0</v>
      </c>
      <c r="K90">
        <v>45245.736203703702</v>
      </c>
      <c r="O90">
        <v>36</v>
      </c>
    </row>
    <row r="91" spans="2:15" x14ac:dyDescent="0.25">
      <c r="B91" t="s">
        <v>321</v>
      </c>
      <c r="C91" t="s">
        <v>265</v>
      </c>
      <c r="D91">
        <v>1115</v>
      </c>
      <c r="E91">
        <v>15</v>
      </c>
      <c r="F91" t="s">
        <v>68</v>
      </c>
      <c r="G91" t="s">
        <v>786</v>
      </c>
      <c r="H91" t="s">
        <v>165</v>
      </c>
      <c r="I91">
        <v>0</v>
      </c>
      <c r="J91">
        <v>0</v>
      </c>
      <c r="K91">
        <v>45245.736238425925</v>
      </c>
      <c r="O91">
        <v>100</v>
      </c>
    </row>
    <row r="92" spans="2:15" x14ac:dyDescent="0.25">
      <c r="B92" t="s">
        <v>321</v>
      </c>
      <c r="C92" t="s">
        <v>266</v>
      </c>
      <c r="D92">
        <v>1116</v>
      </c>
      <c r="E92">
        <v>520</v>
      </c>
      <c r="F92" t="s">
        <v>68</v>
      </c>
      <c r="G92" t="s">
        <v>172</v>
      </c>
      <c r="H92" t="s">
        <v>173</v>
      </c>
      <c r="I92">
        <v>0</v>
      </c>
      <c r="J92">
        <v>0</v>
      </c>
      <c r="K92">
        <v>45245.736273148148</v>
      </c>
      <c r="O92">
        <v>1</v>
      </c>
    </row>
    <row r="93" spans="2:15" x14ac:dyDescent="0.25">
      <c r="B93" t="s">
        <v>321</v>
      </c>
      <c r="C93" t="s">
        <v>266</v>
      </c>
      <c r="D93">
        <v>1116</v>
      </c>
      <c r="E93">
        <v>34</v>
      </c>
      <c r="F93" t="s">
        <v>68</v>
      </c>
      <c r="G93" t="s">
        <v>126</v>
      </c>
      <c r="H93" t="s">
        <v>259</v>
      </c>
      <c r="I93">
        <v>0</v>
      </c>
      <c r="J93">
        <v>0</v>
      </c>
      <c r="K93">
        <v>45245.736319444448</v>
      </c>
      <c r="O93">
        <v>1</v>
      </c>
    </row>
    <row r="94" spans="2:15" x14ac:dyDescent="0.25">
      <c r="B94" t="s">
        <v>321</v>
      </c>
      <c r="C94" t="s">
        <v>267</v>
      </c>
      <c r="D94">
        <v>1117</v>
      </c>
      <c r="E94">
        <v>300</v>
      </c>
      <c r="F94" t="s">
        <v>144</v>
      </c>
      <c r="G94" t="s">
        <v>145</v>
      </c>
      <c r="H94" t="s">
        <v>146</v>
      </c>
      <c r="I94">
        <v>0</v>
      </c>
      <c r="J94">
        <v>0</v>
      </c>
      <c r="K94">
        <v>45245.73636574074</v>
      </c>
      <c r="O94">
        <v>1</v>
      </c>
    </row>
    <row r="95" spans="2:15" x14ac:dyDescent="0.25">
      <c r="B95" t="s">
        <v>795</v>
      </c>
      <c r="C95" t="s">
        <v>268</v>
      </c>
      <c r="D95">
        <v>134952</v>
      </c>
      <c r="E95">
        <v>100000</v>
      </c>
      <c r="F95" t="s">
        <v>68</v>
      </c>
      <c r="G95" t="s">
        <v>120</v>
      </c>
      <c r="H95" t="s">
        <v>121</v>
      </c>
      <c r="I95" t="s">
        <v>122</v>
      </c>
      <c r="J95">
        <v>1</v>
      </c>
      <c r="K95">
        <v>45245.542384259257</v>
      </c>
      <c r="M95">
        <v>44937</v>
      </c>
      <c r="O95">
        <v>1</v>
      </c>
    </row>
    <row r="96" spans="2:15" x14ac:dyDescent="0.25">
      <c r="B96" t="s">
        <v>795</v>
      </c>
      <c r="C96" t="s">
        <v>268</v>
      </c>
      <c r="D96">
        <v>134952</v>
      </c>
      <c r="E96">
        <v>60000</v>
      </c>
      <c r="F96" t="s">
        <v>68</v>
      </c>
      <c r="G96" t="s">
        <v>140</v>
      </c>
      <c r="H96" t="s">
        <v>141</v>
      </c>
      <c r="I96" t="s">
        <v>122</v>
      </c>
      <c r="J96">
        <v>1</v>
      </c>
      <c r="K96">
        <v>45245.542638888888</v>
      </c>
      <c r="M96">
        <v>44937</v>
      </c>
      <c r="O96">
        <v>1</v>
      </c>
    </row>
    <row r="97" spans="2:15" x14ac:dyDescent="0.25">
      <c r="B97" t="s">
        <v>795</v>
      </c>
      <c r="C97" t="s">
        <v>268</v>
      </c>
      <c r="D97">
        <v>134952</v>
      </c>
      <c r="E97">
        <v>15000</v>
      </c>
      <c r="F97" t="s">
        <v>68</v>
      </c>
      <c r="G97" t="s">
        <v>138</v>
      </c>
      <c r="H97" t="s">
        <v>229</v>
      </c>
      <c r="I97" t="s">
        <v>122</v>
      </c>
      <c r="J97">
        <v>1</v>
      </c>
      <c r="K97">
        <v>45245.542731481481</v>
      </c>
      <c r="M97">
        <v>44937</v>
      </c>
      <c r="O97">
        <v>1</v>
      </c>
    </row>
    <row r="98" spans="2:15" x14ac:dyDescent="0.25">
      <c r="B98" t="s">
        <v>795</v>
      </c>
      <c r="C98" t="s">
        <v>268</v>
      </c>
      <c r="D98">
        <v>134952</v>
      </c>
      <c r="E98">
        <v>3000</v>
      </c>
      <c r="F98" t="s">
        <v>68</v>
      </c>
      <c r="G98" t="s">
        <v>127</v>
      </c>
      <c r="H98" t="s">
        <v>128</v>
      </c>
      <c r="I98" t="s">
        <v>122</v>
      </c>
      <c r="J98">
        <v>1</v>
      </c>
      <c r="K98">
        <v>45245.542916666665</v>
      </c>
      <c r="M98">
        <v>44937</v>
      </c>
      <c r="O98">
        <v>1</v>
      </c>
    </row>
    <row r="99" spans="2:15" x14ac:dyDescent="0.25">
      <c r="B99" t="s">
        <v>795</v>
      </c>
      <c r="C99" t="s">
        <v>268</v>
      </c>
      <c r="D99">
        <v>134952</v>
      </c>
      <c r="E99">
        <v>3000</v>
      </c>
      <c r="F99" t="s">
        <v>68</v>
      </c>
      <c r="G99" t="s">
        <v>132</v>
      </c>
      <c r="H99" t="s">
        <v>133</v>
      </c>
      <c r="I99" t="s">
        <v>122</v>
      </c>
      <c r="J99">
        <v>1</v>
      </c>
      <c r="K99">
        <v>45245.543935185182</v>
      </c>
      <c r="M99">
        <v>44937</v>
      </c>
      <c r="O99">
        <v>1</v>
      </c>
    </row>
    <row r="100" spans="2:15" x14ac:dyDescent="0.25">
      <c r="B100" t="s">
        <v>176</v>
      </c>
      <c r="C100" t="s">
        <v>261</v>
      </c>
      <c r="D100">
        <v>1128</v>
      </c>
      <c r="E100">
        <v>480</v>
      </c>
      <c r="F100" t="s">
        <v>68</v>
      </c>
      <c r="G100" t="s">
        <v>181</v>
      </c>
      <c r="H100" t="s">
        <v>232</v>
      </c>
      <c r="I100">
        <v>0</v>
      </c>
      <c r="J100">
        <v>0</v>
      </c>
      <c r="K100">
        <v>45245.737060185187</v>
      </c>
      <c r="O100">
        <v>1</v>
      </c>
    </row>
    <row r="101" spans="2:15" x14ac:dyDescent="0.25">
      <c r="B101" t="s">
        <v>176</v>
      </c>
      <c r="C101" t="s">
        <v>269</v>
      </c>
      <c r="D101">
        <v>1129</v>
      </c>
      <c r="E101">
        <v>300</v>
      </c>
      <c r="F101" t="s">
        <v>68</v>
      </c>
      <c r="G101" t="s">
        <v>159</v>
      </c>
      <c r="H101" t="s">
        <v>160</v>
      </c>
      <c r="I101">
        <v>0</v>
      </c>
      <c r="J101">
        <v>0</v>
      </c>
      <c r="K101">
        <v>45245.73777777778</v>
      </c>
      <c r="O101">
        <v>1</v>
      </c>
    </row>
    <row r="102" spans="2:15" x14ac:dyDescent="0.25">
      <c r="B102" t="s">
        <v>176</v>
      </c>
      <c r="C102" t="s">
        <v>264</v>
      </c>
      <c r="D102">
        <v>1130</v>
      </c>
      <c r="E102">
        <v>3200</v>
      </c>
      <c r="F102" t="s">
        <v>68</v>
      </c>
      <c r="G102" t="s">
        <v>142</v>
      </c>
      <c r="H102" t="s">
        <v>143</v>
      </c>
      <c r="I102">
        <v>0</v>
      </c>
      <c r="J102">
        <v>0</v>
      </c>
      <c r="K102">
        <v>45245.738275462965</v>
      </c>
      <c r="O102">
        <v>1</v>
      </c>
    </row>
    <row r="103" spans="2:15" x14ac:dyDescent="0.25">
      <c r="B103" t="s">
        <v>176</v>
      </c>
      <c r="C103" t="s">
        <v>270</v>
      </c>
      <c r="D103">
        <v>1132</v>
      </c>
      <c r="E103">
        <v>4000</v>
      </c>
      <c r="F103" t="s">
        <v>68</v>
      </c>
      <c r="G103" t="s">
        <v>163</v>
      </c>
      <c r="H103" t="s">
        <v>240</v>
      </c>
      <c r="I103">
        <v>0</v>
      </c>
      <c r="J103">
        <v>0</v>
      </c>
      <c r="K103">
        <v>45245.738900462966</v>
      </c>
      <c r="O103">
        <v>1</v>
      </c>
    </row>
    <row r="104" spans="2:15" x14ac:dyDescent="0.25">
      <c r="B104" t="s">
        <v>176</v>
      </c>
      <c r="C104" t="s">
        <v>262</v>
      </c>
      <c r="D104">
        <v>1131</v>
      </c>
      <c r="E104">
        <v>2000</v>
      </c>
      <c r="F104" t="s">
        <v>68</v>
      </c>
      <c r="G104" t="s">
        <v>138</v>
      </c>
      <c r="H104" t="s">
        <v>229</v>
      </c>
      <c r="I104">
        <v>0</v>
      </c>
      <c r="J104">
        <v>0</v>
      </c>
      <c r="K104">
        <v>45245.739421296297</v>
      </c>
      <c r="O104">
        <v>1</v>
      </c>
    </row>
    <row r="105" spans="2:15" x14ac:dyDescent="0.25">
      <c r="B105" t="s">
        <v>176</v>
      </c>
      <c r="C105" t="s">
        <v>262</v>
      </c>
      <c r="D105">
        <v>1131</v>
      </c>
      <c r="E105">
        <v>6</v>
      </c>
      <c r="F105" t="s">
        <v>144</v>
      </c>
      <c r="G105" t="s">
        <v>150</v>
      </c>
      <c r="H105" t="s">
        <v>151</v>
      </c>
      <c r="I105">
        <v>0</v>
      </c>
      <c r="J105">
        <v>0</v>
      </c>
      <c r="K105">
        <v>45245.739942129629</v>
      </c>
      <c r="O105">
        <v>1</v>
      </c>
    </row>
    <row r="106" spans="2:15" x14ac:dyDescent="0.25">
      <c r="B106" t="s">
        <v>176</v>
      </c>
      <c r="C106" t="s">
        <v>262</v>
      </c>
      <c r="D106">
        <v>1131</v>
      </c>
      <c r="E106">
        <v>300</v>
      </c>
      <c r="F106" t="s">
        <v>68</v>
      </c>
      <c r="G106" t="s">
        <v>184</v>
      </c>
      <c r="H106" t="s">
        <v>185</v>
      </c>
      <c r="I106">
        <v>0</v>
      </c>
      <c r="J106">
        <v>0</v>
      </c>
      <c r="K106">
        <v>45245.740405092591</v>
      </c>
      <c r="O106">
        <v>1</v>
      </c>
    </row>
    <row r="107" spans="2:15" x14ac:dyDescent="0.25">
      <c r="B107" t="s">
        <v>796</v>
      </c>
      <c r="C107" t="s">
        <v>271</v>
      </c>
      <c r="D107">
        <v>32575</v>
      </c>
      <c r="E107">
        <v>600</v>
      </c>
      <c r="F107" t="s">
        <v>68</v>
      </c>
      <c r="G107" t="s">
        <v>184</v>
      </c>
      <c r="H107" t="s">
        <v>185</v>
      </c>
      <c r="J107">
        <v>1</v>
      </c>
      <c r="K107">
        <v>45246.527881944443</v>
      </c>
      <c r="M107" t="s">
        <v>272</v>
      </c>
      <c r="O107">
        <v>1</v>
      </c>
    </row>
    <row r="108" spans="2:15" x14ac:dyDescent="0.25">
      <c r="B108" t="s">
        <v>176</v>
      </c>
      <c r="C108" t="s">
        <v>368</v>
      </c>
      <c r="D108" t="s">
        <v>273</v>
      </c>
      <c r="E108">
        <v>6000</v>
      </c>
      <c r="F108" t="s">
        <v>68</v>
      </c>
      <c r="G108" t="s">
        <v>124</v>
      </c>
      <c r="H108" t="s">
        <v>125</v>
      </c>
      <c r="I108">
        <v>0</v>
      </c>
      <c r="J108">
        <v>0</v>
      </c>
      <c r="K108">
        <v>45246.536562499998</v>
      </c>
      <c r="O108">
        <v>100</v>
      </c>
    </row>
    <row r="109" spans="2:15" x14ac:dyDescent="0.25">
      <c r="B109" t="s">
        <v>176</v>
      </c>
      <c r="C109" t="s">
        <v>265</v>
      </c>
      <c r="D109" t="s">
        <v>274</v>
      </c>
      <c r="E109">
        <v>2000</v>
      </c>
      <c r="F109" t="s">
        <v>68</v>
      </c>
      <c r="G109" t="s">
        <v>138</v>
      </c>
      <c r="H109" t="s">
        <v>229</v>
      </c>
      <c r="I109">
        <v>0</v>
      </c>
      <c r="J109">
        <v>0</v>
      </c>
      <c r="K109">
        <v>45246.536504629628</v>
      </c>
    </row>
    <row r="110" spans="2:15" x14ac:dyDescent="0.25">
      <c r="B110" t="s">
        <v>176</v>
      </c>
      <c r="C110" t="s">
        <v>265</v>
      </c>
      <c r="D110" t="s">
        <v>274</v>
      </c>
      <c r="E110">
        <v>100</v>
      </c>
      <c r="F110" t="s">
        <v>68</v>
      </c>
      <c r="G110" t="s">
        <v>132</v>
      </c>
      <c r="H110" t="s">
        <v>133</v>
      </c>
      <c r="I110">
        <v>0</v>
      </c>
      <c r="J110">
        <v>0</v>
      </c>
      <c r="K110">
        <v>45246.539189814815</v>
      </c>
      <c r="M110" t="s">
        <v>275</v>
      </c>
    </row>
    <row r="111" spans="2:15" x14ac:dyDescent="0.25">
      <c r="B111" t="s">
        <v>176</v>
      </c>
      <c r="C111" t="s">
        <v>265</v>
      </c>
      <c r="D111" t="s">
        <v>274</v>
      </c>
      <c r="E111">
        <v>15</v>
      </c>
      <c r="F111" t="s">
        <v>68</v>
      </c>
      <c r="G111" t="s">
        <v>786</v>
      </c>
      <c r="H111" t="s">
        <v>165</v>
      </c>
      <c r="I111">
        <v>0</v>
      </c>
      <c r="J111">
        <v>0</v>
      </c>
      <c r="K111">
        <v>45246.53533564815</v>
      </c>
    </row>
    <row r="112" spans="2:15" x14ac:dyDescent="0.25">
      <c r="B112" t="s">
        <v>176</v>
      </c>
      <c r="C112" t="s">
        <v>267</v>
      </c>
      <c r="D112" t="s">
        <v>276</v>
      </c>
      <c r="E112">
        <v>18000</v>
      </c>
      <c r="F112" t="s">
        <v>68</v>
      </c>
      <c r="G112" t="s">
        <v>120</v>
      </c>
      <c r="H112" t="s">
        <v>121</v>
      </c>
      <c r="I112">
        <v>0</v>
      </c>
      <c r="J112">
        <v>0</v>
      </c>
      <c r="K112">
        <v>45246.535243055558</v>
      </c>
    </row>
    <row r="113" spans="2:14" x14ac:dyDescent="0.25">
      <c r="B113" t="s">
        <v>176</v>
      </c>
      <c r="C113" t="s">
        <v>267</v>
      </c>
      <c r="D113" t="s">
        <v>276</v>
      </c>
      <c r="E113">
        <v>4</v>
      </c>
      <c r="F113" t="s">
        <v>68</v>
      </c>
      <c r="G113" t="s">
        <v>200</v>
      </c>
      <c r="H113" t="s">
        <v>201</v>
      </c>
      <c r="I113">
        <v>0</v>
      </c>
      <c r="J113">
        <v>0</v>
      </c>
      <c r="K113">
        <v>45246.535162037035</v>
      </c>
    </row>
    <row r="114" spans="2:14" x14ac:dyDescent="0.25">
      <c r="B114" t="s">
        <v>176</v>
      </c>
      <c r="C114" t="s">
        <v>267</v>
      </c>
      <c r="D114" t="s">
        <v>276</v>
      </c>
      <c r="E114">
        <v>600</v>
      </c>
      <c r="F114" t="s">
        <v>68</v>
      </c>
      <c r="G114" t="s">
        <v>177</v>
      </c>
      <c r="H114" t="s">
        <v>277</v>
      </c>
      <c r="I114">
        <v>0</v>
      </c>
      <c r="J114">
        <v>0</v>
      </c>
      <c r="K114">
        <v>45246.534629629627</v>
      </c>
    </row>
    <row r="115" spans="2:14" x14ac:dyDescent="0.25">
      <c r="B115" t="s">
        <v>176</v>
      </c>
      <c r="C115" t="s">
        <v>267</v>
      </c>
      <c r="D115" t="s">
        <v>276</v>
      </c>
      <c r="E115">
        <v>200</v>
      </c>
      <c r="F115" t="s">
        <v>68</v>
      </c>
      <c r="G115" t="s">
        <v>789</v>
      </c>
      <c r="H115" t="s">
        <v>196</v>
      </c>
      <c r="I115">
        <v>0</v>
      </c>
      <c r="J115">
        <v>0</v>
      </c>
      <c r="K115">
        <v>45246.534583333334</v>
      </c>
    </row>
    <row r="116" spans="2:14" x14ac:dyDescent="0.25">
      <c r="B116" t="s">
        <v>176</v>
      </c>
      <c r="C116" t="s">
        <v>267</v>
      </c>
      <c r="D116" t="s">
        <v>276</v>
      </c>
      <c r="E116">
        <v>300</v>
      </c>
      <c r="F116" t="s">
        <v>144</v>
      </c>
      <c r="G116" t="s">
        <v>145</v>
      </c>
      <c r="H116" t="s">
        <v>146</v>
      </c>
      <c r="I116">
        <v>0</v>
      </c>
      <c r="J116">
        <v>0</v>
      </c>
      <c r="K116">
        <v>45246.534537037034</v>
      </c>
    </row>
    <row r="117" spans="2:14" x14ac:dyDescent="0.25">
      <c r="B117" t="s">
        <v>176</v>
      </c>
      <c r="C117" t="s">
        <v>765</v>
      </c>
      <c r="D117" t="s">
        <v>278</v>
      </c>
      <c r="E117">
        <v>900</v>
      </c>
      <c r="F117" t="s">
        <v>68</v>
      </c>
      <c r="G117" t="s">
        <v>142</v>
      </c>
      <c r="H117" t="s">
        <v>143</v>
      </c>
      <c r="I117">
        <v>0</v>
      </c>
      <c r="J117">
        <v>0</v>
      </c>
      <c r="K117">
        <v>45246.534490740742</v>
      </c>
    </row>
    <row r="118" spans="2:14" x14ac:dyDescent="0.25">
      <c r="B118" t="s">
        <v>66</v>
      </c>
      <c r="C118" t="s">
        <v>279</v>
      </c>
      <c r="D118" t="s">
        <v>279</v>
      </c>
      <c r="E118">
        <v>24</v>
      </c>
      <c r="F118" t="s">
        <v>68</v>
      </c>
      <c r="G118" t="s">
        <v>172</v>
      </c>
      <c r="H118" t="s">
        <v>173</v>
      </c>
      <c r="J118">
        <v>0</v>
      </c>
      <c r="K118">
        <v>45246.560069444444</v>
      </c>
      <c r="M118">
        <v>45237</v>
      </c>
      <c r="N118" t="s">
        <v>280</v>
      </c>
    </row>
    <row r="119" spans="2:14" x14ac:dyDescent="0.25">
      <c r="B119" t="s">
        <v>176</v>
      </c>
      <c r="C119" t="s">
        <v>270</v>
      </c>
      <c r="D119">
        <v>1140</v>
      </c>
      <c r="E119">
        <v>2000</v>
      </c>
      <c r="F119" t="s">
        <v>68</v>
      </c>
      <c r="G119" t="s">
        <v>163</v>
      </c>
      <c r="H119" t="s">
        <v>240</v>
      </c>
      <c r="I119">
        <v>0</v>
      </c>
      <c r="J119">
        <v>0</v>
      </c>
      <c r="K119">
        <v>45246.694791666669</v>
      </c>
    </row>
    <row r="120" spans="2:14" x14ac:dyDescent="0.25">
      <c r="B120" t="s">
        <v>176</v>
      </c>
      <c r="C120" t="s">
        <v>263</v>
      </c>
      <c r="D120">
        <v>1139</v>
      </c>
      <c r="E120">
        <v>500</v>
      </c>
      <c r="F120" t="s">
        <v>68</v>
      </c>
      <c r="G120" t="s">
        <v>159</v>
      </c>
      <c r="H120" t="s">
        <v>160</v>
      </c>
      <c r="I120">
        <v>0</v>
      </c>
      <c r="J120">
        <v>0</v>
      </c>
      <c r="K120">
        <v>45246.697210648148</v>
      </c>
    </row>
    <row r="121" spans="2:14" x14ac:dyDescent="0.25">
      <c r="B121" t="s">
        <v>176</v>
      </c>
      <c r="C121" t="s">
        <v>262</v>
      </c>
      <c r="D121">
        <v>1138</v>
      </c>
      <c r="E121">
        <v>1200</v>
      </c>
      <c r="F121" t="s">
        <v>68</v>
      </c>
      <c r="G121" t="s">
        <v>138</v>
      </c>
      <c r="H121" t="s">
        <v>229</v>
      </c>
      <c r="I121">
        <v>0</v>
      </c>
      <c r="J121">
        <v>0</v>
      </c>
      <c r="K121">
        <v>45246.697175925925</v>
      </c>
    </row>
    <row r="122" spans="2:14" x14ac:dyDescent="0.25">
      <c r="B122" t="s">
        <v>176</v>
      </c>
      <c r="C122" t="s">
        <v>262</v>
      </c>
      <c r="D122">
        <v>1138</v>
      </c>
      <c r="E122">
        <v>8</v>
      </c>
      <c r="F122" t="s">
        <v>144</v>
      </c>
      <c r="G122" t="s">
        <v>150</v>
      </c>
      <c r="H122" t="s">
        <v>151</v>
      </c>
      <c r="I122">
        <v>0</v>
      </c>
      <c r="J122">
        <v>0</v>
      </c>
      <c r="K122">
        <v>45246.697141203702</v>
      </c>
    </row>
    <row r="123" spans="2:14" x14ac:dyDescent="0.25">
      <c r="B123" t="s">
        <v>176</v>
      </c>
      <c r="C123" t="s">
        <v>262</v>
      </c>
      <c r="D123">
        <v>1138</v>
      </c>
      <c r="E123">
        <v>8</v>
      </c>
      <c r="F123" t="s">
        <v>144</v>
      </c>
      <c r="G123" t="s">
        <v>148</v>
      </c>
      <c r="H123" t="s">
        <v>149</v>
      </c>
      <c r="I123">
        <v>0</v>
      </c>
      <c r="J123">
        <v>0</v>
      </c>
      <c r="K123">
        <v>45246.697118055556</v>
      </c>
    </row>
    <row r="124" spans="2:14" x14ac:dyDescent="0.25">
      <c r="B124" t="s">
        <v>176</v>
      </c>
      <c r="C124" t="s">
        <v>258</v>
      </c>
      <c r="D124">
        <v>1137</v>
      </c>
      <c r="E124">
        <v>105</v>
      </c>
      <c r="F124" t="s">
        <v>68</v>
      </c>
      <c r="G124" t="s">
        <v>788</v>
      </c>
      <c r="H124" t="s">
        <v>187</v>
      </c>
      <c r="I124">
        <v>0</v>
      </c>
      <c r="J124">
        <v>0</v>
      </c>
      <c r="K124">
        <v>45246.697060185186</v>
      </c>
    </row>
    <row r="125" spans="2:14" x14ac:dyDescent="0.25">
      <c r="B125" t="s">
        <v>321</v>
      </c>
      <c r="C125" t="s">
        <v>281</v>
      </c>
      <c r="D125">
        <v>441</v>
      </c>
      <c r="E125">
        <v>25000</v>
      </c>
      <c r="F125" t="s">
        <v>68</v>
      </c>
      <c r="G125" t="s">
        <v>140</v>
      </c>
      <c r="H125" t="s">
        <v>141</v>
      </c>
      <c r="I125">
        <v>0</v>
      </c>
      <c r="J125">
        <v>0</v>
      </c>
      <c r="K125">
        <v>45247.5784375</v>
      </c>
    </row>
    <row r="126" spans="2:14" x14ac:dyDescent="0.25">
      <c r="B126" t="s">
        <v>321</v>
      </c>
      <c r="C126" t="s">
        <v>282</v>
      </c>
      <c r="D126">
        <v>439</v>
      </c>
      <c r="E126">
        <v>400</v>
      </c>
      <c r="F126" t="s">
        <v>68</v>
      </c>
      <c r="G126" t="s">
        <v>170</v>
      </c>
      <c r="H126" t="s">
        <v>171</v>
      </c>
      <c r="I126">
        <v>0</v>
      </c>
      <c r="J126">
        <v>0</v>
      </c>
      <c r="K126">
        <v>45247.5783912037</v>
      </c>
    </row>
    <row r="127" spans="2:14" x14ac:dyDescent="0.25">
      <c r="B127" t="s">
        <v>321</v>
      </c>
      <c r="C127" t="s">
        <v>283</v>
      </c>
      <c r="D127">
        <v>440</v>
      </c>
      <c r="E127">
        <v>250</v>
      </c>
      <c r="F127" t="s">
        <v>68</v>
      </c>
      <c r="G127" t="s">
        <v>157</v>
      </c>
      <c r="H127" t="s">
        <v>154</v>
      </c>
      <c r="I127">
        <v>0</v>
      </c>
      <c r="J127">
        <v>0</v>
      </c>
      <c r="K127">
        <v>45247.578368055554</v>
      </c>
    </row>
    <row r="128" spans="2:14" x14ac:dyDescent="0.25">
      <c r="B128" t="s">
        <v>321</v>
      </c>
      <c r="C128" t="s">
        <v>284</v>
      </c>
      <c r="D128">
        <v>442</v>
      </c>
      <c r="E128">
        <v>40</v>
      </c>
      <c r="F128" t="s">
        <v>68</v>
      </c>
      <c r="G128" t="s">
        <v>788</v>
      </c>
      <c r="H128" t="s">
        <v>187</v>
      </c>
      <c r="I128">
        <v>0</v>
      </c>
      <c r="J128">
        <v>0</v>
      </c>
      <c r="K128">
        <v>45247.578321759262</v>
      </c>
    </row>
    <row r="129" spans="2:14" x14ac:dyDescent="0.25">
      <c r="B129" t="s">
        <v>321</v>
      </c>
      <c r="C129" t="s">
        <v>284</v>
      </c>
      <c r="D129">
        <v>442</v>
      </c>
      <c r="E129">
        <v>180</v>
      </c>
      <c r="F129" t="s">
        <v>144</v>
      </c>
      <c r="G129" t="s">
        <v>145</v>
      </c>
      <c r="H129" t="s">
        <v>146</v>
      </c>
      <c r="I129">
        <v>0</v>
      </c>
      <c r="J129">
        <v>0</v>
      </c>
      <c r="K129">
        <v>45247.578275462962</v>
      </c>
    </row>
    <row r="130" spans="2:14" x14ac:dyDescent="0.25">
      <c r="B130" t="s">
        <v>321</v>
      </c>
      <c r="C130" t="s">
        <v>284</v>
      </c>
      <c r="D130">
        <v>442</v>
      </c>
      <c r="E130">
        <v>6</v>
      </c>
      <c r="F130" t="s">
        <v>68</v>
      </c>
      <c r="G130" t="s">
        <v>200</v>
      </c>
      <c r="H130" t="s">
        <v>201</v>
      </c>
      <c r="I130">
        <v>0</v>
      </c>
      <c r="J130">
        <v>0</v>
      </c>
      <c r="K130">
        <v>45247.577835648146</v>
      </c>
    </row>
    <row r="131" spans="2:14" x14ac:dyDescent="0.25">
      <c r="B131" t="s">
        <v>321</v>
      </c>
      <c r="C131" t="s">
        <v>285</v>
      </c>
      <c r="D131">
        <v>1135</v>
      </c>
      <c r="E131">
        <v>178</v>
      </c>
      <c r="F131" t="s">
        <v>68</v>
      </c>
      <c r="G131" t="s">
        <v>181</v>
      </c>
      <c r="H131" t="s">
        <v>232</v>
      </c>
      <c r="I131">
        <v>0</v>
      </c>
      <c r="J131">
        <v>0</v>
      </c>
      <c r="K131">
        <v>45247.578206018516</v>
      </c>
    </row>
    <row r="132" spans="2:14" x14ac:dyDescent="0.25">
      <c r="B132" t="s">
        <v>321</v>
      </c>
      <c r="C132" t="s">
        <v>286</v>
      </c>
      <c r="D132">
        <v>1134</v>
      </c>
      <c r="E132">
        <v>6500</v>
      </c>
      <c r="F132" t="s">
        <v>68</v>
      </c>
      <c r="G132" t="s">
        <v>124</v>
      </c>
      <c r="H132" t="s">
        <v>125</v>
      </c>
      <c r="I132">
        <v>0</v>
      </c>
      <c r="J132">
        <v>0</v>
      </c>
      <c r="K132">
        <v>45247.577650462961</v>
      </c>
    </row>
    <row r="133" spans="2:14" x14ac:dyDescent="0.25">
      <c r="B133" t="s">
        <v>321</v>
      </c>
      <c r="C133" t="s">
        <v>282</v>
      </c>
      <c r="D133">
        <v>1136</v>
      </c>
      <c r="E133">
        <v>2500</v>
      </c>
      <c r="F133" t="s">
        <v>68</v>
      </c>
      <c r="G133" t="s">
        <v>138</v>
      </c>
      <c r="H133" t="s">
        <v>229</v>
      </c>
      <c r="I133">
        <v>0</v>
      </c>
      <c r="J133">
        <v>0</v>
      </c>
      <c r="K133">
        <v>45247.577604166669</v>
      </c>
    </row>
    <row r="134" spans="2:14" x14ac:dyDescent="0.25">
      <c r="B134" t="s">
        <v>321</v>
      </c>
      <c r="C134" t="s">
        <v>284</v>
      </c>
      <c r="D134">
        <v>1133</v>
      </c>
      <c r="E134">
        <v>20000</v>
      </c>
      <c r="F134" t="s">
        <v>68</v>
      </c>
      <c r="G134" t="s">
        <v>120</v>
      </c>
      <c r="H134" t="s">
        <v>121</v>
      </c>
      <c r="I134">
        <v>0</v>
      </c>
      <c r="J134">
        <v>0</v>
      </c>
      <c r="K134">
        <v>45247.577534722222</v>
      </c>
    </row>
    <row r="135" spans="2:14" x14ac:dyDescent="0.25">
      <c r="B135" t="s">
        <v>321</v>
      </c>
      <c r="C135" t="s">
        <v>284</v>
      </c>
      <c r="D135">
        <v>1133</v>
      </c>
      <c r="E135">
        <v>650</v>
      </c>
      <c r="F135" t="s">
        <v>68</v>
      </c>
      <c r="G135" t="s">
        <v>177</v>
      </c>
      <c r="H135" t="s">
        <v>287</v>
      </c>
      <c r="I135">
        <v>0</v>
      </c>
      <c r="J135">
        <v>0</v>
      </c>
      <c r="K135">
        <v>45247.577453703707</v>
      </c>
    </row>
    <row r="136" spans="2:14" x14ac:dyDescent="0.25">
      <c r="B136" t="s">
        <v>321</v>
      </c>
      <c r="C136" t="s">
        <v>284</v>
      </c>
      <c r="D136">
        <v>1133</v>
      </c>
      <c r="E136">
        <v>200</v>
      </c>
      <c r="F136" t="s">
        <v>68</v>
      </c>
      <c r="G136" t="s">
        <v>789</v>
      </c>
      <c r="H136" t="s">
        <v>196</v>
      </c>
      <c r="I136">
        <v>0</v>
      </c>
      <c r="J136">
        <v>0</v>
      </c>
      <c r="K136">
        <v>45247.577384259261</v>
      </c>
    </row>
    <row r="137" spans="2:14" x14ac:dyDescent="0.25">
      <c r="B137" t="s">
        <v>321</v>
      </c>
      <c r="C137" t="s">
        <v>284</v>
      </c>
      <c r="D137">
        <v>1133</v>
      </c>
      <c r="E137">
        <v>80</v>
      </c>
      <c r="F137" t="s">
        <v>68</v>
      </c>
      <c r="G137" t="s">
        <v>184</v>
      </c>
      <c r="H137" t="s">
        <v>185</v>
      </c>
      <c r="I137">
        <v>0</v>
      </c>
      <c r="J137">
        <v>0</v>
      </c>
      <c r="K137">
        <v>45247.577291666668</v>
      </c>
    </row>
    <row r="138" spans="2:14" x14ac:dyDescent="0.25">
      <c r="B138" t="s">
        <v>176</v>
      </c>
      <c r="C138" t="s">
        <v>288</v>
      </c>
      <c r="D138">
        <v>445</v>
      </c>
      <c r="E138">
        <v>2000</v>
      </c>
      <c r="F138" t="s">
        <v>68</v>
      </c>
      <c r="G138" t="s">
        <v>163</v>
      </c>
      <c r="H138" t="s">
        <v>240</v>
      </c>
      <c r="I138">
        <v>0</v>
      </c>
      <c r="J138">
        <v>0</v>
      </c>
      <c r="K138">
        <v>45247.602060185185</v>
      </c>
    </row>
    <row r="139" spans="2:14" x14ac:dyDescent="0.25">
      <c r="B139" t="s">
        <v>176</v>
      </c>
      <c r="C139" t="s">
        <v>289</v>
      </c>
      <c r="D139">
        <v>444</v>
      </c>
      <c r="E139">
        <v>15</v>
      </c>
      <c r="F139" t="s">
        <v>68</v>
      </c>
      <c r="G139" t="s">
        <v>787</v>
      </c>
      <c r="H139" t="s">
        <v>167</v>
      </c>
      <c r="I139">
        <v>0</v>
      </c>
      <c r="J139">
        <v>0</v>
      </c>
      <c r="K139">
        <v>45247.605520833335</v>
      </c>
      <c r="M139" t="s">
        <v>290</v>
      </c>
    </row>
    <row r="140" spans="2:14" x14ac:dyDescent="0.25">
      <c r="B140" t="s">
        <v>176</v>
      </c>
      <c r="C140" t="s">
        <v>291</v>
      </c>
      <c r="D140">
        <v>443</v>
      </c>
      <c r="E140">
        <v>240</v>
      </c>
      <c r="F140" t="s">
        <v>68</v>
      </c>
      <c r="G140" t="s">
        <v>159</v>
      </c>
      <c r="H140" t="s">
        <v>160</v>
      </c>
      <c r="I140">
        <v>0</v>
      </c>
      <c r="J140">
        <v>0</v>
      </c>
      <c r="K140">
        <v>45247.603402777779</v>
      </c>
    </row>
    <row r="141" spans="2:14" x14ac:dyDescent="0.25">
      <c r="B141" t="s">
        <v>321</v>
      </c>
      <c r="C141" t="s">
        <v>292</v>
      </c>
      <c r="D141">
        <v>446</v>
      </c>
      <c r="E141">
        <v>5500</v>
      </c>
      <c r="F141" t="s">
        <v>68</v>
      </c>
      <c r="G141" t="s">
        <v>163</v>
      </c>
      <c r="H141" t="s">
        <v>240</v>
      </c>
      <c r="I141">
        <v>0</v>
      </c>
      <c r="J141">
        <v>0</v>
      </c>
      <c r="K141">
        <v>45247.607858796298</v>
      </c>
    </row>
    <row r="142" spans="2:14" x14ac:dyDescent="0.25">
      <c r="B142" t="s">
        <v>321</v>
      </c>
      <c r="C142" t="s">
        <v>292</v>
      </c>
      <c r="D142">
        <v>446</v>
      </c>
      <c r="E142">
        <v>2400</v>
      </c>
      <c r="F142" t="s">
        <v>68</v>
      </c>
      <c r="G142" t="s">
        <v>197</v>
      </c>
      <c r="H142" t="s">
        <v>198</v>
      </c>
      <c r="I142">
        <v>0</v>
      </c>
      <c r="J142">
        <v>0</v>
      </c>
      <c r="K142">
        <v>45247.607812499999</v>
      </c>
    </row>
    <row r="143" spans="2:14" x14ac:dyDescent="0.25">
      <c r="B143" t="s">
        <v>797</v>
      </c>
      <c r="C143" t="s">
        <v>293</v>
      </c>
      <c r="D143" t="s">
        <v>294</v>
      </c>
      <c r="E143">
        <v>1512</v>
      </c>
      <c r="F143" t="s">
        <v>68</v>
      </c>
      <c r="G143" t="s">
        <v>177</v>
      </c>
      <c r="H143" t="s">
        <v>287</v>
      </c>
      <c r="I143" t="s">
        <v>179</v>
      </c>
      <c r="J143">
        <v>1</v>
      </c>
      <c r="K143">
        <v>45250.391331018516</v>
      </c>
      <c r="M143" t="s">
        <v>295</v>
      </c>
    </row>
    <row r="144" spans="2:14" x14ac:dyDescent="0.25">
      <c r="B144" t="s">
        <v>298</v>
      </c>
      <c r="C144" t="s">
        <v>266</v>
      </c>
      <c r="D144">
        <v>386</v>
      </c>
      <c r="E144">
        <v>52</v>
      </c>
      <c r="F144" t="s">
        <v>152</v>
      </c>
      <c r="G144" t="s">
        <v>126</v>
      </c>
      <c r="H144" t="s">
        <v>180</v>
      </c>
      <c r="J144">
        <v>1</v>
      </c>
      <c r="K144">
        <v>45190</v>
      </c>
      <c r="L144">
        <v>52</v>
      </c>
      <c r="M144">
        <v>45188</v>
      </c>
      <c r="N144" t="s">
        <v>299</v>
      </c>
    </row>
    <row r="145" spans="2:15" x14ac:dyDescent="0.25">
      <c r="B145" t="s">
        <v>302</v>
      </c>
      <c r="C145" t="s">
        <v>303</v>
      </c>
      <c r="D145" t="s">
        <v>66</v>
      </c>
      <c r="E145">
        <v>4000</v>
      </c>
      <c r="F145" t="s">
        <v>68</v>
      </c>
      <c r="G145" t="s">
        <v>181</v>
      </c>
      <c r="H145" t="s">
        <v>232</v>
      </c>
      <c r="I145" t="s">
        <v>183</v>
      </c>
      <c r="J145">
        <v>1</v>
      </c>
      <c r="K145">
        <v>45251.562847222223</v>
      </c>
      <c r="M145" t="s">
        <v>275</v>
      </c>
    </row>
    <row r="146" spans="2:15" x14ac:dyDescent="0.25">
      <c r="B146" t="s">
        <v>304</v>
      </c>
      <c r="C146" t="s">
        <v>305</v>
      </c>
      <c r="D146" t="s">
        <v>306</v>
      </c>
      <c r="E146">
        <v>400</v>
      </c>
      <c r="F146" t="s">
        <v>68</v>
      </c>
      <c r="G146" t="s">
        <v>788</v>
      </c>
      <c r="H146" t="s">
        <v>187</v>
      </c>
      <c r="I146" t="s">
        <v>161</v>
      </c>
      <c r="J146">
        <v>1</v>
      </c>
      <c r="K146">
        <v>45251.639594907407</v>
      </c>
      <c r="M146" t="s">
        <v>307</v>
      </c>
      <c r="O146">
        <v>100</v>
      </c>
    </row>
    <row r="147" spans="2:15" x14ac:dyDescent="0.25">
      <c r="B147" t="s">
        <v>304</v>
      </c>
      <c r="C147" t="s">
        <v>305</v>
      </c>
      <c r="D147" t="s">
        <v>306</v>
      </c>
      <c r="E147">
        <v>240</v>
      </c>
      <c r="F147" t="s">
        <v>68</v>
      </c>
      <c r="G147" t="s">
        <v>786</v>
      </c>
      <c r="H147" t="s">
        <v>165</v>
      </c>
      <c r="I147" t="s">
        <v>161</v>
      </c>
      <c r="J147">
        <v>1</v>
      </c>
      <c r="K147">
        <v>45251.640868055554</v>
      </c>
      <c r="M147" t="s">
        <v>307</v>
      </c>
    </row>
    <row r="148" spans="2:15" x14ac:dyDescent="0.25">
      <c r="B148" t="s">
        <v>176</v>
      </c>
      <c r="C148" t="s">
        <v>260</v>
      </c>
      <c r="D148" t="s">
        <v>308</v>
      </c>
      <c r="E148">
        <v>15</v>
      </c>
      <c r="F148" t="s">
        <v>68</v>
      </c>
      <c r="G148" t="s">
        <v>787</v>
      </c>
      <c r="H148" t="s">
        <v>167</v>
      </c>
      <c r="I148" t="s">
        <v>161</v>
      </c>
      <c r="J148">
        <v>0</v>
      </c>
      <c r="K148">
        <v>45251.727060185185</v>
      </c>
    </row>
    <row r="149" spans="2:15" x14ac:dyDescent="0.25">
      <c r="B149" t="s">
        <v>176</v>
      </c>
      <c r="C149" t="s">
        <v>261</v>
      </c>
      <c r="D149" t="s">
        <v>309</v>
      </c>
      <c r="E149">
        <v>720</v>
      </c>
      <c r="F149" t="s">
        <v>152</v>
      </c>
      <c r="G149" t="s">
        <v>157</v>
      </c>
      <c r="H149" t="s">
        <v>154</v>
      </c>
      <c r="I149" t="s">
        <v>155</v>
      </c>
      <c r="J149">
        <v>0</v>
      </c>
      <c r="K149">
        <v>45251.824074074073</v>
      </c>
    </row>
    <row r="150" spans="2:15" x14ac:dyDescent="0.25">
      <c r="B150" t="s">
        <v>176</v>
      </c>
      <c r="C150" t="s">
        <v>310</v>
      </c>
      <c r="D150" t="s">
        <v>311</v>
      </c>
      <c r="E150">
        <v>3600</v>
      </c>
      <c r="F150" t="s">
        <v>68</v>
      </c>
      <c r="G150" t="s">
        <v>140</v>
      </c>
      <c r="H150" t="s">
        <v>141</v>
      </c>
      <c r="I150" t="s">
        <v>122</v>
      </c>
      <c r="J150">
        <v>0</v>
      </c>
      <c r="K150">
        <v>45251.824895833335</v>
      </c>
    </row>
    <row r="151" spans="2:15" x14ac:dyDescent="0.25">
      <c r="B151" t="s">
        <v>176</v>
      </c>
      <c r="C151" t="s">
        <v>312</v>
      </c>
      <c r="D151" t="s">
        <v>313</v>
      </c>
      <c r="E151">
        <v>3600</v>
      </c>
      <c r="F151" t="s">
        <v>68</v>
      </c>
      <c r="G151" t="s">
        <v>120</v>
      </c>
      <c r="H151" t="s">
        <v>121</v>
      </c>
      <c r="I151" t="s">
        <v>122</v>
      </c>
      <c r="J151">
        <v>0</v>
      </c>
      <c r="K151">
        <v>45251.82540509259</v>
      </c>
    </row>
    <row r="152" spans="2:15" x14ac:dyDescent="0.25">
      <c r="B152" t="s">
        <v>176</v>
      </c>
      <c r="C152" t="s">
        <v>263</v>
      </c>
      <c r="D152" t="s">
        <v>314</v>
      </c>
      <c r="E152">
        <v>1000</v>
      </c>
      <c r="F152" t="s">
        <v>68</v>
      </c>
      <c r="G152" t="s">
        <v>159</v>
      </c>
      <c r="H152" t="s">
        <v>160</v>
      </c>
      <c r="I152" t="s">
        <v>161</v>
      </c>
      <c r="J152">
        <v>0</v>
      </c>
      <c r="K152">
        <v>45251.825891203705</v>
      </c>
    </row>
    <row r="153" spans="2:15" x14ac:dyDescent="0.25">
      <c r="B153" t="s">
        <v>176</v>
      </c>
      <c r="C153" t="s">
        <v>262</v>
      </c>
      <c r="D153" t="s">
        <v>315</v>
      </c>
      <c r="E153">
        <v>8</v>
      </c>
      <c r="F153" t="s">
        <v>144</v>
      </c>
      <c r="G153" t="s">
        <v>150</v>
      </c>
      <c r="H153" t="s">
        <v>151</v>
      </c>
      <c r="I153" t="s">
        <v>147</v>
      </c>
      <c r="J153">
        <v>0</v>
      </c>
      <c r="K153">
        <v>45251.826608796298</v>
      </c>
    </row>
    <row r="154" spans="2:15" x14ac:dyDescent="0.25">
      <c r="B154" t="s">
        <v>176</v>
      </c>
      <c r="C154" t="s">
        <v>316</v>
      </c>
      <c r="D154">
        <v>453</v>
      </c>
      <c r="E154">
        <v>1000</v>
      </c>
      <c r="F154" t="s">
        <v>68</v>
      </c>
      <c r="G154" t="s">
        <v>136</v>
      </c>
      <c r="H154" t="s">
        <v>137</v>
      </c>
      <c r="I154" t="s">
        <v>122</v>
      </c>
      <c r="J154">
        <v>0</v>
      </c>
      <c r="K154">
        <v>45252.7580787037</v>
      </c>
    </row>
    <row r="155" spans="2:15" x14ac:dyDescent="0.25">
      <c r="B155" t="s">
        <v>176</v>
      </c>
      <c r="C155" t="s">
        <v>317</v>
      </c>
      <c r="D155">
        <v>454</v>
      </c>
      <c r="E155">
        <v>8</v>
      </c>
      <c r="F155" t="s">
        <v>144</v>
      </c>
      <c r="G155" t="s">
        <v>148</v>
      </c>
      <c r="H155" t="s">
        <v>149</v>
      </c>
      <c r="I155" t="s">
        <v>147</v>
      </c>
      <c r="J155">
        <v>0</v>
      </c>
      <c r="K155">
        <v>45252.760335648149</v>
      </c>
    </row>
    <row r="156" spans="2:15" x14ac:dyDescent="0.25">
      <c r="B156" t="s">
        <v>176</v>
      </c>
      <c r="C156" t="s">
        <v>318</v>
      </c>
      <c r="D156">
        <v>456</v>
      </c>
      <c r="E156">
        <v>720</v>
      </c>
      <c r="F156" t="s">
        <v>152</v>
      </c>
      <c r="G156" t="s">
        <v>157</v>
      </c>
      <c r="H156" t="s">
        <v>154</v>
      </c>
      <c r="I156" t="s">
        <v>155</v>
      </c>
      <c r="J156">
        <v>0</v>
      </c>
      <c r="K156">
        <v>45252.761111111111</v>
      </c>
    </row>
    <row r="157" spans="2:15" x14ac:dyDescent="0.25">
      <c r="B157" t="s">
        <v>176</v>
      </c>
      <c r="C157" t="s">
        <v>289</v>
      </c>
      <c r="D157">
        <v>455</v>
      </c>
      <c r="E157">
        <v>20</v>
      </c>
      <c r="F157" t="s">
        <v>68</v>
      </c>
      <c r="G157" t="s">
        <v>787</v>
      </c>
      <c r="H157" t="s">
        <v>167</v>
      </c>
      <c r="I157" t="s">
        <v>161</v>
      </c>
      <c r="J157">
        <v>0</v>
      </c>
      <c r="K157">
        <v>45252.76185185185</v>
      </c>
    </row>
    <row r="158" spans="2:15" x14ac:dyDescent="0.25">
      <c r="B158" t="s">
        <v>319</v>
      </c>
      <c r="C158" t="s">
        <v>320</v>
      </c>
      <c r="D158" t="s">
        <v>66</v>
      </c>
      <c r="E158">
        <v>1008</v>
      </c>
      <c r="F158" t="s">
        <v>152</v>
      </c>
      <c r="G158" t="s">
        <v>153</v>
      </c>
      <c r="H158" t="s">
        <v>154</v>
      </c>
      <c r="I158" t="s">
        <v>155</v>
      </c>
      <c r="J158">
        <v>1</v>
      </c>
      <c r="K158">
        <v>45252.767546296294</v>
      </c>
      <c r="M158" t="s">
        <v>275</v>
      </c>
    </row>
    <row r="159" spans="2:15" x14ac:dyDescent="0.25">
      <c r="B159" t="s">
        <v>321</v>
      </c>
      <c r="C159" t="s">
        <v>292</v>
      </c>
      <c r="D159" t="s">
        <v>322</v>
      </c>
      <c r="E159">
        <v>2600</v>
      </c>
      <c r="F159" t="s">
        <v>68</v>
      </c>
      <c r="G159" t="s">
        <v>163</v>
      </c>
      <c r="H159" t="s">
        <v>164</v>
      </c>
      <c r="I159" t="s">
        <v>161</v>
      </c>
      <c r="J159">
        <v>0</v>
      </c>
      <c r="K159">
        <v>45253.641493055555</v>
      </c>
    </row>
    <row r="160" spans="2:15" x14ac:dyDescent="0.25">
      <c r="B160" t="s">
        <v>321</v>
      </c>
      <c r="C160" t="s">
        <v>292</v>
      </c>
      <c r="D160" t="s">
        <v>322</v>
      </c>
      <c r="E160">
        <v>350</v>
      </c>
      <c r="F160" t="s">
        <v>68</v>
      </c>
      <c r="G160" t="s">
        <v>172</v>
      </c>
      <c r="H160" t="s">
        <v>173</v>
      </c>
      <c r="J160">
        <v>0</v>
      </c>
      <c r="K160">
        <v>45253.641886574071</v>
      </c>
    </row>
    <row r="161" spans="2:14" x14ac:dyDescent="0.25">
      <c r="B161" t="s">
        <v>321</v>
      </c>
      <c r="C161" t="s">
        <v>292</v>
      </c>
      <c r="D161" t="s">
        <v>322</v>
      </c>
      <c r="E161">
        <v>1200</v>
      </c>
      <c r="F161" t="s">
        <v>68</v>
      </c>
      <c r="G161" t="s">
        <v>197</v>
      </c>
      <c r="H161" t="s">
        <v>198</v>
      </c>
      <c r="I161" t="s">
        <v>161</v>
      </c>
      <c r="J161">
        <v>0</v>
      </c>
      <c r="K161">
        <v>45253.642233796294</v>
      </c>
    </row>
    <row r="162" spans="2:14" x14ac:dyDescent="0.25">
      <c r="B162" t="s">
        <v>321</v>
      </c>
      <c r="C162" t="s">
        <v>284</v>
      </c>
      <c r="D162" t="s">
        <v>323</v>
      </c>
      <c r="E162">
        <v>35</v>
      </c>
      <c r="F162" t="s">
        <v>68</v>
      </c>
      <c r="G162" t="s">
        <v>788</v>
      </c>
      <c r="H162" t="s">
        <v>187</v>
      </c>
      <c r="I162" t="s">
        <v>161</v>
      </c>
      <c r="J162">
        <v>0</v>
      </c>
      <c r="K162">
        <v>45253.642858796295</v>
      </c>
      <c r="L162">
        <v>720</v>
      </c>
      <c r="M162">
        <v>660</v>
      </c>
    </row>
    <row r="163" spans="2:14" x14ac:dyDescent="0.25">
      <c r="B163" t="s">
        <v>324</v>
      </c>
      <c r="C163" t="s">
        <v>268</v>
      </c>
      <c r="D163">
        <v>136592</v>
      </c>
      <c r="E163">
        <v>2400</v>
      </c>
      <c r="F163" t="s">
        <v>68</v>
      </c>
      <c r="G163" t="s">
        <v>136</v>
      </c>
      <c r="H163" t="s">
        <v>137</v>
      </c>
      <c r="I163" t="s">
        <v>122</v>
      </c>
      <c r="J163">
        <v>1</v>
      </c>
      <c r="K163">
        <v>45254.461793981478</v>
      </c>
      <c r="M163" t="s">
        <v>307</v>
      </c>
    </row>
    <row r="164" spans="2:14" x14ac:dyDescent="0.25">
      <c r="B164" t="s">
        <v>324</v>
      </c>
      <c r="C164" t="s">
        <v>268</v>
      </c>
      <c r="D164">
        <v>136592</v>
      </c>
      <c r="E164">
        <v>2400</v>
      </c>
      <c r="F164" t="s">
        <v>68</v>
      </c>
      <c r="G164" t="s">
        <v>134</v>
      </c>
      <c r="H164" t="s">
        <v>135</v>
      </c>
      <c r="I164" t="s">
        <v>122</v>
      </c>
      <c r="J164">
        <v>1</v>
      </c>
      <c r="K164">
        <v>45254.463599537034</v>
      </c>
      <c r="M164" t="s">
        <v>307</v>
      </c>
    </row>
    <row r="165" spans="2:14" x14ac:dyDescent="0.25">
      <c r="B165" t="s">
        <v>324</v>
      </c>
      <c r="C165" t="s">
        <v>268</v>
      </c>
      <c r="D165">
        <v>136592</v>
      </c>
      <c r="E165">
        <v>1000</v>
      </c>
      <c r="F165" t="s">
        <v>68</v>
      </c>
      <c r="G165" t="s">
        <v>168</v>
      </c>
      <c r="H165" t="s">
        <v>325</v>
      </c>
      <c r="I165" t="s">
        <v>122</v>
      </c>
      <c r="J165">
        <v>1</v>
      </c>
      <c r="K165">
        <v>45254.470868055556</v>
      </c>
      <c r="M165" t="s">
        <v>307</v>
      </c>
    </row>
    <row r="166" spans="2:14" x14ac:dyDescent="0.25">
      <c r="B166" t="s">
        <v>326</v>
      </c>
      <c r="C166" t="s">
        <v>268</v>
      </c>
      <c r="D166">
        <v>136351</v>
      </c>
      <c r="E166">
        <v>5000</v>
      </c>
      <c r="F166" t="s">
        <v>68</v>
      </c>
      <c r="G166" t="s">
        <v>134</v>
      </c>
      <c r="H166" t="s">
        <v>135</v>
      </c>
      <c r="I166" t="s">
        <v>122</v>
      </c>
      <c r="J166">
        <v>1</v>
      </c>
      <c r="K166">
        <v>45254.473067129627</v>
      </c>
      <c r="M166">
        <v>45241</v>
      </c>
    </row>
    <row r="167" spans="2:14" x14ac:dyDescent="0.25">
      <c r="B167" t="s">
        <v>176</v>
      </c>
      <c r="C167" t="s">
        <v>312</v>
      </c>
      <c r="D167" t="s">
        <v>327</v>
      </c>
      <c r="E167">
        <v>3600</v>
      </c>
      <c r="F167" t="s">
        <v>68</v>
      </c>
      <c r="G167" t="s">
        <v>120</v>
      </c>
      <c r="H167" t="s">
        <v>121</v>
      </c>
      <c r="I167" t="s">
        <v>122</v>
      </c>
      <c r="J167">
        <v>0</v>
      </c>
      <c r="K167">
        <v>45257.594629629632</v>
      </c>
    </row>
    <row r="168" spans="2:14" x14ac:dyDescent="0.25">
      <c r="B168" t="s">
        <v>66</v>
      </c>
      <c r="C168" t="s">
        <v>263</v>
      </c>
      <c r="D168" t="s">
        <v>328</v>
      </c>
      <c r="E168">
        <v>360</v>
      </c>
      <c r="F168" t="s">
        <v>68</v>
      </c>
      <c r="G168" t="s">
        <v>159</v>
      </c>
      <c r="H168" t="s">
        <v>160</v>
      </c>
      <c r="I168" t="s">
        <v>161</v>
      </c>
      <c r="J168">
        <v>0</v>
      </c>
      <c r="K168">
        <v>45257.595289351855</v>
      </c>
    </row>
    <row r="169" spans="2:14" x14ac:dyDescent="0.25">
      <c r="B169" t="s">
        <v>66</v>
      </c>
      <c r="C169" t="s">
        <v>329</v>
      </c>
      <c r="D169" t="s">
        <v>330</v>
      </c>
      <c r="E169">
        <v>700</v>
      </c>
      <c r="F169" t="s">
        <v>68</v>
      </c>
      <c r="G169" t="s">
        <v>219</v>
      </c>
      <c r="H169" t="s">
        <v>220</v>
      </c>
      <c r="I169" t="s">
        <v>161</v>
      </c>
      <c r="J169">
        <v>0</v>
      </c>
      <c r="K169">
        <v>45257.595925925925</v>
      </c>
    </row>
    <row r="170" spans="2:14" x14ac:dyDescent="0.25">
      <c r="B170" t="s">
        <v>331</v>
      </c>
      <c r="C170" t="s">
        <v>332</v>
      </c>
      <c r="D170" t="s">
        <v>333</v>
      </c>
      <c r="E170">
        <v>1000</v>
      </c>
      <c r="F170" t="s">
        <v>68</v>
      </c>
      <c r="G170" t="s">
        <v>789</v>
      </c>
      <c r="H170" t="s">
        <v>196</v>
      </c>
      <c r="I170" t="s">
        <v>161</v>
      </c>
      <c r="J170">
        <v>1</v>
      </c>
      <c r="K170">
        <v>45257.599270833336</v>
      </c>
      <c r="M170" t="s">
        <v>334</v>
      </c>
    </row>
    <row r="171" spans="2:14" x14ac:dyDescent="0.25">
      <c r="B171" t="s">
        <v>331</v>
      </c>
      <c r="C171" t="s">
        <v>332</v>
      </c>
      <c r="D171" t="s">
        <v>333</v>
      </c>
      <c r="E171">
        <v>700</v>
      </c>
      <c r="F171" t="s">
        <v>68</v>
      </c>
      <c r="G171" t="s">
        <v>219</v>
      </c>
      <c r="H171" t="s">
        <v>220</v>
      </c>
      <c r="I171" t="s">
        <v>161</v>
      </c>
      <c r="J171">
        <v>1</v>
      </c>
      <c r="K171">
        <v>45257.600856481484</v>
      </c>
      <c r="M171" t="s">
        <v>334</v>
      </c>
    </row>
    <row r="172" spans="2:14" x14ac:dyDescent="0.25">
      <c r="B172" t="s">
        <v>335</v>
      </c>
      <c r="C172" t="s">
        <v>336</v>
      </c>
      <c r="D172" t="s">
        <v>333</v>
      </c>
      <c r="E172">
        <v>1300</v>
      </c>
      <c r="F172" t="s">
        <v>68</v>
      </c>
      <c r="G172" t="s">
        <v>219</v>
      </c>
      <c r="H172" t="s">
        <v>220</v>
      </c>
      <c r="I172" t="s">
        <v>161</v>
      </c>
      <c r="J172">
        <v>1</v>
      </c>
      <c r="K172">
        <v>45257.602662037039</v>
      </c>
      <c r="M172" t="s">
        <v>334</v>
      </c>
    </row>
    <row r="173" spans="2:14" x14ac:dyDescent="0.25">
      <c r="B173" t="s">
        <v>337</v>
      </c>
      <c r="C173" t="s">
        <v>338</v>
      </c>
      <c r="D173" t="s">
        <v>212</v>
      </c>
      <c r="E173">
        <v>400</v>
      </c>
      <c r="F173" t="s">
        <v>68</v>
      </c>
      <c r="G173" t="s">
        <v>219</v>
      </c>
      <c r="H173" t="s">
        <v>220</v>
      </c>
      <c r="I173" t="s">
        <v>161</v>
      </c>
      <c r="J173">
        <v>1</v>
      </c>
      <c r="K173">
        <v>45257.604351851849</v>
      </c>
      <c r="M173" t="s">
        <v>334</v>
      </c>
    </row>
    <row r="174" spans="2:14" x14ac:dyDescent="0.25">
      <c r="B174" t="s">
        <v>339</v>
      </c>
      <c r="C174" t="s">
        <v>340</v>
      </c>
      <c r="D174" t="s">
        <v>341</v>
      </c>
      <c r="E174">
        <v>1000</v>
      </c>
      <c r="F174" t="s">
        <v>68</v>
      </c>
      <c r="G174" t="s">
        <v>789</v>
      </c>
      <c r="H174" t="s">
        <v>196</v>
      </c>
      <c r="I174" t="s">
        <v>161</v>
      </c>
      <c r="J174">
        <v>1</v>
      </c>
      <c r="K174">
        <v>45257.605196759258</v>
      </c>
      <c r="M174" t="s">
        <v>334</v>
      </c>
    </row>
    <row r="175" spans="2:14" x14ac:dyDescent="0.25">
      <c r="B175" t="s">
        <v>176</v>
      </c>
      <c r="C175" t="s">
        <v>288</v>
      </c>
      <c r="D175" t="s">
        <v>342</v>
      </c>
      <c r="E175">
        <v>4000</v>
      </c>
      <c r="F175" t="s">
        <v>68</v>
      </c>
      <c r="G175" t="s">
        <v>163</v>
      </c>
      <c r="H175" t="s">
        <v>164</v>
      </c>
      <c r="I175" t="s">
        <v>161</v>
      </c>
      <c r="J175">
        <v>0</v>
      </c>
      <c r="K175">
        <v>45258.596377314818</v>
      </c>
    </row>
    <row r="176" spans="2:14" x14ac:dyDescent="0.25">
      <c r="B176" t="s">
        <v>321</v>
      </c>
      <c r="C176" t="s">
        <v>267</v>
      </c>
      <c r="D176">
        <v>459</v>
      </c>
      <c r="E176">
        <v>13</v>
      </c>
      <c r="F176" t="s">
        <v>68</v>
      </c>
      <c r="G176" t="s">
        <v>787</v>
      </c>
      <c r="H176" t="s">
        <v>167</v>
      </c>
      <c r="I176" t="s">
        <v>161</v>
      </c>
      <c r="J176">
        <v>0</v>
      </c>
      <c r="K176">
        <v>45258.598379629628</v>
      </c>
      <c r="N176">
        <v>163</v>
      </c>
    </row>
    <row r="177" spans="2:14" x14ac:dyDescent="0.25">
      <c r="B177" t="s">
        <v>321</v>
      </c>
      <c r="C177" t="s">
        <v>267</v>
      </c>
      <c r="D177">
        <v>459</v>
      </c>
      <c r="E177">
        <v>36</v>
      </c>
      <c r="F177" t="s">
        <v>68</v>
      </c>
      <c r="G177" t="s">
        <v>184</v>
      </c>
      <c r="H177" t="s">
        <v>185</v>
      </c>
      <c r="J177">
        <v>0</v>
      </c>
      <c r="K177">
        <v>45258.599722222221</v>
      </c>
    </row>
    <row r="178" spans="2:14" x14ac:dyDescent="0.25">
      <c r="B178" t="s">
        <v>321</v>
      </c>
      <c r="C178" t="s">
        <v>267</v>
      </c>
      <c r="D178">
        <v>459</v>
      </c>
      <c r="E178">
        <v>30</v>
      </c>
      <c r="F178" t="s">
        <v>68</v>
      </c>
      <c r="G178" t="s">
        <v>788</v>
      </c>
      <c r="H178" t="s">
        <v>187</v>
      </c>
      <c r="I178" t="s">
        <v>161</v>
      </c>
      <c r="J178">
        <v>0</v>
      </c>
      <c r="K178">
        <v>45258.600092592591</v>
      </c>
    </row>
    <row r="179" spans="2:14" x14ac:dyDescent="0.25">
      <c r="B179" t="s">
        <v>321</v>
      </c>
      <c r="C179" t="s">
        <v>267</v>
      </c>
      <c r="D179">
        <v>459</v>
      </c>
      <c r="E179">
        <v>300</v>
      </c>
      <c r="F179" t="s">
        <v>144</v>
      </c>
      <c r="G179" t="s">
        <v>145</v>
      </c>
      <c r="H179" t="s">
        <v>146</v>
      </c>
      <c r="I179" t="s">
        <v>147</v>
      </c>
      <c r="J179">
        <v>0</v>
      </c>
      <c r="K179">
        <v>45258.601111111115</v>
      </c>
    </row>
    <row r="180" spans="2:14" x14ac:dyDescent="0.25">
      <c r="B180" t="s">
        <v>321</v>
      </c>
      <c r="C180" t="s">
        <v>343</v>
      </c>
      <c r="D180">
        <v>461</v>
      </c>
      <c r="E180">
        <v>8100</v>
      </c>
      <c r="F180" t="s">
        <v>68</v>
      </c>
      <c r="G180" t="s">
        <v>140</v>
      </c>
      <c r="H180" t="s">
        <v>141</v>
      </c>
      <c r="I180" t="s">
        <v>122</v>
      </c>
      <c r="J180">
        <v>0</v>
      </c>
      <c r="K180">
        <v>45258.598379629628</v>
      </c>
    </row>
    <row r="181" spans="2:14" x14ac:dyDescent="0.25">
      <c r="B181" t="s">
        <v>321</v>
      </c>
      <c r="C181" t="s">
        <v>344</v>
      </c>
      <c r="D181">
        <v>460</v>
      </c>
      <c r="E181">
        <v>228</v>
      </c>
      <c r="F181" t="s">
        <v>68</v>
      </c>
      <c r="G181" t="s">
        <v>181</v>
      </c>
      <c r="H181" t="s">
        <v>182</v>
      </c>
      <c r="I181" t="s">
        <v>183</v>
      </c>
      <c r="J181">
        <v>0</v>
      </c>
      <c r="K181">
        <v>45258.599722222221</v>
      </c>
      <c r="N181">
        <v>3774</v>
      </c>
    </row>
    <row r="182" spans="2:14" x14ac:dyDescent="0.25">
      <c r="B182" t="s">
        <v>321</v>
      </c>
      <c r="C182" t="s">
        <v>345</v>
      </c>
      <c r="D182">
        <v>462</v>
      </c>
      <c r="E182">
        <v>12</v>
      </c>
      <c r="F182" t="s">
        <v>68</v>
      </c>
      <c r="G182" t="s">
        <v>126</v>
      </c>
      <c r="H182" t="s">
        <v>180</v>
      </c>
      <c r="J182">
        <v>0</v>
      </c>
      <c r="K182">
        <v>45258.600092592591</v>
      </c>
      <c r="N182" t="s">
        <v>346</v>
      </c>
    </row>
    <row r="183" spans="2:14" x14ac:dyDescent="0.25">
      <c r="B183" t="s">
        <v>321</v>
      </c>
      <c r="C183" t="s">
        <v>345</v>
      </c>
      <c r="D183">
        <v>462</v>
      </c>
      <c r="E183">
        <v>1200</v>
      </c>
      <c r="F183" t="s">
        <v>68</v>
      </c>
      <c r="G183" t="s">
        <v>197</v>
      </c>
      <c r="H183" t="s">
        <v>198</v>
      </c>
      <c r="I183" t="s">
        <v>161</v>
      </c>
      <c r="J183">
        <v>0</v>
      </c>
      <c r="K183">
        <v>45258.601111111115</v>
      </c>
    </row>
    <row r="184" spans="2:14" x14ac:dyDescent="0.25">
      <c r="B184" t="s">
        <v>176</v>
      </c>
      <c r="C184" t="s">
        <v>263</v>
      </c>
      <c r="D184">
        <v>467</v>
      </c>
      <c r="E184">
        <v>240</v>
      </c>
      <c r="F184" t="s">
        <v>68</v>
      </c>
      <c r="G184" t="s">
        <v>159</v>
      </c>
      <c r="H184" t="s">
        <v>160</v>
      </c>
      <c r="I184" t="s">
        <v>161</v>
      </c>
      <c r="J184">
        <v>0</v>
      </c>
      <c r="K184">
        <v>45259.468148148146</v>
      </c>
    </row>
    <row r="185" spans="2:14" x14ac:dyDescent="0.25">
      <c r="B185" t="s">
        <v>176</v>
      </c>
      <c r="C185" t="s">
        <v>264</v>
      </c>
      <c r="D185">
        <v>466</v>
      </c>
      <c r="E185">
        <v>4400</v>
      </c>
      <c r="F185" t="s">
        <v>68</v>
      </c>
      <c r="G185" t="s">
        <v>120</v>
      </c>
      <c r="H185" t="s">
        <v>121</v>
      </c>
      <c r="I185" t="s">
        <v>122</v>
      </c>
      <c r="J185">
        <v>0</v>
      </c>
      <c r="K185">
        <v>45259.469189814816</v>
      </c>
    </row>
    <row r="186" spans="2:14" x14ac:dyDescent="0.25">
      <c r="B186" t="s">
        <v>176</v>
      </c>
      <c r="C186" t="s">
        <v>310</v>
      </c>
      <c r="D186">
        <v>464</v>
      </c>
      <c r="E186">
        <v>3600</v>
      </c>
      <c r="F186" t="s">
        <v>68</v>
      </c>
      <c r="G186" t="s">
        <v>140</v>
      </c>
      <c r="H186" t="s">
        <v>141</v>
      </c>
      <c r="I186" t="s">
        <v>122</v>
      </c>
      <c r="J186">
        <v>0</v>
      </c>
      <c r="K186">
        <v>45259.470590277779</v>
      </c>
    </row>
    <row r="187" spans="2:14" x14ac:dyDescent="0.25">
      <c r="B187" t="s">
        <v>176</v>
      </c>
      <c r="C187" t="s">
        <v>347</v>
      </c>
      <c r="D187">
        <v>465</v>
      </c>
      <c r="E187">
        <v>1600</v>
      </c>
      <c r="F187" t="s">
        <v>68</v>
      </c>
      <c r="G187" t="s">
        <v>134</v>
      </c>
      <c r="H187" t="s">
        <v>135</v>
      </c>
      <c r="I187" t="s">
        <v>122</v>
      </c>
      <c r="J187">
        <v>0</v>
      </c>
      <c r="K187">
        <v>45259.47934027778</v>
      </c>
    </row>
    <row r="188" spans="2:14" x14ac:dyDescent="0.25">
      <c r="B188" t="s">
        <v>348</v>
      </c>
      <c r="C188" t="s">
        <v>271</v>
      </c>
      <c r="D188">
        <v>32575</v>
      </c>
      <c r="E188">
        <v>600</v>
      </c>
      <c r="F188" t="s">
        <v>68</v>
      </c>
      <c r="G188" t="s">
        <v>184</v>
      </c>
      <c r="H188" t="s">
        <v>185</v>
      </c>
      <c r="J188">
        <v>1</v>
      </c>
      <c r="K188">
        <v>45259.561909722222</v>
      </c>
      <c r="M188" t="s">
        <v>349</v>
      </c>
    </row>
    <row r="189" spans="2:14" x14ac:dyDescent="0.25">
      <c r="B189" t="s">
        <v>350</v>
      </c>
      <c r="C189" t="s">
        <v>351</v>
      </c>
      <c r="D189" t="s">
        <v>67</v>
      </c>
      <c r="E189">
        <v>9000</v>
      </c>
      <c r="F189" t="s">
        <v>68</v>
      </c>
      <c r="G189" t="s">
        <v>132</v>
      </c>
      <c r="H189" t="s">
        <v>133</v>
      </c>
      <c r="I189" t="s">
        <v>122</v>
      </c>
      <c r="J189">
        <v>1</v>
      </c>
      <c r="K189">
        <v>45260.416608796295</v>
      </c>
      <c r="M189" t="s">
        <v>352</v>
      </c>
    </row>
    <row r="190" spans="2:14" x14ac:dyDescent="0.25">
      <c r="B190" t="s">
        <v>176</v>
      </c>
      <c r="C190" t="s">
        <v>353</v>
      </c>
      <c r="D190">
        <v>472</v>
      </c>
      <c r="E190">
        <v>720</v>
      </c>
      <c r="F190" t="s">
        <v>68</v>
      </c>
      <c r="G190" t="s">
        <v>181</v>
      </c>
      <c r="H190" t="s">
        <v>182</v>
      </c>
      <c r="I190" t="s">
        <v>183</v>
      </c>
      <c r="J190">
        <v>0</v>
      </c>
      <c r="K190">
        <v>45260.54011574074</v>
      </c>
      <c r="L190">
        <v>720</v>
      </c>
    </row>
    <row r="191" spans="2:14" x14ac:dyDescent="0.25">
      <c r="B191" t="s">
        <v>321</v>
      </c>
      <c r="C191" t="s">
        <v>286</v>
      </c>
      <c r="D191">
        <v>468</v>
      </c>
      <c r="E191">
        <v>3000</v>
      </c>
      <c r="F191" t="s">
        <v>68</v>
      </c>
      <c r="G191" t="s">
        <v>124</v>
      </c>
      <c r="H191" t="s">
        <v>125</v>
      </c>
      <c r="I191" t="s">
        <v>122</v>
      </c>
      <c r="J191">
        <v>0</v>
      </c>
      <c r="K191">
        <v>45260.542592592596</v>
      </c>
      <c r="L191">
        <v>3000</v>
      </c>
    </row>
    <row r="192" spans="2:14" x14ac:dyDescent="0.25">
      <c r="B192" t="s">
        <v>321</v>
      </c>
      <c r="C192" t="s">
        <v>344</v>
      </c>
      <c r="D192">
        <v>469</v>
      </c>
      <c r="E192">
        <v>228</v>
      </c>
      <c r="F192" t="s">
        <v>68</v>
      </c>
      <c r="G192" t="s">
        <v>181</v>
      </c>
      <c r="H192" t="s">
        <v>182</v>
      </c>
      <c r="I192" t="s">
        <v>183</v>
      </c>
      <c r="J192">
        <v>0</v>
      </c>
      <c r="K192">
        <v>45260.543391203704</v>
      </c>
      <c r="L192">
        <v>228</v>
      </c>
    </row>
    <row r="193" spans="2:17" x14ac:dyDescent="0.25">
      <c r="B193" t="s">
        <v>321</v>
      </c>
      <c r="C193" t="s">
        <v>282</v>
      </c>
      <c r="D193">
        <v>470</v>
      </c>
      <c r="E193">
        <v>250</v>
      </c>
      <c r="F193" t="s">
        <v>68</v>
      </c>
      <c r="G193" t="s">
        <v>132</v>
      </c>
      <c r="H193" t="s">
        <v>133</v>
      </c>
      <c r="I193" t="s">
        <v>122</v>
      </c>
      <c r="J193">
        <v>0</v>
      </c>
      <c r="K193">
        <v>45260.544560185182</v>
      </c>
      <c r="L193">
        <v>250</v>
      </c>
    </row>
    <row r="194" spans="2:17" x14ac:dyDescent="0.25">
      <c r="B194" t="s">
        <v>321</v>
      </c>
      <c r="C194" t="s">
        <v>284</v>
      </c>
      <c r="D194">
        <v>471</v>
      </c>
      <c r="E194">
        <v>12</v>
      </c>
      <c r="F194" t="s">
        <v>68</v>
      </c>
      <c r="G194" t="s">
        <v>787</v>
      </c>
      <c r="H194" t="s">
        <v>167</v>
      </c>
      <c r="I194" t="s">
        <v>161</v>
      </c>
      <c r="J194">
        <v>0</v>
      </c>
      <c r="K194">
        <v>45260.545451388891</v>
      </c>
      <c r="L194">
        <v>12</v>
      </c>
    </row>
    <row r="195" spans="2:17" x14ac:dyDescent="0.25">
      <c r="B195" t="s">
        <v>321</v>
      </c>
      <c r="C195" t="s">
        <v>284</v>
      </c>
      <c r="D195">
        <v>471</v>
      </c>
      <c r="E195">
        <v>30</v>
      </c>
      <c r="F195" t="s">
        <v>68</v>
      </c>
      <c r="G195" t="s">
        <v>788</v>
      </c>
      <c r="H195" t="s">
        <v>187</v>
      </c>
      <c r="I195" t="s">
        <v>161</v>
      </c>
      <c r="J195">
        <v>0</v>
      </c>
      <c r="K195">
        <v>45260.546203703707</v>
      </c>
      <c r="L195">
        <v>30</v>
      </c>
      <c r="N195" t="s">
        <v>354</v>
      </c>
    </row>
    <row r="196" spans="2:17" x14ac:dyDescent="0.25">
      <c r="B196" t="s">
        <v>355</v>
      </c>
      <c r="C196" t="s">
        <v>356</v>
      </c>
      <c r="D196" t="s">
        <v>66</v>
      </c>
      <c r="E196">
        <v>100000</v>
      </c>
      <c r="F196" t="s">
        <v>68</v>
      </c>
      <c r="G196" t="s">
        <v>120</v>
      </c>
      <c r="H196" t="s">
        <v>121</v>
      </c>
      <c r="I196" t="s">
        <v>122</v>
      </c>
      <c r="J196">
        <v>1</v>
      </c>
      <c r="K196">
        <v>45260.593645833331</v>
      </c>
      <c r="M196" t="s">
        <v>334</v>
      </c>
    </row>
    <row r="197" spans="2:17" x14ac:dyDescent="0.25">
      <c r="B197" t="s">
        <v>355</v>
      </c>
      <c r="C197" t="s">
        <v>356</v>
      </c>
      <c r="D197" t="s">
        <v>66</v>
      </c>
      <c r="E197">
        <v>15000</v>
      </c>
      <c r="F197" t="s">
        <v>68</v>
      </c>
      <c r="G197" t="s">
        <v>138</v>
      </c>
      <c r="H197" t="s">
        <v>139</v>
      </c>
      <c r="I197" t="s">
        <v>122</v>
      </c>
      <c r="J197">
        <v>1</v>
      </c>
      <c r="K197">
        <v>45260.593645833331</v>
      </c>
      <c r="M197" t="s">
        <v>334</v>
      </c>
    </row>
    <row r="198" spans="2:17" x14ac:dyDescent="0.25">
      <c r="B198" t="s">
        <v>355</v>
      </c>
      <c r="C198" t="s">
        <v>356</v>
      </c>
      <c r="D198" t="s">
        <v>66</v>
      </c>
      <c r="E198">
        <v>3000</v>
      </c>
      <c r="F198" t="s">
        <v>68</v>
      </c>
      <c r="G198" t="s">
        <v>132</v>
      </c>
      <c r="H198" t="s">
        <v>133</v>
      </c>
      <c r="I198" t="s">
        <v>122</v>
      </c>
      <c r="J198">
        <v>1</v>
      </c>
      <c r="K198">
        <v>45260.604097222225</v>
      </c>
      <c r="M198" t="s">
        <v>334</v>
      </c>
    </row>
    <row r="199" spans="2:17" x14ac:dyDescent="0.25">
      <c r="B199" t="s">
        <v>176</v>
      </c>
      <c r="C199" t="s">
        <v>310</v>
      </c>
      <c r="D199" t="s">
        <v>357</v>
      </c>
      <c r="E199">
        <v>48</v>
      </c>
      <c r="F199" t="s">
        <v>68</v>
      </c>
      <c r="G199" t="s">
        <v>786</v>
      </c>
      <c r="H199" t="s">
        <v>165</v>
      </c>
      <c r="I199" t="s">
        <v>161</v>
      </c>
      <c r="J199">
        <v>0</v>
      </c>
      <c r="K199">
        <v>45260.693067129629</v>
      </c>
    </row>
    <row r="200" spans="2:17" x14ac:dyDescent="0.25">
      <c r="B200" t="s">
        <v>66</v>
      </c>
      <c r="C200" t="s">
        <v>66</v>
      </c>
      <c r="D200" t="s">
        <v>66</v>
      </c>
      <c r="E200">
        <v>257</v>
      </c>
      <c r="F200" t="s">
        <v>68</v>
      </c>
      <c r="G200" t="s">
        <v>129</v>
      </c>
      <c r="H200" t="s">
        <v>358</v>
      </c>
      <c r="I200" t="s">
        <v>66</v>
      </c>
      <c r="J200">
        <v>1</v>
      </c>
      <c r="K200">
        <v>45267.503125000003</v>
      </c>
      <c r="L200">
        <v>9999</v>
      </c>
      <c r="M200" t="s">
        <v>359</v>
      </c>
      <c r="O200">
        <v>100</v>
      </c>
      <c r="P200">
        <v>2</v>
      </c>
      <c r="Q200">
        <v>56.999999999999986</v>
      </c>
    </row>
    <row r="201" spans="2:17" x14ac:dyDescent="0.25">
      <c r="B201" t="s">
        <v>176</v>
      </c>
      <c r="C201" t="s">
        <v>260</v>
      </c>
      <c r="D201" t="s">
        <v>360</v>
      </c>
      <c r="E201">
        <v>14</v>
      </c>
      <c r="F201" t="s">
        <v>68</v>
      </c>
      <c r="G201" t="s">
        <v>787</v>
      </c>
      <c r="H201" t="s">
        <v>167</v>
      </c>
      <c r="I201" t="s">
        <v>161</v>
      </c>
      <c r="J201">
        <v>0</v>
      </c>
      <c r="K201">
        <v>45261.531099537038</v>
      </c>
      <c r="L201">
        <v>137</v>
      </c>
    </row>
    <row r="202" spans="2:17" x14ac:dyDescent="0.25">
      <c r="B202" t="s">
        <v>176</v>
      </c>
      <c r="C202" t="s">
        <v>261</v>
      </c>
      <c r="D202" t="s">
        <v>361</v>
      </c>
      <c r="E202">
        <v>1200</v>
      </c>
      <c r="F202" t="s">
        <v>152</v>
      </c>
      <c r="G202" t="s">
        <v>156</v>
      </c>
      <c r="H202" t="s">
        <v>154</v>
      </c>
      <c r="I202" t="s">
        <v>155</v>
      </c>
      <c r="J202">
        <v>0</v>
      </c>
      <c r="K202">
        <v>45261.613807870373</v>
      </c>
      <c r="L202">
        <v>5528</v>
      </c>
    </row>
    <row r="203" spans="2:17" x14ac:dyDescent="0.25">
      <c r="B203" t="s">
        <v>176</v>
      </c>
      <c r="C203" t="s">
        <v>362</v>
      </c>
      <c r="D203" t="s">
        <v>363</v>
      </c>
      <c r="E203">
        <v>1200</v>
      </c>
      <c r="F203" t="s">
        <v>68</v>
      </c>
      <c r="G203" t="s">
        <v>190</v>
      </c>
      <c r="H203" t="s">
        <v>191</v>
      </c>
      <c r="I203" t="s">
        <v>122</v>
      </c>
      <c r="J203">
        <v>0</v>
      </c>
      <c r="K203">
        <v>45261.644594907404</v>
      </c>
      <c r="L203">
        <v>1200</v>
      </c>
    </row>
    <row r="204" spans="2:17" x14ac:dyDescent="0.25">
      <c r="B204" t="s">
        <v>321</v>
      </c>
      <c r="C204" t="s">
        <v>364</v>
      </c>
      <c r="D204" t="s">
        <v>365</v>
      </c>
      <c r="E204">
        <v>482</v>
      </c>
      <c r="F204" t="s">
        <v>152</v>
      </c>
      <c r="G204" t="s">
        <v>157</v>
      </c>
      <c r="H204" t="s">
        <v>154</v>
      </c>
      <c r="I204" t="s">
        <v>155</v>
      </c>
      <c r="J204">
        <v>0</v>
      </c>
      <c r="K204">
        <v>45264.645266203705</v>
      </c>
      <c r="L204">
        <v>0</v>
      </c>
    </row>
    <row r="205" spans="2:17" x14ac:dyDescent="0.25">
      <c r="B205" t="s">
        <v>321</v>
      </c>
      <c r="C205" t="s">
        <v>267</v>
      </c>
      <c r="D205" t="s">
        <v>366</v>
      </c>
      <c r="E205">
        <v>16500</v>
      </c>
      <c r="F205" t="s">
        <v>68</v>
      </c>
      <c r="G205" t="s">
        <v>120</v>
      </c>
      <c r="H205" t="s">
        <v>121</v>
      </c>
      <c r="I205" t="s">
        <v>122</v>
      </c>
      <c r="J205">
        <v>0</v>
      </c>
      <c r="K205">
        <v>45264.645439814813</v>
      </c>
      <c r="L205">
        <v>212200</v>
      </c>
      <c r="N205">
        <v>672000</v>
      </c>
    </row>
    <row r="206" spans="2:17" x14ac:dyDescent="0.25">
      <c r="B206" t="s">
        <v>321</v>
      </c>
      <c r="C206" t="s">
        <v>267</v>
      </c>
      <c r="D206" t="s">
        <v>366</v>
      </c>
      <c r="E206">
        <v>100</v>
      </c>
      <c r="F206" t="s">
        <v>68</v>
      </c>
      <c r="G206" t="s">
        <v>789</v>
      </c>
      <c r="H206" t="s">
        <v>196</v>
      </c>
      <c r="I206" t="s">
        <v>161</v>
      </c>
      <c r="J206">
        <v>0</v>
      </c>
      <c r="K206">
        <v>45264.645729166667</v>
      </c>
      <c r="L206">
        <v>2260</v>
      </c>
    </row>
    <row r="207" spans="2:17" x14ac:dyDescent="0.25">
      <c r="B207" t="s">
        <v>321</v>
      </c>
      <c r="C207" t="s">
        <v>267</v>
      </c>
      <c r="D207" t="s">
        <v>366</v>
      </c>
      <c r="E207">
        <v>25</v>
      </c>
      <c r="F207" t="s">
        <v>68</v>
      </c>
      <c r="G207" t="s">
        <v>788</v>
      </c>
      <c r="H207" t="s">
        <v>187</v>
      </c>
      <c r="I207" t="s">
        <v>161</v>
      </c>
      <c r="J207">
        <v>0</v>
      </c>
      <c r="K207">
        <v>45264.645879629628</v>
      </c>
      <c r="L207">
        <v>635</v>
      </c>
    </row>
    <row r="208" spans="2:17" x14ac:dyDescent="0.25">
      <c r="B208" t="s">
        <v>321</v>
      </c>
      <c r="C208" t="s">
        <v>267</v>
      </c>
      <c r="D208" t="s">
        <v>366</v>
      </c>
      <c r="E208">
        <v>230</v>
      </c>
      <c r="F208" t="s">
        <v>144</v>
      </c>
      <c r="G208" t="s">
        <v>145</v>
      </c>
      <c r="H208" t="s">
        <v>146</v>
      </c>
      <c r="I208" t="s">
        <v>147</v>
      </c>
      <c r="J208">
        <v>0</v>
      </c>
      <c r="K208">
        <v>45264.645949074074</v>
      </c>
      <c r="L208">
        <v>2118</v>
      </c>
    </row>
    <row r="209" spans="2:13" x14ac:dyDescent="0.25">
      <c r="B209" t="s">
        <v>321</v>
      </c>
      <c r="C209" t="s">
        <v>267</v>
      </c>
      <c r="D209" t="s">
        <v>366</v>
      </c>
      <c r="E209">
        <v>24</v>
      </c>
      <c r="F209" t="s">
        <v>68</v>
      </c>
      <c r="G209" t="s">
        <v>787</v>
      </c>
      <c r="H209" t="s">
        <v>167</v>
      </c>
      <c r="I209" t="s">
        <v>161</v>
      </c>
      <c r="J209">
        <v>0</v>
      </c>
      <c r="K209">
        <v>45264.646145833336</v>
      </c>
      <c r="L209">
        <v>113</v>
      </c>
    </row>
    <row r="210" spans="2:13" x14ac:dyDescent="0.25">
      <c r="B210" t="s">
        <v>321</v>
      </c>
      <c r="C210" t="s">
        <v>265</v>
      </c>
      <c r="D210" t="s">
        <v>367</v>
      </c>
      <c r="E210">
        <v>250</v>
      </c>
      <c r="F210" t="s">
        <v>68</v>
      </c>
      <c r="G210" t="s">
        <v>132</v>
      </c>
      <c r="H210" t="s">
        <v>133</v>
      </c>
      <c r="I210" t="s">
        <v>122</v>
      </c>
      <c r="J210">
        <v>0</v>
      </c>
      <c r="K210">
        <v>45264.646238425928</v>
      </c>
      <c r="L210">
        <v>14500</v>
      </c>
    </row>
    <row r="211" spans="2:13" x14ac:dyDescent="0.25">
      <c r="B211" t="s">
        <v>321</v>
      </c>
      <c r="C211" t="s">
        <v>368</v>
      </c>
      <c r="D211" t="s">
        <v>369</v>
      </c>
      <c r="E211">
        <v>6000</v>
      </c>
      <c r="F211" t="s">
        <v>68</v>
      </c>
      <c r="G211" t="s">
        <v>124</v>
      </c>
      <c r="H211" t="s">
        <v>125</v>
      </c>
      <c r="I211" t="s">
        <v>122</v>
      </c>
      <c r="J211">
        <v>0</v>
      </c>
      <c r="K211">
        <v>45264.646296296298</v>
      </c>
      <c r="L211">
        <v>61000</v>
      </c>
    </row>
    <row r="212" spans="2:13" x14ac:dyDescent="0.25">
      <c r="B212" t="s">
        <v>176</v>
      </c>
      <c r="C212" t="s">
        <v>262</v>
      </c>
      <c r="D212" t="s">
        <v>370</v>
      </c>
      <c r="E212">
        <v>10</v>
      </c>
      <c r="F212" t="s">
        <v>144</v>
      </c>
      <c r="G212" t="s">
        <v>148</v>
      </c>
      <c r="H212" t="s">
        <v>149</v>
      </c>
      <c r="I212" t="s">
        <v>147</v>
      </c>
      <c r="J212">
        <v>0</v>
      </c>
      <c r="K212">
        <v>45264.646365740744</v>
      </c>
      <c r="L212">
        <v>6293</v>
      </c>
    </row>
    <row r="213" spans="2:13" x14ac:dyDescent="0.25">
      <c r="B213" t="s">
        <v>176</v>
      </c>
      <c r="C213" t="s">
        <v>263</v>
      </c>
      <c r="D213" t="s">
        <v>371</v>
      </c>
      <c r="E213">
        <v>360</v>
      </c>
      <c r="F213" t="s">
        <v>68</v>
      </c>
      <c r="G213" t="s">
        <v>159</v>
      </c>
      <c r="H213" t="s">
        <v>160</v>
      </c>
      <c r="I213" t="s">
        <v>161</v>
      </c>
      <c r="J213">
        <v>0</v>
      </c>
      <c r="K213">
        <v>45264.646469907406</v>
      </c>
      <c r="L213">
        <v>7172</v>
      </c>
    </row>
    <row r="214" spans="2:13" x14ac:dyDescent="0.25">
      <c r="B214" t="s">
        <v>176</v>
      </c>
      <c r="C214" t="s">
        <v>310</v>
      </c>
      <c r="D214" t="s">
        <v>372</v>
      </c>
      <c r="E214">
        <v>3600</v>
      </c>
      <c r="F214" t="s">
        <v>68</v>
      </c>
      <c r="G214" t="s">
        <v>140</v>
      </c>
      <c r="H214" t="s">
        <v>141</v>
      </c>
      <c r="I214" t="s">
        <v>122</v>
      </c>
      <c r="J214">
        <v>0</v>
      </c>
      <c r="K214">
        <v>45264.646539351852</v>
      </c>
      <c r="L214">
        <v>158600</v>
      </c>
    </row>
    <row r="215" spans="2:13" x14ac:dyDescent="0.25">
      <c r="B215" t="s">
        <v>373</v>
      </c>
      <c r="C215" t="s">
        <v>306</v>
      </c>
      <c r="D215" t="s">
        <v>66</v>
      </c>
      <c r="E215">
        <v>200</v>
      </c>
      <c r="F215" t="s">
        <v>68</v>
      </c>
      <c r="G215" t="s">
        <v>787</v>
      </c>
      <c r="H215" t="s">
        <v>167</v>
      </c>
      <c r="I215" t="s">
        <v>161</v>
      </c>
      <c r="J215">
        <v>1</v>
      </c>
      <c r="K215">
        <v>45264.648055555554</v>
      </c>
      <c r="L215">
        <v>313</v>
      </c>
      <c r="M215" t="s">
        <v>374</v>
      </c>
    </row>
    <row r="216" spans="2:13" x14ac:dyDescent="0.25">
      <c r="B216" t="s">
        <v>373</v>
      </c>
      <c r="C216" t="s">
        <v>306</v>
      </c>
      <c r="D216" t="s">
        <v>66</v>
      </c>
      <c r="E216">
        <v>6000</v>
      </c>
      <c r="F216" t="s">
        <v>68</v>
      </c>
      <c r="G216" t="s">
        <v>197</v>
      </c>
      <c r="H216" t="s">
        <v>198</v>
      </c>
      <c r="I216" t="s">
        <v>161</v>
      </c>
      <c r="J216">
        <v>1</v>
      </c>
      <c r="K216">
        <v>45264.648715277777</v>
      </c>
      <c r="L216">
        <v>7200</v>
      </c>
      <c r="M216" t="s">
        <v>374</v>
      </c>
    </row>
    <row r="217" spans="2:13" x14ac:dyDescent="0.25">
      <c r="B217" t="s">
        <v>375</v>
      </c>
      <c r="C217" t="s">
        <v>271</v>
      </c>
      <c r="D217" t="s">
        <v>380</v>
      </c>
      <c r="E217">
        <v>20</v>
      </c>
      <c r="F217" t="s">
        <v>152</v>
      </c>
      <c r="G217" t="s">
        <v>245</v>
      </c>
      <c r="H217" t="s">
        <v>226</v>
      </c>
      <c r="I217" t="s">
        <v>227</v>
      </c>
      <c r="J217">
        <v>1</v>
      </c>
      <c r="K217">
        <v>45265.520289351851</v>
      </c>
      <c r="L217">
        <v>26</v>
      </c>
      <c r="M217" t="s">
        <v>381</v>
      </c>
    </row>
    <row r="218" spans="2:13" x14ac:dyDescent="0.25">
      <c r="B218" t="s">
        <v>375</v>
      </c>
      <c r="C218" t="s">
        <v>271</v>
      </c>
      <c r="D218" t="s">
        <v>380</v>
      </c>
      <c r="E218">
        <v>13</v>
      </c>
      <c r="F218" t="s">
        <v>152</v>
      </c>
      <c r="G218" t="s">
        <v>243</v>
      </c>
      <c r="H218" t="s">
        <v>226</v>
      </c>
      <c r="I218" t="s">
        <v>227</v>
      </c>
      <c r="J218">
        <v>1</v>
      </c>
      <c r="K218">
        <v>45265.520543981482</v>
      </c>
      <c r="L218">
        <v>19</v>
      </c>
      <c r="M218" t="s">
        <v>381</v>
      </c>
    </row>
    <row r="219" spans="2:13" x14ac:dyDescent="0.25">
      <c r="B219" t="s">
        <v>375</v>
      </c>
      <c r="C219" t="s">
        <v>271</v>
      </c>
      <c r="D219" t="s">
        <v>380</v>
      </c>
      <c r="E219">
        <v>4</v>
      </c>
      <c r="F219" t="s">
        <v>152</v>
      </c>
      <c r="G219" t="s">
        <v>63</v>
      </c>
      <c r="H219" t="s">
        <v>226</v>
      </c>
      <c r="I219" t="s">
        <v>227</v>
      </c>
      <c r="J219">
        <v>1</v>
      </c>
      <c r="K219">
        <v>45265.520925925928</v>
      </c>
      <c r="L219">
        <v>5</v>
      </c>
      <c r="M219" t="s">
        <v>381</v>
      </c>
    </row>
    <row r="220" spans="2:13" x14ac:dyDescent="0.25">
      <c r="B220" t="s">
        <v>375</v>
      </c>
      <c r="C220" t="s">
        <v>271</v>
      </c>
      <c r="D220" t="s">
        <v>380</v>
      </c>
      <c r="E220">
        <v>24</v>
      </c>
      <c r="F220" t="s">
        <v>152</v>
      </c>
      <c r="G220" t="s">
        <v>233</v>
      </c>
      <c r="H220" t="s">
        <v>226</v>
      </c>
      <c r="I220" t="s">
        <v>227</v>
      </c>
      <c r="J220">
        <v>1</v>
      </c>
      <c r="K220">
        <v>45265.521006944444</v>
      </c>
      <c r="L220">
        <v>24</v>
      </c>
      <c r="M220" t="s">
        <v>381</v>
      </c>
    </row>
    <row r="221" spans="2:13" x14ac:dyDescent="0.25">
      <c r="B221" t="s">
        <v>375</v>
      </c>
      <c r="C221" t="s">
        <v>271</v>
      </c>
      <c r="D221" t="s">
        <v>380</v>
      </c>
      <c r="E221">
        <v>5</v>
      </c>
      <c r="F221" t="s">
        <v>152</v>
      </c>
      <c r="G221" t="s">
        <v>238</v>
      </c>
      <c r="H221" t="s">
        <v>226</v>
      </c>
      <c r="I221" t="s">
        <v>227</v>
      </c>
      <c r="J221">
        <v>1</v>
      </c>
      <c r="K221">
        <v>45265.521087962959</v>
      </c>
      <c r="L221">
        <v>5</v>
      </c>
      <c r="M221" t="s">
        <v>381</v>
      </c>
    </row>
    <row r="222" spans="2:13" x14ac:dyDescent="0.25">
      <c r="B222" t="s">
        <v>375</v>
      </c>
      <c r="C222" t="s">
        <v>271</v>
      </c>
      <c r="D222" t="s">
        <v>380</v>
      </c>
      <c r="E222">
        <v>43</v>
      </c>
      <c r="F222" t="s">
        <v>152</v>
      </c>
      <c r="G222" t="s">
        <v>64</v>
      </c>
      <c r="H222" t="s">
        <v>226</v>
      </c>
      <c r="I222" t="s">
        <v>227</v>
      </c>
      <c r="J222">
        <v>1</v>
      </c>
      <c r="K222">
        <v>45265.521180555559</v>
      </c>
      <c r="L222">
        <v>43</v>
      </c>
      <c r="M222" t="s">
        <v>381</v>
      </c>
    </row>
    <row r="223" spans="2:13" x14ac:dyDescent="0.25">
      <c r="B223" t="s">
        <v>375</v>
      </c>
      <c r="C223" t="s">
        <v>271</v>
      </c>
      <c r="D223" t="s">
        <v>380</v>
      </c>
      <c r="E223">
        <v>10</v>
      </c>
      <c r="F223" t="s">
        <v>152</v>
      </c>
      <c r="G223" t="s">
        <v>235</v>
      </c>
      <c r="H223" t="s">
        <v>226</v>
      </c>
      <c r="I223" t="s">
        <v>227</v>
      </c>
      <c r="J223">
        <v>1</v>
      </c>
      <c r="K223">
        <v>45265.521261574075</v>
      </c>
      <c r="L223">
        <v>10</v>
      </c>
      <c r="M223" t="s">
        <v>381</v>
      </c>
    </row>
    <row r="224" spans="2:13" x14ac:dyDescent="0.25">
      <c r="B224" t="s">
        <v>375</v>
      </c>
      <c r="C224" t="s">
        <v>271</v>
      </c>
      <c r="D224" t="s">
        <v>380</v>
      </c>
      <c r="E224">
        <v>26</v>
      </c>
      <c r="F224" t="s">
        <v>152</v>
      </c>
      <c r="G224" t="s">
        <v>62</v>
      </c>
      <c r="H224" t="s">
        <v>226</v>
      </c>
      <c r="I224" t="s">
        <v>227</v>
      </c>
      <c r="J224">
        <v>1</v>
      </c>
      <c r="K224">
        <v>45265.521666666667</v>
      </c>
      <c r="L224">
        <v>35</v>
      </c>
      <c r="M224" t="s">
        <v>381</v>
      </c>
    </row>
    <row r="225" spans="2:13" x14ac:dyDescent="0.25">
      <c r="B225" t="s">
        <v>375</v>
      </c>
      <c r="C225" t="s">
        <v>271</v>
      </c>
      <c r="D225" t="s">
        <v>380</v>
      </c>
      <c r="E225">
        <v>35</v>
      </c>
      <c r="F225" t="s">
        <v>152</v>
      </c>
      <c r="G225" t="s">
        <v>234</v>
      </c>
      <c r="H225" t="s">
        <v>226</v>
      </c>
      <c r="I225" t="s">
        <v>227</v>
      </c>
      <c r="J225">
        <v>1</v>
      </c>
      <c r="K225">
        <v>45265.52175925926</v>
      </c>
      <c r="L225">
        <v>35</v>
      </c>
      <c r="M225" t="s">
        <v>381</v>
      </c>
    </row>
    <row r="226" spans="2:13" x14ac:dyDescent="0.25">
      <c r="B226" t="s">
        <v>375</v>
      </c>
      <c r="C226" t="s">
        <v>271</v>
      </c>
      <c r="D226" t="s">
        <v>380</v>
      </c>
      <c r="E226">
        <v>21</v>
      </c>
      <c r="F226" t="s">
        <v>152</v>
      </c>
      <c r="G226" t="s">
        <v>237</v>
      </c>
      <c r="H226" t="s">
        <v>226</v>
      </c>
      <c r="I226" t="s">
        <v>227</v>
      </c>
      <c r="J226">
        <v>1</v>
      </c>
      <c r="K226">
        <v>45265.521840277775</v>
      </c>
      <c r="L226">
        <v>21</v>
      </c>
      <c r="M226" t="s">
        <v>381</v>
      </c>
    </row>
    <row r="227" spans="2:13" x14ac:dyDescent="0.25">
      <c r="B227" t="s">
        <v>375</v>
      </c>
      <c r="C227" t="s">
        <v>271</v>
      </c>
      <c r="D227" t="s">
        <v>380</v>
      </c>
      <c r="E227">
        <v>16</v>
      </c>
      <c r="F227" t="s">
        <v>152</v>
      </c>
      <c r="G227" t="s">
        <v>376</v>
      </c>
      <c r="H227" t="s">
        <v>226</v>
      </c>
      <c r="I227" t="s">
        <v>227</v>
      </c>
      <c r="J227">
        <v>1</v>
      </c>
      <c r="K227">
        <v>45265.521909722222</v>
      </c>
      <c r="L227">
        <v>16</v>
      </c>
      <c r="M227" t="s">
        <v>381</v>
      </c>
    </row>
    <row r="228" spans="2:13" x14ac:dyDescent="0.25">
      <c r="B228" t="s">
        <v>375</v>
      </c>
      <c r="C228" t="s">
        <v>271</v>
      </c>
      <c r="D228" t="s">
        <v>380</v>
      </c>
      <c r="E228">
        <v>15</v>
      </c>
      <c r="F228" t="s">
        <v>152</v>
      </c>
      <c r="G228" t="s">
        <v>377</v>
      </c>
      <c r="H228" t="s">
        <v>226</v>
      </c>
      <c r="I228" t="s">
        <v>227</v>
      </c>
      <c r="J228">
        <v>1</v>
      </c>
      <c r="K228">
        <v>45265.521990740737</v>
      </c>
      <c r="L228">
        <v>15</v>
      </c>
      <c r="M228" t="s">
        <v>381</v>
      </c>
    </row>
    <row r="229" spans="2:13" x14ac:dyDescent="0.25">
      <c r="B229" t="s">
        <v>375</v>
      </c>
      <c r="C229" t="s">
        <v>271</v>
      </c>
      <c r="D229" t="s">
        <v>380</v>
      </c>
      <c r="E229">
        <v>2</v>
      </c>
      <c r="F229" t="s">
        <v>152</v>
      </c>
      <c r="G229" t="s">
        <v>65</v>
      </c>
      <c r="H229" t="s">
        <v>226</v>
      </c>
      <c r="I229" t="s">
        <v>227</v>
      </c>
      <c r="J229">
        <v>1</v>
      </c>
      <c r="K229">
        <v>45265.52207175926</v>
      </c>
      <c r="L229">
        <v>2</v>
      </c>
      <c r="M229" t="s">
        <v>381</v>
      </c>
    </row>
    <row r="230" spans="2:13" x14ac:dyDescent="0.25">
      <c r="B230" t="s">
        <v>375</v>
      </c>
      <c r="C230" t="s">
        <v>271</v>
      </c>
      <c r="D230" t="s">
        <v>380</v>
      </c>
      <c r="E230">
        <v>23</v>
      </c>
      <c r="F230" t="s">
        <v>152</v>
      </c>
      <c r="G230" t="s">
        <v>378</v>
      </c>
      <c r="H230" t="s">
        <v>226</v>
      </c>
      <c r="I230" t="s">
        <v>227</v>
      </c>
      <c r="J230">
        <v>1</v>
      </c>
      <c r="K230">
        <v>45265.522256944445</v>
      </c>
      <c r="L230">
        <v>23</v>
      </c>
      <c r="M230" t="s">
        <v>381</v>
      </c>
    </row>
    <row r="231" spans="2:13" x14ac:dyDescent="0.25">
      <c r="B231" t="s">
        <v>375</v>
      </c>
      <c r="C231" t="s">
        <v>271</v>
      </c>
      <c r="D231" t="s">
        <v>380</v>
      </c>
      <c r="E231">
        <v>7</v>
      </c>
      <c r="F231" t="s">
        <v>152</v>
      </c>
      <c r="G231" t="s">
        <v>379</v>
      </c>
      <c r="H231" t="s">
        <v>226</v>
      </c>
      <c r="I231" t="s">
        <v>227</v>
      </c>
      <c r="J231">
        <v>1</v>
      </c>
      <c r="K231">
        <v>45265.522326388891</v>
      </c>
      <c r="L231">
        <v>7</v>
      </c>
      <c r="M231" t="s">
        <v>381</v>
      </c>
    </row>
    <row r="232" spans="2:13" x14ac:dyDescent="0.25">
      <c r="B232" t="s">
        <v>176</v>
      </c>
      <c r="C232" t="s">
        <v>310</v>
      </c>
      <c r="D232" t="s">
        <v>382</v>
      </c>
      <c r="E232">
        <v>3600</v>
      </c>
      <c r="F232" t="s">
        <v>68</v>
      </c>
      <c r="G232" t="s">
        <v>140</v>
      </c>
      <c r="H232" t="s">
        <v>141</v>
      </c>
      <c r="I232" t="s">
        <v>122</v>
      </c>
      <c r="J232">
        <v>0</v>
      </c>
      <c r="K232">
        <v>45265.719976851855</v>
      </c>
      <c r="L232">
        <v>155000</v>
      </c>
    </row>
    <row r="233" spans="2:13" x14ac:dyDescent="0.25">
      <c r="B233" t="s">
        <v>176</v>
      </c>
      <c r="C233" t="s">
        <v>270</v>
      </c>
      <c r="D233" t="s">
        <v>383</v>
      </c>
      <c r="E233">
        <v>6000</v>
      </c>
      <c r="F233" t="s">
        <v>68</v>
      </c>
      <c r="G233" t="s">
        <v>785</v>
      </c>
      <c r="H233" t="s">
        <v>162</v>
      </c>
      <c r="I233" t="s">
        <v>161</v>
      </c>
      <c r="J233">
        <v>0</v>
      </c>
      <c r="K233">
        <v>45265.724502314813</v>
      </c>
      <c r="L233">
        <v>23920</v>
      </c>
    </row>
    <row r="234" spans="2:13" x14ac:dyDescent="0.25">
      <c r="B234" t="s">
        <v>176</v>
      </c>
      <c r="C234" t="s">
        <v>310</v>
      </c>
      <c r="D234" t="s">
        <v>384</v>
      </c>
      <c r="E234">
        <v>4000</v>
      </c>
      <c r="F234" t="s">
        <v>68</v>
      </c>
      <c r="G234" t="s">
        <v>140</v>
      </c>
      <c r="H234" t="s">
        <v>141</v>
      </c>
      <c r="I234" t="s">
        <v>122</v>
      </c>
      <c r="J234">
        <v>0</v>
      </c>
      <c r="K234">
        <v>45266.778923611113</v>
      </c>
      <c r="L234">
        <v>151000</v>
      </c>
    </row>
    <row r="235" spans="2:13" x14ac:dyDescent="0.25">
      <c r="B235" t="s">
        <v>176</v>
      </c>
      <c r="C235" t="s">
        <v>312</v>
      </c>
      <c r="D235" t="s">
        <v>385</v>
      </c>
      <c r="E235">
        <v>3600</v>
      </c>
      <c r="F235" t="s">
        <v>68</v>
      </c>
      <c r="G235" t="s">
        <v>120</v>
      </c>
      <c r="H235" t="s">
        <v>121</v>
      </c>
      <c r="I235" t="s">
        <v>122</v>
      </c>
      <c r="J235">
        <v>0</v>
      </c>
      <c r="K235">
        <v>45266.779016203705</v>
      </c>
      <c r="L235">
        <v>208600</v>
      </c>
    </row>
    <row r="236" spans="2:13" x14ac:dyDescent="0.25">
      <c r="B236" t="s">
        <v>176</v>
      </c>
      <c r="C236" t="s">
        <v>263</v>
      </c>
      <c r="D236" t="s">
        <v>386</v>
      </c>
      <c r="E236">
        <v>360</v>
      </c>
      <c r="F236" t="s">
        <v>68</v>
      </c>
      <c r="G236" t="s">
        <v>159</v>
      </c>
      <c r="H236" t="s">
        <v>160</v>
      </c>
      <c r="I236" t="s">
        <v>161</v>
      </c>
      <c r="J236">
        <v>0</v>
      </c>
      <c r="K236">
        <v>45266.779062499998</v>
      </c>
      <c r="L236">
        <v>6812</v>
      </c>
    </row>
    <row r="237" spans="2:13" x14ac:dyDescent="0.25">
      <c r="B237" t="s">
        <v>176</v>
      </c>
      <c r="C237" t="s">
        <v>387</v>
      </c>
      <c r="D237" t="s">
        <v>388</v>
      </c>
      <c r="E237">
        <v>3600</v>
      </c>
      <c r="F237" t="s">
        <v>68</v>
      </c>
      <c r="G237" t="s">
        <v>124</v>
      </c>
      <c r="H237" t="s">
        <v>125</v>
      </c>
      <c r="I237" t="s">
        <v>122</v>
      </c>
      <c r="J237">
        <v>0</v>
      </c>
      <c r="K237">
        <v>45266.779097222221</v>
      </c>
      <c r="L237">
        <v>57400</v>
      </c>
    </row>
    <row r="238" spans="2:13" x14ac:dyDescent="0.25">
      <c r="B238" t="s">
        <v>176</v>
      </c>
      <c r="C238" t="s">
        <v>387</v>
      </c>
      <c r="D238" t="s">
        <v>388</v>
      </c>
      <c r="E238">
        <v>3600</v>
      </c>
      <c r="F238" t="s">
        <v>68</v>
      </c>
      <c r="G238" t="s">
        <v>188</v>
      </c>
      <c r="H238" t="s">
        <v>189</v>
      </c>
      <c r="I238" t="s">
        <v>122</v>
      </c>
      <c r="J238">
        <v>0</v>
      </c>
      <c r="K238">
        <v>45266.779120370367</v>
      </c>
      <c r="L238">
        <v>6000</v>
      </c>
    </row>
    <row r="239" spans="2:13" x14ac:dyDescent="0.25">
      <c r="B239" t="s">
        <v>176</v>
      </c>
      <c r="C239" t="s">
        <v>387</v>
      </c>
      <c r="D239" t="s">
        <v>388</v>
      </c>
      <c r="E239">
        <v>1200</v>
      </c>
      <c r="F239" t="s">
        <v>68</v>
      </c>
      <c r="G239" t="s">
        <v>190</v>
      </c>
      <c r="H239" t="s">
        <v>191</v>
      </c>
      <c r="I239" t="s">
        <v>122</v>
      </c>
      <c r="J239">
        <v>0</v>
      </c>
      <c r="K239">
        <v>45266.77915509259</v>
      </c>
      <c r="L239">
        <v>0</v>
      </c>
    </row>
    <row r="240" spans="2:13" x14ac:dyDescent="0.25">
      <c r="B240" t="s">
        <v>176</v>
      </c>
      <c r="C240" t="s">
        <v>387</v>
      </c>
      <c r="D240" t="s">
        <v>388</v>
      </c>
      <c r="E240">
        <v>2400</v>
      </c>
      <c r="F240" t="s">
        <v>68</v>
      </c>
      <c r="G240" t="s">
        <v>300</v>
      </c>
      <c r="H240" t="s">
        <v>301</v>
      </c>
      <c r="I240" t="s">
        <v>122</v>
      </c>
      <c r="J240">
        <v>0</v>
      </c>
      <c r="K240">
        <v>45266.77920138889</v>
      </c>
      <c r="L240">
        <v>2400</v>
      </c>
    </row>
    <row r="241" spans="2:12" x14ac:dyDescent="0.25">
      <c r="B241" t="s">
        <v>176</v>
      </c>
      <c r="C241" t="s">
        <v>264</v>
      </c>
      <c r="D241" t="s">
        <v>389</v>
      </c>
      <c r="E241">
        <v>1200</v>
      </c>
      <c r="F241" t="s">
        <v>68</v>
      </c>
      <c r="G241" t="s">
        <v>300</v>
      </c>
      <c r="H241" t="s">
        <v>301</v>
      </c>
      <c r="I241" t="s">
        <v>122</v>
      </c>
      <c r="J241">
        <v>0</v>
      </c>
      <c r="K241">
        <v>45266.779236111113</v>
      </c>
      <c r="L241">
        <v>1200</v>
      </c>
    </row>
    <row r="242" spans="2:12" x14ac:dyDescent="0.25">
      <c r="B242" t="s">
        <v>176</v>
      </c>
      <c r="C242" t="s">
        <v>390</v>
      </c>
      <c r="D242" t="s">
        <v>391</v>
      </c>
      <c r="E242">
        <v>720</v>
      </c>
      <c r="F242" t="s">
        <v>152</v>
      </c>
      <c r="G242" t="s">
        <v>158</v>
      </c>
      <c r="H242" t="s">
        <v>154</v>
      </c>
      <c r="I242" t="s">
        <v>155</v>
      </c>
      <c r="J242">
        <v>0</v>
      </c>
      <c r="K242">
        <v>45266.77925925926</v>
      </c>
      <c r="L242">
        <v>0</v>
      </c>
    </row>
    <row r="243" spans="2:12" x14ac:dyDescent="0.25">
      <c r="B243" t="s">
        <v>176</v>
      </c>
      <c r="C243" t="s">
        <v>392</v>
      </c>
      <c r="D243" t="s">
        <v>393</v>
      </c>
      <c r="E243">
        <v>7000</v>
      </c>
      <c r="F243" t="s">
        <v>68</v>
      </c>
      <c r="G243" t="s">
        <v>163</v>
      </c>
      <c r="H243" t="s">
        <v>164</v>
      </c>
      <c r="I243" t="s">
        <v>161</v>
      </c>
      <c r="J243">
        <v>0</v>
      </c>
      <c r="K243">
        <v>45266.779293981483</v>
      </c>
      <c r="L243">
        <v>100</v>
      </c>
    </row>
    <row r="244" spans="2:12" x14ac:dyDescent="0.25">
      <c r="B244" t="s">
        <v>176</v>
      </c>
      <c r="C244" t="s">
        <v>270</v>
      </c>
      <c r="D244" t="s">
        <v>394</v>
      </c>
      <c r="E244">
        <v>1000</v>
      </c>
      <c r="F244" t="s">
        <v>68</v>
      </c>
      <c r="G244" t="s">
        <v>163</v>
      </c>
      <c r="H244" t="s">
        <v>164</v>
      </c>
      <c r="I244" t="s">
        <v>161</v>
      </c>
      <c r="J244">
        <v>0</v>
      </c>
      <c r="K244">
        <v>45266.779328703706</v>
      </c>
      <c r="L244">
        <v>-900</v>
      </c>
    </row>
    <row r="245" spans="2:12" x14ac:dyDescent="0.25">
      <c r="B245" t="s">
        <v>176</v>
      </c>
      <c r="C245" t="s">
        <v>395</v>
      </c>
      <c r="D245" t="s">
        <v>396</v>
      </c>
      <c r="E245">
        <v>21</v>
      </c>
      <c r="F245" t="s">
        <v>152</v>
      </c>
      <c r="G245" t="s">
        <v>237</v>
      </c>
      <c r="H245" t="s">
        <v>226</v>
      </c>
      <c r="I245" t="s">
        <v>227</v>
      </c>
      <c r="J245">
        <v>0</v>
      </c>
      <c r="K245">
        <v>45266.779907407406</v>
      </c>
      <c r="L245">
        <v>0</v>
      </c>
    </row>
    <row r="246" spans="2:12" x14ac:dyDescent="0.25">
      <c r="B246" t="s">
        <v>176</v>
      </c>
      <c r="C246" t="s">
        <v>395</v>
      </c>
      <c r="D246" t="s">
        <v>396</v>
      </c>
      <c r="E246">
        <v>5</v>
      </c>
      <c r="F246" t="s">
        <v>152</v>
      </c>
      <c r="G246" t="s">
        <v>238</v>
      </c>
      <c r="H246" t="s">
        <v>226</v>
      </c>
      <c r="I246" t="s">
        <v>227</v>
      </c>
      <c r="J246">
        <v>0</v>
      </c>
      <c r="K246">
        <v>45266.779965277776</v>
      </c>
      <c r="L246">
        <v>0</v>
      </c>
    </row>
    <row r="247" spans="2:12" x14ac:dyDescent="0.25">
      <c r="B247" t="s">
        <v>176</v>
      </c>
      <c r="C247" t="s">
        <v>395</v>
      </c>
      <c r="D247" t="s">
        <v>396</v>
      </c>
      <c r="E247">
        <v>5</v>
      </c>
      <c r="F247" t="s">
        <v>152</v>
      </c>
      <c r="G247" t="s">
        <v>63</v>
      </c>
      <c r="H247" t="s">
        <v>226</v>
      </c>
      <c r="I247" t="s">
        <v>227</v>
      </c>
      <c r="J247">
        <v>0</v>
      </c>
      <c r="K247">
        <v>45266.779988425929</v>
      </c>
      <c r="L247">
        <v>0</v>
      </c>
    </row>
    <row r="248" spans="2:12" x14ac:dyDescent="0.25">
      <c r="B248" t="s">
        <v>176</v>
      </c>
      <c r="C248" t="s">
        <v>395</v>
      </c>
      <c r="D248" t="s">
        <v>396</v>
      </c>
      <c r="E248">
        <v>4</v>
      </c>
      <c r="F248" t="s">
        <v>152</v>
      </c>
      <c r="G248" t="s">
        <v>246</v>
      </c>
      <c r="H248" t="s">
        <v>226</v>
      </c>
      <c r="I248" t="s">
        <v>227</v>
      </c>
      <c r="J248">
        <v>0</v>
      </c>
      <c r="K248">
        <v>45266.780011574076</v>
      </c>
      <c r="L248">
        <v>-1</v>
      </c>
    </row>
    <row r="249" spans="2:12" x14ac:dyDescent="0.25">
      <c r="B249" t="s">
        <v>176</v>
      </c>
      <c r="C249" t="s">
        <v>395</v>
      </c>
      <c r="D249" t="s">
        <v>396</v>
      </c>
      <c r="E249">
        <v>4</v>
      </c>
      <c r="F249" t="s">
        <v>152</v>
      </c>
      <c r="G249" t="s">
        <v>247</v>
      </c>
      <c r="H249" t="s">
        <v>226</v>
      </c>
      <c r="I249" t="s">
        <v>227</v>
      </c>
      <c r="J249">
        <v>0</v>
      </c>
      <c r="K249">
        <v>45266.780046296299</v>
      </c>
      <c r="L249">
        <v>1</v>
      </c>
    </row>
    <row r="250" spans="2:12" x14ac:dyDescent="0.25">
      <c r="B250" t="s">
        <v>176</v>
      </c>
      <c r="C250" t="s">
        <v>395</v>
      </c>
      <c r="D250" t="s">
        <v>396</v>
      </c>
      <c r="E250">
        <v>4</v>
      </c>
      <c r="F250" t="s">
        <v>152</v>
      </c>
      <c r="G250" t="s">
        <v>248</v>
      </c>
      <c r="H250" t="s">
        <v>226</v>
      </c>
      <c r="I250" t="s">
        <v>227</v>
      </c>
      <c r="J250">
        <v>0</v>
      </c>
      <c r="K250">
        <v>45266.778344907405</v>
      </c>
      <c r="L250">
        <v>0</v>
      </c>
    </row>
    <row r="251" spans="2:12" x14ac:dyDescent="0.25">
      <c r="B251" t="s">
        <v>176</v>
      </c>
      <c r="C251" t="s">
        <v>395</v>
      </c>
      <c r="D251" t="s">
        <v>396</v>
      </c>
      <c r="E251">
        <v>26</v>
      </c>
      <c r="F251" t="s">
        <v>152</v>
      </c>
      <c r="G251" t="s">
        <v>245</v>
      </c>
      <c r="H251" t="s">
        <v>226</v>
      </c>
      <c r="I251" t="s">
        <v>227</v>
      </c>
      <c r="J251">
        <v>0</v>
      </c>
      <c r="K251">
        <v>45266.780092592591</v>
      </c>
      <c r="L251">
        <v>0</v>
      </c>
    </row>
    <row r="252" spans="2:12" x14ac:dyDescent="0.25">
      <c r="B252" t="s">
        <v>176</v>
      </c>
      <c r="C252" t="s">
        <v>395</v>
      </c>
      <c r="D252" t="s">
        <v>396</v>
      </c>
      <c r="E252">
        <v>16</v>
      </c>
      <c r="F252" t="s">
        <v>152</v>
      </c>
      <c r="G252" t="s">
        <v>376</v>
      </c>
      <c r="H252" t="s">
        <v>226</v>
      </c>
      <c r="I252" t="s">
        <v>227</v>
      </c>
      <c r="J252">
        <v>0</v>
      </c>
      <c r="K252">
        <v>45266.780115740738</v>
      </c>
      <c r="L252">
        <v>0</v>
      </c>
    </row>
    <row r="253" spans="2:12" x14ac:dyDescent="0.25">
      <c r="B253" t="s">
        <v>176</v>
      </c>
      <c r="C253" t="s">
        <v>395</v>
      </c>
      <c r="D253" t="s">
        <v>396</v>
      </c>
      <c r="E253">
        <v>18</v>
      </c>
      <c r="F253" t="s">
        <v>152</v>
      </c>
      <c r="G253" t="s">
        <v>243</v>
      </c>
      <c r="H253" t="s">
        <v>226</v>
      </c>
      <c r="I253" t="s">
        <v>227</v>
      </c>
      <c r="J253">
        <v>0</v>
      </c>
      <c r="K253">
        <v>45266.780138888891</v>
      </c>
      <c r="L253">
        <v>1</v>
      </c>
    </row>
    <row r="254" spans="2:12" x14ac:dyDescent="0.25">
      <c r="B254" t="s">
        <v>176</v>
      </c>
      <c r="C254" t="s">
        <v>395</v>
      </c>
      <c r="D254" t="s">
        <v>396</v>
      </c>
      <c r="E254">
        <v>15</v>
      </c>
      <c r="F254" t="s">
        <v>152</v>
      </c>
      <c r="G254" t="s">
        <v>377</v>
      </c>
      <c r="H254" t="s">
        <v>226</v>
      </c>
      <c r="I254" t="s">
        <v>227</v>
      </c>
      <c r="J254">
        <v>0</v>
      </c>
      <c r="K254">
        <v>45266.780162037037</v>
      </c>
      <c r="L254">
        <v>0</v>
      </c>
    </row>
    <row r="255" spans="2:12" x14ac:dyDescent="0.25">
      <c r="B255" t="s">
        <v>176</v>
      </c>
      <c r="C255" t="s">
        <v>395</v>
      </c>
      <c r="D255" t="s">
        <v>396</v>
      </c>
      <c r="E255">
        <v>10</v>
      </c>
      <c r="F255" t="s">
        <v>152</v>
      </c>
      <c r="G255" t="s">
        <v>233</v>
      </c>
      <c r="H255" t="s">
        <v>226</v>
      </c>
      <c r="I255" t="s">
        <v>227</v>
      </c>
      <c r="J255">
        <v>0</v>
      </c>
      <c r="K255">
        <v>45266.780185185184</v>
      </c>
      <c r="L255">
        <v>14</v>
      </c>
    </row>
    <row r="256" spans="2:12" x14ac:dyDescent="0.25">
      <c r="B256" t="s">
        <v>176</v>
      </c>
      <c r="C256" t="s">
        <v>395</v>
      </c>
      <c r="D256" t="s">
        <v>396</v>
      </c>
      <c r="E256">
        <v>6</v>
      </c>
      <c r="F256" t="s">
        <v>152</v>
      </c>
      <c r="G256" t="s">
        <v>244</v>
      </c>
      <c r="H256" t="s">
        <v>226</v>
      </c>
      <c r="I256" t="s">
        <v>227</v>
      </c>
      <c r="J256">
        <v>0</v>
      </c>
      <c r="K256">
        <v>45266.78020833333</v>
      </c>
      <c r="L256">
        <v>-1</v>
      </c>
    </row>
    <row r="257" spans="2:17" x14ac:dyDescent="0.25">
      <c r="B257" t="s">
        <v>176</v>
      </c>
      <c r="C257" t="s">
        <v>395</v>
      </c>
      <c r="D257" t="s">
        <v>396</v>
      </c>
      <c r="E257">
        <v>23</v>
      </c>
      <c r="F257" t="s">
        <v>152</v>
      </c>
      <c r="G257" t="s">
        <v>378</v>
      </c>
      <c r="H257" t="s">
        <v>226</v>
      </c>
      <c r="I257" t="s">
        <v>227</v>
      </c>
      <c r="J257">
        <v>0</v>
      </c>
      <c r="K257">
        <v>45266.780277777776</v>
      </c>
      <c r="L257">
        <v>0</v>
      </c>
    </row>
    <row r="258" spans="2:17" x14ac:dyDescent="0.25">
      <c r="B258" t="s">
        <v>176</v>
      </c>
      <c r="C258" t="s">
        <v>395</v>
      </c>
      <c r="D258" t="s">
        <v>396</v>
      </c>
      <c r="E258">
        <v>35</v>
      </c>
      <c r="F258" t="s">
        <v>152</v>
      </c>
      <c r="G258" t="s">
        <v>62</v>
      </c>
      <c r="H258" t="s">
        <v>226</v>
      </c>
      <c r="I258" t="s">
        <v>227</v>
      </c>
      <c r="J258">
        <v>0</v>
      </c>
      <c r="K258">
        <v>45266.780787037038</v>
      </c>
      <c r="L258">
        <v>0</v>
      </c>
    </row>
    <row r="259" spans="2:17" x14ac:dyDescent="0.25">
      <c r="B259" t="s">
        <v>176</v>
      </c>
      <c r="C259" t="s">
        <v>395</v>
      </c>
      <c r="D259" t="s">
        <v>396</v>
      </c>
      <c r="E259">
        <v>35</v>
      </c>
      <c r="F259" t="s">
        <v>152</v>
      </c>
      <c r="G259" t="s">
        <v>234</v>
      </c>
      <c r="H259" t="s">
        <v>226</v>
      </c>
      <c r="I259" t="s">
        <v>227</v>
      </c>
      <c r="J259">
        <v>0</v>
      </c>
      <c r="K259">
        <v>45266.780844907407</v>
      </c>
      <c r="L259">
        <v>0</v>
      </c>
    </row>
    <row r="260" spans="2:17" x14ac:dyDescent="0.25">
      <c r="B260" t="s">
        <v>176</v>
      </c>
      <c r="C260" t="s">
        <v>395</v>
      </c>
      <c r="D260" t="s">
        <v>396</v>
      </c>
      <c r="E260">
        <v>43</v>
      </c>
      <c r="F260" t="s">
        <v>152</v>
      </c>
      <c r="G260" t="s">
        <v>64</v>
      </c>
      <c r="H260" t="s">
        <v>226</v>
      </c>
      <c r="I260" t="s">
        <v>227</v>
      </c>
      <c r="J260">
        <v>0</v>
      </c>
      <c r="K260">
        <v>45266.780868055554</v>
      </c>
      <c r="L260">
        <v>0</v>
      </c>
    </row>
    <row r="261" spans="2:17" x14ac:dyDescent="0.25">
      <c r="B261" t="s">
        <v>176</v>
      </c>
      <c r="C261" t="s">
        <v>395</v>
      </c>
      <c r="D261" t="s">
        <v>396</v>
      </c>
      <c r="E261">
        <v>10</v>
      </c>
      <c r="F261" t="s">
        <v>152</v>
      </c>
      <c r="G261" t="s">
        <v>235</v>
      </c>
      <c r="H261" t="s">
        <v>226</v>
      </c>
      <c r="I261" t="s">
        <v>227</v>
      </c>
      <c r="J261">
        <v>0</v>
      </c>
      <c r="K261">
        <v>45266.780891203707</v>
      </c>
      <c r="L261">
        <v>0</v>
      </c>
    </row>
    <row r="262" spans="2:17" x14ac:dyDescent="0.25">
      <c r="B262" t="s">
        <v>176</v>
      </c>
      <c r="C262" t="s">
        <v>395</v>
      </c>
      <c r="D262" t="s">
        <v>396</v>
      </c>
      <c r="E262">
        <v>2</v>
      </c>
      <c r="F262" t="s">
        <v>152</v>
      </c>
      <c r="G262" t="s">
        <v>65</v>
      </c>
      <c r="H262" t="s">
        <v>226</v>
      </c>
      <c r="I262" t="s">
        <v>227</v>
      </c>
      <c r="J262">
        <v>0</v>
      </c>
      <c r="K262">
        <v>45266.780914351853</v>
      </c>
      <c r="L262">
        <v>0</v>
      </c>
    </row>
    <row r="263" spans="2:17" x14ac:dyDescent="0.25">
      <c r="B263" t="s">
        <v>397</v>
      </c>
      <c r="C263" t="s">
        <v>398</v>
      </c>
      <c r="D263" t="s">
        <v>399</v>
      </c>
      <c r="E263">
        <v>4000</v>
      </c>
      <c r="F263" t="s">
        <v>68</v>
      </c>
      <c r="G263" t="s">
        <v>136</v>
      </c>
      <c r="H263" t="s">
        <v>137</v>
      </c>
      <c r="I263" t="s">
        <v>122</v>
      </c>
      <c r="J263">
        <v>1</v>
      </c>
      <c r="K263">
        <v>45266.782824074071</v>
      </c>
      <c r="L263">
        <v>6400</v>
      </c>
      <c r="M263" t="s">
        <v>400</v>
      </c>
    </row>
    <row r="264" spans="2:17" x14ac:dyDescent="0.25">
      <c r="B264" t="s">
        <v>397</v>
      </c>
      <c r="C264" t="s">
        <v>398</v>
      </c>
      <c r="D264" t="s">
        <v>399</v>
      </c>
      <c r="E264">
        <v>10000</v>
      </c>
      <c r="F264" t="s">
        <v>68</v>
      </c>
      <c r="G264" t="s">
        <v>142</v>
      </c>
      <c r="H264" t="s">
        <v>143</v>
      </c>
      <c r="I264" t="s">
        <v>122</v>
      </c>
      <c r="J264">
        <v>1</v>
      </c>
      <c r="K264">
        <v>45266.78297453704</v>
      </c>
      <c r="L264">
        <v>10000</v>
      </c>
      <c r="M264" t="s">
        <v>400</v>
      </c>
    </row>
    <row r="265" spans="2:17" x14ac:dyDescent="0.25">
      <c r="B265" t="s">
        <v>401</v>
      </c>
      <c r="C265" t="s">
        <v>67</v>
      </c>
      <c r="D265" t="s">
        <v>67</v>
      </c>
      <c r="E265">
        <v>29</v>
      </c>
      <c r="F265" t="s">
        <v>152</v>
      </c>
      <c r="G265" t="s">
        <v>65</v>
      </c>
      <c r="H265" t="s">
        <v>226</v>
      </c>
      <c r="I265" t="s">
        <v>227</v>
      </c>
      <c r="J265">
        <v>1</v>
      </c>
      <c r="K265">
        <v>45267.417939814812</v>
      </c>
      <c r="L265">
        <v>29</v>
      </c>
      <c r="M265" t="s">
        <v>349</v>
      </c>
    </row>
    <row r="266" spans="2:17" x14ac:dyDescent="0.25">
      <c r="B266" t="s">
        <v>401</v>
      </c>
      <c r="C266" t="s">
        <v>67</v>
      </c>
      <c r="D266" t="s">
        <v>67</v>
      </c>
      <c r="E266">
        <v>19</v>
      </c>
      <c r="F266" t="s">
        <v>152</v>
      </c>
      <c r="G266" t="s">
        <v>234</v>
      </c>
      <c r="H266" t="s">
        <v>226</v>
      </c>
      <c r="I266" t="s">
        <v>227</v>
      </c>
      <c r="J266">
        <v>1</v>
      </c>
      <c r="K266">
        <v>45267.418182870373</v>
      </c>
      <c r="L266">
        <v>19</v>
      </c>
      <c r="M266" t="s">
        <v>349</v>
      </c>
    </row>
    <row r="267" spans="2:17" x14ac:dyDescent="0.25">
      <c r="B267" t="s">
        <v>401</v>
      </c>
      <c r="C267" t="s">
        <v>67</v>
      </c>
      <c r="D267" t="s">
        <v>67</v>
      </c>
      <c r="E267">
        <v>24</v>
      </c>
      <c r="F267" t="s">
        <v>152</v>
      </c>
      <c r="G267" t="s">
        <v>376</v>
      </c>
      <c r="H267" t="s">
        <v>226</v>
      </c>
      <c r="I267" t="s">
        <v>227</v>
      </c>
      <c r="J267">
        <v>1</v>
      </c>
      <c r="K267">
        <v>45267.418495370373</v>
      </c>
      <c r="L267">
        <v>24</v>
      </c>
      <c r="M267" t="s">
        <v>349</v>
      </c>
    </row>
    <row r="268" spans="2:17" x14ac:dyDescent="0.25">
      <c r="B268" t="s">
        <v>402</v>
      </c>
      <c r="C268" t="s">
        <v>403</v>
      </c>
      <c r="D268" t="s">
        <v>404</v>
      </c>
      <c r="E268">
        <v>60000</v>
      </c>
      <c r="F268" t="s">
        <v>68</v>
      </c>
      <c r="G268" t="s">
        <v>140</v>
      </c>
      <c r="H268" t="s">
        <v>141</v>
      </c>
      <c r="I268" t="s">
        <v>122</v>
      </c>
      <c r="J268">
        <v>1</v>
      </c>
      <c r="K268">
        <v>45267.66920138889</v>
      </c>
      <c r="L268">
        <v>211000</v>
      </c>
      <c r="M268">
        <v>44938</v>
      </c>
      <c r="O268">
        <v>2400</v>
      </c>
      <c r="P268">
        <v>25</v>
      </c>
      <c r="Q268">
        <v>0</v>
      </c>
    </row>
    <row r="269" spans="2:17" x14ac:dyDescent="0.25">
      <c r="B269" t="s">
        <v>402</v>
      </c>
      <c r="C269" t="s">
        <v>403</v>
      </c>
      <c r="D269" t="s">
        <v>404</v>
      </c>
      <c r="E269">
        <v>3000</v>
      </c>
      <c r="F269" t="s">
        <v>68</v>
      </c>
      <c r="G269" t="s">
        <v>127</v>
      </c>
      <c r="H269" t="s">
        <v>128</v>
      </c>
      <c r="I269" t="s">
        <v>122</v>
      </c>
      <c r="J269">
        <v>1</v>
      </c>
      <c r="K269">
        <v>45267.669351851851</v>
      </c>
      <c r="L269">
        <v>9000</v>
      </c>
      <c r="M269">
        <v>44938</v>
      </c>
      <c r="O269">
        <v>1200</v>
      </c>
      <c r="P269">
        <v>2</v>
      </c>
      <c r="Q269">
        <v>600</v>
      </c>
    </row>
    <row r="270" spans="2:17" x14ac:dyDescent="0.25">
      <c r="B270" t="s">
        <v>176</v>
      </c>
      <c r="C270" t="s">
        <v>264</v>
      </c>
      <c r="D270" t="s">
        <v>405</v>
      </c>
      <c r="E270">
        <v>1600</v>
      </c>
      <c r="F270" t="s">
        <v>68</v>
      </c>
      <c r="G270" t="s">
        <v>142</v>
      </c>
      <c r="H270" t="s">
        <v>143</v>
      </c>
      <c r="I270" t="s">
        <v>122</v>
      </c>
      <c r="J270">
        <v>0</v>
      </c>
      <c r="K270">
        <v>45268.429259259261</v>
      </c>
      <c r="L270">
        <v>8400</v>
      </c>
      <c r="O270">
        <v>1</v>
      </c>
      <c r="P270">
        <v>1600</v>
      </c>
      <c r="Q270">
        <v>0</v>
      </c>
    </row>
    <row r="271" spans="2:17" x14ac:dyDescent="0.25">
      <c r="B271" t="s">
        <v>176</v>
      </c>
      <c r="C271" t="s">
        <v>406</v>
      </c>
      <c r="D271" t="s">
        <v>407</v>
      </c>
      <c r="E271">
        <v>1200</v>
      </c>
      <c r="F271" t="s">
        <v>68</v>
      </c>
      <c r="G271" t="s">
        <v>142</v>
      </c>
      <c r="H271" t="s">
        <v>143</v>
      </c>
      <c r="I271" t="s">
        <v>122</v>
      </c>
      <c r="J271">
        <v>0</v>
      </c>
      <c r="K271">
        <v>45268.429988425924</v>
      </c>
      <c r="L271">
        <v>7200</v>
      </c>
      <c r="O271">
        <v>1</v>
      </c>
      <c r="P271">
        <v>1200</v>
      </c>
      <c r="Q271">
        <v>0</v>
      </c>
    </row>
    <row r="272" spans="2:17" x14ac:dyDescent="0.25">
      <c r="B272" t="s">
        <v>176</v>
      </c>
      <c r="C272" t="s">
        <v>263</v>
      </c>
      <c r="D272" t="s">
        <v>408</v>
      </c>
      <c r="E272">
        <v>252</v>
      </c>
      <c r="F272" t="s">
        <v>68</v>
      </c>
      <c r="G272" t="s">
        <v>159</v>
      </c>
      <c r="H272" t="s">
        <v>160</v>
      </c>
      <c r="I272" t="s">
        <v>161</v>
      </c>
      <c r="J272">
        <v>0</v>
      </c>
      <c r="K272">
        <v>45268.447766203702</v>
      </c>
      <c r="L272">
        <v>6560</v>
      </c>
      <c r="O272">
        <v>24</v>
      </c>
      <c r="P272">
        <v>10</v>
      </c>
      <c r="Q272">
        <v>12</v>
      </c>
    </row>
    <row r="273" spans="2:17" x14ac:dyDescent="0.25">
      <c r="B273" t="s">
        <v>176</v>
      </c>
      <c r="C273" t="s">
        <v>387</v>
      </c>
      <c r="D273" t="s">
        <v>409</v>
      </c>
      <c r="E273">
        <v>1800</v>
      </c>
      <c r="F273" t="s">
        <v>68</v>
      </c>
      <c r="G273" t="s">
        <v>124</v>
      </c>
      <c r="H273" t="s">
        <v>125</v>
      </c>
      <c r="I273" t="s">
        <v>122</v>
      </c>
      <c r="J273">
        <v>0</v>
      </c>
      <c r="K273">
        <v>45268.448530092595</v>
      </c>
      <c r="L273">
        <v>55600</v>
      </c>
      <c r="O273">
        <v>1200</v>
      </c>
      <c r="P273">
        <v>1</v>
      </c>
      <c r="Q273">
        <v>600</v>
      </c>
    </row>
    <row r="274" spans="2:17" x14ac:dyDescent="0.25">
      <c r="B274" t="s">
        <v>176</v>
      </c>
      <c r="C274" t="s">
        <v>347</v>
      </c>
      <c r="D274" t="s">
        <v>410</v>
      </c>
      <c r="E274">
        <v>4000</v>
      </c>
      <c r="F274" t="s">
        <v>68</v>
      </c>
      <c r="G274" t="s">
        <v>136</v>
      </c>
      <c r="H274" t="s">
        <v>137</v>
      </c>
      <c r="I274" t="s">
        <v>122</v>
      </c>
      <c r="J274">
        <v>0</v>
      </c>
      <c r="K274">
        <v>45268.449131944442</v>
      </c>
      <c r="L274">
        <v>2400</v>
      </c>
      <c r="O274">
        <v>1</v>
      </c>
      <c r="P274">
        <v>4000</v>
      </c>
      <c r="Q274">
        <v>0</v>
      </c>
    </row>
    <row r="275" spans="2:17" x14ac:dyDescent="0.25">
      <c r="B275" t="s">
        <v>176</v>
      </c>
      <c r="C275" t="s">
        <v>66</v>
      </c>
      <c r="D275" t="s">
        <v>411</v>
      </c>
      <c r="E275">
        <v>720</v>
      </c>
      <c r="F275" t="s">
        <v>152</v>
      </c>
      <c r="G275" t="s">
        <v>156</v>
      </c>
      <c r="H275" t="s">
        <v>154</v>
      </c>
      <c r="I275" t="s">
        <v>155</v>
      </c>
      <c r="J275">
        <v>0</v>
      </c>
      <c r="K275">
        <v>45244.693124999998</v>
      </c>
      <c r="L275">
        <v>4808</v>
      </c>
      <c r="O275">
        <v>144</v>
      </c>
      <c r="P275">
        <v>5</v>
      </c>
      <c r="Q275">
        <v>0</v>
      </c>
    </row>
    <row r="276" spans="2:17" x14ac:dyDescent="0.25">
      <c r="B276" t="s">
        <v>412</v>
      </c>
      <c r="C276" t="s">
        <v>413</v>
      </c>
      <c r="D276" t="s">
        <v>414</v>
      </c>
      <c r="E276">
        <v>24</v>
      </c>
      <c r="F276" t="s">
        <v>152</v>
      </c>
      <c r="G276" t="s">
        <v>377</v>
      </c>
      <c r="H276" t="s">
        <v>226</v>
      </c>
      <c r="I276" t="s">
        <v>227</v>
      </c>
      <c r="J276">
        <v>1</v>
      </c>
      <c r="K276">
        <v>45271.47347222222</v>
      </c>
      <c r="L276">
        <v>24</v>
      </c>
      <c r="M276">
        <v>45058</v>
      </c>
      <c r="O276">
        <v>1</v>
      </c>
      <c r="P276">
        <v>24</v>
      </c>
      <c r="Q276">
        <v>0</v>
      </c>
    </row>
    <row r="277" spans="2:17" x14ac:dyDescent="0.25">
      <c r="B277" t="s">
        <v>412</v>
      </c>
      <c r="C277" t="s">
        <v>413</v>
      </c>
      <c r="D277" t="s">
        <v>414</v>
      </c>
      <c r="E277">
        <v>44</v>
      </c>
      <c r="F277" t="s">
        <v>152</v>
      </c>
      <c r="G277" t="s">
        <v>62</v>
      </c>
      <c r="H277" t="s">
        <v>226</v>
      </c>
      <c r="I277" t="s">
        <v>227</v>
      </c>
      <c r="J277">
        <v>1</v>
      </c>
      <c r="K277">
        <v>45271.473576388889</v>
      </c>
      <c r="L277">
        <v>44</v>
      </c>
      <c r="M277">
        <v>45058</v>
      </c>
      <c r="O277">
        <v>1</v>
      </c>
      <c r="P277">
        <v>44</v>
      </c>
      <c r="Q277">
        <v>0</v>
      </c>
    </row>
    <row r="278" spans="2:17" x14ac:dyDescent="0.25">
      <c r="B278" t="s">
        <v>412</v>
      </c>
      <c r="C278" t="s">
        <v>413</v>
      </c>
      <c r="D278" t="s">
        <v>414</v>
      </c>
      <c r="E278">
        <v>10</v>
      </c>
      <c r="F278" t="s">
        <v>152</v>
      </c>
      <c r="G278" t="s">
        <v>245</v>
      </c>
      <c r="H278" t="s">
        <v>226</v>
      </c>
      <c r="I278" t="s">
        <v>227</v>
      </c>
      <c r="J278">
        <v>1</v>
      </c>
      <c r="K278">
        <v>45271.479155092595</v>
      </c>
      <c r="L278">
        <v>10</v>
      </c>
      <c r="M278">
        <v>45058</v>
      </c>
      <c r="O278">
        <v>1</v>
      </c>
      <c r="P278">
        <v>10</v>
      </c>
      <c r="Q278">
        <v>0</v>
      </c>
    </row>
    <row r="279" spans="2:17" x14ac:dyDescent="0.25">
      <c r="B279" t="s">
        <v>412</v>
      </c>
      <c r="C279" t="s">
        <v>413</v>
      </c>
      <c r="D279" t="s">
        <v>414</v>
      </c>
      <c r="E279">
        <v>26</v>
      </c>
      <c r="F279" t="s">
        <v>152</v>
      </c>
      <c r="G279" t="s">
        <v>234</v>
      </c>
      <c r="H279" t="s">
        <v>226</v>
      </c>
      <c r="I279" t="s">
        <v>227</v>
      </c>
      <c r="J279">
        <v>1</v>
      </c>
      <c r="K279">
        <v>45271.479351851849</v>
      </c>
      <c r="L279">
        <v>45</v>
      </c>
      <c r="M279">
        <v>45058</v>
      </c>
      <c r="O279">
        <v>1</v>
      </c>
      <c r="P279">
        <v>26</v>
      </c>
      <c r="Q279">
        <v>0</v>
      </c>
    </row>
    <row r="280" spans="2:17" x14ac:dyDescent="0.25">
      <c r="B280" t="s">
        <v>412</v>
      </c>
      <c r="C280" t="s">
        <v>413</v>
      </c>
      <c r="D280" t="s">
        <v>414</v>
      </c>
      <c r="E280">
        <v>23</v>
      </c>
      <c r="F280" t="s">
        <v>152</v>
      </c>
      <c r="G280" t="s">
        <v>64</v>
      </c>
      <c r="H280" t="s">
        <v>226</v>
      </c>
      <c r="I280" t="s">
        <v>227</v>
      </c>
      <c r="J280">
        <v>1</v>
      </c>
      <c r="K280">
        <v>45271.480011574073</v>
      </c>
      <c r="L280">
        <v>23</v>
      </c>
      <c r="M280">
        <v>45058</v>
      </c>
      <c r="O280">
        <v>1</v>
      </c>
      <c r="P280">
        <v>23</v>
      </c>
      <c r="Q280">
        <v>0</v>
      </c>
    </row>
    <row r="281" spans="2:17" x14ac:dyDescent="0.25">
      <c r="B281" t="s">
        <v>412</v>
      </c>
      <c r="C281" t="s">
        <v>413</v>
      </c>
      <c r="D281" t="s">
        <v>414</v>
      </c>
      <c r="E281">
        <v>10</v>
      </c>
      <c r="F281" t="s">
        <v>152</v>
      </c>
      <c r="G281" t="s">
        <v>235</v>
      </c>
      <c r="H281" t="s">
        <v>226</v>
      </c>
      <c r="I281" t="s">
        <v>227</v>
      </c>
      <c r="J281">
        <v>1</v>
      </c>
      <c r="K281">
        <v>45271.480266203704</v>
      </c>
      <c r="L281">
        <v>10</v>
      </c>
      <c r="M281">
        <v>45058</v>
      </c>
      <c r="O281">
        <v>1</v>
      </c>
      <c r="P281">
        <v>10</v>
      </c>
      <c r="Q281">
        <v>0</v>
      </c>
    </row>
    <row r="282" spans="2:17" x14ac:dyDescent="0.25">
      <c r="B282" t="s">
        <v>412</v>
      </c>
      <c r="C282" t="s">
        <v>413</v>
      </c>
      <c r="D282" t="s">
        <v>414</v>
      </c>
      <c r="E282">
        <v>20</v>
      </c>
      <c r="F282" t="s">
        <v>152</v>
      </c>
      <c r="G282" t="s">
        <v>376</v>
      </c>
      <c r="H282" t="s">
        <v>226</v>
      </c>
      <c r="I282" t="s">
        <v>227</v>
      </c>
      <c r="J282">
        <v>1</v>
      </c>
      <c r="K282">
        <v>45271.48064814815</v>
      </c>
      <c r="L282">
        <v>44</v>
      </c>
      <c r="M282">
        <v>45058</v>
      </c>
      <c r="O282">
        <v>1</v>
      </c>
      <c r="P282">
        <v>20</v>
      </c>
      <c r="Q282">
        <v>0</v>
      </c>
    </row>
    <row r="283" spans="2:17" x14ac:dyDescent="0.25">
      <c r="B283" t="s">
        <v>412</v>
      </c>
      <c r="C283" t="s">
        <v>413</v>
      </c>
      <c r="D283" t="s">
        <v>414</v>
      </c>
      <c r="E283">
        <v>18</v>
      </c>
      <c r="F283" t="s">
        <v>152</v>
      </c>
      <c r="G283" t="s">
        <v>236</v>
      </c>
      <c r="H283" t="s">
        <v>226</v>
      </c>
      <c r="I283" t="s">
        <v>227</v>
      </c>
      <c r="J283">
        <v>1</v>
      </c>
      <c r="K283">
        <v>45271.480844907404</v>
      </c>
      <c r="L283">
        <v>18</v>
      </c>
      <c r="M283">
        <v>45058</v>
      </c>
      <c r="O283">
        <v>1</v>
      </c>
      <c r="P283">
        <v>18</v>
      </c>
      <c r="Q283">
        <v>0</v>
      </c>
    </row>
    <row r="284" spans="2:17" x14ac:dyDescent="0.25">
      <c r="B284" t="s">
        <v>412</v>
      </c>
      <c r="C284" t="s">
        <v>413</v>
      </c>
      <c r="D284" t="s">
        <v>414</v>
      </c>
      <c r="E284">
        <v>9</v>
      </c>
      <c r="F284" t="s">
        <v>152</v>
      </c>
      <c r="G284" t="s">
        <v>65</v>
      </c>
      <c r="H284" t="s">
        <v>226</v>
      </c>
      <c r="I284" t="s">
        <v>227</v>
      </c>
      <c r="J284">
        <v>1</v>
      </c>
      <c r="K284">
        <v>45271.480925925927</v>
      </c>
      <c r="L284">
        <v>38</v>
      </c>
      <c r="M284">
        <v>45058</v>
      </c>
      <c r="O284">
        <v>1</v>
      </c>
      <c r="P284">
        <v>9</v>
      </c>
      <c r="Q284">
        <v>0</v>
      </c>
    </row>
    <row r="285" spans="2:17" x14ac:dyDescent="0.25">
      <c r="B285" t="s">
        <v>412</v>
      </c>
      <c r="C285" t="s">
        <v>413</v>
      </c>
      <c r="D285" t="s">
        <v>414</v>
      </c>
      <c r="E285">
        <v>1</v>
      </c>
      <c r="F285" t="s">
        <v>152</v>
      </c>
      <c r="G285" t="s">
        <v>238</v>
      </c>
      <c r="H285" t="s">
        <v>226</v>
      </c>
      <c r="I285" t="s">
        <v>227</v>
      </c>
      <c r="J285">
        <v>1</v>
      </c>
      <c r="K285">
        <v>45271.48101851852</v>
      </c>
      <c r="L285">
        <v>1</v>
      </c>
      <c r="M285">
        <v>45058</v>
      </c>
      <c r="O285">
        <v>1</v>
      </c>
      <c r="P285">
        <v>1</v>
      </c>
      <c r="Q285">
        <v>0</v>
      </c>
    </row>
    <row r="286" spans="2:17" x14ac:dyDescent="0.25">
      <c r="B286" t="s">
        <v>412</v>
      </c>
      <c r="C286" t="s">
        <v>413</v>
      </c>
      <c r="D286" t="s">
        <v>414</v>
      </c>
      <c r="E286">
        <v>2</v>
      </c>
      <c r="F286" t="s">
        <v>152</v>
      </c>
      <c r="G286" t="s">
        <v>63</v>
      </c>
      <c r="H286" t="s">
        <v>226</v>
      </c>
      <c r="I286" t="s">
        <v>227</v>
      </c>
      <c r="J286">
        <v>1</v>
      </c>
      <c r="K286">
        <v>45271.481099537035</v>
      </c>
      <c r="L286">
        <v>2</v>
      </c>
      <c r="M286">
        <v>45058</v>
      </c>
      <c r="O286">
        <v>1</v>
      </c>
      <c r="P286">
        <v>2</v>
      </c>
      <c r="Q286">
        <v>0</v>
      </c>
    </row>
    <row r="287" spans="2:17" x14ac:dyDescent="0.25">
      <c r="B287" t="s">
        <v>412</v>
      </c>
      <c r="C287" t="s">
        <v>416</v>
      </c>
      <c r="D287" t="s">
        <v>417</v>
      </c>
      <c r="E287">
        <v>29</v>
      </c>
      <c r="F287" t="s">
        <v>152</v>
      </c>
      <c r="G287" t="s">
        <v>415</v>
      </c>
      <c r="H287" t="s">
        <v>226</v>
      </c>
      <c r="I287" t="s">
        <v>227</v>
      </c>
      <c r="J287">
        <v>1</v>
      </c>
      <c r="K287">
        <v>45271.481099537035</v>
      </c>
      <c r="L287">
        <v>29</v>
      </c>
      <c r="M287">
        <v>45058</v>
      </c>
      <c r="O287">
        <v>1</v>
      </c>
      <c r="P287">
        <v>29</v>
      </c>
      <c r="Q287">
        <v>0</v>
      </c>
    </row>
    <row r="288" spans="2:17" x14ac:dyDescent="0.25">
      <c r="B288" t="s">
        <v>176</v>
      </c>
      <c r="C288" t="s">
        <v>418</v>
      </c>
      <c r="D288" t="s">
        <v>419</v>
      </c>
      <c r="E288">
        <v>4000</v>
      </c>
      <c r="F288" t="s">
        <v>68</v>
      </c>
      <c r="G288" t="s">
        <v>127</v>
      </c>
      <c r="H288" t="s">
        <v>128</v>
      </c>
      <c r="I288" t="s">
        <v>122</v>
      </c>
      <c r="J288">
        <v>0</v>
      </c>
      <c r="K288">
        <v>45271.581250000003</v>
      </c>
      <c r="L288">
        <v>5000</v>
      </c>
      <c r="O288">
        <v>2400</v>
      </c>
      <c r="P288">
        <v>1</v>
      </c>
      <c r="Q288">
        <v>1600.0000000000002</v>
      </c>
    </row>
    <row r="289" spans="2:17" x14ac:dyDescent="0.25">
      <c r="B289" t="s">
        <v>176</v>
      </c>
      <c r="C289" t="s">
        <v>387</v>
      </c>
      <c r="D289" t="s">
        <v>420</v>
      </c>
      <c r="E289">
        <v>4000</v>
      </c>
      <c r="F289" t="s">
        <v>68</v>
      </c>
      <c r="G289" t="s">
        <v>124</v>
      </c>
      <c r="H289" t="s">
        <v>125</v>
      </c>
      <c r="I289" t="s">
        <v>122</v>
      </c>
      <c r="J289">
        <v>0</v>
      </c>
      <c r="K289">
        <v>45271.581747685188</v>
      </c>
      <c r="L289">
        <v>51600</v>
      </c>
      <c r="O289">
        <v>1200</v>
      </c>
      <c r="P289">
        <v>3</v>
      </c>
      <c r="Q289">
        <v>400.00000000000017</v>
      </c>
    </row>
    <row r="290" spans="2:17" x14ac:dyDescent="0.25">
      <c r="B290" t="s">
        <v>176</v>
      </c>
      <c r="C290" t="s">
        <v>387</v>
      </c>
      <c r="D290" t="s">
        <v>420</v>
      </c>
      <c r="E290">
        <v>4000</v>
      </c>
      <c r="F290" t="s">
        <v>68</v>
      </c>
      <c r="G290" t="s">
        <v>188</v>
      </c>
      <c r="H290" t="s">
        <v>189</v>
      </c>
      <c r="I290" t="s">
        <v>122</v>
      </c>
      <c r="J290">
        <v>0</v>
      </c>
      <c r="K290">
        <v>45271.582175925927</v>
      </c>
      <c r="L290">
        <v>2000</v>
      </c>
      <c r="O290">
        <v>2400</v>
      </c>
      <c r="P290">
        <v>1</v>
      </c>
      <c r="Q290">
        <v>1600.0000000000002</v>
      </c>
    </row>
    <row r="291" spans="2:17" x14ac:dyDescent="0.25">
      <c r="B291" t="s">
        <v>176</v>
      </c>
      <c r="C291" t="s">
        <v>347</v>
      </c>
      <c r="D291" t="s">
        <v>421</v>
      </c>
      <c r="E291">
        <v>1600</v>
      </c>
      <c r="F291" t="s">
        <v>68</v>
      </c>
      <c r="G291" t="s">
        <v>136</v>
      </c>
      <c r="H291" t="s">
        <v>137</v>
      </c>
      <c r="I291" t="s">
        <v>122</v>
      </c>
      <c r="J291">
        <v>0</v>
      </c>
      <c r="K291">
        <v>45271.582824074074</v>
      </c>
      <c r="L291">
        <v>800</v>
      </c>
      <c r="O291">
        <v>1</v>
      </c>
      <c r="P291">
        <v>1600</v>
      </c>
      <c r="Q291">
        <v>0</v>
      </c>
    </row>
    <row r="292" spans="2:17" x14ac:dyDescent="0.25">
      <c r="B292" t="s">
        <v>176</v>
      </c>
      <c r="C292" t="s">
        <v>422</v>
      </c>
      <c r="D292" t="s">
        <v>423</v>
      </c>
      <c r="E292">
        <v>800</v>
      </c>
      <c r="F292" t="s">
        <v>68</v>
      </c>
      <c r="G292" t="s">
        <v>136</v>
      </c>
      <c r="H292" t="s">
        <v>137</v>
      </c>
      <c r="I292" t="s">
        <v>122</v>
      </c>
      <c r="J292">
        <v>0</v>
      </c>
      <c r="K292">
        <v>45271.583796296298</v>
      </c>
      <c r="L292">
        <v>0</v>
      </c>
      <c r="O292">
        <v>1</v>
      </c>
      <c r="P292">
        <v>800</v>
      </c>
      <c r="Q292">
        <v>0</v>
      </c>
    </row>
    <row r="293" spans="2:17" x14ac:dyDescent="0.25">
      <c r="B293" t="s">
        <v>176</v>
      </c>
      <c r="C293" t="s">
        <v>392</v>
      </c>
      <c r="D293" t="s">
        <v>424</v>
      </c>
      <c r="E293">
        <v>8000</v>
      </c>
      <c r="F293" t="s">
        <v>68</v>
      </c>
      <c r="G293" t="s">
        <v>140</v>
      </c>
      <c r="H293" t="s">
        <v>141</v>
      </c>
      <c r="I293" t="s">
        <v>122</v>
      </c>
      <c r="J293">
        <v>0</v>
      </c>
      <c r="K293">
        <v>45271.584328703706</v>
      </c>
      <c r="L293">
        <v>203000</v>
      </c>
      <c r="O293">
        <v>2400</v>
      </c>
      <c r="P293">
        <v>3</v>
      </c>
      <c r="Q293">
        <v>800.00000000000034</v>
      </c>
    </row>
    <row r="294" spans="2:17" x14ac:dyDescent="0.25">
      <c r="B294" t="s">
        <v>176</v>
      </c>
      <c r="C294" t="s">
        <v>392</v>
      </c>
      <c r="D294" t="s">
        <v>424</v>
      </c>
      <c r="E294">
        <v>480</v>
      </c>
      <c r="F294" t="s">
        <v>68</v>
      </c>
      <c r="G294" t="s">
        <v>181</v>
      </c>
      <c r="H294" t="s">
        <v>182</v>
      </c>
      <c r="I294" t="s">
        <v>183</v>
      </c>
      <c r="J294">
        <v>0</v>
      </c>
      <c r="K294">
        <v>45271.584560185183</v>
      </c>
      <c r="L294">
        <v>2346</v>
      </c>
      <c r="O294">
        <v>300</v>
      </c>
      <c r="P294">
        <v>1</v>
      </c>
      <c r="Q294">
        <v>180.00000000000003</v>
      </c>
    </row>
    <row r="295" spans="2:17" x14ac:dyDescent="0.25">
      <c r="B295" t="s">
        <v>176</v>
      </c>
      <c r="C295" t="s">
        <v>392</v>
      </c>
      <c r="D295" t="s">
        <v>424</v>
      </c>
      <c r="E295">
        <v>800</v>
      </c>
      <c r="F295" t="s">
        <v>68</v>
      </c>
      <c r="G295" t="s">
        <v>219</v>
      </c>
      <c r="H295" t="s">
        <v>220</v>
      </c>
      <c r="I295" t="s">
        <v>161</v>
      </c>
      <c r="J295">
        <v>0</v>
      </c>
      <c r="K295">
        <v>45271.584803240738</v>
      </c>
      <c r="L295">
        <v>9500</v>
      </c>
      <c r="O295">
        <v>1</v>
      </c>
      <c r="P295">
        <v>800</v>
      </c>
      <c r="Q295">
        <v>0</v>
      </c>
    </row>
    <row r="296" spans="2:17" x14ac:dyDescent="0.25">
      <c r="B296" t="s">
        <v>176</v>
      </c>
      <c r="C296" t="s">
        <v>392</v>
      </c>
      <c r="D296" t="s">
        <v>424</v>
      </c>
      <c r="E296">
        <v>20</v>
      </c>
      <c r="F296" t="s">
        <v>68</v>
      </c>
      <c r="G296" t="s">
        <v>786</v>
      </c>
      <c r="H296" t="s">
        <v>165</v>
      </c>
      <c r="I296" t="s">
        <v>161</v>
      </c>
      <c r="J296">
        <v>0</v>
      </c>
      <c r="K296">
        <v>45271.585046296299</v>
      </c>
      <c r="L296">
        <v>275</v>
      </c>
      <c r="O296">
        <v>24</v>
      </c>
      <c r="P296">
        <v>0</v>
      </c>
      <c r="Q296">
        <v>20</v>
      </c>
    </row>
    <row r="297" spans="2:17" x14ac:dyDescent="0.25">
      <c r="B297" t="s">
        <v>176</v>
      </c>
      <c r="C297" t="s">
        <v>261</v>
      </c>
      <c r="D297" t="s">
        <v>425</v>
      </c>
      <c r="E297">
        <v>720</v>
      </c>
      <c r="F297" t="s">
        <v>152</v>
      </c>
      <c r="G297" t="s">
        <v>153</v>
      </c>
      <c r="H297" t="s">
        <v>154</v>
      </c>
      <c r="I297" t="s">
        <v>155</v>
      </c>
      <c r="J297">
        <v>0</v>
      </c>
      <c r="K297">
        <v>45271.585949074077</v>
      </c>
      <c r="L297">
        <v>288</v>
      </c>
      <c r="O297">
        <v>144</v>
      </c>
      <c r="P297">
        <v>5</v>
      </c>
      <c r="Q297">
        <v>0</v>
      </c>
    </row>
    <row r="298" spans="2:17" x14ac:dyDescent="0.25">
      <c r="B298" t="s">
        <v>176</v>
      </c>
      <c r="C298" t="s">
        <v>261</v>
      </c>
      <c r="D298" t="s">
        <v>425</v>
      </c>
      <c r="E298">
        <v>360</v>
      </c>
      <c r="F298" t="s">
        <v>152</v>
      </c>
      <c r="G298" t="s">
        <v>156</v>
      </c>
      <c r="H298" t="s">
        <v>154</v>
      </c>
      <c r="I298" t="s">
        <v>155</v>
      </c>
      <c r="J298">
        <v>0</v>
      </c>
      <c r="K298">
        <v>45271.586168981485</v>
      </c>
      <c r="L298">
        <v>4448</v>
      </c>
      <c r="O298">
        <v>144</v>
      </c>
      <c r="P298">
        <v>2</v>
      </c>
      <c r="Q298">
        <v>72</v>
      </c>
    </row>
    <row r="299" spans="2:17" x14ac:dyDescent="0.25">
      <c r="B299" t="s">
        <v>176</v>
      </c>
      <c r="C299" t="s">
        <v>262</v>
      </c>
      <c r="D299" t="s">
        <v>426</v>
      </c>
      <c r="E299">
        <v>10</v>
      </c>
      <c r="F299" t="s">
        <v>144</v>
      </c>
      <c r="G299" t="s">
        <v>148</v>
      </c>
      <c r="H299" t="s">
        <v>149</v>
      </c>
      <c r="I299" t="s">
        <v>147</v>
      </c>
      <c r="J299">
        <v>0</v>
      </c>
      <c r="K299">
        <v>45271.586886574078</v>
      </c>
      <c r="L299">
        <v>6283</v>
      </c>
      <c r="O299">
        <v>10</v>
      </c>
      <c r="P299">
        <v>1</v>
      </c>
      <c r="Q299">
        <v>0</v>
      </c>
    </row>
    <row r="300" spans="2:17" x14ac:dyDescent="0.25">
      <c r="B300" t="s">
        <v>176</v>
      </c>
      <c r="C300" t="s">
        <v>262</v>
      </c>
      <c r="D300" t="s">
        <v>426</v>
      </c>
      <c r="E300">
        <v>350</v>
      </c>
      <c r="F300" t="s">
        <v>68</v>
      </c>
      <c r="G300" t="s">
        <v>184</v>
      </c>
      <c r="H300" t="s">
        <v>185</v>
      </c>
      <c r="J300">
        <v>0</v>
      </c>
      <c r="K300">
        <v>45271.587118055555</v>
      </c>
      <c r="L300">
        <v>670</v>
      </c>
      <c r="O300">
        <v>4</v>
      </c>
      <c r="P300">
        <v>87</v>
      </c>
      <c r="Q300">
        <v>2</v>
      </c>
    </row>
    <row r="301" spans="2:17" x14ac:dyDescent="0.25">
      <c r="B301" t="s">
        <v>176</v>
      </c>
      <c r="C301" t="s">
        <v>262</v>
      </c>
      <c r="D301" t="s">
        <v>426</v>
      </c>
      <c r="E301">
        <v>1180</v>
      </c>
      <c r="F301" t="s">
        <v>68</v>
      </c>
      <c r="G301" t="s">
        <v>427</v>
      </c>
      <c r="H301" t="s">
        <v>166</v>
      </c>
      <c r="I301" t="s">
        <v>161</v>
      </c>
      <c r="J301">
        <v>0</v>
      </c>
      <c r="K301">
        <v>45271.590092592596</v>
      </c>
      <c r="L301">
        <v>1680</v>
      </c>
      <c r="O301">
        <v>60</v>
      </c>
      <c r="P301">
        <v>19</v>
      </c>
      <c r="Q301">
        <v>40.000000000000071</v>
      </c>
    </row>
    <row r="302" spans="2:17" x14ac:dyDescent="0.25">
      <c r="B302" t="s">
        <v>176</v>
      </c>
      <c r="C302" t="s">
        <v>312</v>
      </c>
      <c r="D302" t="s">
        <v>428</v>
      </c>
      <c r="E302">
        <v>5000</v>
      </c>
      <c r="F302" t="s">
        <v>68</v>
      </c>
      <c r="G302" t="s">
        <v>120</v>
      </c>
      <c r="H302" t="s">
        <v>121</v>
      </c>
      <c r="I302" t="s">
        <v>122</v>
      </c>
      <c r="J302">
        <v>0</v>
      </c>
      <c r="K302">
        <v>45271.590694444443</v>
      </c>
      <c r="L302">
        <v>203600</v>
      </c>
      <c r="O302">
        <v>2400</v>
      </c>
      <c r="P302">
        <v>2</v>
      </c>
      <c r="Q302">
        <v>200.00000000000034</v>
      </c>
    </row>
    <row r="303" spans="2:17" x14ac:dyDescent="0.25">
      <c r="B303" t="s">
        <v>321</v>
      </c>
      <c r="C303" t="s">
        <v>429</v>
      </c>
      <c r="D303" t="s">
        <v>174</v>
      </c>
      <c r="E303">
        <v>900</v>
      </c>
      <c r="F303" t="s">
        <v>68</v>
      </c>
      <c r="G303" t="s">
        <v>172</v>
      </c>
      <c r="H303" t="s">
        <v>173</v>
      </c>
      <c r="J303">
        <v>0</v>
      </c>
      <c r="K303">
        <v>45272.438946759263</v>
      </c>
      <c r="L303">
        <v>1662</v>
      </c>
      <c r="O303">
        <v>1</v>
      </c>
      <c r="P303">
        <v>900</v>
      </c>
      <c r="Q303">
        <v>0</v>
      </c>
    </row>
    <row r="304" spans="2:17" x14ac:dyDescent="0.25">
      <c r="B304" t="s">
        <v>321</v>
      </c>
      <c r="C304" t="s">
        <v>429</v>
      </c>
      <c r="D304" t="s">
        <v>174</v>
      </c>
      <c r="E304">
        <v>800</v>
      </c>
      <c r="F304" t="s">
        <v>68</v>
      </c>
      <c r="G304" t="s">
        <v>219</v>
      </c>
      <c r="H304" t="s">
        <v>220</v>
      </c>
      <c r="I304" t="s">
        <v>161</v>
      </c>
      <c r="J304">
        <v>0</v>
      </c>
      <c r="K304">
        <v>45272.439247685186</v>
      </c>
      <c r="L304">
        <v>8700</v>
      </c>
      <c r="O304">
        <v>1</v>
      </c>
      <c r="P304">
        <v>800</v>
      </c>
      <c r="Q304">
        <v>0</v>
      </c>
    </row>
    <row r="305" spans="2:17" x14ac:dyDescent="0.25">
      <c r="B305" t="s">
        <v>321</v>
      </c>
      <c r="C305" t="s">
        <v>429</v>
      </c>
      <c r="D305" t="s">
        <v>174</v>
      </c>
      <c r="E305">
        <v>10</v>
      </c>
      <c r="F305" t="s">
        <v>68</v>
      </c>
      <c r="G305" t="s">
        <v>430</v>
      </c>
      <c r="H305" t="s">
        <v>199</v>
      </c>
      <c r="J305">
        <v>0</v>
      </c>
      <c r="K305">
        <v>45272.440648148149</v>
      </c>
      <c r="L305">
        <v>48</v>
      </c>
      <c r="O305">
        <v>40</v>
      </c>
      <c r="P305">
        <v>0</v>
      </c>
      <c r="Q305">
        <v>10</v>
      </c>
    </row>
    <row r="306" spans="2:17" x14ac:dyDescent="0.25">
      <c r="B306" t="s">
        <v>321</v>
      </c>
      <c r="C306" t="s">
        <v>368</v>
      </c>
      <c r="D306" t="s">
        <v>431</v>
      </c>
      <c r="E306">
        <v>11600</v>
      </c>
      <c r="F306" t="s">
        <v>68</v>
      </c>
      <c r="G306" t="s">
        <v>124</v>
      </c>
      <c r="H306" t="s">
        <v>125</v>
      </c>
      <c r="I306" t="s">
        <v>122</v>
      </c>
      <c r="J306">
        <v>0</v>
      </c>
      <c r="K306">
        <v>45272.441388888888</v>
      </c>
      <c r="L306">
        <v>40000</v>
      </c>
      <c r="O306">
        <v>1200</v>
      </c>
      <c r="P306">
        <v>9</v>
      </c>
      <c r="Q306">
        <v>799.99999999999932</v>
      </c>
    </row>
    <row r="307" spans="2:17" x14ac:dyDescent="0.25">
      <c r="B307" t="s">
        <v>321</v>
      </c>
      <c r="C307" t="s">
        <v>265</v>
      </c>
      <c r="D307" t="s">
        <v>432</v>
      </c>
      <c r="E307">
        <v>400</v>
      </c>
      <c r="F307" t="s">
        <v>68</v>
      </c>
      <c r="G307" t="s">
        <v>132</v>
      </c>
      <c r="H307" t="s">
        <v>133</v>
      </c>
      <c r="I307" t="s">
        <v>122</v>
      </c>
      <c r="J307">
        <v>0</v>
      </c>
      <c r="K307">
        <v>45272.442002314812</v>
      </c>
      <c r="L307">
        <v>14100</v>
      </c>
      <c r="O307">
        <v>1200</v>
      </c>
      <c r="P307">
        <v>0</v>
      </c>
      <c r="Q307">
        <v>400</v>
      </c>
    </row>
    <row r="308" spans="2:17" x14ac:dyDescent="0.25">
      <c r="B308" t="s">
        <v>321</v>
      </c>
      <c r="C308" t="s">
        <v>267</v>
      </c>
      <c r="D308" t="s">
        <v>433</v>
      </c>
      <c r="E308">
        <v>1100</v>
      </c>
      <c r="F308" t="s">
        <v>68</v>
      </c>
      <c r="G308" t="s">
        <v>132</v>
      </c>
      <c r="H308" t="s">
        <v>133</v>
      </c>
      <c r="I308" t="s">
        <v>122</v>
      </c>
      <c r="J308">
        <v>0</v>
      </c>
      <c r="K308">
        <v>45272.442569444444</v>
      </c>
      <c r="L308">
        <v>13000</v>
      </c>
      <c r="O308">
        <v>1200</v>
      </c>
      <c r="P308">
        <v>0</v>
      </c>
      <c r="Q308">
        <v>1100</v>
      </c>
    </row>
    <row r="309" spans="2:17" x14ac:dyDescent="0.25">
      <c r="B309" t="s">
        <v>321</v>
      </c>
      <c r="C309" t="s">
        <v>345</v>
      </c>
      <c r="D309" t="s">
        <v>434</v>
      </c>
      <c r="E309">
        <v>50</v>
      </c>
      <c r="F309" t="s">
        <v>68</v>
      </c>
      <c r="G309" t="s">
        <v>126</v>
      </c>
      <c r="H309" t="s">
        <v>180</v>
      </c>
      <c r="J309">
        <v>0</v>
      </c>
      <c r="K309">
        <v>45272.443171296298</v>
      </c>
      <c r="L309">
        <v>232</v>
      </c>
      <c r="O309">
        <v>96</v>
      </c>
      <c r="P309">
        <v>0</v>
      </c>
      <c r="Q309">
        <v>50</v>
      </c>
    </row>
    <row r="310" spans="2:17" x14ac:dyDescent="0.25">
      <c r="B310" t="s">
        <v>435</v>
      </c>
      <c r="C310" t="s">
        <v>436</v>
      </c>
      <c r="D310" t="s">
        <v>437</v>
      </c>
      <c r="E310">
        <v>1512</v>
      </c>
      <c r="F310" t="s">
        <v>68</v>
      </c>
      <c r="G310" t="s">
        <v>177</v>
      </c>
      <c r="H310" t="s">
        <v>178</v>
      </c>
      <c r="I310" t="s">
        <v>179</v>
      </c>
      <c r="J310">
        <v>1</v>
      </c>
      <c r="K310">
        <v>45272.578101851854</v>
      </c>
      <c r="L310">
        <v>3400</v>
      </c>
      <c r="M310" t="s">
        <v>349</v>
      </c>
      <c r="O310">
        <v>36</v>
      </c>
      <c r="P310">
        <v>42</v>
      </c>
      <c r="Q310">
        <v>0</v>
      </c>
    </row>
    <row r="311" spans="2:17" x14ac:dyDescent="0.25">
      <c r="B311" t="s">
        <v>176</v>
      </c>
      <c r="C311" t="s">
        <v>395</v>
      </c>
      <c r="D311" t="s">
        <v>438</v>
      </c>
      <c r="E311">
        <v>1</v>
      </c>
      <c r="F311" t="s">
        <v>152</v>
      </c>
      <c r="G311" t="s">
        <v>238</v>
      </c>
      <c r="H311" t="s">
        <v>226</v>
      </c>
      <c r="I311" t="s">
        <v>227</v>
      </c>
      <c r="J311">
        <v>0</v>
      </c>
      <c r="K311">
        <v>45273.510208333333</v>
      </c>
      <c r="L311">
        <v>0</v>
      </c>
      <c r="O311">
        <v>1</v>
      </c>
      <c r="P311">
        <v>1</v>
      </c>
      <c r="Q311">
        <v>0</v>
      </c>
    </row>
    <row r="312" spans="2:17" x14ac:dyDescent="0.25">
      <c r="B312" t="s">
        <v>176</v>
      </c>
      <c r="C312" t="s">
        <v>395</v>
      </c>
      <c r="D312" t="s">
        <v>438</v>
      </c>
      <c r="E312">
        <v>13</v>
      </c>
      <c r="F312" t="s">
        <v>152</v>
      </c>
      <c r="G312" t="s">
        <v>377</v>
      </c>
      <c r="H312" t="s">
        <v>226</v>
      </c>
      <c r="I312" t="s">
        <v>227</v>
      </c>
      <c r="J312">
        <v>0</v>
      </c>
      <c r="K312">
        <v>45273.510729166665</v>
      </c>
      <c r="L312">
        <v>11</v>
      </c>
      <c r="O312">
        <v>1</v>
      </c>
      <c r="P312">
        <v>13</v>
      </c>
      <c r="Q312">
        <v>0</v>
      </c>
    </row>
    <row r="313" spans="2:17" x14ac:dyDescent="0.25">
      <c r="B313" t="s">
        <v>176</v>
      </c>
      <c r="C313" t="s">
        <v>395</v>
      </c>
      <c r="D313" t="s">
        <v>438</v>
      </c>
      <c r="E313">
        <v>25</v>
      </c>
      <c r="F313" t="s">
        <v>152</v>
      </c>
      <c r="G313" t="s">
        <v>62</v>
      </c>
      <c r="H313" t="s">
        <v>226</v>
      </c>
      <c r="I313" t="s">
        <v>227</v>
      </c>
      <c r="J313">
        <v>0</v>
      </c>
      <c r="K313">
        <v>45273.511030092595</v>
      </c>
      <c r="L313">
        <v>19</v>
      </c>
      <c r="O313">
        <v>1</v>
      </c>
      <c r="P313">
        <v>25</v>
      </c>
      <c r="Q313">
        <v>0</v>
      </c>
    </row>
    <row r="314" spans="2:17" x14ac:dyDescent="0.25">
      <c r="B314" t="s">
        <v>176</v>
      </c>
      <c r="C314" t="s">
        <v>395</v>
      </c>
      <c r="D314" t="s">
        <v>438</v>
      </c>
      <c r="E314">
        <v>10</v>
      </c>
      <c r="F314" t="s">
        <v>152</v>
      </c>
      <c r="G314" t="s">
        <v>245</v>
      </c>
      <c r="H314" t="s">
        <v>226</v>
      </c>
      <c r="I314" t="s">
        <v>227</v>
      </c>
      <c r="J314">
        <v>0</v>
      </c>
      <c r="K314">
        <v>45273.511331018519</v>
      </c>
      <c r="L314">
        <v>0</v>
      </c>
      <c r="O314">
        <v>1</v>
      </c>
      <c r="P314">
        <v>10</v>
      </c>
      <c r="Q314">
        <v>0</v>
      </c>
    </row>
    <row r="315" spans="2:17" x14ac:dyDescent="0.25">
      <c r="B315" t="s">
        <v>176</v>
      </c>
      <c r="C315" t="s">
        <v>395</v>
      </c>
      <c r="D315" t="s">
        <v>438</v>
      </c>
      <c r="E315">
        <v>45</v>
      </c>
      <c r="F315" t="s">
        <v>152</v>
      </c>
      <c r="G315" t="s">
        <v>234</v>
      </c>
      <c r="H315" t="s">
        <v>226</v>
      </c>
      <c r="I315" t="s">
        <v>227</v>
      </c>
      <c r="J315">
        <v>0</v>
      </c>
      <c r="K315">
        <v>45273.511759259258</v>
      </c>
      <c r="L315">
        <v>0</v>
      </c>
      <c r="O315">
        <v>1</v>
      </c>
      <c r="P315">
        <v>45</v>
      </c>
      <c r="Q315">
        <v>0</v>
      </c>
    </row>
    <row r="316" spans="2:17" x14ac:dyDescent="0.25">
      <c r="B316" t="s">
        <v>176</v>
      </c>
      <c r="C316" t="s">
        <v>395</v>
      </c>
      <c r="D316" t="s">
        <v>438</v>
      </c>
      <c r="E316">
        <v>29</v>
      </c>
      <c r="F316" t="s">
        <v>152</v>
      </c>
      <c r="G316" t="s">
        <v>415</v>
      </c>
      <c r="H316" t="s">
        <v>226</v>
      </c>
      <c r="I316" t="s">
        <v>227</v>
      </c>
      <c r="J316">
        <v>0</v>
      </c>
      <c r="K316">
        <v>45273.52171296296</v>
      </c>
      <c r="L316">
        <v>0</v>
      </c>
      <c r="O316">
        <v>1</v>
      </c>
      <c r="P316">
        <v>29</v>
      </c>
      <c r="Q316">
        <v>0</v>
      </c>
    </row>
    <row r="317" spans="2:17" x14ac:dyDescent="0.25">
      <c r="B317" t="s">
        <v>176</v>
      </c>
      <c r="C317" t="s">
        <v>395</v>
      </c>
      <c r="D317" t="s">
        <v>438</v>
      </c>
      <c r="E317">
        <v>23</v>
      </c>
      <c r="F317" t="s">
        <v>152</v>
      </c>
      <c r="G317" t="s">
        <v>64</v>
      </c>
      <c r="H317" t="s">
        <v>226</v>
      </c>
      <c r="I317" t="s">
        <v>227</v>
      </c>
      <c r="J317">
        <v>0</v>
      </c>
      <c r="K317">
        <v>45273.52275462963</v>
      </c>
      <c r="L317">
        <v>0</v>
      </c>
      <c r="O317">
        <v>1</v>
      </c>
      <c r="P317">
        <v>23</v>
      </c>
      <c r="Q317">
        <v>0</v>
      </c>
    </row>
    <row r="318" spans="2:17" x14ac:dyDescent="0.25">
      <c r="B318" t="s">
        <v>176</v>
      </c>
      <c r="C318" t="s">
        <v>395</v>
      </c>
      <c r="D318" t="s">
        <v>438</v>
      </c>
      <c r="E318">
        <v>10</v>
      </c>
      <c r="F318" t="s">
        <v>152</v>
      </c>
      <c r="G318" t="s">
        <v>235</v>
      </c>
      <c r="H318" t="s">
        <v>226</v>
      </c>
      <c r="I318" t="s">
        <v>227</v>
      </c>
      <c r="J318">
        <v>0</v>
      </c>
      <c r="K318">
        <v>45273.522997685184</v>
      </c>
      <c r="L318">
        <v>0</v>
      </c>
      <c r="O318">
        <v>1</v>
      </c>
      <c r="P318">
        <v>10</v>
      </c>
      <c r="Q318">
        <v>0</v>
      </c>
    </row>
    <row r="319" spans="2:17" x14ac:dyDescent="0.25">
      <c r="B319" t="s">
        <v>176</v>
      </c>
      <c r="C319" t="s">
        <v>395</v>
      </c>
      <c r="D319" t="s">
        <v>438</v>
      </c>
      <c r="E319">
        <v>44</v>
      </c>
      <c r="F319" t="s">
        <v>152</v>
      </c>
      <c r="G319" t="s">
        <v>376</v>
      </c>
      <c r="H319" t="s">
        <v>226</v>
      </c>
      <c r="I319" t="s">
        <v>227</v>
      </c>
      <c r="J319">
        <v>0</v>
      </c>
      <c r="K319">
        <v>45273.523206018515</v>
      </c>
      <c r="L319">
        <v>0</v>
      </c>
      <c r="O319">
        <v>1</v>
      </c>
      <c r="P319">
        <v>44</v>
      </c>
      <c r="Q319">
        <v>0</v>
      </c>
    </row>
    <row r="320" spans="2:17" x14ac:dyDescent="0.25">
      <c r="B320" t="s">
        <v>176</v>
      </c>
      <c r="C320" t="s">
        <v>395</v>
      </c>
      <c r="D320" t="s">
        <v>438</v>
      </c>
      <c r="E320">
        <v>18</v>
      </c>
      <c r="F320" t="s">
        <v>152</v>
      </c>
      <c r="G320" t="s">
        <v>236</v>
      </c>
      <c r="H320" t="s">
        <v>226</v>
      </c>
      <c r="I320" t="s">
        <v>227</v>
      </c>
      <c r="J320">
        <v>0</v>
      </c>
      <c r="K320">
        <v>45273.523495370369</v>
      </c>
      <c r="L320">
        <v>0</v>
      </c>
      <c r="O320">
        <v>1</v>
      </c>
      <c r="P320">
        <v>18</v>
      </c>
      <c r="Q320">
        <v>0</v>
      </c>
    </row>
    <row r="321" spans="2:17" x14ac:dyDescent="0.25">
      <c r="B321" t="s">
        <v>176</v>
      </c>
      <c r="C321" t="s">
        <v>395</v>
      </c>
      <c r="D321" t="s">
        <v>438</v>
      </c>
      <c r="E321">
        <v>38</v>
      </c>
      <c r="F321" t="s">
        <v>152</v>
      </c>
      <c r="G321" t="s">
        <v>65</v>
      </c>
      <c r="H321" t="s">
        <v>226</v>
      </c>
      <c r="I321" t="s">
        <v>227</v>
      </c>
      <c r="J321">
        <v>0</v>
      </c>
      <c r="K321">
        <v>45273.523877314816</v>
      </c>
      <c r="L321">
        <v>0</v>
      </c>
      <c r="O321">
        <v>1</v>
      </c>
      <c r="P321">
        <v>38</v>
      </c>
      <c r="Q321">
        <v>0</v>
      </c>
    </row>
    <row r="322" spans="2:17" x14ac:dyDescent="0.25">
      <c r="B322" t="s">
        <v>176</v>
      </c>
      <c r="C322" t="s">
        <v>312</v>
      </c>
      <c r="D322" t="s">
        <v>439</v>
      </c>
      <c r="E322">
        <v>1200</v>
      </c>
      <c r="F322" t="s">
        <v>68</v>
      </c>
      <c r="G322" t="s">
        <v>120</v>
      </c>
      <c r="H322" t="s">
        <v>121</v>
      </c>
      <c r="I322" t="s">
        <v>122</v>
      </c>
      <c r="J322">
        <v>0</v>
      </c>
      <c r="K322">
        <v>45274.395173611112</v>
      </c>
      <c r="L322">
        <v>202400</v>
      </c>
      <c r="O322">
        <v>2400</v>
      </c>
      <c r="P322">
        <v>0</v>
      </c>
      <c r="Q322">
        <v>1200</v>
      </c>
    </row>
    <row r="323" spans="2:17" x14ac:dyDescent="0.25">
      <c r="B323" t="s">
        <v>176</v>
      </c>
      <c r="C323" t="s">
        <v>387</v>
      </c>
      <c r="D323" t="s">
        <v>440</v>
      </c>
      <c r="E323">
        <v>2000</v>
      </c>
      <c r="F323" t="s">
        <v>68</v>
      </c>
      <c r="G323" t="s">
        <v>188</v>
      </c>
      <c r="H323" t="s">
        <v>189</v>
      </c>
      <c r="I323" t="s">
        <v>122</v>
      </c>
      <c r="J323">
        <v>0</v>
      </c>
      <c r="K323">
        <v>45274.395868055559</v>
      </c>
      <c r="L323">
        <v>0</v>
      </c>
      <c r="O323">
        <v>2400</v>
      </c>
      <c r="P323">
        <v>0</v>
      </c>
      <c r="Q323">
        <v>2000</v>
      </c>
    </row>
    <row r="324" spans="2:17" x14ac:dyDescent="0.25">
      <c r="B324" t="s">
        <v>176</v>
      </c>
      <c r="C324" t="s">
        <v>418</v>
      </c>
      <c r="D324" t="s">
        <v>441</v>
      </c>
      <c r="E324">
        <v>1000</v>
      </c>
      <c r="F324" t="s">
        <v>68</v>
      </c>
      <c r="G324" t="s">
        <v>127</v>
      </c>
      <c r="H324" t="s">
        <v>128</v>
      </c>
      <c r="I324" t="s">
        <v>122</v>
      </c>
      <c r="J324">
        <v>0</v>
      </c>
      <c r="K324">
        <v>45274.396469907406</v>
      </c>
      <c r="L324">
        <v>4000</v>
      </c>
      <c r="O324">
        <v>2400</v>
      </c>
      <c r="P324">
        <v>0</v>
      </c>
      <c r="Q324">
        <v>1000</v>
      </c>
    </row>
    <row r="325" spans="2:17" x14ac:dyDescent="0.25">
      <c r="B325" t="s">
        <v>176</v>
      </c>
      <c r="C325" t="s">
        <v>392</v>
      </c>
      <c r="D325" t="s">
        <v>442</v>
      </c>
      <c r="E325">
        <v>6000</v>
      </c>
      <c r="F325" t="s">
        <v>68</v>
      </c>
      <c r="G325" t="s">
        <v>140</v>
      </c>
      <c r="H325" t="s">
        <v>141</v>
      </c>
      <c r="I325" t="s">
        <v>122</v>
      </c>
      <c r="J325">
        <v>0</v>
      </c>
      <c r="K325">
        <v>45274.397557870368</v>
      </c>
      <c r="L325">
        <v>197000</v>
      </c>
      <c r="O325">
        <v>2400</v>
      </c>
      <c r="P325">
        <v>2</v>
      </c>
      <c r="Q325">
        <v>1200</v>
      </c>
    </row>
    <row r="326" spans="2:17" x14ac:dyDescent="0.25">
      <c r="B326" t="s">
        <v>176</v>
      </c>
      <c r="C326" t="s">
        <v>392</v>
      </c>
      <c r="D326" t="s">
        <v>442</v>
      </c>
      <c r="E326">
        <v>900</v>
      </c>
      <c r="F326" t="s">
        <v>68</v>
      </c>
      <c r="G326" t="s">
        <v>181</v>
      </c>
      <c r="H326" t="s">
        <v>182</v>
      </c>
      <c r="I326" t="s">
        <v>183</v>
      </c>
      <c r="J326">
        <v>0</v>
      </c>
      <c r="K326">
        <v>45274.397858796299</v>
      </c>
      <c r="L326">
        <v>1446</v>
      </c>
      <c r="O326">
        <v>300</v>
      </c>
      <c r="P326">
        <v>3</v>
      </c>
      <c r="Q326">
        <v>0</v>
      </c>
    </row>
    <row r="327" spans="2:17" x14ac:dyDescent="0.25">
      <c r="B327" t="s">
        <v>176</v>
      </c>
      <c r="C327" t="s">
        <v>392</v>
      </c>
      <c r="D327" t="s">
        <v>442</v>
      </c>
      <c r="E327">
        <v>200</v>
      </c>
      <c r="F327" t="s">
        <v>68</v>
      </c>
      <c r="G327" t="s">
        <v>219</v>
      </c>
      <c r="H327" t="s">
        <v>220</v>
      </c>
      <c r="I327" t="s">
        <v>161</v>
      </c>
      <c r="J327">
        <v>0</v>
      </c>
      <c r="K327">
        <v>45274.398159722223</v>
      </c>
      <c r="L327">
        <v>8500</v>
      </c>
      <c r="O327">
        <v>1</v>
      </c>
      <c r="P327">
        <v>200</v>
      </c>
      <c r="Q327">
        <v>0</v>
      </c>
    </row>
    <row r="328" spans="2:17" x14ac:dyDescent="0.25">
      <c r="B328" t="s">
        <v>176</v>
      </c>
      <c r="C328" t="s">
        <v>392</v>
      </c>
      <c r="D328" t="s">
        <v>442</v>
      </c>
      <c r="E328">
        <v>60</v>
      </c>
      <c r="F328" t="s">
        <v>68</v>
      </c>
      <c r="G328" t="s">
        <v>443</v>
      </c>
      <c r="H328" t="s">
        <v>165</v>
      </c>
      <c r="I328" t="s">
        <v>161</v>
      </c>
      <c r="J328">
        <v>0</v>
      </c>
      <c r="K328">
        <v>45274.406736111108</v>
      </c>
      <c r="L328">
        <v>215</v>
      </c>
      <c r="O328">
        <v>24</v>
      </c>
      <c r="P328">
        <v>2</v>
      </c>
      <c r="Q328">
        <v>12</v>
      </c>
    </row>
    <row r="329" spans="2:17" x14ac:dyDescent="0.25">
      <c r="B329" t="s">
        <v>176</v>
      </c>
      <c r="C329" t="s">
        <v>262</v>
      </c>
      <c r="D329" t="s">
        <v>444</v>
      </c>
      <c r="E329">
        <v>8</v>
      </c>
      <c r="F329" t="s">
        <v>144</v>
      </c>
      <c r="G329" t="s">
        <v>148</v>
      </c>
      <c r="H329" t="s">
        <v>149</v>
      </c>
      <c r="I329" t="s">
        <v>147</v>
      </c>
      <c r="J329">
        <v>0</v>
      </c>
      <c r="K329">
        <v>45274.40766203704</v>
      </c>
      <c r="L329">
        <v>6275</v>
      </c>
      <c r="O329">
        <v>10</v>
      </c>
      <c r="P329">
        <v>0</v>
      </c>
      <c r="Q329">
        <v>8</v>
      </c>
    </row>
    <row r="330" spans="2:17" x14ac:dyDescent="0.25">
      <c r="B330" t="s">
        <v>321</v>
      </c>
      <c r="C330" t="s">
        <v>344</v>
      </c>
      <c r="D330" t="s">
        <v>445</v>
      </c>
      <c r="E330">
        <v>756</v>
      </c>
      <c r="F330" t="s">
        <v>68</v>
      </c>
      <c r="G330" t="s">
        <v>181</v>
      </c>
      <c r="H330" t="s">
        <v>182</v>
      </c>
      <c r="I330" t="s">
        <v>183</v>
      </c>
      <c r="J330">
        <v>0</v>
      </c>
      <c r="K330">
        <v>45274.415567129632</v>
      </c>
      <c r="L330">
        <v>690</v>
      </c>
      <c r="O330">
        <v>300</v>
      </c>
      <c r="P330">
        <v>2</v>
      </c>
      <c r="Q330">
        <v>156</v>
      </c>
    </row>
    <row r="331" spans="2:17" x14ac:dyDescent="0.25">
      <c r="B331" t="s">
        <v>321</v>
      </c>
      <c r="C331" t="s">
        <v>267</v>
      </c>
      <c r="D331" t="s">
        <v>446</v>
      </c>
      <c r="E331">
        <v>900</v>
      </c>
      <c r="F331" t="s">
        <v>68</v>
      </c>
      <c r="G331" t="s">
        <v>132</v>
      </c>
      <c r="H331" t="s">
        <v>133</v>
      </c>
      <c r="I331" t="s">
        <v>122</v>
      </c>
      <c r="J331">
        <v>0</v>
      </c>
      <c r="K331">
        <v>45274.415925925925</v>
      </c>
      <c r="L331">
        <v>12100</v>
      </c>
      <c r="O331">
        <v>1200</v>
      </c>
      <c r="P331">
        <v>0</v>
      </c>
      <c r="Q331">
        <v>900</v>
      </c>
    </row>
    <row r="332" spans="2:17" x14ac:dyDescent="0.25">
      <c r="B332" t="s">
        <v>321</v>
      </c>
      <c r="C332" t="s">
        <v>267</v>
      </c>
      <c r="D332" t="s">
        <v>446</v>
      </c>
      <c r="E332">
        <v>30</v>
      </c>
      <c r="F332" t="s">
        <v>68</v>
      </c>
      <c r="G332" t="s">
        <v>184</v>
      </c>
      <c r="H332" t="s">
        <v>185</v>
      </c>
      <c r="J332">
        <v>0</v>
      </c>
      <c r="K332">
        <v>45274.415983796294</v>
      </c>
      <c r="L332">
        <v>640</v>
      </c>
      <c r="O332">
        <v>4</v>
      </c>
      <c r="P332">
        <v>7</v>
      </c>
      <c r="Q332">
        <v>2</v>
      </c>
    </row>
    <row r="333" spans="2:17" x14ac:dyDescent="0.25">
      <c r="B333" t="s">
        <v>321</v>
      </c>
      <c r="C333" t="s">
        <v>267</v>
      </c>
      <c r="D333" t="s">
        <v>446</v>
      </c>
      <c r="E333">
        <v>30</v>
      </c>
      <c r="F333" t="s">
        <v>68</v>
      </c>
      <c r="G333" t="s">
        <v>787</v>
      </c>
      <c r="H333" t="s">
        <v>167</v>
      </c>
      <c r="I333" t="s">
        <v>161</v>
      </c>
      <c r="J333">
        <v>0</v>
      </c>
      <c r="K333">
        <v>45274.416041666664</v>
      </c>
      <c r="L333">
        <v>283</v>
      </c>
      <c r="O333">
        <v>4</v>
      </c>
      <c r="P333">
        <v>7</v>
      </c>
      <c r="Q333">
        <v>2</v>
      </c>
    </row>
    <row r="334" spans="2:17" x14ac:dyDescent="0.25">
      <c r="B334" t="s">
        <v>321</v>
      </c>
      <c r="C334" t="s">
        <v>345</v>
      </c>
      <c r="D334" t="s">
        <v>447</v>
      </c>
      <c r="E334">
        <v>4400</v>
      </c>
      <c r="F334" t="s">
        <v>68</v>
      </c>
      <c r="G334" t="s">
        <v>197</v>
      </c>
      <c r="H334" t="s">
        <v>198</v>
      </c>
      <c r="I334" t="s">
        <v>161</v>
      </c>
      <c r="J334">
        <v>0</v>
      </c>
      <c r="K334">
        <v>45274.416076388887</v>
      </c>
      <c r="L334">
        <v>2800</v>
      </c>
      <c r="O334">
        <v>2000</v>
      </c>
      <c r="P334">
        <v>2</v>
      </c>
      <c r="Q334">
        <v>400.00000000000034</v>
      </c>
    </row>
    <row r="335" spans="2:17" x14ac:dyDescent="0.25">
      <c r="B335" t="s">
        <v>321</v>
      </c>
      <c r="C335" t="s">
        <v>345</v>
      </c>
      <c r="D335" t="s">
        <v>447</v>
      </c>
      <c r="E335">
        <v>3900</v>
      </c>
      <c r="F335" t="s">
        <v>68</v>
      </c>
      <c r="G335" t="s">
        <v>163</v>
      </c>
      <c r="H335" t="s">
        <v>164</v>
      </c>
      <c r="I335" t="s">
        <v>161</v>
      </c>
      <c r="J335">
        <v>0</v>
      </c>
      <c r="K335">
        <v>45274.416122685187</v>
      </c>
      <c r="L335">
        <v>19120</v>
      </c>
      <c r="O335">
        <v>500</v>
      </c>
      <c r="P335">
        <v>7</v>
      </c>
      <c r="Q335">
        <v>399.99999999999989</v>
      </c>
    </row>
    <row r="336" spans="2:17" x14ac:dyDescent="0.25">
      <c r="B336" t="s">
        <v>321</v>
      </c>
      <c r="C336" t="s">
        <v>265</v>
      </c>
      <c r="D336" t="s">
        <v>448</v>
      </c>
      <c r="E336">
        <v>400</v>
      </c>
      <c r="F336" t="s">
        <v>68</v>
      </c>
      <c r="G336" t="s">
        <v>170</v>
      </c>
      <c r="H336" t="s">
        <v>171</v>
      </c>
      <c r="I336" t="s">
        <v>122</v>
      </c>
      <c r="J336">
        <v>0</v>
      </c>
      <c r="K336">
        <v>45274.416168981479</v>
      </c>
      <c r="L336">
        <v>2350</v>
      </c>
      <c r="O336">
        <v>100</v>
      </c>
      <c r="P336">
        <v>4</v>
      </c>
      <c r="Q336">
        <v>0</v>
      </c>
    </row>
    <row r="337" spans="2:17" x14ac:dyDescent="0.25">
      <c r="B337" t="s">
        <v>321</v>
      </c>
      <c r="C337" t="s">
        <v>266</v>
      </c>
      <c r="D337" t="s">
        <v>449</v>
      </c>
      <c r="E337">
        <v>250</v>
      </c>
      <c r="F337" t="s">
        <v>68</v>
      </c>
      <c r="G337" t="s">
        <v>168</v>
      </c>
      <c r="H337" t="s">
        <v>169</v>
      </c>
      <c r="I337" t="s">
        <v>122</v>
      </c>
      <c r="J337">
        <v>0</v>
      </c>
      <c r="K337">
        <v>45274.416226851848</v>
      </c>
      <c r="L337">
        <v>1756</v>
      </c>
      <c r="O337">
        <v>200</v>
      </c>
      <c r="P337">
        <v>1</v>
      </c>
      <c r="Q337">
        <v>50</v>
      </c>
    </row>
    <row r="338" spans="2:17" x14ac:dyDescent="0.25">
      <c r="B338" t="s">
        <v>450</v>
      </c>
      <c r="C338" t="s">
        <v>320</v>
      </c>
      <c r="D338" t="s">
        <v>66</v>
      </c>
      <c r="E338">
        <v>432</v>
      </c>
      <c r="F338" t="s">
        <v>152</v>
      </c>
      <c r="G338" t="s">
        <v>158</v>
      </c>
      <c r="H338" t="s">
        <v>154</v>
      </c>
      <c r="I338" t="s">
        <v>155</v>
      </c>
      <c r="J338">
        <v>1</v>
      </c>
      <c r="K338">
        <v>45275.592824074076</v>
      </c>
      <c r="L338">
        <v>432</v>
      </c>
      <c r="M338">
        <v>45272</v>
      </c>
      <c r="O338">
        <v>144</v>
      </c>
      <c r="P338">
        <v>3</v>
      </c>
      <c r="Q338">
        <v>0</v>
      </c>
    </row>
    <row r="339" spans="2:17" x14ac:dyDescent="0.25">
      <c r="B339" t="s">
        <v>451</v>
      </c>
      <c r="C339" t="s">
        <v>452</v>
      </c>
      <c r="D339" t="s">
        <v>66</v>
      </c>
      <c r="E339">
        <v>4032</v>
      </c>
      <c r="F339" t="s">
        <v>152</v>
      </c>
      <c r="G339" t="s">
        <v>157</v>
      </c>
      <c r="H339" t="s">
        <v>154</v>
      </c>
      <c r="I339" t="s">
        <v>155</v>
      </c>
      <c r="J339">
        <v>1</v>
      </c>
      <c r="K339">
        <v>45275.593807870369</v>
      </c>
      <c r="L339">
        <v>4032</v>
      </c>
      <c r="M339">
        <v>45272</v>
      </c>
      <c r="O339">
        <v>144</v>
      </c>
      <c r="P339">
        <v>28</v>
      </c>
      <c r="Q339">
        <v>0</v>
      </c>
    </row>
    <row r="340" spans="2:17" x14ac:dyDescent="0.25">
      <c r="B340" t="s">
        <v>451</v>
      </c>
      <c r="C340" t="s">
        <v>452</v>
      </c>
      <c r="D340" t="s">
        <v>66</v>
      </c>
      <c r="E340">
        <v>1440</v>
      </c>
      <c r="F340" t="s">
        <v>152</v>
      </c>
      <c r="G340" t="s">
        <v>158</v>
      </c>
      <c r="H340" t="s">
        <v>154</v>
      </c>
      <c r="I340" t="s">
        <v>155</v>
      </c>
      <c r="J340">
        <v>1</v>
      </c>
      <c r="K340">
        <v>45275.594340277778</v>
      </c>
      <c r="L340">
        <v>1872</v>
      </c>
      <c r="M340">
        <v>45272</v>
      </c>
      <c r="O340">
        <v>144</v>
      </c>
      <c r="P340">
        <v>10</v>
      </c>
      <c r="Q340">
        <v>0</v>
      </c>
    </row>
    <row r="341" spans="2:17" x14ac:dyDescent="0.25">
      <c r="B341" t="s">
        <v>321</v>
      </c>
      <c r="C341" t="s">
        <v>267</v>
      </c>
      <c r="D341" t="s">
        <v>453</v>
      </c>
      <c r="E341">
        <v>50</v>
      </c>
      <c r="F341" t="s">
        <v>68</v>
      </c>
      <c r="G341" t="s">
        <v>184</v>
      </c>
      <c r="H341" t="s">
        <v>185</v>
      </c>
      <c r="J341">
        <v>0</v>
      </c>
      <c r="K341">
        <v>45275.750590277778</v>
      </c>
      <c r="L341">
        <v>590</v>
      </c>
      <c r="O341">
        <v>4</v>
      </c>
      <c r="P341">
        <v>12</v>
      </c>
      <c r="Q341">
        <v>2</v>
      </c>
    </row>
    <row r="342" spans="2:17" x14ac:dyDescent="0.25">
      <c r="B342" t="s">
        <v>321</v>
      </c>
      <c r="C342" t="s">
        <v>267</v>
      </c>
      <c r="D342" t="s">
        <v>453</v>
      </c>
      <c r="E342">
        <v>25000</v>
      </c>
      <c r="F342" t="s">
        <v>68</v>
      </c>
      <c r="G342" t="s">
        <v>120</v>
      </c>
      <c r="H342" t="s">
        <v>121</v>
      </c>
      <c r="I342" t="s">
        <v>122</v>
      </c>
      <c r="J342">
        <v>0</v>
      </c>
      <c r="K342">
        <v>45275.751030092593</v>
      </c>
      <c r="L342">
        <v>177400</v>
      </c>
      <c r="O342">
        <v>2400</v>
      </c>
      <c r="P342">
        <v>10</v>
      </c>
      <c r="Q342">
        <v>999.99999999999864</v>
      </c>
    </row>
    <row r="343" spans="2:17" x14ac:dyDescent="0.25">
      <c r="B343" t="s">
        <v>321</v>
      </c>
      <c r="C343" t="s">
        <v>454</v>
      </c>
      <c r="D343" t="s">
        <v>455</v>
      </c>
      <c r="E343">
        <v>300</v>
      </c>
      <c r="F343" t="s">
        <v>68</v>
      </c>
      <c r="G343" t="s">
        <v>168</v>
      </c>
      <c r="H343" t="s">
        <v>169</v>
      </c>
      <c r="I343" t="s">
        <v>122</v>
      </c>
      <c r="J343">
        <v>0</v>
      </c>
      <c r="K343">
        <v>45275.751550925925</v>
      </c>
      <c r="L343">
        <v>1456</v>
      </c>
      <c r="O343">
        <v>200</v>
      </c>
      <c r="P343">
        <v>1</v>
      </c>
      <c r="Q343">
        <v>100</v>
      </c>
    </row>
    <row r="344" spans="2:17" x14ac:dyDescent="0.25">
      <c r="B344" t="s">
        <v>321</v>
      </c>
      <c r="C344" t="s">
        <v>265</v>
      </c>
      <c r="D344" t="s">
        <v>456</v>
      </c>
      <c r="E344">
        <v>400</v>
      </c>
      <c r="F344" t="s">
        <v>68</v>
      </c>
      <c r="G344" t="s">
        <v>170</v>
      </c>
      <c r="H344" t="s">
        <v>171</v>
      </c>
      <c r="I344" t="s">
        <v>122</v>
      </c>
      <c r="J344">
        <v>0</v>
      </c>
      <c r="K344">
        <v>45275.752060185187</v>
      </c>
      <c r="L344">
        <v>1950</v>
      </c>
      <c r="O344">
        <v>100</v>
      </c>
      <c r="P344">
        <v>4</v>
      </c>
      <c r="Q344">
        <v>0</v>
      </c>
    </row>
    <row r="345" spans="2:17" x14ac:dyDescent="0.25">
      <c r="B345" t="s">
        <v>321</v>
      </c>
      <c r="C345" t="s">
        <v>457</v>
      </c>
      <c r="D345" t="s">
        <v>457</v>
      </c>
      <c r="E345">
        <v>400</v>
      </c>
      <c r="F345" t="s">
        <v>144</v>
      </c>
      <c r="G345" t="s">
        <v>145</v>
      </c>
      <c r="H345" t="s">
        <v>146</v>
      </c>
      <c r="I345" t="s">
        <v>458</v>
      </c>
      <c r="J345">
        <v>0</v>
      </c>
      <c r="K345">
        <v>45279.525069444448</v>
      </c>
      <c r="L345">
        <v>1718</v>
      </c>
      <c r="O345">
        <v>10</v>
      </c>
      <c r="P345">
        <v>40</v>
      </c>
      <c r="Q345">
        <v>0</v>
      </c>
    </row>
    <row r="346" spans="2:17" x14ac:dyDescent="0.25">
      <c r="B346" t="s">
        <v>321</v>
      </c>
      <c r="C346" t="s">
        <v>766</v>
      </c>
      <c r="D346">
        <v>478</v>
      </c>
      <c r="E346">
        <v>1600</v>
      </c>
      <c r="F346" t="s">
        <v>68</v>
      </c>
      <c r="G346" t="s">
        <v>120</v>
      </c>
      <c r="H346" t="s">
        <v>121</v>
      </c>
      <c r="I346" t="s">
        <v>122</v>
      </c>
      <c r="J346">
        <v>0</v>
      </c>
      <c r="K346">
        <v>45279.52511574074</v>
      </c>
      <c r="L346">
        <v>175800</v>
      </c>
      <c r="O346">
        <v>2400</v>
      </c>
      <c r="P346">
        <v>0</v>
      </c>
      <c r="Q346">
        <v>1600</v>
      </c>
    </row>
    <row r="347" spans="2:17" x14ac:dyDescent="0.25">
      <c r="B347" t="s">
        <v>321</v>
      </c>
      <c r="C347" t="s">
        <v>344</v>
      </c>
      <c r="D347">
        <v>479</v>
      </c>
      <c r="E347">
        <v>640</v>
      </c>
      <c r="F347" t="s">
        <v>68</v>
      </c>
      <c r="G347" t="s">
        <v>181</v>
      </c>
      <c r="H347" t="s">
        <v>182</v>
      </c>
      <c r="I347" t="s">
        <v>183</v>
      </c>
      <c r="J347">
        <v>0</v>
      </c>
      <c r="K347">
        <v>45279.525138888886</v>
      </c>
      <c r="L347">
        <v>50</v>
      </c>
      <c r="O347">
        <v>300</v>
      </c>
      <c r="P347">
        <v>2</v>
      </c>
      <c r="Q347">
        <v>39.999999999999993</v>
      </c>
    </row>
    <row r="348" spans="2:17" x14ac:dyDescent="0.25">
      <c r="B348" t="s">
        <v>321</v>
      </c>
      <c r="C348" t="s">
        <v>509</v>
      </c>
      <c r="D348">
        <v>480</v>
      </c>
      <c r="E348">
        <v>30000</v>
      </c>
      <c r="F348" t="s">
        <v>68</v>
      </c>
      <c r="G348" t="s">
        <v>120</v>
      </c>
      <c r="H348" t="s">
        <v>121</v>
      </c>
      <c r="I348" t="s">
        <v>122</v>
      </c>
      <c r="J348">
        <v>0</v>
      </c>
      <c r="K348">
        <v>45279.525185185186</v>
      </c>
      <c r="L348">
        <v>145800</v>
      </c>
      <c r="O348">
        <v>2400</v>
      </c>
      <c r="P348">
        <v>12</v>
      </c>
      <c r="Q348">
        <v>1200</v>
      </c>
    </row>
    <row r="349" spans="2:17" x14ac:dyDescent="0.25">
      <c r="B349" t="s">
        <v>321</v>
      </c>
      <c r="C349" t="s">
        <v>345</v>
      </c>
      <c r="D349">
        <v>481</v>
      </c>
      <c r="E349">
        <v>2000</v>
      </c>
      <c r="F349" t="s">
        <v>68</v>
      </c>
      <c r="G349" t="s">
        <v>197</v>
      </c>
      <c r="H349" t="s">
        <v>198</v>
      </c>
      <c r="I349" t="s">
        <v>161</v>
      </c>
      <c r="J349">
        <v>0</v>
      </c>
      <c r="K349">
        <v>45279.525208333333</v>
      </c>
      <c r="L349">
        <v>800</v>
      </c>
      <c r="O349">
        <v>2000</v>
      </c>
      <c r="P349">
        <v>1</v>
      </c>
      <c r="Q349">
        <v>0</v>
      </c>
    </row>
    <row r="350" spans="2:17" x14ac:dyDescent="0.25">
      <c r="B350" t="s">
        <v>321</v>
      </c>
      <c r="C350" t="s">
        <v>767</v>
      </c>
      <c r="D350">
        <v>482</v>
      </c>
      <c r="E350">
        <v>100</v>
      </c>
      <c r="F350" t="s">
        <v>68</v>
      </c>
      <c r="G350" t="s">
        <v>145</v>
      </c>
      <c r="H350" t="s">
        <v>146</v>
      </c>
      <c r="I350" t="s">
        <v>147</v>
      </c>
      <c r="J350">
        <v>0</v>
      </c>
      <c r="K350">
        <v>45279.525231481479</v>
      </c>
      <c r="L350">
        <v>1618</v>
      </c>
      <c r="O350">
        <v>10</v>
      </c>
      <c r="P350">
        <v>10</v>
      </c>
      <c r="Q350">
        <v>0</v>
      </c>
    </row>
    <row r="351" spans="2:17" x14ac:dyDescent="0.25">
      <c r="B351" t="s">
        <v>321</v>
      </c>
      <c r="C351" t="s">
        <v>266</v>
      </c>
      <c r="D351">
        <v>483</v>
      </c>
      <c r="E351">
        <v>50</v>
      </c>
      <c r="F351" t="s">
        <v>68</v>
      </c>
      <c r="G351" t="s">
        <v>145</v>
      </c>
      <c r="H351" t="s">
        <v>146</v>
      </c>
      <c r="I351" t="s">
        <v>147</v>
      </c>
      <c r="J351">
        <v>0</v>
      </c>
      <c r="K351">
        <v>45279.525254629632</v>
      </c>
      <c r="L351">
        <v>1568</v>
      </c>
      <c r="O351">
        <v>10</v>
      </c>
      <c r="P351">
        <v>5</v>
      </c>
      <c r="Q351">
        <v>0</v>
      </c>
    </row>
    <row r="352" spans="2:17" x14ac:dyDescent="0.25">
      <c r="B352" t="s">
        <v>321</v>
      </c>
      <c r="C352" t="s">
        <v>368</v>
      </c>
      <c r="D352">
        <v>477</v>
      </c>
      <c r="E352">
        <v>20000</v>
      </c>
      <c r="F352" t="s">
        <v>68</v>
      </c>
      <c r="G352" t="s">
        <v>124</v>
      </c>
      <c r="H352" t="s">
        <v>125</v>
      </c>
      <c r="I352" t="s">
        <v>122</v>
      </c>
      <c r="J352">
        <v>0</v>
      </c>
      <c r="K352">
        <v>45279.525289351855</v>
      </c>
      <c r="L352">
        <v>20000</v>
      </c>
      <c r="O352">
        <v>1200</v>
      </c>
      <c r="P352">
        <v>16</v>
      </c>
      <c r="Q352">
        <v>800.00000000000136</v>
      </c>
    </row>
    <row r="353" spans="2:17" x14ac:dyDescent="0.25">
      <c r="B353" t="s">
        <v>459</v>
      </c>
      <c r="C353" t="s">
        <v>460</v>
      </c>
      <c r="D353" t="s">
        <v>461</v>
      </c>
      <c r="E353">
        <v>30000</v>
      </c>
      <c r="F353" t="s">
        <v>68</v>
      </c>
      <c r="G353" t="s">
        <v>190</v>
      </c>
      <c r="H353" t="s">
        <v>191</v>
      </c>
      <c r="I353" t="s">
        <v>122</v>
      </c>
      <c r="J353">
        <v>1</v>
      </c>
      <c r="K353">
        <v>45279.606608796297</v>
      </c>
      <c r="L353">
        <v>30000</v>
      </c>
      <c r="M353" t="s">
        <v>462</v>
      </c>
      <c r="O353">
        <v>1</v>
      </c>
      <c r="P353">
        <v>30000</v>
      </c>
      <c r="Q353">
        <v>0</v>
      </c>
    </row>
    <row r="354" spans="2:17" x14ac:dyDescent="0.25">
      <c r="B354" t="s">
        <v>459</v>
      </c>
      <c r="C354" t="s">
        <v>460</v>
      </c>
      <c r="D354" t="s">
        <v>461</v>
      </c>
      <c r="E354">
        <v>30000</v>
      </c>
      <c r="F354" t="s">
        <v>68</v>
      </c>
      <c r="G354" t="s">
        <v>300</v>
      </c>
      <c r="H354" t="s">
        <v>301</v>
      </c>
      <c r="I354" t="s">
        <v>122</v>
      </c>
      <c r="J354">
        <v>1</v>
      </c>
      <c r="K354">
        <v>45279.606712962966</v>
      </c>
      <c r="L354">
        <v>31200</v>
      </c>
      <c r="M354" t="s">
        <v>462</v>
      </c>
      <c r="O354">
        <v>1</v>
      </c>
      <c r="P354">
        <v>30000</v>
      </c>
      <c r="Q354">
        <v>0</v>
      </c>
    </row>
    <row r="355" spans="2:17" x14ac:dyDescent="0.25">
      <c r="B355" t="s">
        <v>459</v>
      </c>
      <c r="C355" t="s">
        <v>460</v>
      </c>
      <c r="D355" t="s">
        <v>461</v>
      </c>
      <c r="E355">
        <v>30000</v>
      </c>
      <c r="F355" t="s">
        <v>68</v>
      </c>
      <c r="G355" t="s">
        <v>136</v>
      </c>
      <c r="H355" t="s">
        <v>137</v>
      </c>
      <c r="I355" t="s">
        <v>122</v>
      </c>
      <c r="J355">
        <v>1</v>
      </c>
      <c r="K355">
        <v>45279.606828703705</v>
      </c>
      <c r="L355">
        <v>30000</v>
      </c>
      <c r="M355" t="s">
        <v>462</v>
      </c>
      <c r="O355">
        <v>2400</v>
      </c>
      <c r="P355">
        <v>12</v>
      </c>
      <c r="Q355">
        <v>1200</v>
      </c>
    </row>
    <row r="356" spans="2:17" x14ac:dyDescent="0.25">
      <c r="B356" t="s">
        <v>459</v>
      </c>
      <c r="C356" t="s">
        <v>460</v>
      </c>
      <c r="D356" t="s">
        <v>461</v>
      </c>
      <c r="E356">
        <v>30000</v>
      </c>
      <c r="F356" t="s">
        <v>68</v>
      </c>
      <c r="G356" t="s">
        <v>188</v>
      </c>
      <c r="H356" t="s">
        <v>189</v>
      </c>
      <c r="I356" t="s">
        <v>122</v>
      </c>
      <c r="J356">
        <v>1</v>
      </c>
      <c r="K356">
        <v>45279.606886574074</v>
      </c>
      <c r="L356">
        <v>30000</v>
      </c>
      <c r="M356" t="s">
        <v>462</v>
      </c>
      <c r="O356">
        <v>2400</v>
      </c>
      <c r="P356">
        <v>12</v>
      </c>
      <c r="Q356">
        <v>1200</v>
      </c>
    </row>
    <row r="357" spans="2:17" x14ac:dyDescent="0.25">
      <c r="B357" t="s">
        <v>176</v>
      </c>
      <c r="C357" t="s">
        <v>418</v>
      </c>
      <c r="D357" t="s">
        <v>463</v>
      </c>
      <c r="E357">
        <v>20</v>
      </c>
      <c r="F357" t="s">
        <v>68</v>
      </c>
      <c r="G357" t="s">
        <v>787</v>
      </c>
      <c r="H357" t="s">
        <v>167</v>
      </c>
      <c r="I357" t="s">
        <v>161</v>
      </c>
      <c r="J357">
        <v>0</v>
      </c>
      <c r="K357">
        <v>45280.54178240741</v>
      </c>
      <c r="L357">
        <v>263</v>
      </c>
      <c r="O357">
        <v>4</v>
      </c>
      <c r="P357">
        <v>5</v>
      </c>
      <c r="Q357">
        <v>0</v>
      </c>
    </row>
    <row r="358" spans="2:17" x14ac:dyDescent="0.25">
      <c r="B358" t="s">
        <v>464</v>
      </c>
      <c r="C358" t="s">
        <v>465</v>
      </c>
      <c r="D358" t="s">
        <v>380</v>
      </c>
      <c r="E358">
        <v>15</v>
      </c>
      <c r="F358" t="s">
        <v>152</v>
      </c>
      <c r="G358" t="s">
        <v>379</v>
      </c>
      <c r="H358" t="s">
        <v>226</v>
      </c>
      <c r="I358" t="s">
        <v>227</v>
      </c>
      <c r="J358">
        <v>1</v>
      </c>
      <c r="K358">
        <v>45280.706423611111</v>
      </c>
      <c r="L358">
        <v>22</v>
      </c>
      <c r="M358" t="s">
        <v>462</v>
      </c>
      <c r="O358">
        <v>1</v>
      </c>
      <c r="P358">
        <v>15</v>
      </c>
      <c r="Q358">
        <v>0</v>
      </c>
    </row>
    <row r="359" spans="2:17" x14ac:dyDescent="0.25">
      <c r="B359" t="s">
        <v>464</v>
      </c>
      <c r="C359" t="s">
        <v>465</v>
      </c>
      <c r="D359" t="s">
        <v>380</v>
      </c>
      <c r="E359">
        <v>11</v>
      </c>
      <c r="F359" t="s">
        <v>152</v>
      </c>
      <c r="G359" t="s">
        <v>243</v>
      </c>
      <c r="H359" t="s">
        <v>226</v>
      </c>
      <c r="I359" t="s">
        <v>227</v>
      </c>
      <c r="J359">
        <v>1</v>
      </c>
      <c r="K359">
        <v>45280.70652777778</v>
      </c>
      <c r="L359">
        <v>11</v>
      </c>
      <c r="M359" t="s">
        <v>462</v>
      </c>
      <c r="O359">
        <v>1</v>
      </c>
      <c r="P359">
        <v>11</v>
      </c>
      <c r="Q359">
        <v>0</v>
      </c>
    </row>
    <row r="360" spans="2:17" x14ac:dyDescent="0.25">
      <c r="B360" t="s">
        <v>464</v>
      </c>
      <c r="C360" t="s">
        <v>465</v>
      </c>
      <c r="D360" t="s">
        <v>380</v>
      </c>
      <c r="E360">
        <v>21</v>
      </c>
      <c r="F360" t="s">
        <v>152</v>
      </c>
      <c r="G360" t="s">
        <v>244</v>
      </c>
      <c r="H360" t="s">
        <v>226</v>
      </c>
      <c r="I360" t="s">
        <v>227</v>
      </c>
      <c r="J360">
        <v>1</v>
      </c>
      <c r="K360">
        <v>45280.706956018519</v>
      </c>
      <c r="L360">
        <v>21</v>
      </c>
      <c r="M360" t="s">
        <v>462</v>
      </c>
      <c r="O360">
        <v>1</v>
      </c>
      <c r="P360">
        <v>21</v>
      </c>
      <c r="Q360">
        <v>0</v>
      </c>
    </row>
    <row r="361" spans="2:17" x14ac:dyDescent="0.25">
      <c r="B361" t="s">
        <v>464</v>
      </c>
      <c r="C361" t="s">
        <v>465</v>
      </c>
      <c r="D361" t="s">
        <v>380</v>
      </c>
      <c r="E361">
        <v>21</v>
      </c>
      <c r="F361" t="s">
        <v>152</v>
      </c>
      <c r="G361" t="s">
        <v>377</v>
      </c>
      <c r="H361" t="s">
        <v>226</v>
      </c>
      <c r="I361" t="s">
        <v>227</v>
      </c>
      <c r="J361">
        <v>1</v>
      </c>
      <c r="K361">
        <v>45280.70716435185</v>
      </c>
      <c r="L361">
        <v>32</v>
      </c>
      <c r="M361" t="s">
        <v>462</v>
      </c>
      <c r="O361">
        <v>1</v>
      </c>
      <c r="P361">
        <v>21</v>
      </c>
      <c r="Q361">
        <v>0</v>
      </c>
    </row>
    <row r="362" spans="2:17" x14ac:dyDescent="0.25">
      <c r="B362" t="s">
        <v>464</v>
      </c>
      <c r="C362" t="s">
        <v>465</v>
      </c>
      <c r="D362" t="s">
        <v>380</v>
      </c>
      <c r="E362">
        <v>18</v>
      </c>
      <c r="F362" t="s">
        <v>152</v>
      </c>
      <c r="G362" t="s">
        <v>378</v>
      </c>
      <c r="H362" t="s">
        <v>226</v>
      </c>
      <c r="I362" t="s">
        <v>227</v>
      </c>
      <c r="J362">
        <v>1</v>
      </c>
      <c r="K362">
        <v>45280.707384259258</v>
      </c>
      <c r="L362">
        <v>18</v>
      </c>
      <c r="M362" t="s">
        <v>462</v>
      </c>
      <c r="O362">
        <v>1</v>
      </c>
      <c r="P362">
        <v>18</v>
      </c>
      <c r="Q362">
        <v>0</v>
      </c>
    </row>
    <row r="363" spans="2:17" x14ac:dyDescent="0.25">
      <c r="B363" t="s">
        <v>464</v>
      </c>
      <c r="C363" t="s">
        <v>465</v>
      </c>
      <c r="D363" t="s">
        <v>380</v>
      </c>
      <c r="E363">
        <v>32</v>
      </c>
      <c r="F363" t="s">
        <v>152</v>
      </c>
      <c r="G363" t="s">
        <v>245</v>
      </c>
      <c r="H363" t="s">
        <v>226</v>
      </c>
      <c r="I363" t="s">
        <v>227</v>
      </c>
      <c r="J363">
        <v>1</v>
      </c>
      <c r="K363">
        <v>45280.70758101852</v>
      </c>
      <c r="L363">
        <v>32</v>
      </c>
      <c r="M363" t="s">
        <v>462</v>
      </c>
      <c r="O363">
        <v>1</v>
      </c>
      <c r="P363">
        <v>32</v>
      </c>
      <c r="Q363">
        <v>0</v>
      </c>
    </row>
    <row r="364" spans="2:17" x14ac:dyDescent="0.25">
      <c r="B364" t="s">
        <v>464</v>
      </c>
      <c r="C364" t="s">
        <v>465</v>
      </c>
      <c r="D364" t="s">
        <v>380</v>
      </c>
      <c r="E364">
        <v>26</v>
      </c>
      <c r="F364" t="s">
        <v>152</v>
      </c>
      <c r="G364" t="s">
        <v>415</v>
      </c>
      <c r="H364" t="s">
        <v>226</v>
      </c>
      <c r="I364" t="s">
        <v>227</v>
      </c>
      <c r="J364">
        <v>1</v>
      </c>
      <c r="K364">
        <v>45280.707766203705</v>
      </c>
      <c r="L364">
        <v>26</v>
      </c>
      <c r="M364" t="s">
        <v>462</v>
      </c>
      <c r="O364">
        <v>1</v>
      </c>
      <c r="P364">
        <v>26</v>
      </c>
      <c r="Q364">
        <v>0</v>
      </c>
    </row>
    <row r="365" spans="2:17" x14ac:dyDescent="0.25">
      <c r="B365" t="s">
        <v>464</v>
      </c>
      <c r="C365" t="s">
        <v>465</v>
      </c>
      <c r="D365" t="s">
        <v>380</v>
      </c>
      <c r="E365">
        <v>14</v>
      </c>
      <c r="F365" t="s">
        <v>152</v>
      </c>
      <c r="G365" t="s">
        <v>64</v>
      </c>
      <c r="H365" t="s">
        <v>226</v>
      </c>
      <c r="I365" t="s">
        <v>227</v>
      </c>
      <c r="J365">
        <v>1</v>
      </c>
      <c r="K365">
        <v>45280.707997685182</v>
      </c>
      <c r="L365">
        <v>14</v>
      </c>
      <c r="M365" t="s">
        <v>462</v>
      </c>
      <c r="O365">
        <v>1</v>
      </c>
      <c r="P365">
        <v>14</v>
      </c>
      <c r="Q365">
        <v>0</v>
      </c>
    </row>
    <row r="366" spans="2:17" x14ac:dyDescent="0.25">
      <c r="B366" t="s">
        <v>464</v>
      </c>
      <c r="C366" t="s">
        <v>465</v>
      </c>
      <c r="D366" t="s">
        <v>380</v>
      </c>
      <c r="E366">
        <v>10</v>
      </c>
      <c r="F366" t="s">
        <v>152</v>
      </c>
      <c r="G366" t="s">
        <v>235</v>
      </c>
      <c r="H366" t="s">
        <v>226</v>
      </c>
      <c r="I366" t="s">
        <v>227</v>
      </c>
      <c r="J366">
        <v>1</v>
      </c>
      <c r="K366">
        <v>45280.70820601852</v>
      </c>
      <c r="L366">
        <v>10</v>
      </c>
      <c r="M366" t="s">
        <v>462</v>
      </c>
      <c r="O366">
        <v>1</v>
      </c>
      <c r="P366">
        <v>10</v>
      </c>
      <c r="Q366">
        <v>0</v>
      </c>
    </row>
    <row r="367" spans="2:17" x14ac:dyDescent="0.25">
      <c r="B367" t="s">
        <v>466</v>
      </c>
      <c r="C367" t="s">
        <v>467</v>
      </c>
      <c r="D367" t="s">
        <v>468</v>
      </c>
      <c r="E367">
        <v>20000</v>
      </c>
      <c r="F367" t="s">
        <v>68</v>
      </c>
      <c r="G367" t="s">
        <v>140</v>
      </c>
      <c r="H367" t="s">
        <v>141</v>
      </c>
      <c r="I367" t="s">
        <v>122</v>
      </c>
      <c r="J367">
        <v>1</v>
      </c>
      <c r="K367">
        <v>45654.526423611111</v>
      </c>
      <c r="L367">
        <v>217000</v>
      </c>
      <c r="M367" t="s">
        <v>469</v>
      </c>
      <c r="O367">
        <v>2400</v>
      </c>
      <c r="P367">
        <v>8</v>
      </c>
      <c r="Q367">
        <v>800.00000000000136</v>
      </c>
    </row>
    <row r="368" spans="2:17" x14ac:dyDescent="0.25">
      <c r="B368" t="s">
        <v>176</v>
      </c>
      <c r="C368" t="s">
        <v>387</v>
      </c>
      <c r="D368" t="s">
        <v>470</v>
      </c>
      <c r="E368">
        <v>1600</v>
      </c>
      <c r="F368" t="s">
        <v>68</v>
      </c>
      <c r="G368" t="s">
        <v>188</v>
      </c>
      <c r="H368" t="s">
        <v>189</v>
      </c>
      <c r="I368" t="s">
        <v>122</v>
      </c>
      <c r="J368">
        <v>0</v>
      </c>
      <c r="K368">
        <v>45294.571736111109</v>
      </c>
      <c r="L368">
        <v>30200</v>
      </c>
      <c r="O368">
        <v>2400</v>
      </c>
      <c r="P368">
        <v>0</v>
      </c>
      <c r="Q368">
        <v>1600</v>
      </c>
    </row>
    <row r="369" spans="2:17" x14ac:dyDescent="0.25">
      <c r="B369" t="s">
        <v>176</v>
      </c>
      <c r="C369" t="s">
        <v>387</v>
      </c>
      <c r="D369" t="s">
        <v>470</v>
      </c>
      <c r="E369">
        <v>1000</v>
      </c>
      <c r="F369" t="s">
        <v>68</v>
      </c>
      <c r="G369" t="s">
        <v>190</v>
      </c>
      <c r="H369" t="s">
        <v>191</v>
      </c>
      <c r="I369" t="s">
        <v>122</v>
      </c>
      <c r="J369">
        <v>0</v>
      </c>
      <c r="K369">
        <v>45294.57203703704</v>
      </c>
      <c r="L369">
        <v>29000</v>
      </c>
      <c r="O369">
        <v>2400</v>
      </c>
      <c r="P369">
        <v>0</v>
      </c>
      <c r="Q369">
        <v>1000</v>
      </c>
    </row>
    <row r="370" spans="2:17" x14ac:dyDescent="0.25">
      <c r="B370" t="s">
        <v>176</v>
      </c>
      <c r="C370" t="s">
        <v>422</v>
      </c>
      <c r="D370" t="s">
        <v>471</v>
      </c>
      <c r="E370">
        <v>400</v>
      </c>
      <c r="F370" t="s">
        <v>68</v>
      </c>
      <c r="G370" t="s">
        <v>134</v>
      </c>
      <c r="H370" t="s">
        <v>135</v>
      </c>
      <c r="I370" t="s">
        <v>122</v>
      </c>
      <c r="J370">
        <v>0</v>
      </c>
      <c r="K370">
        <v>45294.572604166664</v>
      </c>
      <c r="L370">
        <v>5400</v>
      </c>
      <c r="O370">
        <v>3000</v>
      </c>
      <c r="P370">
        <v>0</v>
      </c>
      <c r="Q370">
        <v>400</v>
      </c>
    </row>
    <row r="371" spans="2:17" x14ac:dyDescent="0.25">
      <c r="B371" t="s">
        <v>176</v>
      </c>
      <c r="C371" t="s">
        <v>422</v>
      </c>
      <c r="D371" t="s">
        <v>471</v>
      </c>
      <c r="E371">
        <v>400</v>
      </c>
      <c r="F371" t="s">
        <v>68</v>
      </c>
      <c r="G371" t="s">
        <v>136</v>
      </c>
      <c r="H371" t="s">
        <v>137</v>
      </c>
      <c r="I371" t="s">
        <v>122</v>
      </c>
      <c r="J371">
        <v>0</v>
      </c>
      <c r="K371">
        <v>45294.572870370372</v>
      </c>
      <c r="L371">
        <v>29600</v>
      </c>
      <c r="O371">
        <v>2400</v>
      </c>
      <c r="P371">
        <v>0</v>
      </c>
      <c r="Q371">
        <v>400</v>
      </c>
    </row>
    <row r="372" spans="2:17" x14ac:dyDescent="0.25">
      <c r="B372" t="s">
        <v>176</v>
      </c>
      <c r="C372" t="s">
        <v>392</v>
      </c>
      <c r="D372" t="s">
        <v>472</v>
      </c>
      <c r="E372">
        <v>4700</v>
      </c>
      <c r="F372" t="s">
        <v>68</v>
      </c>
      <c r="G372" t="s">
        <v>163</v>
      </c>
      <c r="H372" t="s">
        <v>164</v>
      </c>
      <c r="I372" t="s">
        <v>161</v>
      </c>
      <c r="J372">
        <v>0</v>
      </c>
      <c r="K372">
        <v>45294.573483796295</v>
      </c>
      <c r="L372">
        <v>14420</v>
      </c>
      <c r="O372">
        <v>500</v>
      </c>
      <c r="P372">
        <v>9</v>
      </c>
      <c r="Q372">
        <v>200.00000000000017</v>
      </c>
    </row>
    <row r="373" spans="2:17" x14ac:dyDescent="0.25">
      <c r="B373" t="s">
        <v>176</v>
      </c>
      <c r="C373" t="s">
        <v>392</v>
      </c>
      <c r="D373" t="s">
        <v>472</v>
      </c>
      <c r="E373">
        <v>60</v>
      </c>
      <c r="F373" t="s">
        <v>68</v>
      </c>
      <c r="G373" t="s">
        <v>181</v>
      </c>
      <c r="H373" t="s">
        <v>182</v>
      </c>
      <c r="I373" t="s">
        <v>183</v>
      </c>
      <c r="J373">
        <v>0</v>
      </c>
      <c r="K373">
        <v>45294.573819444442</v>
      </c>
      <c r="L373">
        <v>-10</v>
      </c>
      <c r="O373">
        <v>300</v>
      </c>
      <c r="P373">
        <v>0</v>
      </c>
      <c r="Q373">
        <v>60</v>
      </c>
    </row>
    <row r="374" spans="2:17" x14ac:dyDescent="0.25">
      <c r="B374" t="s">
        <v>176</v>
      </c>
      <c r="C374" t="s">
        <v>392</v>
      </c>
      <c r="D374" t="s">
        <v>472</v>
      </c>
      <c r="E374">
        <v>40</v>
      </c>
      <c r="F374" t="s">
        <v>68</v>
      </c>
      <c r="G374" t="s">
        <v>126</v>
      </c>
      <c r="H374" t="s">
        <v>180</v>
      </c>
      <c r="J374">
        <v>0</v>
      </c>
      <c r="K374">
        <v>45294.574189814812</v>
      </c>
      <c r="L374">
        <v>192</v>
      </c>
      <c r="O374">
        <v>96</v>
      </c>
      <c r="P374">
        <v>0</v>
      </c>
      <c r="Q374">
        <v>40</v>
      </c>
    </row>
    <row r="375" spans="2:17" x14ac:dyDescent="0.25">
      <c r="B375" t="s">
        <v>176</v>
      </c>
      <c r="C375" t="s">
        <v>392</v>
      </c>
      <c r="D375" t="s">
        <v>472</v>
      </c>
      <c r="E375">
        <v>1300</v>
      </c>
      <c r="F375" t="s">
        <v>68</v>
      </c>
      <c r="G375" t="s">
        <v>219</v>
      </c>
      <c r="H375" t="s">
        <v>220</v>
      </c>
      <c r="I375" t="s">
        <v>161</v>
      </c>
      <c r="J375">
        <v>0</v>
      </c>
      <c r="K375">
        <v>45294.574537037035</v>
      </c>
      <c r="L375">
        <v>7200</v>
      </c>
      <c r="O375">
        <v>1</v>
      </c>
      <c r="P375">
        <v>1300</v>
      </c>
      <c r="Q375">
        <v>0</v>
      </c>
    </row>
    <row r="376" spans="2:17" x14ac:dyDescent="0.25">
      <c r="B376" t="s">
        <v>176</v>
      </c>
      <c r="C376" t="s">
        <v>392</v>
      </c>
      <c r="D376" t="s">
        <v>472</v>
      </c>
      <c r="E376">
        <v>760</v>
      </c>
      <c r="F376" t="s">
        <v>152</v>
      </c>
      <c r="G376" t="s">
        <v>156</v>
      </c>
      <c r="H376" t="s">
        <v>154</v>
      </c>
      <c r="I376" t="s">
        <v>155</v>
      </c>
      <c r="J376">
        <v>0</v>
      </c>
      <c r="K376">
        <v>45294.574872685182</v>
      </c>
      <c r="L376">
        <v>3688</v>
      </c>
      <c r="O376">
        <v>144</v>
      </c>
      <c r="P376">
        <v>5</v>
      </c>
      <c r="Q376">
        <v>39.999999999999986</v>
      </c>
    </row>
    <row r="377" spans="2:17" x14ac:dyDescent="0.25">
      <c r="B377" t="s">
        <v>176</v>
      </c>
      <c r="C377" t="s">
        <v>392</v>
      </c>
      <c r="D377" t="s">
        <v>472</v>
      </c>
      <c r="E377">
        <v>670</v>
      </c>
      <c r="F377" t="s">
        <v>152</v>
      </c>
      <c r="G377" t="s">
        <v>157</v>
      </c>
      <c r="H377" t="s">
        <v>154</v>
      </c>
      <c r="I377" t="s">
        <v>155</v>
      </c>
      <c r="J377">
        <v>0</v>
      </c>
      <c r="K377">
        <v>45294.575104166666</v>
      </c>
      <c r="L377">
        <v>3362</v>
      </c>
      <c r="O377">
        <v>144</v>
      </c>
      <c r="P377">
        <v>4</v>
      </c>
      <c r="Q377">
        <v>93.999999999999986</v>
      </c>
    </row>
    <row r="378" spans="2:17" x14ac:dyDescent="0.25">
      <c r="B378" t="s">
        <v>176</v>
      </c>
      <c r="C378" t="s">
        <v>418</v>
      </c>
      <c r="D378" t="s">
        <v>473</v>
      </c>
      <c r="E378">
        <v>2200</v>
      </c>
      <c r="F378" t="s">
        <v>68</v>
      </c>
      <c r="G378" t="s">
        <v>127</v>
      </c>
      <c r="H378" t="s">
        <v>128</v>
      </c>
      <c r="I378" t="s">
        <v>122</v>
      </c>
      <c r="J378">
        <v>0</v>
      </c>
      <c r="K378">
        <v>45294.575648148151</v>
      </c>
      <c r="L378">
        <v>1800</v>
      </c>
      <c r="O378">
        <v>2400</v>
      </c>
      <c r="P378">
        <v>0</v>
      </c>
      <c r="Q378">
        <v>2200</v>
      </c>
    </row>
    <row r="379" spans="2:17" x14ac:dyDescent="0.25">
      <c r="B379" t="s">
        <v>176</v>
      </c>
      <c r="C379" t="s">
        <v>418</v>
      </c>
      <c r="D379" t="s">
        <v>473</v>
      </c>
      <c r="E379">
        <v>2600</v>
      </c>
      <c r="F379" t="s">
        <v>68</v>
      </c>
      <c r="G379" t="s">
        <v>142</v>
      </c>
      <c r="H379" t="s">
        <v>143</v>
      </c>
      <c r="I379" t="s">
        <v>122</v>
      </c>
      <c r="J379">
        <v>0</v>
      </c>
      <c r="K379">
        <v>45294.575972222221</v>
      </c>
      <c r="L379">
        <v>4600</v>
      </c>
      <c r="O379">
        <v>2400</v>
      </c>
      <c r="P379">
        <v>1</v>
      </c>
      <c r="Q379">
        <v>199.99999999999983</v>
      </c>
    </row>
    <row r="380" spans="2:17" x14ac:dyDescent="0.25">
      <c r="B380" t="s">
        <v>176</v>
      </c>
      <c r="C380" t="s">
        <v>418</v>
      </c>
      <c r="D380" t="s">
        <v>473</v>
      </c>
      <c r="E380">
        <v>35</v>
      </c>
      <c r="F380" t="s">
        <v>68</v>
      </c>
      <c r="G380" t="s">
        <v>788</v>
      </c>
      <c r="H380" t="s">
        <v>187</v>
      </c>
      <c r="I380" t="s">
        <v>161</v>
      </c>
      <c r="J380">
        <v>0</v>
      </c>
      <c r="K380">
        <v>45294.576192129629</v>
      </c>
      <c r="L380">
        <v>600</v>
      </c>
      <c r="O380">
        <v>100</v>
      </c>
      <c r="P380">
        <v>0</v>
      </c>
      <c r="Q380">
        <v>35</v>
      </c>
    </row>
    <row r="381" spans="2:17" x14ac:dyDescent="0.25">
      <c r="B381" t="s">
        <v>176</v>
      </c>
      <c r="C381" t="s">
        <v>262</v>
      </c>
      <c r="D381" t="s">
        <v>474</v>
      </c>
      <c r="E381">
        <v>5600</v>
      </c>
      <c r="F381" t="s">
        <v>68</v>
      </c>
      <c r="G381" t="s">
        <v>138</v>
      </c>
      <c r="H381" t="s">
        <v>139</v>
      </c>
      <c r="I381" t="s">
        <v>122</v>
      </c>
      <c r="J381">
        <v>0</v>
      </c>
      <c r="K381">
        <v>45294.576666666668</v>
      </c>
      <c r="L381">
        <v>14300</v>
      </c>
      <c r="O381">
        <v>3000</v>
      </c>
      <c r="P381">
        <v>1</v>
      </c>
      <c r="Q381">
        <v>2600</v>
      </c>
    </row>
    <row r="382" spans="2:17" x14ac:dyDescent="0.25">
      <c r="B382" t="s">
        <v>176</v>
      </c>
      <c r="C382" t="s">
        <v>262</v>
      </c>
      <c r="D382" t="s">
        <v>474</v>
      </c>
      <c r="E382">
        <v>26</v>
      </c>
      <c r="F382" t="s">
        <v>144</v>
      </c>
      <c r="G382" t="s">
        <v>150</v>
      </c>
      <c r="H382" t="s">
        <v>151</v>
      </c>
      <c r="I382" t="s">
        <v>147</v>
      </c>
      <c r="J382">
        <v>0</v>
      </c>
      <c r="K382">
        <v>45294.577060185184</v>
      </c>
      <c r="L382">
        <v>920</v>
      </c>
      <c r="O382">
        <v>10</v>
      </c>
      <c r="P382">
        <v>2</v>
      </c>
      <c r="Q382">
        <v>6.0000000000000009</v>
      </c>
    </row>
    <row r="383" spans="2:17" x14ac:dyDescent="0.25">
      <c r="B383" t="s">
        <v>176</v>
      </c>
      <c r="C383" t="s">
        <v>262</v>
      </c>
      <c r="D383" t="s">
        <v>474</v>
      </c>
      <c r="E383">
        <v>34</v>
      </c>
      <c r="F383" t="s">
        <v>144</v>
      </c>
      <c r="G383" t="s">
        <v>148</v>
      </c>
      <c r="H383" t="s">
        <v>149</v>
      </c>
      <c r="I383" t="s">
        <v>147</v>
      </c>
      <c r="J383">
        <v>0</v>
      </c>
      <c r="K383">
        <v>45294.577361111114</v>
      </c>
      <c r="L383">
        <v>6741</v>
      </c>
      <c r="M383">
        <v>466</v>
      </c>
      <c r="O383">
        <v>10</v>
      </c>
      <c r="P383">
        <v>3</v>
      </c>
      <c r="Q383">
        <v>3.9999999999999991</v>
      </c>
    </row>
    <row r="384" spans="2:17" x14ac:dyDescent="0.25">
      <c r="B384" t="s">
        <v>176</v>
      </c>
      <c r="C384" t="s">
        <v>390</v>
      </c>
      <c r="D384" t="s">
        <v>475</v>
      </c>
      <c r="E384">
        <v>512</v>
      </c>
      <c r="F384" t="s">
        <v>152</v>
      </c>
      <c r="G384" t="s">
        <v>158</v>
      </c>
      <c r="H384" t="s">
        <v>154</v>
      </c>
      <c r="I384" t="s">
        <v>155</v>
      </c>
      <c r="J384">
        <v>0</v>
      </c>
      <c r="K384">
        <v>45294.577939814815</v>
      </c>
      <c r="L384">
        <v>1360</v>
      </c>
      <c r="O384">
        <v>144</v>
      </c>
      <c r="P384">
        <v>3</v>
      </c>
      <c r="Q384">
        <v>79.999999999999972</v>
      </c>
    </row>
    <row r="385" spans="2:17" x14ac:dyDescent="0.25">
      <c r="B385" t="s">
        <v>176</v>
      </c>
      <c r="C385" t="s">
        <v>329</v>
      </c>
      <c r="D385" t="s">
        <v>476</v>
      </c>
      <c r="E385">
        <v>150</v>
      </c>
      <c r="F385" t="s">
        <v>68</v>
      </c>
      <c r="G385" t="s">
        <v>789</v>
      </c>
      <c r="H385" t="s">
        <v>196</v>
      </c>
      <c r="I385" t="s">
        <v>161</v>
      </c>
      <c r="J385">
        <v>0</v>
      </c>
      <c r="K385">
        <v>45294.578425925924</v>
      </c>
      <c r="L385">
        <v>2110</v>
      </c>
      <c r="O385">
        <v>100</v>
      </c>
      <c r="P385">
        <v>1</v>
      </c>
      <c r="Q385">
        <v>50</v>
      </c>
    </row>
    <row r="386" spans="2:17" x14ac:dyDescent="0.25">
      <c r="B386" t="s">
        <v>176</v>
      </c>
      <c r="C386" t="s">
        <v>263</v>
      </c>
      <c r="D386" t="s">
        <v>477</v>
      </c>
      <c r="E386">
        <v>180</v>
      </c>
      <c r="F386" t="s">
        <v>192</v>
      </c>
      <c r="G386" t="s">
        <v>193</v>
      </c>
      <c r="H386" t="s">
        <v>194</v>
      </c>
      <c r="J386">
        <v>0</v>
      </c>
      <c r="K386">
        <v>45294.579074074078</v>
      </c>
      <c r="L386">
        <v>500</v>
      </c>
      <c r="O386">
        <v>20</v>
      </c>
      <c r="P386">
        <v>9</v>
      </c>
      <c r="Q386">
        <v>0</v>
      </c>
    </row>
    <row r="387" spans="2:17" x14ac:dyDescent="0.25">
      <c r="B387" t="s">
        <v>321</v>
      </c>
      <c r="C387" t="s">
        <v>343</v>
      </c>
      <c r="D387" t="s">
        <v>478</v>
      </c>
      <c r="E387">
        <v>8100</v>
      </c>
      <c r="F387" t="s">
        <v>68</v>
      </c>
      <c r="G387" t="s">
        <v>140</v>
      </c>
      <c r="H387" t="s">
        <v>141</v>
      </c>
      <c r="I387" t="s">
        <v>122</v>
      </c>
      <c r="J387">
        <v>0</v>
      </c>
      <c r="K387">
        <v>45296.550023148149</v>
      </c>
      <c r="L387">
        <v>208900</v>
      </c>
      <c r="O387">
        <v>2400</v>
      </c>
      <c r="P387">
        <v>3</v>
      </c>
      <c r="Q387">
        <v>900</v>
      </c>
    </row>
    <row r="388" spans="2:17" x14ac:dyDescent="0.25">
      <c r="B388" t="s">
        <v>321</v>
      </c>
      <c r="C388" t="s">
        <v>479</v>
      </c>
      <c r="D388" t="s">
        <v>480</v>
      </c>
      <c r="E388">
        <v>30</v>
      </c>
      <c r="F388" t="s">
        <v>144</v>
      </c>
      <c r="G388" t="s">
        <v>145</v>
      </c>
      <c r="H388" t="s">
        <v>146</v>
      </c>
      <c r="I388" t="s">
        <v>147</v>
      </c>
      <c r="J388">
        <v>0</v>
      </c>
      <c r="K388">
        <v>45296.581724537034</v>
      </c>
      <c r="L388">
        <v>1538</v>
      </c>
      <c r="N388" t="s">
        <v>481</v>
      </c>
      <c r="O388">
        <v>10</v>
      </c>
      <c r="P388">
        <v>3</v>
      </c>
      <c r="Q388">
        <v>0</v>
      </c>
    </row>
    <row r="389" spans="2:17" x14ac:dyDescent="0.25">
      <c r="B389" t="s">
        <v>321</v>
      </c>
      <c r="C389" t="s">
        <v>479</v>
      </c>
      <c r="D389" t="s">
        <v>480</v>
      </c>
      <c r="E389">
        <v>30</v>
      </c>
      <c r="F389" t="s">
        <v>144</v>
      </c>
      <c r="G389" t="s">
        <v>148</v>
      </c>
      <c r="H389" t="s">
        <v>149</v>
      </c>
      <c r="I389" t="s">
        <v>147</v>
      </c>
      <c r="J389">
        <v>0</v>
      </c>
      <c r="K389">
        <v>45296.581782407404</v>
      </c>
      <c r="L389">
        <v>6711</v>
      </c>
      <c r="N389" t="s">
        <v>481</v>
      </c>
      <c r="O389">
        <v>10</v>
      </c>
      <c r="P389">
        <v>3</v>
      </c>
      <c r="Q389">
        <v>0</v>
      </c>
    </row>
    <row r="390" spans="2:17" x14ac:dyDescent="0.25">
      <c r="B390" t="s">
        <v>321</v>
      </c>
      <c r="C390" t="s">
        <v>479</v>
      </c>
      <c r="D390" t="s">
        <v>480</v>
      </c>
      <c r="E390">
        <v>60</v>
      </c>
      <c r="F390" t="s">
        <v>144</v>
      </c>
      <c r="G390" t="s">
        <v>150</v>
      </c>
      <c r="H390" t="s">
        <v>151</v>
      </c>
      <c r="I390" t="s">
        <v>147</v>
      </c>
      <c r="J390">
        <v>0</v>
      </c>
      <c r="K390">
        <v>45296.582013888888</v>
      </c>
      <c r="L390">
        <v>860</v>
      </c>
      <c r="N390" t="s">
        <v>481</v>
      </c>
      <c r="O390">
        <v>10</v>
      </c>
      <c r="P390">
        <v>6</v>
      </c>
      <c r="Q390">
        <v>0</v>
      </c>
    </row>
    <row r="391" spans="2:17" x14ac:dyDescent="0.25">
      <c r="B391" t="s">
        <v>321</v>
      </c>
      <c r="C391" t="s">
        <v>482</v>
      </c>
      <c r="D391" t="s">
        <v>483</v>
      </c>
      <c r="E391">
        <v>115</v>
      </c>
      <c r="F391" t="s">
        <v>68</v>
      </c>
      <c r="G391" t="s">
        <v>788</v>
      </c>
      <c r="H391" t="s">
        <v>187</v>
      </c>
      <c r="I391" t="s">
        <v>161</v>
      </c>
      <c r="J391">
        <v>0</v>
      </c>
      <c r="K391">
        <v>45299.399756944447</v>
      </c>
      <c r="L391">
        <v>485</v>
      </c>
      <c r="O391">
        <v>100</v>
      </c>
      <c r="P391">
        <v>1</v>
      </c>
      <c r="Q391">
        <v>14.999999999999991</v>
      </c>
    </row>
    <row r="392" spans="2:17" x14ac:dyDescent="0.25">
      <c r="B392" t="s">
        <v>321</v>
      </c>
      <c r="C392" t="s">
        <v>345</v>
      </c>
      <c r="D392" t="s">
        <v>484</v>
      </c>
      <c r="E392">
        <v>2500</v>
      </c>
      <c r="F392" t="s">
        <v>68</v>
      </c>
      <c r="G392" t="s">
        <v>163</v>
      </c>
      <c r="H392" t="s">
        <v>164</v>
      </c>
      <c r="I392" t="s">
        <v>161</v>
      </c>
      <c r="J392">
        <v>0</v>
      </c>
      <c r="K392">
        <v>45299.400509259256</v>
      </c>
      <c r="L392">
        <v>11920</v>
      </c>
      <c r="O392">
        <v>500</v>
      </c>
      <c r="P392">
        <v>5</v>
      </c>
      <c r="Q392">
        <v>0</v>
      </c>
    </row>
    <row r="393" spans="2:17" x14ac:dyDescent="0.25">
      <c r="B393" t="s">
        <v>321</v>
      </c>
      <c r="C393" t="s">
        <v>485</v>
      </c>
      <c r="D393" t="s">
        <v>486</v>
      </c>
      <c r="E393">
        <v>5</v>
      </c>
      <c r="F393" t="s">
        <v>68</v>
      </c>
      <c r="G393" t="s">
        <v>200</v>
      </c>
      <c r="H393" t="s">
        <v>201</v>
      </c>
      <c r="J393">
        <v>0</v>
      </c>
      <c r="K393">
        <v>45299.401192129626</v>
      </c>
      <c r="L393">
        <v>29</v>
      </c>
      <c r="O393">
        <v>36</v>
      </c>
      <c r="P393">
        <v>0</v>
      </c>
      <c r="Q393">
        <v>5</v>
      </c>
    </row>
    <row r="394" spans="2:17" x14ac:dyDescent="0.25">
      <c r="B394" t="s">
        <v>321</v>
      </c>
      <c r="C394" t="s">
        <v>485</v>
      </c>
      <c r="D394" t="s">
        <v>486</v>
      </c>
      <c r="E394">
        <v>200</v>
      </c>
      <c r="F394" t="s">
        <v>68</v>
      </c>
      <c r="G394" t="s">
        <v>177</v>
      </c>
      <c r="H394" t="s">
        <v>178</v>
      </c>
      <c r="I394" t="s">
        <v>179</v>
      </c>
      <c r="J394">
        <v>0</v>
      </c>
      <c r="K394">
        <v>45299.401458333334</v>
      </c>
      <c r="L394">
        <v>3012</v>
      </c>
      <c r="O394">
        <v>36</v>
      </c>
      <c r="P394">
        <v>5</v>
      </c>
      <c r="Q394">
        <v>19.999999999999993</v>
      </c>
    </row>
    <row r="395" spans="2:17" x14ac:dyDescent="0.25">
      <c r="B395" t="s">
        <v>321</v>
      </c>
      <c r="C395" t="s">
        <v>485</v>
      </c>
      <c r="D395" t="s">
        <v>486</v>
      </c>
      <c r="E395">
        <v>30</v>
      </c>
      <c r="F395" t="s">
        <v>68</v>
      </c>
      <c r="G395" t="s">
        <v>788</v>
      </c>
      <c r="H395" t="s">
        <v>187</v>
      </c>
      <c r="I395" t="s">
        <v>161</v>
      </c>
      <c r="J395">
        <v>0</v>
      </c>
      <c r="K395">
        <v>45299.401990740742</v>
      </c>
      <c r="L395">
        <v>455</v>
      </c>
      <c r="O395">
        <v>100</v>
      </c>
      <c r="P395">
        <v>0</v>
      </c>
      <c r="Q395">
        <v>30</v>
      </c>
    </row>
    <row r="396" spans="2:17" x14ac:dyDescent="0.25">
      <c r="B396" t="s">
        <v>321</v>
      </c>
      <c r="C396" t="s">
        <v>485</v>
      </c>
      <c r="D396" t="s">
        <v>486</v>
      </c>
      <c r="E396">
        <v>24</v>
      </c>
      <c r="F396" t="s">
        <v>68</v>
      </c>
      <c r="G396" t="s">
        <v>184</v>
      </c>
      <c r="H396" t="s">
        <v>185</v>
      </c>
      <c r="J396">
        <v>0</v>
      </c>
      <c r="K396">
        <v>45299.402303240742</v>
      </c>
      <c r="L396">
        <v>632</v>
      </c>
      <c r="O396">
        <v>4</v>
      </c>
      <c r="P396">
        <v>6</v>
      </c>
      <c r="Q396">
        <v>0</v>
      </c>
    </row>
    <row r="397" spans="2:17" x14ac:dyDescent="0.25">
      <c r="B397" t="s">
        <v>321</v>
      </c>
      <c r="C397" t="s">
        <v>485</v>
      </c>
      <c r="D397" t="s">
        <v>486</v>
      </c>
      <c r="E397">
        <v>24</v>
      </c>
      <c r="F397" t="s">
        <v>68</v>
      </c>
      <c r="G397" t="s">
        <v>787</v>
      </c>
      <c r="H397" t="s">
        <v>167</v>
      </c>
      <c r="I397" t="s">
        <v>161</v>
      </c>
      <c r="J397">
        <v>0</v>
      </c>
      <c r="K397">
        <v>45299.402569444443</v>
      </c>
      <c r="L397">
        <v>239</v>
      </c>
      <c r="O397">
        <v>4</v>
      </c>
      <c r="P397">
        <v>6</v>
      </c>
      <c r="Q397">
        <v>0</v>
      </c>
    </row>
    <row r="398" spans="2:17" x14ac:dyDescent="0.25">
      <c r="B398" t="s">
        <v>321</v>
      </c>
      <c r="C398" t="s">
        <v>487</v>
      </c>
      <c r="D398" t="s">
        <v>488</v>
      </c>
      <c r="E398">
        <v>25</v>
      </c>
      <c r="F398" t="s">
        <v>68</v>
      </c>
      <c r="G398" t="s">
        <v>184</v>
      </c>
      <c r="H398" t="s">
        <v>185</v>
      </c>
      <c r="J398">
        <v>0</v>
      </c>
      <c r="K398">
        <v>45299.403101851851</v>
      </c>
      <c r="L398">
        <v>607</v>
      </c>
      <c r="O398">
        <v>4</v>
      </c>
      <c r="P398">
        <v>6</v>
      </c>
      <c r="Q398">
        <v>1</v>
      </c>
    </row>
    <row r="399" spans="2:17" x14ac:dyDescent="0.25">
      <c r="B399" t="s">
        <v>321</v>
      </c>
      <c r="C399" t="s">
        <v>479</v>
      </c>
      <c r="D399" t="s">
        <v>489</v>
      </c>
      <c r="E399">
        <v>120</v>
      </c>
      <c r="F399" t="s">
        <v>144</v>
      </c>
      <c r="G399" t="s">
        <v>150</v>
      </c>
      <c r="H399" t="s">
        <v>151</v>
      </c>
      <c r="I399" t="s">
        <v>147</v>
      </c>
      <c r="J399">
        <v>0</v>
      </c>
      <c r="K399">
        <v>45299.403854166667</v>
      </c>
      <c r="L399">
        <v>740</v>
      </c>
      <c r="O399">
        <v>10</v>
      </c>
      <c r="P399">
        <v>12</v>
      </c>
      <c r="Q399">
        <v>0</v>
      </c>
    </row>
    <row r="400" spans="2:17" x14ac:dyDescent="0.25">
      <c r="B400" t="s">
        <v>321</v>
      </c>
      <c r="C400" t="s">
        <v>479</v>
      </c>
      <c r="D400" t="s">
        <v>489</v>
      </c>
      <c r="E400">
        <v>60</v>
      </c>
      <c r="F400" t="s">
        <v>144</v>
      </c>
      <c r="G400" t="s">
        <v>145</v>
      </c>
      <c r="H400" t="s">
        <v>146</v>
      </c>
      <c r="I400" t="s">
        <v>147</v>
      </c>
      <c r="J400">
        <v>0</v>
      </c>
      <c r="K400">
        <v>45299.404166666667</v>
      </c>
      <c r="L400">
        <v>1478</v>
      </c>
      <c r="O400">
        <v>10</v>
      </c>
      <c r="P400">
        <v>6</v>
      </c>
      <c r="Q400">
        <v>0</v>
      </c>
    </row>
    <row r="401" spans="2:17" x14ac:dyDescent="0.25">
      <c r="B401" t="s">
        <v>321</v>
      </c>
      <c r="C401" t="s">
        <v>479</v>
      </c>
      <c r="D401" t="s">
        <v>489</v>
      </c>
      <c r="E401">
        <v>60</v>
      </c>
      <c r="F401" t="s">
        <v>144</v>
      </c>
      <c r="G401" t="s">
        <v>148</v>
      </c>
      <c r="H401" t="s">
        <v>149</v>
      </c>
      <c r="I401" t="s">
        <v>147</v>
      </c>
      <c r="J401">
        <v>0</v>
      </c>
      <c r="K401">
        <v>45299.404479166667</v>
      </c>
      <c r="L401">
        <v>6651</v>
      </c>
      <c r="M401">
        <v>6422</v>
      </c>
      <c r="O401">
        <v>10</v>
      </c>
      <c r="P401">
        <v>6</v>
      </c>
      <c r="Q401">
        <v>0</v>
      </c>
    </row>
    <row r="402" spans="2:17" x14ac:dyDescent="0.25">
      <c r="B402" t="s">
        <v>490</v>
      </c>
      <c r="C402" t="s">
        <v>491</v>
      </c>
      <c r="D402" t="s">
        <v>123</v>
      </c>
      <c r="E402">
        <v>1000</v>
      </c>
      <c r="F402" t="s">
        <v>68</v>
      </c>
      <c r="G402" t="s">
        <v>789</v>
      </c>
      <c r="H402" t="s">
        <v>196</v>
      </c>
      <c r="I402" t="s">
        <v>161</v>
      </c>
      <c r="J402">
        <v>1</v>
      </c>
      <c r="K402">
        <v>45299.642060185186</v>
      </c>
      <c r="L402">
        <v>3110</v>
      </c>
      <c r="M402">
        <v>45383</v>
      </c>
      <c r="O402">
        <v>100</v>
      </c>
      <c r="P402">
        <v>10</v>
      </c>
      <c r="Q402">
        <v>0</v>
      </c>
    </row>
    <row r="403" spans="2:17" x14ac:dyDescent="0.25">
      <c r="B403" t="s">
        <v>490</v>
      </c>
      <c r="C403" t="s">
        <v>491</v>
      </c>
      <c r="D403" t="s">
        <v>123</v>
      </c>
      <c r="E403">
        <v>2000</v>
      </c>
      <c r="F403" t="s">
        <v>68</v>
      </c>
      <c r="G403" t="s">
        <v>219</v>
      </c>
      <c r="H403" t="s">
        <v>220</v>
      </c>
      <c r="I403" t="s">
        <v>161</v>
      </c>
      <c r="J403">
        <v>1</v>
      </c>
      <c r="K403">
        <v>45299.643900462965</v>
      </c>
      <c r="L403">
        <v>9200</v>
      </c>
      <c r="M403">
        <v>45383</v>
      </c>
      <c r="O403">
        <v>1</v>
      </c>
      <c r="P403">
        <v>2000</v>
      </c>
      <c r="Q403">
        <v>0</v>
      </c>
    </row>
    <row r="404" spans="2:17" x14ac:dyDescent="0.25">
      <c r="B404" t="s">
        <v>492</v>
      </c>
      <c r="C404" t="s">
        <v>493</v>
      </c>
      <c r="D404" t="s">
        <v>123</v>
      </c>
      <c r="E404">
        <v>6420</v>
      </c>
      <c r="F404" t="s">
        <v>68</v>
      </c>
      <c r="G404" t="s">
        <v>427</v>
      </c>
      <c r="H404" t="s">
        <v>166</v>
      </c>
      <c r="I404" t="s">
        <v>161</v>
      </c>
      <c r="J404">
        <v>1</v>
      </c>
      <c r="K404">
        <v>45299.646527777775</v>
      </c>
      <c r="L404">
        <v>8100</v>
      </c>
      <c r="M404">
        <v>45383</v>
      </c>
      <c r="O404">
        <v>60</v>
      </c>
      <c r="P404">
        <v>107</v>
      </c>
      <c r="Q404">
        <v>0</v>
      </c>
    </row>
    <row r="405" spans="2:17" x14ac:dyDescent="0.25">
      <c r="B405" t="s">
        <v>494</v>
      </c>
      <c r="C405" t="s">
        <v>495</v>
      </c>
      <c r="D405" t="s">
        <v>123</v>
      </c>
      <c r="E405">
        <v>20000</v>
      </c>
      <c r="F405" t="s">
        <v>68</v>
      </c>
      <c r="G405" t="s">
        <v>163</v>
      </c>
      <c r="H405" t="s">
        <v>164</v>
      </c>
      <c r="I405" t="s">
        <v>161</v>
      </c>
      <c r="J405">
        <v>1</v>
      </c>
      <c r="K405">
        <v>45299.649270833332</v>
      </c>
      <c r="L405">
        <v>31920</v>
      </c>
      <c r="M405">
        <v>45383</v>
      </c>
      <c r="O405">
        <v>440</v>
      </c>
      <c r="P405">
        <v>45</v>
      </c>
      <c r="Q405">
        <v>199.99999999999943</v>
      </c>
    </row>
    <row r="406" spans="2:17" x14ac:dyDescent="0.25">
      <c r="B406" t="s">
        <v>321</v>
      </c>
      <c r="C406" t="s">
        <v>429</v>
      </c>
      <c r="D406" t="s">
        <v>496</v>
      </c>
      <c r="E406">
        <v>1150</v>
      </c>
      <c r="F406" t="s">
        <v>68</v>
      </c>
      <c r="G406" t="s">
        <v>172</v>
      </c>
      <c r="H406" t="s">
        <v>173</v>
      </c>
      <c r="J406">
        <v>0</v>
      </c>
      <c r="K406">
        <v>45300.569618055553</v>
      </c>
      <c r="L406">
        <v>548</v>
      </c>
      <c r="O406">
        <v>1</v>
      </c>
      <c r="P406">
        <v>1150</v>
      </c>
      <c r="Q406">
        <v>0</v>
      </c>
    </row>
    <row r="407" spans="2:17" x14ac:dyDescent="0.25">
      <c r="B407" t="s">
        <v>176</v>
      </c>
      <c r="C407" t="s">
        <v>392</v>
      </c>
      <c r="D407" t="s">
        <v>497</v>
      </c>
      <c r="E407">
        <v>4700</v>
      </c>
      <c r="F407" t="s">
        <v>68</v>
      </c>
      <c r="G407" t="s">
        <v>163</v>
      </c>
      <c r="H407" t="s">
        <v>164</v>
      </c>
      <c r="I407" t="s">
        <v>161</v>
      </c>
      <c r="J407">
        <v>0</v>
      </c>
      <c r="K407">
        <v>45300.570497685185</v>
      </c>
      <c r="L407">
        <v>27220</v>
      </c>
      <c r="O407">
        <v>440</v>
      </c>
      <c r="P407">
        <v>10</v>
      </c>
      <c r="Q407">
        <v>299.99999999999994</v>
      </c>
    </row>
    <row r="408" spans="2:17" x14ac:dyDescent="0.25">
      <c r="B408" t="s">
        <v>176</v>
      </c>
      <c r="C408" t="s">
        <v>262</v>
      </c>
      <c r="D408" t="s">
        <v>498</v>
      </c>
      <c r="E408">
        <v>5100</v>
      </c>
      <c r="F408" t="s">
        <v>68</v>
      </c>
      <c r="G408" t="s">
        <v>138</v>
      </c>
      <c r="H408" t="s">
        <v>139</v>
      </c>
      <c r="I408" t="s">
        <v>122</v>
      </c>
      <c r="J408">
        <v>0</v>
      </c>
      <c r="K408">
        <v>45300.571342592593</v>
      </c>
      <c r="L408">
        <v>9200</v>
      </c>
      <c r="O408">
        <v>3000</v>
      </c>
      <c r="P408">
        <v>1</v>
      </c>
      <c r="Q408">
        <v>2100</v>
      </c>
    </row>
    <row r="409" spans="2:17" x14ac:dyDescent="0.25">
      <c r="B409" t="s">
        <v>176</v>
      </c>
      <c r="C409" t="s">
        <v>262</v>
      </c>
      <c r="D409" t="s">
        <v>498</v>
      </c>
      <c r="E409">
        <v>34</v>
      </c>
      <c r="F409" t="s">
        <v>144</v>
      </c>
      <c r="G409" t="s">
        <v>148</v>
      </c>
      <c r="H409" t="s">
        <v>149</v>
      </c>
      <c r="I409" t="s">
        <v>147</v>
      </c>
      <c r="J409">
        <v>0</v>
      </c>
      <c r="K409">
        <v>45300.571840277778</v>
      </c>
      <c r="L409">
        <v>6617</v>
      </c>
      <c r="O409">
        <v>10</v>
      </c>
      <c r="P409">
        <v>3</v>
      </c>
      <c r="Q409">
        <v>3.9999999999999991</v>
      </c>
    </row>
    <row r="410" spans="2:17" x14ac:dyDescent="0.25">
      <c r="B410" t="s">
        <v>499</v>
      </c>
      <c r="C410" t="s">
        <v>500</v>
      </c>
      <c r="D410" t="s">
        <v>380</v>
      </c>
      <c r="E410">
        <v>2</v>
      </c>
      <c r="F410" t="s">
        <v>68</v>
      </c>
      <c r="G410" t="s">
        <v>379</v>
      </c>
      <c r="H410" t="s">
        <v>226</v>
      </c>
      <c r="I410" t="s">
        <v>227</v>
      </c>
      <c r="J410">
        <v>1</v>
      </c>
      <c r="K410">
        <v>45302.429699074077</v>
      </c>
      <c r="L410">
        <v>24</v>
      </c>
      <c r="M410">
        <v>45352</v>
      </c>
      <c r="O410">
        <v>1</v>
      </c>
      <c r="P410">
        <v>2</v>
      </c>
      <c r="Q410">
        <v>0</v>
      </c>
    </row>
    <row r="411" spans="2:17" x14ac:dyDescent="0.25">
      <c r="B411" t="s">
        <v>499</v>
      </c>
      <c r="C411" t="s">
        <v>500</v>
      </c>
      <c r="D411" t="s">
        <v>380</v>
      </c>
      <c r="E411">
        <v>3</v>
      </c>
      <c r="F411" t="s">
        <v>152</v>
      </c>
      <c r="G411" t="s">
        <v>244</v>
      </c>
      <c r="H411" t="s">
        <v>226</v>
      </c>
      <c r="I411" t="s">
        <v>227</v>
      </c>
      <c r="J411">
        <v>1</v>
      </c>
      <c r="K411">
        <v>45302.429872685185</v>
      </c>
      <c r="L411">
        <v>24</v>
      </c>
      <c r="M411">
        <v>45352</v>
      </c>
      <c r="O411">
        <v>1</v>
      </c>
      <c r="P411">
        <v>3</v>
      </c>
      <c r="Q411">
        <v>0</v>
      </c>
    </row>
    <row r="412" spans="2:17" x14ac:dyDescent="0.25">
      <c r="B412" t="s">
        <v>499</v>
      </c>
      <c r="C412" t="s">
        <v>500</v>
      </c>
      <c r="D412" t="s">
        <v>380</v>
      </c>
      <c r="E412">
        <v>19</v>
      </c>
      <c r="F412" t="s">
        <v>152</v>
      </c>
      <c r="G412" t="s">
        <v>378</v>
      </c>
      <c r="H412" t="s">
        <v>226</v>
      </c>
      <c r="I412" t="s">
        <v>227</v>
      </c>
      <c r="J412">
        <v>1</v>
      </c>
      <c r="K412">
        <v>45302.4299537037</v>
      </c>
      <c r="L412">
        <v>37</v>
      </c>
      <c r="M412">
        <v>45352</v>
      </c>
      <c r="O412">
        <v>1</v>
      </c>
      <c r="P412">
        <v>19</v>
      </c>
      <c r="Q412">
        <v>0</v>
      </c>
    </row>
    <row r="413" spans="2:17" x14ac:dyDescent="0.25">
      <c r="B413" t="s">
        <v>499</v>
      </c>
      <c r="C413" t="s">
        <v>500</v>
      </c>
      <c r="D413" t="s">
        <v>380</v>
      </c>
      <c r="E413">
        <v>8</v>
      </c>
      <c r="F413" t="s">
        <v>152</v>
      </c>
      <c r="G413" t="s">
        <v>245</v>
      </c>
      <c r="H413" t="s">
        <v>226</v>
      </c>
      <c r="I413" t="s">
        <v>227</v>
      </c>
      <c r="J413">
        <v>1</v>
      </c>
      <c r="K413">
        <v>45302.430034722223</v>
      </c>
      <c r="L413">
        <v>40</v>
      </c>
      <c r="M413">
        <v>45352</v>
      </c>
      <c r="O413">
        <v>1</v>
      </c>
      <c r="P413">
        <v>8</v>
      </c>
      <c r="Q413">
        <v>0</v>
      </c>
    </row>
    <row r="414" spans="2:17" x14ac:dyDescent="0.25">
      <c r="B414" t="s">
        <v>499</v>
      </c>
      <c r="C414" t="s">
        <v>500</v>
      </c>
      <c r="D414" t="s">
        <v>380</v>
      </c>
      <c r="E414">
        <v>25</v>
      </c>
      <c r="F414" t="s">
        <v>152</v>
      </c>
      <c r="G414" t="s">
        <v>415</v>
      </c>
      <c r="H414" t="s">
        <v>226</v>
      </c>
      <c r="I414" t="s">
        <v>227</v>
      </c>
      <c r="J414">
        <v>1</v>
      </c>
      <c r="K414">
        <v>45302.430162037039</v>
      </c>
      <c r="L414">
        <v>51</v>
      </c>
      <c r="M414">
        <v>45352</v>
      </c>
      <c r="O414">
        <v>1</v>
      </c>
      <c r="P414">
        <v>25</v>
      </c>
      <c r="Q414">
        <v>0</v>
      </c>
    </row>
    <row r="415" spans="2:17" x14ac:dyDescent="0.25">
      <c r="B415" t="s">
        <v>499</v>
      </c>
      <c r="C415" t="s">
        <v>500</v>
      </c>
      <c r="D415" t="s">
        <v>380</v>
      </c>
      <c r="E415">
        <v>50</v>
      </c>
      <c r="F415" t="s">
        <v>152</v>
      </c>
      <c r="G415" t="s">
        <v>235</v>
      </c>
      <c r="H415" t="s">
        <v>226</v>
      </c>
      <c r="I415" t="s">
        <v>227</v>
      </c>
      <c r="J415">
        <v>1</v>
      </c>
      <c r="K415">
        <v>45302.430347222224</v>
      </c>
      <c r="L415">
        <v>60</v>
      </c>
      <c r="M415">
        <v>45352</v>
      </c>
      <c r="O415">
        <v>1</v>
      </c>
      <c r="P415">
        <v>50</v>
      </c>
      <c r="Q415">
        <v>0</v>
      </c>
    </row>
    <row r="416" spans="2:17" x14ac:dyDescent="0.25">
      <c r="B416" t="s">
        <v>499</v>
      </c>
      <c r="C416" t="s">
        <v>500</v>
      </c>
      <c r="D416" t="s">
        <v>380</v>
      </c>
      <c r="E416">
        <v>42</v>
      </c>
      <c r="F416" t="s">
        <v>152</v>
      </c>
      <c r="G416" t="s">
        <v>236</v>
      </c>
      <c r="H416" t="s">
        <v>226</v>
      </c>
      <c r="I416" t="s">
        <v>227</v>
      </c>
      <c r="J416">
        <v>1</v>
      </c>
      <c r="K416">
        <v>45302.430520833332</v>
      </c>
      <c r="L416">
        <v>42</v>
      </c>
      <c r="M416">
        <v>45352</v>
      </c>
      <c r="O416">
        <v>1</v>
      </c>
      <c r="P416">
        <v>42</v>
      </c>
      <c r="Q416">
        <v>0</v>
      </c>
    </row>
    <row r="417" spans="2:17" x14ac:dyDescent="0.25">
      <c r="B417" t="s">
        <v>499</v>
      </c>
      <c r="C417" t="s">
        <v>500</v>
      </c>
      <c r="D417" t="s">
        <v>380</v>
      </c>
      <c r="E417">
        <v>8</v>
      </c>
      <c r="F417" t="s">
        <v>152</v>
      </c>
      <c r="G417" t="s">
        <v>65</v>
      </c>
      <c r="H417" t="s">
        <v>226</v>
      </c>
      <c r="I417" t="s">
        <v>227</v>
      </c>
      <c r="J417">
        <v>1</v>
      </c>
      <c r="K417">
        <v>45302.430601851855</v>
      </c>
      <c r="L417">
        <v>8</v>
      </c>
      <c r="M417">
        <v>45352</v>
      </c>
      <c r="O417">
        <v>1</v>
      </c>
      <c r="P417">
        <v>8</v>
      </c>
      <c r="Q417">
        <v>0</v>
      </c>
    </row>
    <row r="418" spans="2:17" x14ac:dyDescent="0.25">
      <c r="B418" t="s">
        <v>499</v>
      </c>
      <c r="C418" t="s">
        <v>500</v>
      </c>
      <c r="D418" t="s">
        <v>380</v>
      </c>
      <c r="E418">
        <v>27</v>
      </c>
      <c r="F418" t="s">
        <v>152</v>
      </c>
      <c r="G418" t="s">
        <v>237</v>
      </c>
      <c r="H418" t="s">
        <v>226</v>
      </c>
      <c r="I418" t="s">
        <v>227</v>
      </c>
      <c r="J418">
        <v>1</v>
      </c>
      <c r="K418">
        <v>45302.430787037039</v>
      </c>
      <c r="L418">
        <v>27</v>
      </c>
      <c r="M418">
        <v>45352</v>
      </c>
      <c r="O418">
        <v>1</v>
      </c>
      <c r="P418">
        <v>27</v>
      </c>
      <c r="Q418">
        <v>0</v>
      </c>
    </row>
    <row r="419" spans="2:17" x14ac:dyDescent="0.25">
      <c r="B419" t="s">
        <v>321</v>
      </c>
      <c r="C419" t="s">
        <v>345</v>
      </c>
      <c r="D419" t="s">
        <v>501</v>
      </c>
      <c r="E419">
        <v>800</v>
      </c>
      <c r="F419" t="s">
        <v>68</v>
      </c>
      <c r="G419" t="s">
        <v>197</v>
      </c>
      <c r="H419" t="s">
        <v>198</v>
      </c>
      <c r="I419" t="s">
        <v>161</v>
      </c>
      <c r="J419">
        <v>0</v>
      </c>
      <c r="K419">
        <v>45301.473229166666</v>
      </c>
      <c r="L419">
        <v>0</v>
      </c>
      <c r="O419">
        <v>2000</v>
      </c>
      <c r="P419">
        <v>0</v>
      </c>
      <c r="Q419">
        <v>800</v>
      </c>
    </row>
    <row r="420" spans="2:17" x14ac:dyDescent="0.25">
      <c r="B420" t="s">
        <v>321</v>
      </c>
      <c r="C420" t="s">
        <v>345</v>
      </c>
      <c r="D420" t="s">
        <v>501</v>
      </c>
      <c r="E420">
        <v>2500</v>
      </c>
      <c r="F420" t="s">
        <v>68</v>
      </c>
      <c r="G420" t="s">
        <v>163</v>
      </c>
      <c r="H420" t="s">
        <v>164</v>
      </c>
      <c r="I420" t="s">
        <v>161</v>
      </c>
      <c r="J420">
        <v>0</v>
      </c>
      <c r="K420">
        <v>45301.473645833335</v>
      </c>
      <c r="L420">
        <v>24720</v>
      </c>
      <c r="O420">
        <v>440</v>
      </c>
      <c r="P420">
        <v>5</v>
      </c>
      <c r="Q420">
        <v>299.99999999999994</v>
      </c>
    </row>
    <row r="421" spans="2:17" x14ac:dyDescent="0.25">
      <c r="B421" t="s">
        <v>321</v>
      </c>
      <c r="C421" t="s">
        <v>345</v>
      </c>
      <c r="D421" t="s">
        <v>501</v>
      </c>
      <c r="E421">
        <v>500</v>
      </c>
      <c r="F421" t="s">
        <v>68</v>
      </c>
      <c r="G421" t="s">
        <v>172</v>
      </c>
      <c r="H421" t="s">
        <v>173</v>
      </c>
      <c r="J421">
        <v>0</v>
      </c>
      <c r="K421">
        <v>45301.473981481482</v>
      </c>
      <c r="L421">
        <v>48</v>
      </c>
      <c r="O421">
        <v>1</v>
      </c>
      <c r="P421">
        <v>500</v>
      </c>
      <c r="Q421">
        <v>0</v>
      </c>
    </row>
    <row r="422" spans="2:17" x14ac:dyDescent="0.25">
      <c r="B422" t="s">
        <v>321</v>
      </c>
      <c r="C422" t="s">
        <v>479</v>
      </c>
      <c r="D422" t="s">
        <v>502</v>
      </c>
      <c r="E422">
        <v>120</v>
      </c>
      <c r="F422" t="s">
        <v>144</v>
      </c>
      <c r="G422" t="s">
        <v>150</v>
      </c>
      <c r="H422" t="s">
        <v>146</v>
      </c>
      <c r="I422" t="s">
        <v>147</v>
      </c>
      <c r="J422">
        <v>0</v>
      </c>
      <c r="K422">
        <v>45301.47583333333</v>
      </c>
      <c r="L422">
        <v>620</v>
      </c>
      <c r="O422">
        <v>10</v>
      </c>
      <c r="P422">
        <v>12</v>
      </c>
      <c r="Q422">
        <v>0</v>
      </c>
    </row>
    <row r="423" spans="2:17" x14ac:dyDescent="0.25">
      <c r="B423" t="s">
        <v>321</v>
      </c>
      <c r="C423" t="s">
        <v>479</v>
      </c>
      <c r="D423" t="s">
        <v>502</v>
      </c>
      <c r="E423">
        <v>60</v>
      </c>
      <c r="F423" t="s">
        <v>144</v>
      </c>
      <c r="G423" t="s">
        <v>145</v>
      </c>
      <c r="H423" t="s">
        <v>146</v>
      </c>
      <c r="I423" t="s">
        <v>147</v>
      </c>
      <c r="J423">
        <v>0</v>
      </c>
      <c r="K423">
        <v>45301.476111111115</v>
      </c>
      <c r="L423">
        <v>1418</v>
      </c>
      <c r="O423">
        <v>10</v>
      </c>
      <c r="P423">
        <v>6</v>
      </c>
      <c r="Q423">
        <v>0</v>
      </c>
    </row>
    <row r="424" spans="2:17" x14ac:dyDescent="0.25">
      <c r="B424" t="s">
        <v>321</v>
      </c>
      <c r="C424" t="s">
        <v>479</v>
      </c>
      <c r="D424" t="s">
        <v>502</v>
      </c>
      <c r="E424">
        <v>60</v>
      </c>
      <c r="F424" t="s">
        <v>144</v>
      </c>
      <c r="G424" t="s">
        <v>148</v>
      </c>
      <c r="H424" t="s">
        <v>149</v>
      </c>
      <c r="I424" t="s">
        <v>147</v>
      </c>
      <c r="J424">
        <v>0</v>
      </c>
      <c r="K424">
        <v>45301.476331018515</v>
      </c>
      <c r="L424">
        <v>6557</v>
      </c>
      <c r="O424">
        <v>10</v>
      </c>
      <c r="P424">
        <v>6</v>
      </c>
      <c r="Q424">
        <v>0</v>
      </c>
    </row>
    <row r="425" spans="2:17" x14ac:dyDescent="0.25">
      <c r="B425" t="s">
        <v>321</v>
      </c>
      <c r="C425" t="s">
        <v>364</v>
      </c>
      <c r="D425" t="s">
        <v>503</v>
      </c>
      <c r="E425">
        <v>144</v>
      </c>
      <c r="F425" t="s">
        <v>152</v>
      </c>
      <c r="G425" t="s">
        <v>157</v>
      </c>
      <c r="H425" t="s">
        <v>154</v>
      </c>
      <c r="I425" t="s">
        <v>155</v>
      </c>
      <c r="J425">
        <v>0</v>
      </c>
      <c r="K425">
        <v>45301.477175925924</v>
      </c>
      <c r="L425">
        <v>3218</v>
      </c>
      <c r="O425">
        <v>144</v>
      </c>
      <c r="P425">
        <v>1</v>
      </c>
      <c r="Q425">
        <v>0</v>
      </c>
    </row>
    <row r="426" spans="2:17" x14ac:dyDescent="0.25">
      <c r="B426" t="s">
        <v>321</v>
      </c>
      <c r="C426" t="s">
        <v>504</v>
      </c>
      <c r="D426" t="s">
        <v>505</v>
      </c>
      <c r="E426">
        <v>36</v>
      </c>
      <c r="F426" t="s">
        <v>68</v>
      </c>
      <c r="G426" t="s">
        <v>184</v>
      </c>
      <c r="H426" t="s">
        <v>185</v>
      </c>
      <c r="J426">
        <v>0</v>
      </c>
      <c r="K426">
        <v>45301.477685185186</v>
      </c>
      <c r="L426">
        <v>571</v>
      </c>
      <c r="O426">
        <v>4</v>
      </c>
      <c r="P426">
        <v>9</v>
      </c>
      <c r="Q426">
        <v>0</v>
      </c>
    </row>
    <row r="427" spans="2:17" x14ac:dyDescent="0.25">
      <c r="B427" t="s">
        <v>321</v>
      </c>
      <c r="C427" t="s">
        <v>265</v>
      </c>
      <c r="D427" t="s">
        <v>506</v>
      </c>
      <c r="E427">
        <v>6</v>
      </c>
      <c r="F427" t="s">
        <v>68</v>
      </c>
      <c r="G427" t="s">
        <v>786</v>
      </c>
      <c r="H427" t="s">
        <v>165</v>
      </c>
      <c r="I427" t="s">
        <v>161</v>
      </c>
      <c r="J427">
        <v>0</v>
      </c>
      <c r="K427">
        <v>45301.478587962964</v>
      </c>
      <c r="L427">
        <v>209</v>
      </c>
      <c r="O427">
        <v>24</v>
      </c>
      <c r="P427">
        <v>0</v>
      </c>
      <c r="Q427">
        <v>6</v>
      </c>
    </row>
    <row r="428" spans="2:17" x14ac:dyDescent="0.25">
      <c r="B428" t="s">
        <v>321</v>
      </c>
      <c r="C428" t="s">
        <v>265</v>
      </c>
      <c r="D428" t="s">
        <v>506</v>
      </c>
      <c r="E428">
        <v>150</v>
      </c>
      <c r="F428" t="s">
        <v>68</v>
      </c>
      <c r="G428" t="s">
        <v>170</v>
      </c>
      <c r="H428" t="s">
        <v>171</v>
      </c>
      <c r="I428" t="s">
        <v>122</v>
      </c>
      <c r="J428">
        <v>0</v>
      </c>
      <c r="K428">
        <v>45301.478842592594</v>
      </c>
      <c r="L428">
        <v>1800</v>
      </c>
      <c r="O428">
        <v>100</v>
      </c>
      <c r="P428">
        <v>1</v>
      </c>
      <c r="Q428">
        <v>50</v>
      </c>
    </row>
    <row r="429" spans="2:17" x14ac:dyDescent="0.25">
      <c r="B429" t="s">
        <v>321</v>
      </c>
      <c r="C429" t="s">
        <v>368</v>
      </c>
      <c r="D429" t="s">
        <v>507</v>
      </c>
      <c r="E429">
        <v>6000</v>
      </c>
      <c r="F429" t="s">
        <v>68</v>
      </c>
      <c r="G429" t="s">
        <v>124</v>
      </c>
      <c r="H429" t="s">
        <v>125</v>
      </c>
      <c r="I429" t="s">
        <v>122</v>
      </c>
      <c r="J429">
        <v>0</v>
      </c>
      <c r="K429">
        <v>45301.479675925926</v>
      </c>
      <c r="L429">
        <v>14000</v>
      </c>
      <c r="O429">
        <v>1200</v>
      </c>
      <c r="P429">
        <v>5</v>
      </c>
      <c r="Q429">
        <v>0</v>
      </c>
    </row>
    <row r="430" spans="2:17" x14ac:dyDescent="0.25">
      <c r="B430" t="s">
        <v>321</v>
      </c>
      <c r="C430" t="s">
        <v>266</v>
      </c>
      <c r="D430" t="s">
        <v>508</v>
      </c>
      <c r="E430">
        <v>300</v>
      </c>
      <c r="F430" t="s">
        <v>68</v>
      </c>
      <c r="G430" t="s">
        <v>177</v>
      </c>
      <c r="H430" t="s">
        <v>178</v>
      </c>
      <c r="I430" t="s">
        <v>179</v>
      </c>
      <c r="J430">
        <v>0</v>
      </c>
      <c r="K430">
        <v>45301.480138888888</v>
      </c>
      <c r="L430">
        <v>2712</v>
      </c>
      <c r="O430">
        <v>36</v>
      </c>
      <c r="P430">
        <v>8</v>
      </c>
      <c r="Q430">
        <v>12.000000000000021</v>
      </c>
    </row>
    <row r="431" spans="2:17" x14ac:dyDescent="0.25">
      <c r="B431" t="s">
        <v>321</v>
      </c>
      <c r="C431" t="s">
        <v>266</v>
      </c>
      <c r="D431" t="s">
        <v>508</v>
      </c>
      <c r="E431">
        <v>10</v>
      </c>
      <c r="F431" t="s">
        <v>68</v>
      </c>
      <c r="G431" t="s">
        <v>787</v>
      </c>
      <c r="H431" t="s">
        <v>167</v>
      </c>
      <c r="I431" t="s">
        <v>161</v>
      </c>
      <c r="J431">
        <v>0</v>
      </c>
      <c r="K431">
        <v>45301.480381944442</v>
      </c>
      <c r="L431">
        <v>229</v>
      </c>
      <c r="O431">
        <v>4</v>
      </c>
      <c r="P431">
        <v>2</v>
      </c>
      <c r="Q431">
        <v>2</v>
      </c>
    </row>
    <row r="432" spans="2:17" x14ac:dyDescent="0.25">
      <c r="B432" t="s">
        <v>321</v>
      </c>
      <c r="C432" t="s">
        <v>509</v>
      </c>
      <c r="D432" t="s">
        <v>510</v>
      </c>
      <c r="E432">
        <v>12000</v>
      </c>
      <c r="F432" t="s">
        <v>68</v>
      </c>
      <c r="G432" t="s">
        <v>120</v>
      </c>
      <c r="H432" t="s">
        <v>121</v>
      </c>
      <c r="I432" t="s">
        <v>122</v>
      </c>
      <c r="J432">
        <v>0</v>
      </c>
      <c r="K432">
        <v>45301.480902777781</v>
      </c>
      <c r="L432">
        <v>133800</v>
      </c>
      <c r="O432">
        <v>2400</v>
      </c>
      <c r="P432">
        <v>5</v>
      </c>
      <c r="Q432">
        <v>0</v>
      </c>
    </row>
    <row r="433" spans="2:17" x14ac:dyDescent="0.25">
      <c r="B433" t="s">
        <v>321</v>
      </c>
      <c r="C433" t="s">
        <v>429</v>
      </c>
      <c r="D433" t="s">
        <v>511</v>
      </c>
      <c r="E433">
        <v>12000</v>
      </c>
      <c r="F433" t="s">
        <v>68</v>
      </c>
      <c r="G433" t="s">
        <v>140</v>
      </c>
      <c r="H433" t="s">
        <v>141</v>
      </c>
      <c r="I433" t="s">
        <v>122</v>
      </c>
      <c r="J433">
        <v>0</v>
      </c>
      <c r="K433">
        <v>45301.481377314813</v>
      </c>
      <c r="L433">
        <v>196900</v>
      </c>
      <c r="O433">
        <v>2400</v>
      </c>
      <c r="P433">
        <v>5</v>
      </c>
      <c r="Q433">
        <v>0</v>
      </c>
    </row>
    <row r="434" spans="2:17" x14ac:dyDescent="0.25">
      <c r="B434" t="s">
        <v>321</v>
      </c>
      <c r="C434" t="s">
        <v>429</v>
      </c>
      <c r="D434" t="s">
        <v>511</v>
      </c>
      <c r="E434">
        <v>2</v>
      </c>
      <c r="F434" t="s">
        <v>68</v>
      </c>
      <c r="G434" t="s">
        <v>430</v>
      </c>
      <c r="H434" t="s">
        <v>199</v>
      </c>
      <c r="J434">
        <v>0</v>
      </c>
      <c r="K434">
        <v>45301.482268518521</v>
      </c>
      <c r="L434">
        <v>46</v>
      </c>
      <c r="O434">
        <v>40</v>
      </c>
      <c r="P434">
        <v>0</v>
      </c>
      <c r="Q434">
        <v>2</v>
      </c>
    </row>
    <row r="435" spans="2:17" x14ac:dyDescent="0.25">
      <c r="B435" t="s">
        <v>321</v>
      </c>
      <c r="C435" t="s">
        <v>267</v>
      </c>
      <c r="D435" t="s">
        <v>512</v>
      </c>
      <c r="E435">
        <v>2</v>
      </c>
      <c r="F435" t="s">
        <v>68</v>
      </c>
      <c r="G435" t="s">
        <v>200</v>
      </c>
      <c r="H435" t="s">
        <v>201</v>
      </c>
      <c r="J435">
        <v>0</v>
      </c>
      <c r="K435">
        <v>45301.482731481483</v>
      </c>
      <c r="L435">
        <v>27</v>
      </c>
      <c r="O435">
        <v>36</v>
      </c>
      <c r="P435">
        <v>0</v>
      </c>
      <c r="Q435">
        <v>2</v>
      </c>
    </row>
    <row r="436" spans="2:17" x14ac:dyDescent="0.25">
      <c r="B436" t="s">
        <v>321</v>
      </c>
      <c r="C436" t="s">
        <v>267</v>
      </c>
      <c r="D436" t="s">
        <v>512</v>
      </c>
      <c r="E436">
        <v>120</v>
      </c>
      <c r="F436" t="s">
        <v>68</v>
      </c>
      <c r="G436" t="s">
        <v>219</v>
      </c>
      <c r="H436" t="s">
        <v>220</v>
      </c>
      <c r="I436" t="s">
        <v>161</v>
      </c>
      <c r="J436">
        <v>0</v>
      </c>
      <c r="K436">
        <v>45301.483032407406</v>
      </c>
      <c r="L436">
        <v>9080</v>
      </c>
      <c r="O436">
        <v>1</v>
      </c>
      <c r="P436">
        <v>120</v>
      </c>
      <c r="Q436">
        <v>0</v>
      </c>
    </row>
    <row r="437" spans="2:17" x14ac:dyDescent="0.25">
      <c r="B437" t="s">
        <v>321</v>
      </c>
      <c r="C437" t="s">
        <v>267</v>
      </c>
      <c r="D437" t="s">
        <v>512</v>
      </c>
      <c r="E437">
        <v>120</v>
      </c>
      <c r="F437" t="s">
        <v>68</v>
      </c>
      <c r="G437" t="s">
        <v>427</v>
      </c>
      <c r="H437" t="s">
        <v>166</v>
      </c>
      <c r="I437" t="s">
        <v>161</v>
      </c>
      <c r="J437">
        <v>0</v>
      </c>
      <c r="K437">
        <v>45301.483217592591</v>
      </c>
      <c r="L437">
        <v>7980</v>
      </c>
      <c r="O437">
        <v>60</v>
      </c>
      <c r="P437">
        <v>2</v>
      </c>
      <c r="Q437">
        <v>0</v>
      </c>
    </row>
    <row r="438" spans="2:17" x14ac:dyDescent="0.25">
      <c r="B438" t="s">
        <v>176</v>
      </c>
      <c r="C438" t="s">
        <v>418</v>
      </c>
      <c r="D438" t="s">
        <v>513</v>
      </c>
      <c r="E438">
        <v>35</v>
      </c>
      <c r="F438" t="s">
        <v>68</v>
      </c>
      <c r="G438" t="s">
        <v>788</v>
      </c>
      <c r="H438" t="s">
        <v>187</v>
      </c>
      <c r="I438" t="s">
        <v>161</v>
      </c>
      <c r="J438">
        <v>0</v>
      </c>
      <c r="K438">
        <v>45303.641331018516</v>
      </c>
      <c r="L438">
        <v>420</v>
      </c>
      <c r="O438">
        <v>100</v>
      </c>
      <c r="P438">
        <v>0</v>
      </c>
      <c r="Q438">
        <v>35</v>
      </c>
    </row>
    <row r="439" spans="2:17" x14ac:dyDescent="0.25">
      <c r="B439" t="s">
        <v>176</v>
      </c>
      <c r="C439" t="s">
        <v>418</v>
      </c>
      <c r="D439" t="s">
        <v>513</v>
      </c>
      <c r="E439">
        <v>10</v>
      </c>
      <c r="F439" t="s">
        <v>68</v>
      </c>
      <c r="G439" t="s">
        <v>787</v>
      </c>
      <c r="H439" t="s">
        <v>167</v>
      </c>
      <c r="I439" t="s">
        <v>161</v>
      </c>
      <c r="J439">
        <v>0</v>
      </c>
      <c r="K439">
        <v>45303.641550925924</v>
      </c>
      <c r="L439">
        <v>219</v>
      </c>
      <c r="O439">
        <v>4</v>
      </c>
      <c r="P439">
        <v>2</v>
      </c>
      <c r="Q439">
        <v>2</v>
      </c>
    </row>
    <row r="440" spans="2:17" x14ac:dyDescent="0.25">
      <c r="B440" t="s">
        <v>176</v>
      </c>
      <c r="C440" t="s">
        <v>392</v>
      </c>
      <c r="D440" t="s">
        <v>514</v>
      </c>
      <c r="E440">
        <v>5600</v>
      </c>
      <c r="F440" t="s">
        <v>68</v>
      </c>
      <c r="G440" t="s">
        <v>140</v>
      </c>
      <c r="H440" t="s">
        <v>141</v>
      </c>
      <c r="I440" t="s">
        <v>122</v>
      </c>
      <c r="J440">
        <v>0</v>
      </c>
      <c r="K440">
        <v>45303.642175925925</v>
      </c>
      <c r="L440">
        <v>191300</v>
      </c>
      <c r="O440">
        <v>2400</v>
      </c>
      <c r="P440">
        <v>2</v>
      </c>
      <c r="Q440">
        <v>800.00000000000034</v>
      </c>
    </row>
    <row r="441" spans="2:17" x14ac:dyDescent="0.25">
      <c r="B441" t="s">
        <v>176</v>
      </c>
      <c r="C441" t="s">
        <v>392</v>
      </c>
      <c r="D441" t="s">
        <v>514</v>
      </c>
      <c r="E441">
        <v>760</v>
      </c>
      <c r="F441" t="s">
        <v>152</v>
      </c>
      <c r="G441" t="s">
        <v>156</v>
      </c>
      <c r="H441" t="s">
        <v>154</v>
      </c>
      <c r="I441" t="s">
        <v>155</v>
      </c>
      <c r="J441">
        <v>0</v>
      </c>
      <c r="K441">
        <v>45303.642777777779</v>
      </c>
      <c r="L441">
        <v>2928</v>
      </c>
      <c r="O441">
        <v>144</v>
      </c>
      <c r="P441">
        <v>5</v>
      </c>
      <c r="Q441">
        <v>39.999999999999986</v>
      </c>
    </row>
    <row r="442" spans="2:17" x14ac:dyDescent="0.25">
      <c r="B442" t="s">
        <v>176</v>
      </c>
      <c r="C442" t="s">
        <v>387</v>
      </c>
      <c r="D442" t="s">
        <v>515</v>
      </c>
      <c r="E442">
        <v>1600</v>
      </c>
      <c r="F442" t="s">
        <v>68</v>
      </c>
      <c r="G442" t="s">
        <v>188</v>
      </c>
      <c r="H442" t="s">
        <v>189</v>
      </c>
      <c r="I442" t="s">
        <v>122</v>
      </c>
      <c r="J442">
        <v>0</v>
      </c>
      <c r="K442">
        <v>45303.64371527778</v>
      </c>
      <c r="L442">
        <v>28600</v>
      </c>
      <c r="O442">
        <v>2400</v>
      </c>
      <c r="P442">
        <v>0</v>
      </c>
      <c r="Q442">
        <v>1600</v>
      </c>
    </row>
    <row r="443" spans="2:17" x14ac:dyDescent="0.25">
      <c r="B443" t="s">
        <v>176</v>
      </c>
      <c r="C443" t="s">
        <v>516</v>
      </c>
      <c r="D443" t="s">
        <v>517</v>
      </c>
      <c r="E443">
        <v>1340</v>
      </c>
      <c r="F443" t="s">
        <v>68</v>
      </c>
      <c r="G443" t="s">
        <v>427</v>
      </c>
      <c r="H443" t="s">
        <v>166</v>
      </c>
      <c r="I443" t="s">
        <v>161</v>
      </c>
      <c r="J443">
        <v>0</v>
      </c>
      <c r="K443">
        <v>45303.64875</v>
      </c>
      <c r="L443">
        <v>6640</v>
      </c>
      <c r="O443">
        <v>60</v>
      </c>
      <c r="P443">
        <v>22</v>
      </c>
      <c r="Q443">
        <v>19.999999999999929</v>
      </c>
    </row>
    <row r="444" spans="2:17" x14ac:dyDescent="0.25">
      <c r="B444" t="s">
        <v>518</v>
      </c>
      <c r="C444" t="s">
        <v>519</v>
      </c>
      <c r="D444" t="s">
        <v>520</v>
      </c>
      <c r="E444">
        <v>4000</v>
      </c>
      <c r="F444" t="s">
        <v>68</v>
      </c>
      <c r="G444" t="s">
        <v>181</v>
      </c>
      <c r="H444" t="s">
        <v>182</v>
      </c>
      <c r="I444" t="s">
        <v>183</v>
      </c>
      <c r="J444">
        <v>1</v>
      </c>
      <c r="K444">
        <v>45306.683449074073</v>
      </c>
      <c r="L444">
        <v>3990</v>
      </c>
      <c r="M444">
        <v>45413</v>
      </c>
      <c r="O444">
        <v>300</v>
      </c>
      <c r="P444">
        <v>13</v>
      </c>
      <c r="Q444">
        <v>100.00000000000017</v>
      </c>
    </row>
    <row r="445" spans="2:17" x14ac:dyDescent="0.25">
      <c r="B445" t="s">
        <v>176</v>
      </c>
      <c r="C445" t="s">
        <v>418</v>
      </c>
      <c r="D445" t="s">
        <v>521</v>
      </c>
      <c r="E445">
        <v>40</v>
      </c>
      <c r="F445" t="s">
        <v>68</v>
      </c>
      <c r="G445" t="s">
        <v>788</v>
      </c>
      <c r="H445" t="s">
        <v>187</v>
      </c>
      <c r="I445" t="s">
        <v>161</v>
      </c>
      <c r="J445">
        <v>0</v>
      </c>
      <c r="K445">
        <v>45308.641273148147</v>
      </c>
      <c r="L445">
        <v>380</v>
      </c>
      <c r="O445">
        <v>100</v>
      </c>
      <c r="P445">
        <v>0</v>
      </c>
      <c r="Q445">
        <v>40</v>
      </c>
    </row>
    <row r="446" spans="2:17" x14ac:dyDescent="0.25">
      <c r="B446" t="s">
        <v>176</v>
      </c>
      <c r="C446" t="s">
        <v>387</v>
      </c>
      <c r="D446" t="s">
        <v>522</v>
      </c>
      <c r="E446">
        <v>1600</v>
      </c>
      <c r="F446" t="s">
        <v>68</v>
      </c>
      <c r="G446" t="s">
        <v>188</v>
      </c>
      <c r="H446" t="s">
        <v>189</v>
      </c>
      <c r="I446" t="s">
        <v>122</v>
      </c>
      <c r="J446">
        <v>0</v>
      </c>
      <c r="K446">
        <v>45308.643078703702</v>
      </c>
      <c r="L446">
        <v>27000</v>
      </c>
      <c r="O446">
        <v>2400</v>
      </c>
      <c r="P446">
        <v>0</v>
      </c>
      <c r="Q446">
        <v>1600</v>
      </c>
    </row>
    <row r="447" spans="2:17" x14ac:dyDescent="0.25">
      <c r="B447" t="s">
        <v>176</v>
      </c>
      <c r="C447" t="s">
        <v>261</v>
      </c>
      <c r="D447" t="s">
        <v>523</v>
      </c>
      <c r="E447">
        <v>1000</v>
      </c>
      <c r="F447" t="s">
        <v>68</v>
      </c>
      <c r="G447" t="s">
        <v>181</v>
      </c>
      <c r="H447" t="s">
        <v>182</v>
      </c>
      <c r="I447" t="s">
        <v>183</v>
      </c>
      <c r="J447">
        <v>0</v>
      </c>
      <c r="K447">
        <v>45308.643969907411</v>
      </c>
      <c r="L447">
        <v>3000</v>
      </c>
      <c r="O447">
        <v>300</v>
      </c>
      <c r="P447">
        <v>3</v>
      </c>
      <c r="Q447">
        <v>100.00000000000004</v>
      </c>
    </row>
    <row r="448" spans="2:17" x14ac:dyDescent="0.25">
      <c r="B448" t="s">
        <v>176</v>
      </c>
      <c r="C448" t="s">
        <v>261</v>
      </c>
      <c r="D448" t="s">
        <v>523</v>
      </c>
      <c r="E448">
        <v>288</v>
      </c>
      <c r="F448" t="s">
        <v>152</v>
      </c>
      <c r="G448" t="s">
        <v>153</v>
      </c>
      <c r="H448" t="s">
        <v>154</v>
      </c>
      <c r="I448" t="s">
        <v>155</v>
      </c>
      <c r="J448">
        <v>0</v>
      </c>
      <c r="K448">
        <v>45308.644976851851</v>
      </c>
      <c r="L448">
        <v>0</v>
      </c>
      <c r="O448">
        <v>144</v>
      </c>
      <c r="P448">
        <v>2</v>
      </c>
      <c r="Q448">
        <v>0</v>
      </c>
    </row>
    <row r="449" spans="2:17" x14ac:dyDescent="0.25">
      <c r="B449" t="s">
        <v>176</v>
      </c>
      <c r="C449" t="s">
        <v>262</v>
      </c>
      <c r="D449" t="s">
        <v>524</v>
      </c>
      <c r="E449">
        <v>700</v>
      </c>
      <c r="F449" t="s">
        <v>68</v>
      </c>
      <c r="G449" t="s">
        <v>427</v>
      </c>
      <c r="H449" t="s">
        <v>166</v>
      </c>
      <c r="I449" t="s">
        <v>161</v>
      </c>
      <c r="J449">
        <v>0</v>
      </c>
      <c r="K449">
        <v>45308.64744212963</v>
      </c>
      <c r="L449">
        <v>5940</v>
      </c>
      <c r="O449">
        <v>60</v>
      </c>
      <c r="P449">
        <v>11</v>
      </c>
      <c r="Q449">
        <v>39.999999999999964</v>
      </c>
    </row>
    <row r="450" spans="2:17" x14ac:dyDescent="0.25">
      <c r="B450" t="s">
        <v>321</v>
      </c>
      <c r="C450" t="s">
        <v>525</v>
      </c>
      <c r="D450" t="s">
        <v>526</v>
      </c>
      <c r="E450">
        <v>5000</v>
      </c>
      <c r="F450" t="s">
        <v>68</v>
      </c>
      <c r="G450" t="s">
        <v>159</v>
      </c>
      <c r="H450" t="s">
        <v>160</v>
      </c>
      <c r="I450" t="s">
        <v>161</v>
      </c>
      <c r="J450">
        <v>0</v>
      </c>
      <c r="K450">
        <v>45308.656400462962</v>
      </c>
      <c r="L450">
        <v>696</v>
      </c>
      <c r="O450">
        <v>24</v>
      </c>
      <c r="P450">
        <v>208</v>
      </c>
      <c r="Q450">
        <v>8.0000000000002274</v>
      </c>
    </row>
    <row r="451" spans="2:17" x14ac:dyDescent="0.25">
      <c r="B451" t="s">
        <v>321</v>
      </c>
      <c r="C451" t="s">
        <v>504</v>
      </c>
      <c r="D451" t="s">
        <v>527</v>
      </c>
      <c r="E451">
        <v>36</v>
      </c>
      <c r="F451" t="s">
        <v>68</v>
      </c>
      <c r="G451" t="s">
        <v>184</v>
      </c>
      <c r="H451" t="s">
        <v>185</v>
      </c>
      <c r="J451">
        <v>0</v>
      </c>
      <c r="K451">
        <v>45308.657314814816</v>
      </c>
      <c r="L451">
        <v>535</v>
      </c>
      <c r="O451">
        <v>4</v>
      </c>
      <c r="P451">
        <v>9</v>
      </c>
      <c r="Q451">
        <v>0</v>
      </c>
    </row>
    <row r="452" spans="2:17" x14ac:dyDescent="0.25">
      <c r="B452" t="s">
        <v>321</v>
      </c>
      <c r="C452" t="s">
        <v>429</v>
      </c>
      <c r="D452" t="s">
        <v>528</v>
      </c>
      <c r="E452">
        <v>12000</v>
      </c>
      <c r="F452" t="s">
        <v>68</v>
      </c>
      <c r="G452" t="s">
        <v>140</v>
      </c>
      <c r="H452" t="s">
        <v>141</v>
      </c>
      <c r="I452" t="s">
        <v>122</v>
      </c>
      <c r="J452">
        <v>0</v>
      </c>
      <c r="K452">
        <v>45308.660104166665</v>
      </c>
      <c r="L452">
        <v>179300</v>
      </c>
      <c r="O452">
        <v>2400</v>
      </c>
      <c r="P452">
        <v>5</v>
      </c>
      <c r="Q452">
        <v>0</v>
      </c>
    </row>
    <row r="453" spans="2:17" x14ac:dyDescent="0.25">
      <c r="B453" t="s">
        <v>321</v>
      </c>
      <c r="C453" t="s">
        <v>429</v>
      </c>
      <c r="D453" t="s">
        <v>528</v>
      </c>
      <c r="E453">
        <v>2</v>
      </c>
      <c r="F453" t="s">
        <v>68</v>
      </c>
      <c r="G453" t="s">
        <v>430</v>
      </c>
      <c r="H453" t="s">
        <v>199</v>
      </c>
      <c r="J453">
        <v>0</v>
      </c>
      <c r="K453">
        <v>45308.660636574074</v>
      </c>
      <c r="L453">
        <v>44</v>
      </c>
      <c r="O453">
        <v>40</v>
      </c>
      <c r="P453">
        <v>0</v>
      </c>
      <c r="Q453">
        <v>2</v>
      </c>
    </row>
    <row r="454" spans="2:17" x14ac:dyDescent="0.25">
      <c r="B454" t="s">
        <v>321</v>
      </c>
      <c r="C454" t="s">
        <v>267</v>
      </c>
      <c r="D454" t="s">
        <v>529</v>
      </c>
      <c r="E454">
        <v>2</v>
      </c>
      <c r="F454" t="s">
        <v>68</v>
      </c>
      <c r="G454" t="s">
        <v>200</v>
      </c>
      <c r="H454" t="s">
        <v>201</v>
      </c>
      <c r="J454">
        <v>0</v>
      </c>
      <c r="K454">
        <v>45308.661874999998</v>
      </c>
      <c r="L454">
        <v>25</v>
      </c>
      <c r="O454">
        <v>36</v>
      </c>
      <c r="P454">
        <v>0</v>
      </c>
      <c r="Q454">
        <v>2</v>
      </c>
    </row>
    <row r="455" spans="2:17" x14ac:dyDescent="0.25">
      <c r="B455" t="s">
        <v>321</v>
      </c>
      <c r="C455" t="s">
        <v>267</v>
      </c>
      <c r="D455" t="s">
        <v>529</v>
      </c>
      <c r="E455">
        <v>120</v>
      </c>
      <c r="F455" t="s">
        <v>68</v>
      </c>
      <c r="G455" t="s">
        <v>219</v>
      </c>
      <c r="H455" t="s">
        <v>220</v>
      </c>
      <c r="I455" t="s">
        <v>161</v>
      </c>
      <c r="J455">
        <v>0</v>
      </c>
      <c r="K455">
        <v>45308.662372685183</v>
      </c>
      <c r="L455">
        <v>8960</v>
      </c>
      <c r="O455">
        <v>100</v>
      </c>
      <c r="P455">
        <v>1</v>
      </c>
      <c r="Q455">
        <v>19.999999999999996</v>
      </c>
    </row>
    <row r="456" spans="2:17" x14ac:dyDescent="0.25">
      <c r="B456" t="s">
        <v>321</v>
      </c>
      <c r="C456" t="s">
        <v>267</v>
      </c>
      <c r="D456" t="s">
        <v>529</v>
      </c>
      <c r="E456">
        <v>120</v>
      </c>
      <c r="F456" t="s">
        <v>68</v>
      </c>
      <c r="G456" t="s">
        <v>427</v>
      </c>
      <c r="H456" t="s">
        <v>166</v>
      </c>
      <c r="I456" t="s">
        <v>161</v>
      </c>
      <c r="J456">
        <v>0</v>
      </c>
      <c r="K456">
        <v>45308.662812499999</v>
      </c>
      <c r="L456">
        <v>5820</v>
      </c>
      <c r="O456">
        <v>60</v>
      </c>
      <c r="P456">
        <v>2</v>
      </c>
      <c r="Q456">
        <v>0</v>
      </c>
    </row>
    <row r="457" spans="2:17" x14ac:dyDescent="0.25">
      <c r="B457" t="s">
        <v>321</v>
      </c>
      <c r="C457" t="s">
        <v>266</v>
      </c>
      <c r="D457" t="s">
        <v>530</v>
      </c>
      <c r="E457">
        <v>300</v>
      </c>
      <c r="F457" t="s">
        <v>68</v>
      </c>
      <c r="G457" t="s">
        <v>177</v>
      </c>
      <c r="H457" t="s">
        <v>178</v>
      </c>
      <c r="I457" t="s">
        <v>179</v>
      </c>
      <c r="J457">
        <v>0</v>
      </c>
      <c r="K457">
        <v>45308.665601851855</v>
      </c>
      <c r="L457">
        <v>2412</v>
      </c>
      <c r="O457">
        <v>36</v>
      </c>
      <c r="P457">
        <v>8</v>
      </c>
      <c r="Q457">
        <v>12.000000000000021</v>
      </c>
    </row>
    <row r="458" spans="2:17" x14ac:dyDescent="0.25">
      <c r="B458" t="s">
        <v>321</v>
      </c>
      <c r="C458" t="s">
        <v>266</v>
      </c>
      <c r="D458" t="s">
        <v>530</v>
      </c>
      <c r="E458">
        <v>10</v>
      </c>
      <c r="F458" t="s">
        <v>68</v>
      </c>
      <c r="G458" t="s">
        <v>787</v>
      </c>
      <c r="H458" t="s">
        <v>167</v>
      </c>
      <c r="I458" t="s">
        <v>161</v>
      </c>
      <c r="J458">
        <v>0</v>
      </c>
      <c r="K458">
        <v>45308.66615740741</v>
      </c>
      <c r="L458">
        <v>209</v>
      </c>
      <c r="O458">
        <v>4</v>
      </c>
      <c r="P458">
        <v>2</v>
      </c>
      <c r="Q458">
        <v>2</v>
      </c>
    </row>
    <row r="459" spans="2:17" x14ac:dyDescent="0.25">
      <c r="B459" t="s">
        <v>321</v>
      </c>
      <c r="C459" t="s">
        <v>345</v>
      </c>
      <c r="D459" t="s">
        <v>531</v>
      </c>
      <c r="E459">
        <v>2500</v>
      </c>
      <c r="F459" t="s">
        <v>68</v>
      </c>
      <c r="G459" t="s">
        <v>163</v>
      </c>
      <c r="H459" t="s">
        <v>164</v>
      </c>
      <c r="I459" t="s">
        <v>161</v>
      </c>
      <c r="J459">
        <v>0</v>
      </c>
      <c r="K459">
        <v>45308.667592592596</v>
      </c>
      <c r="L459">
        <v>22220</v>
      </c>
      <c r="O459">
        <v>440</v>
      </c>
      <c r="P459">
        <v>5</v>
      </c>
      <c r="Q459">
        <v>299.99999999999994</v>
      </c>
    </row>
    <row r="460" spans="2:17" x14ac:dyDescent="0.25">
      <c r="B460" t="s">
        <v>321</v>
      </c>
      <c r="C460" t="s">
        <v>265</v>
      </c>
      <c r="D460" t="s">
        <v>532</v>
      </c>
      <c r="E460">
        <v>6</v>
      </c>
      <c r="F460" t="s">
        <v>68</v>
      </c>
      <c r="G460" t="s">
        <v>786</v>
      </c>
      <c r="H460" t="s">
        <v>165</v>
      </c>
      <c r="I460" t="s">
        <v>161</v>
      </c>
      <c r="J460">
        <v>0</v>
      </c>
      <c r="K460">
        <v>45308.671041666668</v>
      </c>
      <c r="L460">
        <v>203</v>
      </c>
      <c r="O460">
        <v>24</v>
      </c>
      <c r="P460">
        <v>0</v>
      </c>
      <c r="Q460">
        <v>6</v>
      </c>
    </row>
    <row r="461" spans="2:17" x14ac:dyDescent="0.25">
      <c r="B461" t="s">
        <v>321</v>
      </c>
      <c r="C461" t="s">
        <v>265</v>
      </c>
      <c r="D461" t="s">
        <v>532</v>
      </c>
      <c r="E461">
        <v>150</v>
      </c>
      <c r="F461" t="s">
        <v>68</v>
      </c>
      <c r="G461" t="s">
        <v>170</v>
      </c>
      <c r="H461" t="s">
        <v>171</v>
      </c>
      <c r="I461" t="s">
        <v>122</v>
      </c>
      <c r="J461">
        <v>0</v>
      </c>
      <c r="K461">
        <v>45308.671840277777</v>
      </c>
      <c r="L461">
        <v>1650</v>
      </c>
      <c r="O461">
        <v>100</v>
      </c>
      <c r="P461">
        <v>1</v>
      </c>
      <c r="Q461">
        <v>50</v>
      </c>
    </row>
    <row r="462" spans="2:17" x14ac:dyDescent="0.25">
      <c r="B462" t="s">
        <v>321</v>
      </c>
      <c r="C462" t="s">
        <v>479</v>
      </c>
      <c r="D462" t="s">
        <v>533</v>
      </c>
      <c r="E462">
        <v>120</v>
      </c>
      <c r="F462" t="s">
        <v>144</v>
      </c>
      <c r="G462" t="s">
        <v>150</v>
      </c>
      <c r="H462" t="s">
        <v>151</v>
      </c>
      <c r="I462" t="s">
        <v>147</v>
      </c>
      <c r="J462">
        <v>0</v>
      </c>
      <c r="K462">
        <v>45308.674560185187</v>
      </c>
      <c r="L462">
        <v>500</v>
      </c>
      <c r="O462">
        <v>10</v>
      </c>
      <c r="P462">
        <v>12</v>
      </c>
      <c r="Q462">
        <v>0</v>
      </c>
    </row>
    <row r="463" spans="2:17" x14ac:dyDescent="0.25">
      <c r="B463" t="s">
        <v>321</v>
      </c>
      <c r="C463" t="s">
        <v>479</v>
      </c>
      <c r="D463" t="s">
        <v>533</v>
      </c>
      <c r="E463">
        <v>60</v>
      </c>
      <c r="F463" t="s">
        <v>144</v>
      </c>
      <c r="G463" t="s">
        <v>145</v>
      </c>
      <c r="H463" t="s">
        <v>146</v>
      </c>
      <c r="I463" t="s">
        <v>147</v>
      </c>
      <c r="J463">
        <v>0</v>
      </c>
      <c r="K463">
        <v>45308.674895833334</v>
      </c>
      <c r="L463">
        <v>1358</v>
      </c>
      <c r="O463">
        <v>10</v>
      </c>
      <c r="P463">
        <v>6</v>
      </c>
      <c r="Q463">
        <v>0</v>
      </c>
    </row>
    <row r="464" spans="2:17" x14ac:dyDescent="0.25">
      <c r="B464" t="s">
        <v>321</v>
      </c>
      <c r="C464" t="s">
        <v>479</v>
      </c>
      <c r="D464" t="s">
        <v>533</v>
      </c>
      <c r="E464">
        <v>60</v>
      </c>
      <c r="F464" t="s">
        <v>144</v>
      </c>
      <c r="G464" t="s">
        <v>148</v>
      </c>
      <c r="H464" t="s">
        <v>149</v>
      </c>
      <c r="I464" t="s">
        <v>147</v>
      </c>
      <c r="J464">
        <v>0</v>
      </c>
      <c r="K464">
        <v>45308.675185185188</v>
      </c>
      <c r="L464">
        <v>6497</v>
      </c>
      <c r="O464">
        <v>10</v>
      </c>
      <c r="P464">
        <v>6</v>
      </c>
      <c r="Q464">
        <v>0</v>
      </c>
    </row>
    <row r="465" spans="2:17" x14ac:dyDescent="0.25">
      <c r="B465" t="s">
        <v>321</v>
      </c>
      <c r="C465" t="s">
        <v>364</v>
      </c>
      <c r="D465" t="s">
        <v>534</v>
      </c>
      <c r="E465">
        <v>120</v>
      </c>
      <c r="F465" t="s">
        <v>152</v>
      </c>
      <c r="G465" t="s">
        <v>157</v>
      </c>
      <c r="H465" t="s">
        <v>154</v>
      </c>
      <c r="I465" t="s">
        <v>155</v>
      </c>
      <c r="J465">
        <v>0</v>
      </c>
      <c r="K465">
        <v>45308.678113425929</v>
      </c>
      <c r="L465">
        <v>3098</v>
      </c>
      <c r="O465">
        <v>144</v>
      </c>
      <c r="P465">
        <v>0</v>
      </c>
      <c r="Q465">
        <v>120</v>
      </c>
    </row>
    <row r="466" spans="2:17" x14ac:dyDescent="0.25">
      <c r="B466" t="s">
        <v>321</v>
      </c>
      <c r="C466" t="s">
        <v>368</v>
      </c>
      <c r="D466" t="s">
        <v>535</v>
      </c>
      <c r="E466">
        <v>6000</v>
      </c>
      <c r="F466" t="s">
        <v>68</v>
      </c>
      <c r="G466" t="s">
        <v>124</v>
      </c>
      <c r="H466" t="s">
        <v>125</v>
      </c>
      <c r="I466" t="s">
        <v>122</v>
      </c>
      <c r="J466">
        <v>0</v>
      </c>
      <c r="K466">
        <v>45308.678182870368</v>
      </c>
      <c r="L466">
        <v>8000</v>
      </c>
      <c r="O466">
        <v>1200</v>
      </c>
      <c r="P466">
        <v>5</v>
      </c>
      <c r="Q466">
        <v>0</v>
      </c>
    </row>
    <row r="467" spans="2:17" x14ac:dyDescent="0.25">
      <c r="B467" t="s">
        <v>321</v>
      </c>
      <c r="C467" t="s">
        <v>509</v>
      </c>
      <c r="D467" t="s">
        <v>536</v>
      </c>
      <c r="E467">
        <v>12000</v>
      </c>
      <c r="F467" t="s">
        <v>68</v>
      </c>
      <c r="G467" t="s">
        <v>120</v>
      </c>
      <c r="H467" t="s">
        <v>121</v>
      </c>
      <c r="I467" t="s">
        <v>122</v>
      </c>
      <c r="J467">
        <v>0</v>
      </c>
      <c r="K467">
        <v>45308.67900462963</v>
      </c>
      <c r="L467">
        <v>121800</v>
      </c>
      <c r="O467">
        <v>2400</v>
      </c>
      <c r="P467">
        <v>5</v>
      </c>
      <c r="Q467">
        <v>0</v>
      </c>
    </row>
    <row r="468" spans="2:17" x14ac:dyDescent="0.25">
      <c r="B468" t="s">
        <v>176</v>
      </c>
      <c r="C468" t="s">
        <v>537</v>
      </c>
      <c r="D468" t="s">
        <v>538</v>
      </c>
      <c r="E468">
        <v>400</v>
      </c>
      <c r="F468" t="s">
        <v>68</v>
      </c>
      <c r="G468" t="s">
        <v>136</v>
      </c>
      <c r="H468" t="s">
        <v>137</v>
      </c>
      <c r="I468" t="s">
        <v>122</v>
      </c>
      <c r="J468">
        <v>0</v>
      </c>
      <c r="K468">
        <v>45310.436712962961</v>
      </c>
      <c r="L468">
        <v>29200</v>
      </c>
      <c r="O468">
        <v>2400</v>
      </c>
      <c r="P468">
        <v>0</v>
      </c>
      <c r="Q468">
        <v>400</v>
      </c>
    </row>
    <row r="469" spans="2:17" x14ac:dyDescent="0.25">
      <c r="B469" t="s">
        <v>176</v>
      </c>
      <c r="C469" t="s">
        <v>537</v>
      </c>
      <c r="D469" t="s">
        <v>538</v>
      </c>
      <c r="E469">
        <v>200</v>
      </c>
      <c r="F469" t="s">
        <v>68</v>
      </c>
      <c r="G469" t="s">
        <v>130</v>
      </c>
      <c r="H469" t="s">
        <v>131</v>
      </c>
      <c r="I469" t="s">
        <v>122</v>
      </c>
      <c r="J469">
        <v>0</v>
      </c>
      <c r="K469">
        <v>45310.436828703707</v>
      </c>
      <c r="L469">
        <v>4200</v>
      </c>
      <c r="O469">
        <v>3000</v>
      </c>
      <c r="P469">
        <v>0</v>
      </c>
      <c r="Q469">
        <v>200</v>
      </c>
    </row>
    <row r="470" spans="2:17" x14ac:dyDescent="0.25">
      <c r="B470" t="s">
        <v>176</v>
      </c>
      <c r="C470" t="s">
        <v>537</v>
      </c>
      <c r="D470" t="s">
        <v>538</v>
      </c>
      <c r="E470">
        <v>400</v>
      </c>
      <c r="F470" t="s">
        <v>68</v>
      </c>
      <c r="G470" t="s">
        <v>134</v>
      </c>
      <c r="H470" t="s">
        <v>135</v>
      </c>
      <c r="I470" t="s">
        <v>122</v>
      </c>
      <c r="J470">
        <v>0</v>
      </c>
      <c r="K470">
        <v>45310.436898148146</v>
      </c>
      <c r="L470">
        <v>5000</v>
      </c>
      <c r="O470">
        <v>3000</v>
      </c>
      <c r="P470">
        <v>0</v>
      </c>
      <c r="Q470">
        <v>400</v>
      </c>
    </row>
    <row r="471" spans="2:17" x14ac:dyDescent="0.25">
      <c r="B471" t="s">
        <v>176</v>
      </c>
      <c r="C471" t="s">
        <v>537</v>
      </c>
      <c r="D471" t="s">
        <v>538</v>
      </c>
      <c r="E471">
        <v>5500</v>
      </c>
      <c r="F471" t="s">
        <v>68</v>
      </c>
      <c r="G471" t="s">
        <v>138</v>
      </c>
      <c r="H471" t="s">
        <v>139</v>
      </c>
      <c r="I471" t="s">
        <v>122</v>
      </c>
      <c r="J471">
        <v>0</v>
      </c>
      <c r="K471">
        <v>45310.437013888892</v>
      </c>
      <c r="L471">
        <v>3700</v>
      </c>
      <c r="O471">
        <v>3000</v>
      </c>
      <c r="P471">
        <v>1</v>
      </c>
      <c r="Q471">
        <v>2500</v>
      </c>
    </row>
    <row r="472" spans="2:17" x14ac:dyDescent="0.25">
      <c r="B472" t="s">
        <v>539</v>
      </c>
      <c r="C472" t="s">
        <v>540</v>
      </c>
      <c r="D472" t="s">
        <v>541</v>
      </c>
      <c r="E472">
        <v>600</v>
      </c>
      <c r="F472" t="s">
        <v>144</v>
      </c>
      <c r="G472" t="s">
        <v>150</v>
      </c>
      <c r="H472" t="s">
        <v>151</v>
      </c>
      <c r="I472" t="s">
        <v>147</v>
      </c>
      <c r="J472">
        <v>1</v>
      </c>
      <c r="K472">
        <v>45310.577164351853</v>
      </c>
      <c r="L472">
        <v>1100</v>
      </c>
      <c r="M472" t="s">
        <v>542</v>
      </c>
      <c r="O472">
        <v>10</v>
      </c>
      <c r="P472">
        <v>60</v>
      </c>
      <c r="Q472">
        <v>0</v>
      </c>
    </row>
    <row r="473" spans="2:17" x14ac:dyDescent="0.25">
      <c r="B473" t="s">
        <v>539</v>
      </c>
      <c r="C473" t="s">
        <v>540</v>
      </c>
      <c r="D473" t="s">
        <v>541</v>
      </c>
      <c r="E473">
        <v>1440</v>
      </c>
      <c r="F473" t="s">
        <v>152</v>
      </c>
      <c r="G473" t="s">
        <v>156</v>
      </c>
      <c r="H473" t="s">
        <v>154</v>
      </c>
      <c r="I473" t="s">
        <v>155</v>
      </c>
      <c r="J473">
        <v>1</v>
      </c>
      <c r="K473">
        <v>45310.577997685185</v>
      </c>
      <c r="L473">
        <v>4368</v>
      </c>
      <c r="M473" t="s">
        <v>542</v>
      </c>
      <c r="O473">
        <v>144</v>
      </c>
      <c r="P473">
        <v>10</v>
      </c>
      <c r="Q473">
        <v>0</v>
      </c>
    </row>
    <row r="474" spans="2:17" x14ac:dyDescent="0.25">
      <c r="B474" t="s">
        <v>539</v>
      </c>
      <c r="C474" t="s">
        <v>540</v>
      </c>
      <c r="D474" t="s">
        <v>541</v>
      </c>
      <c r="E474">
        <v>720</v>
      </c>
      <c r="F474" t="s">
        <v>152</v>
      </c>
      <c r="G474" t="s">
        <v>153</v>
      </c>
      <c r="H474" t="s">
        <v>154</v>
      </c>
      <c r="I474" t="s">
        <v>155</v>
      </c>
      <c r="J474">
        <v>1</v>
      </c>
      <c r="K474">
        <v>45310.578287037039</v>
      </c>
      <c r="L474">
        <v>720</v>
      </c>
      <c r="M474" t="s">
        <v>542</v>
      </c>
      <c r="O474">
        <v>144</v>
      </c>
      <c r="P474">
        <v>5</v>
      </c>
      <c r="Q474">
        <v>0</v>
      </c>
    </row>
    <row r="475" spans="2:17" x14ac:dyDescent="0.25">
      <c r="B475" t="s">
        <v>176</v>
      </c>
      <c r="C475" t="s">
        <v>543</v>
      </c>
      <c r="D475" t="s">
        <v>544</v>
      </c>
      <c r="E475">
        <v>10</v>
      </c>
      <c r="F475" t="s">
        <v>68</v>
      </c>
      <c r="G475" t="s">
        <v>787</v>
      </c>
      <c r="H475" t="s">
        <v>167</v>
      </c>
      <c r="I475" t="s">
        <v>161</v>
      </c>
      <c r="J475">
        <v>0</v>
      </c>
      <c r="K475">
        <v>45310.579756944448</v>
      </c>
      <c r="L475">
        <v>199</v>
      </c>
      <c r="O475">
        <v>4</v>
      </c>
      <c r="P475">
        <v>2</v>
      </c>
      <c r="Q475">
        <v>2</v>
      </c>
    </row>
    <row r="476" spans="2:17" x14ac:dyDescent="0.25">
      <c r="B476" t="s">
        <v>176</v>
      </c>
      <c r="C476" t="s">
        <v>543</v>
      </c>
      <c r="D476" t="s">
        <v>545</v>
      </c>
      <c r="E476">
        <v>500</v>
      </c>
      <c r="F476" t="s">
        <v>152</v>
      </c>
      <c r="G476" t="s">
        <v>158</v>
      </c>
      <c r="H476" t="s">
        <v>154</v>
      </c>
      <c r="I476" t="s">
        <v>155</v>
      </c>
      <c r="J476">
        <v>0</v>
      </c>
      <c r="K476">
        <v>45310.581377314818</v>
      </c>
      <c r="L476">
        <v>860</v>
      </c>
      <c r="O476">
        <v>144</v>
      </c>
      <c r="P476">
        <v>3</v>
      </c>
      <c r="Q476">
        <v>68.000000000000014</v>
      </c>
    </row>
    <row r="477" spans="2:17" x14ac:dyDescent="0.25">
      <c r="B477" t="s">
        <v>176</v>
      </c>
      <c r="C477" t="s">
        <v>543</v>
      </c>
      <c r="D477" t="s">
        <v>545</v>
      </c>
      <c r="E477">
        <v>150</v>
      </c>
      <c r="F477" t="s">
        <v>68</v>
      </c>
      <c r="G477" t="s">
        <v>168</v>
      </c>
      <c r="H477" t="s">
        <v>169</v>
      </c>
      <c r="I477" t="s">
        <v>122</v>
      </c>
      <c r="J477">
        <v>0</v>
      </c>
      <c r="K477">
        <v>45310.58148148148</v>
      </c>
      <c r="L477">
        <v>1306</v>
      </c>
      <c r="O477">
        <v>200</v>
      </c>
      <c r="P477">
        <v>0</v>
      </c>
      <c r="Q477">
        <v>150</v>
      </c>
    </row>
    <row r="478" spans="2:17" x14ac:dyDescent="0.25">
      <c r="B478" t="s">
        <v>176</v>
      </c>
      <c r="C478" t="s">
        <v>387</v>
      </c>
      <c r="D478" t="s">
        <v>546</v>
      </c>
      <c r="E478">
        <v>1600</v>
      </c>
      <c r="F478" t="s">
        <v>68</v>
      </c>
      <c r="G478" t="s">
        <v>188</v>
      </c>
      <c r="H478" t="s">
        <v>189</v>
      </c>
      <c r="I478" t="s">
        <v>122</v>
      </c>
      <c r="J478">
        <v>0</v>
      </c>
      <c r="K478">
        <v>45310.582175925927</v>
      </c>
      <c r="L478">
        <v>25400</v>
      </c>
      <c r="O478">
        <v>2400</v>
      </c>
      <c r="P478">
        <v>0</v>
      </c>
      <c r="Q478">
        <v>1600</v>
      </c>
    </row>
    <row r="479" spans="2:17" x14ac:dyDescent="0.25">
      <c r="B479" t="s">
        <v>176</v>
      </c>
      <c r="C479" t="s">
        <v>392</v>
      </c>
      <c r="D479" t="s">
        <v>547</v>
      </c>
      <c r="E479">
        <v>5600</v>
      </c>
      <c r="F479" t="s">
        <v>68</v>
      </c>
      <c r="G479" t="s">
        <v>140</v>
      </c>
      <c r="H479" t="s">
        <v>141</v>
      </c>
      <c r="I479" t="s">
        <v>122</v>
      </c>
      <c r="J479">
        <v>0</v>
      </c>
      <c r="K479">
        <v>45310.583067129628</v>
      </c>
      <c r="L479">
        <v>173700</v>
      </c>
      <c r="O479">
        <v>2400</v>
      </c>
      <c r="P479">
        <v>2</v>
      </c>
      <c r="Q479">
        <v>800.00000000000034</v>
      </c>
    </row>
    <row r="480" spans="2:17" x14ac:dyDescent="0.25">
      <c r="B480" t="s">
        <v>176</v>
      </c>
      <c r="C480" t="s">
        <v>418</v>
      </c>
      <c r="D480" t="s">
        <v>548</v>
      </c>
      <c r="E480">
        <v>10</v>
      </c>
      <c r="F480" t="s">
        <v>68</v>
      </c>
      <c r="G480" t="s">
        <v>787</v>
      </c>
      <c r="H480" t="s">
        <v>167</v>
      </c>
      <c r="I480" t="s">
        <v>161</v>
      </c>
      <c r="J480">
        <v>0</v>
      </c>
      <c r="K480">
        <v>45310.584201388891</v>
      </c>
      <c r="L480">
        <v>189</v>
      </c>
      <c r="O480">
        <v>4</v>
      </c>
      <c r="P480">
        <v>2</v>
      </c>
      <c r="Q480">
        <v>2</v>
      </c>
    </row>
    <row r="481" spans="2:17" x14ac:dyDescent="0.25">
      <c r="B481" t="s">
        <v>176</v>
      </c>
      <c r="C481" t="s">
        <v>262</v>
      </c>
      <c r="D481" t="s">
        <v>549</v>
      </c>
      <c r="E481">
        <v>700</v>
      </c>
      <c r="F481" t="s">
        <v>68</v>
      </c>
      <c r="G481" t="s">
        <v>427</v>
      </c>
      <c r="H481" t="s">
        <v>166</v>
      </c>
      <c r="I481" t="s">
        <v>161</v>
      </c>
      <c r="J481">
        <v>0</v>
      </c>
      <c r="K481">
        <v>45310.58494212963</v>
      </c>
      <c r="L481">
        <v>5120</v>
      </c>
      <c r="O481">
        <v>60</v>
      </c>
      <c r="P481">
        <v>11</v>
      </c>
      <c r="Q481">
        <v>39.999999999999964</v>
      </c>
    </row>
    <row r="482" spans="2:17" x14ac:dyDescent="0.25">
      <c r="B482" t="s">
        <v>321</v>
      </c>
      <c r="C482" t="s">
        <v>550</v>
      </c>
      <c r="D482" t="s">
        <v>551</v>
      </c>
      <c r="E482" t="s">
        <v>195</v>
      </c>
      <c r="F482" t="s">
        <v>152</v>
      </c>
      <c r="G482" t="s">
        <v>62</v>
      </c>
      <c r="H482" t="s">
        <v>226</v>
      </c>
      <c r="I482" t="s">
        <v>227</v>
      </c>
      <c r="J482">
        <v>0</v>
      </c>
      <c r="K482">
        <v>45313.497696759259</v>
      </c>
      <c r="L482">
        <v>9</v>
      </c>
      <c r="O482">
        <v>1</v>
      </c>
      <c r="P482">
        <v>10</v>
      </c>
      <c r="Q482">
        <v>0</v>
      </c>
    </row>
    <row r="483" spans="2:17" x14ac:dyDescent="0.25">
      <c r="B483" t="s">
        <v>321</v>
      </c>
      <c r="C483" t="s">
        <v>550</v>
      </c>
      <c r="D483" t="s">
        <v>551</v>
      </c>
      <c r="E483" t="s">
        <v>195</v>
      </c>
      <c r="F483" t="s">
        <v>152</v>
      </c>
      <c r="G483" t="s">
        <v>245</v>
      </c>
      <c r="H483" t="s">
        <v>226</v>
      </c>
      <c r="I483" t="s">
        <v>227</v>
      </c>
      <c r="J483">
        <v>0</v>
      </c>
      <c r="K483">
        <v>45313.497766203705</v>
      </c>
      <c r="L483">
        <v>30</v>
      </c>
      <c r="O483">
        <v>1</v>
      </c>
      <c r="P483">
        <v>10</v>
      </c>
      <c r="Q483">
        <v>0</v>
      </c>
    </row>
    <row r="484" spans="2:17" x14ac:dyDescent="0.25">
      <c r="B484" t="s">
        <v>321</v>
      </c>
      <c r="C484" t="s">
        <v>550</v>
      </c>
      <c r="D484" t="s">
        <v>551</v>
      </c>
      <c r="E484" t="s">
        <v>827</v>
      </c>
      <c r="F484" t="s">
        <v>152</v>
      </c>
      <c r="G484" t="s">
        <v>415</v>
      </c>
      <c r="H484" t="s">
        <v>226</v>
      </c>
      <c r="I484" t="s">
        <v>227</v>
      </c>
      <c r="J484">
        <v>0</v>
      </c>
      <c r="K484">
        <v>45313.497858796298</v>
      </c>
      <c r="L484">
        <v>36</v>
      </c>
      <c r="O484">
        <v>1</v>
      </c>
      <c r="P484">
        <v>15</v>
      </c>
      <c r="Q484">
        <v>0</v>
      </c>
    </row>
    <row r="485" spans="2:17" x14ac:dyDescent="0.25">
      <c r="B485" t="s">
        <v>321</v>
      </c>
      <c r="C485" t="s">
        <v>550</v>
      </c>
      <c r="D485" t="s">
        <v>551</v>
      </c>
      <c r="E485" t="s">
        <v>828</v>
      </c>
      <c r="F485" t="s">
        <v>152</v>
      </c>
      <c r="G485" t="s">
        <v>64</v>
      </c>
      <c r="H485" t="s">
        <v>226</v>
      </c>
      <c r="I485" t="s">
        <v>227</v>
      </c>
      <c r="J485">
        <v>0</v>
      </c>
      <c r="K485">
        <v>45313.497916666667</v>
      </c>
      <c r="L485">
        <v>0</v>
      </c>
      <c r="O485">
        <v>1</v>
      </c>
      <c r="P485">
        <v>14</v>
      </c>
      <c r="Q485">
        <v>0</v>
      </c>
    </row>
    <row r="486" spans="2:17" x14ac:dyDescent="0.25">
      <c r="B486" t="s">
        <v>321</v>
      </c>
      <c r="C486" t="s">
        <v>550</v>
      </c>
      <c r="D486" t="s">
        <v>551</v>
      </c>
      <c r="E486" t="s">
        <v>827</v>
      </c>
      <c r="F486" t="s">
        <v>152</v>
      </c>
      <c r="G486" t="s">
        <v>235</v>
      </c>
      <c r="H486" t="s">
        <v>226</v>
      </c>
      <c r="I486" t="s">
        <v>227</v>
      </c>
      <c r="J486">
        <v>0</v>
      </c>
      <c r="K486">
        <v>45313.497986111113</v>
      </c>
      <c r="L486">
        <v>45</v>
      </c>
      <c r="O486">
        <v>1</v>
      </c>
      <c r="P486">
        <v>15</v>
      </c>
      <c r="Q486">
        <v>0</v>
      </c>
    </row>
    <row r="487" spans="2:17" x14ac:dyDescent="0.25">
      <c r="B487" t="s">
        <v>321</v>
      </c>
      <c r="C487" t="s">
        <v>550</v>
      </c>
      <c r="D487" t="s">
        <v>551</v>
      </c>
      <c r="E487" t="s">
        <v>829</v>
      </c>
      <c r="F487" t="s">
        <v>152</v>
      </c>
      <c r="G487" t="s">
        <v>236</v>
      </c>
      <c r="H487" t="s">
        <v>226</v>
      </c>
      <c r="I487" t="s">
        <v>227</v>
      </c>
      <c r="J487">
        <v>0</v>
      </c>
      <c r="K487">
        <v>45313.498020833336</v>
      </c>
      <c r="L487">
        <v>37</v>
      </c>
      <c r="O487">
        <v>1</v>
      </c>
      <c r="P487">
        <v>5</v>
      </c>
      <c r="Q487">
        <v>0</v>
      </c>
    </row>
    <row r="488" spans="2:17" x14ac:dyDescent="0.25">
      <c r="B488" t="s">
        <v>321</v>
      </c>
      <c r="C488" t="s">
        <v>550</v>
      </c>
      <c r="D488" t="s">
        <v>551</v>
      </c>
      <c r="E488" t="s">
        <v>829</v>
      </c>
      <c r="F488" t="s">
        <v>152</v>
      </c>
      <c r="G488" t="s">
        <v>65</v>
      </c>
      <c r="H488" t="s">
        <v>226</v>
      </c>
      <c r="I488" t="s">
        <v>227</v>
      </c>
      <c r="J488">
        <v>0</v>
      </c>
      <c r="K488">
        <v>45313.498055555552</v>
      </c>
      <c r="L488">
        <v>3</v>
      </c>
      <c r="O488">
        <v>1</v>
      </c>
      <c r="P488">
        <v>5</v>
      </c>
      <c r="Q488">
        <v>0</v>
      </c>
    </row>
    <row r="489" spans="2:17" x14ac:dyDescent="0.25">
      <c r="B489" t="s">
        <v>321</v>
      </c>
      <c r="C489" t="s">
        <v>550</v>
      </c>
      <c r="D489" t="s">
        <v>551</v>
      </c>
      <c r="E489" t="s">
        <v>829</v>
      </c>
      <c r="F489" t="s">
        <v>152</v>
      </c>
      <c r="G489" t="s">
        <v>237</v>
      </c>
      <c r="H489" t="s">
        <v>226</v>
      </c>
      <c r="I489" t="s">
        <v>227</v>
      </c>
      <c r="J489">
        <v>0</v>
      </c>
      <c r="K489">
        <v>45313.498090277775</v>
      </c>
      <c r="L489">
        <v>22</v>
      </c>
      <c r="O489">
        <v>1</v>
      </c>
      <c r="P489">
        <v>5</v>
      </c>
      <c r="Q489">
        <v>0</v>
      </c>
    </row>
    <row r="490" spans="2:17" x14ac:dyDescent="0.25">
      <c r="B490" t="s">
        <v>321</v>
      </c>
      <c r="C490" t="s">
        <v>550</v>
      </c>
      <c r="D490" t="s">
        <v>551</v>
      </c>
      <c r="E490" t="s">
        <v>830</v>
      </c>
      <c r="F490" t="s">
        <v>152</v>
      </c>
      <c r="G490" t="s">
        <v>63</v>
      </c>
      <c r="H490" t="s">
        <v>226</v>
      </c>
      <c r="I490" t="s">
        <v>227</v>
      </c>
      <c r="J490">
        <v>0</v>
      </c>
      <c r="K490">
        <v>45313.498124999998</v>
      </c>
      <c r="L490">
        <v>0</v>
      </c>
      <c r="O490">
        <v>1</v>
      </c>
      <c r="P490">
        <v>2</v>
      </c>
      <c r="Q490">
        <v>0</v>
      </c>
    </row>
    <row r="491" spans="2:17" x14ac:dyDescent="0.25">
      <c r="B491" t="s">
        <v>176</v>
      </c>
      <c r="C491" t="s">
        <v>392</v>
      </c>
      <c r="D491" t="s">
        <v>552</v>
      </c>
      <c r="E491">
        <v>1200</v>
      </c>
      <c r="F491" t="s">
        <v>68</v>
      </c>
      <c r="G491" t="s">
        <v>219</v>
      </c>
      <c r="H491" t="s">
        <v>220</v>
      </c>
      <c r="I491" t="s">
        <v>161</v>
      </c>
      <c r="J491">
        <v>0</v>
      </c>
      <c r="K491">
        <v>45313.501574074071</v>
      </c>
      <c r="L491">
        <v>7760</v>
      </c>
      <c r="O491">
        <v>100</v>
      </c>
      <c r="P491">
        <v>12</v>
      </c>
      <c r="Q491">
        <v>0</v>
      </c>
    </row>
    <row r="492" spans="2:17" x14ac:dyDescent="0.25">
      <c r="B492" t="s">
        <v>176</v>
      </c>
      <c r="C492" t="s">
        <v>418</v>
      </c>
      <c r="D492" t="s">
        <v>553</v>
      </c>
      <c r="E492">
        <v>10</v>
      </c>
      <c r="F492" t="s">
        <v>68</v>
      </c>
      <c r="G492" t="s">
        <v>787</v>
      </c>
      <c r="H492" t="s">
        <v>167</v>
      </c>
      <c r="I492" t="s">
        <v>161</v>
      </c>
      <c r="J492">
        <v>0</v>
      </c>
      <c r="K492">
        <v>45313.501886574071</v>
      </c>
      <c r="L492">
        <v>179</v>
      </c>
      <c r="O492">
        <v>4</v>
      </c>
      <c r="P492">
        <v>2</v>
      </c>
      <c r="Q492">
        <v>2</v>
      </c>
    </row>
    <row r="493" spans="2:17" x14ac:dyDescent="0.25">
      <c r="B493" t="s">
        <v>176</v>
      </c>
      <c r="C493" t="s">
        <v>261</v>
      </c>
      <c r="D493" t="s">
        <v>554</v>
      </c>
      <c r="E493">
        <v>1000</v>
      </c>
      <c r="F493" t="s">
        <v>68</v>
      </c>
      <c r="G493" t="s">
        <v>181</v>
      </c>
      <c r="H493" t="s">
        <v>182</v>
      </c>
      <c r="I493" t="s">
        <v>183</v>
      </c>
      <c r="J493">
        <v>0</v>
      </c>
      <c r="K493">
        <v>45313.501956018517</v>
      </c>
      <c r="L493">
        <v>2000</v>
      </c>
      <c r="O493">
        <v>300</v>
      </c>
      <c r="P493">
        <v>3</v>
      </c>
      <c r="Q493">
        <v>100.00000000000004</v>
      </c>
    </row>
    <row r="494" spans="2:17" x14ac:dyDescent="0.25">
      <c r="B494" t="s">
        <v>176</v>
      </c>
      <c r="C494" t="s">
        <v>387</v>
      </c>
      <c r="D494" t="s">
        <v>555</v>
      </c>
      <c r="E494">
        <v>1600</v>
      </c>
      <c r="F494" t="s">
        <v>68</v>
      </c>
      <c r="G494" t="s">
        <v>188</v>
      </c>
      <c r="H494" t="s">
        <v>189</v>
      </c>
      <c r="I494" t="s">
        <v>122</v>
      </c>
      <c r="J494">
        <v>0</v>
      </c>
      <c r="K494">
        <v>45313.50199074074</v>
      </c>
      <c r="L494">
        <v>23800</v>
      </c>
      <c r="O494">
        <v>2400</v>
      </c>
      <c r="P494">
        <v>0</v>
      </c>
      <c r="Q494">
        <v>1600</v>
      </c>
    </row>
    <row r="495" spans="2:17" x14ac:dyDescent="0.25">
      <c r="B495" t="s">
        <v>176</v>
      </c>
      <c r="C495" t="s">
        <v>262</v>
      </c>
      <c r="D495" t="s">
        <v>556</v>
      </c>
      <c r="E495">
        <v>200</v>
      </c>
      <c r="F495" t="s">
        <v>68</v>
      </c>
      <c r="G495" t="s">
        <v>184</v>
      </c>
      <c r="H495" t="s">
        <v>185</v>
      </c>
      <c r="J495">
        <v>0</v>
      </c>
      <c r="K495">
        <v>45313.502060185187</v>
      </c>
      <c r="L495">
        <v>335</v>
      </c>
      <c r="O495">
        <v>4</v>
      </c>
      <c r="P495">
        <v>50</v>
      </c>
      <c r="Q495">
        <v>0</v>
      </c>
    </row>
    <row r="496" spans="2:17" x14ac:dyDescent="0.25">
      <c r="B496" t="s">
        <v>176</v>
      </c>
      <c r="C496" t="s">
        <v>262</v>
      </c>
      <c r="D496" t="s">
        <v>556</v>
      </c>
      <c r="E496">
        <v>34</v>
      </c>
      <c r="F496" t="s">
        <v>144</v>
      </c>
      <c r="G496" t="s">
        <v>148</v>
      </c>
      <c r="H496" t="s">
        <v>149</v>
      </c>
      <c r="I496" t="s">
        <v>147</v>
      </c>
      <c r="J496">
        <v>0</v>
      </c>
      <c r="K496">
        <v>45313.502106481479</v>
      </c>
      <c r="L496">
        <v>6463</v>
      </c>
      <c r="O496">
        <v>10</v>
      </c>
      <c r="P496">
        <v>3</v>
      </c>
      <c r="Q496">
        <v>3.9999999999999991</v>
      </c>
    </row>
    <row r="497" spans="2:17" x14ac:dyDescent="0.25">
      <c r="B497" t="s">
        <v>557</v>
      </c>
      <c r="C497" t="s">
        <v>123</v>
      </c>
      <c r="D497" t="s">
        <v>123</v>
      </c>
      <c r="E497" t="s">
        <v>558</v>
      </c>
      <c r="F497" t="s">
        <v>68</v>
      </c>
      <c r="G497" t="s">
        <v>163</v>
      </c>
      <c r="H497" t="s">
        <v>164</v>
      </c>
      <c r="I497" t="s">
        <v>161</v>
      </c>
      <c r="J497">
        <v>1</v>
      </c>
      <c r="K497">
        <v>45313.737708333334</v>
      </c>
      <c r="L497">
        <v>47220</v>
      </c>
      <c r="M497" t="s">
        <v>559</v>
      </c>
      <c r="O497">
        <v>440</v>
      </c>
      <c r="P497">
        <v>56</v>
      </c>
      <c r="Q497">
        <v>360.00000000000085</v>
      </c>
    </row>
    <row r="498" spans="2:17" x14ac:dyDescent="0.25">
      <c r="B498" t="s">
        <v>321</v>
      </c>
      <c r="C498" t="s">
        <v>364</v>
      </c>
      <c r="D498" t="s">
        <v>560</v>
      </c>
      <c r="E498">
        <v>600</v>
      </c>
      <c r="F498" t="s">
        <v>152</v>
      </c>
      <c r="G498" t="s">
        <v>157</v>
      </c>
      <c r="H498" t="s">
        <v>154</v>
      </c>
      <c r="I498" t="s">
        <v>155</v>
      </c>
      <c r="J498">
        <v>0</v>
      </c>
      <c r="K498">
        <v>45314.640856481485</v>
      </c>
      <c r="L498">
        <v>2498</v>
      </c>
      <c r="O498">
        <v>144</v>
      </c>
      <c r="P498">
        <v>4</v>
      </c>
      <c r="Q498">
        <v>24.000000000000043</v>
      </c>
    </row>
    <row r="499" spans="2:17" x14ac:dyDescent="0.25">
      <c r="B499" t="s">
        <v>321</v>
      </c>
      <c r="C499" t="s">
        <v>561</v>
      </c>
      <c r="D499" t="s">
        <v>562</v>
      </c>
      <c r="E499">
        <v>4200</v>
      </c>
      <c r="F499" t="s">
        <v>68</v>
      </c>
      <c r="G499" t="s">
        <v>138</v>
      </c>
      <c r="H499" t="s">
        <v>139</v>
      </c>
      <c r="I499" t="s">
        <v>122</v>
      </c>
      <c r="J499">
        <v>0</v>
      </c>
      <c r="K499">
        <v>45314.642685185187</v>
      </c>
      <c r="L499">
        <v>-500</v>
      </c>
      <c r="O499">
        <v>3000</v>
      </c>
      <c r="P499">
        <v>1</v>
      </c>
      <c r="Q499">
        <v>1199.9999999999998</v>
      </c>
    </row>
    <row r="500" spans="2:17" x14ac:dyDescent="0.25">
      <c r="B500" t="s">
        <v>176</v>
      </c>
      <c r="C500" t="s">
        <v>387</v>
      </c>
      <c r="D500" t="s">
        <v>563</v>
      </c>
      <c r="E500">
        <v>1600</v>
      </c>
      <c r="F500" t="s">
        <v>68</v>
      </c>
      <c r="G500" t="s">
        <v>188</v>
      </c>
      <c r="H500" t="s">
        <v>189</v>
      </c>
      <c r="I500" t="s">
        <v>122</v>
      </c>
      <c r="J500">
        <v>0</v>
      </c>
      <c r="K500">
        <v>45314.64329861111</v>
      </c>
      <c r="L500">
        <v>22200</v>
      </c>
      <c r="O500">
        <v>2400</v>
      </c>
      <c r="P500">
        <v>0</v>
      </c>
      <c r="Q500">
        <v>1600</v>
      </c>
    </row>
    <row r="501" spans="2:17" x14ac:dyDescent="0.25">
      <c r="B501" t="s">
        <v>176</v>
      </c>
      <c r="C501" t="s">
        <v>418</v>
      </c>
      <c r="D501" t="s">
        <v>564</v>
      </c>
      <c r="E501">
        <v>10</v>
      </c>
      <c r="F501" t="s">
        <v>68</v>
      </c>
      <c r="G501" t="s">
        <v>787</v>
      </c>
      <c r="H501" t="s">
        <v>167</v>
      </c>
      <c r="I501" t="s">
        <v>161</v>
      </c>
      <c r="J501">
        <v>0</v>
      </c>
      <c r="K501">
        <v>45314.64371527778</v>
      </c>
      <c r="L501">
        <v>169</v>
      </c>
      <c r="O501">
        <v>4</v>
      </c>
      <c r="P501">
        <v>2</v>
      </c>
      <c r="Q501">
        <v>2</v>
      </c>
    </row>
    <row r="502" spans="2:17" x14ac:dyDescent="0.25">
      <c r="B502" t="s">
        <v>565</v>
      </c>
      <c r="C502" t="s">
        <v>123</v>
      </c>
      <c r="D502" t="s">
        <v>123</v>
      </c>
      <c r="E502">
        <v>15000</v>
      </c>
      <c r="F502" t="s">
        <v>68</v>
      </c>
      <c r="G502" t="s">
        <v>138</v>
      </c>
      <c r="H502" t="s">
        <v>139</v>
      </c>
      <c r="I502" t="s">
        <v>122</v>
      </c>
      <c r="J502">
        <v>1</v>
      </c>
      <c r="K502">
        <v>45314.651909722219</v>
      </c>
      <c r="L502">
        <v>14500</v>
      </c>
      <c r="M502" t="s">
        <v>566</v>
      </c>
      <c r="O502">
        <v>3000</v>
      </c>
      <c r="P502">
        <v>5</v>
      </c>
      <c r="Q502">
        <v>0</v>
      </c>
    </row>
    <row r="503" spans="2:17" x14ac:dyDescent="0.25">
      <c r="B503" t="s">
        <v>565</v>
      </c>
      <c r="C503" t="s">
        <v>123</v>
      </c>
      <c r="D503" t="s">
        <v>123</v>
      </c>
      <c r="E503">
        <v>3000</v>
      </c>
      <c r="F503" t="s">
        <v>68</v>
      </c>
      <c r="G503" t="s">
        <v>127</v>
      </c>
      <c r="H503" t="s">
        <v>128</v>
      </c>
      <c r="I503" t="s">
        <v>122</v>
      </c>
      <c r="J503">
        <v>1</v>
      </c>
      <c r="K503">
        <v>45314.652384259258</v>
      </c>
      <c r="L503">
        <v>4800</v>
      </c>
      <c r="M503" t="s">
        <v>566</v>
      </c>
      <c r="O503">
        <v>2400</v>
      </c>
      <c r="P503">
        <v>1</v>
      </c>
      <c r="Q503">
        <v>600</v>
      </c>
    </row>
    <row r="504" spans="2:17" x14ac:dyDescent="0.25">
      <c r="B504" t="s">
        <v>567</v>
      </c>
      <c r="C504" t="s">
        <v>123</v>
      </c>
      <c r="D504" t="s">
        <v>123</v>
      </c>
      <c r="E504">
        <v>40000</v>
      </c>
      <c r="F504" t="s">
        <v>68</v>
      </c>
      <c r="G504" t="s">
        <v>124</v>
      </c>
      <c r="H504" t="s">
        <v>125</v>
      </c>
      <c r="I504" t="s">
        <v>122</v>
      </c>
      <c r="J504">
        <v>1</v>
      </c>
      <c r="K504">
        <v>45314.65320601852</v>
      </c>
      <c r="L504">
        <v>48000</v>
      </c>
      <c r="M504" t="s">
        <v>566</v>
      </c>
      <c r="O504">
        <v>1200</v>
      </c>
      <c r="P504">
        <v>33</v>
      </c>
      <c r="Q504">
        <v>400.00000000000284</v>
      </c>
    </row>
    <row r="505" spans="2:17" x14ac:dyDescent="0.25">
      <c r="B505" t="s">
        <v>567</v>
      </c>
      <c r="C505" t="s">
        <v>123</v>
      </c>
      <c r="D505" t="s">
        <v>123</v>
      </c>
      <c r="E505">
        <v>10000</v>
      </c>
      <c r="F505" t="s">
        <v>68</v>
      </c>
      <c r="G505" t="s">
        <v>142</v>
      </c>
      <c r="H505" t="s">
        <v>143</v>
      </c>
      <c r="I505" t="s">
        <v>122</v>
      </c>
      <c r="J505">
        <v>1</v>
      </c>
      <c r="K505">
        <v>45314.653599537036</v>
      </c>
      <c r="L505">
        <v>14600</v>
      </c>
      <c r="M505" t="s">
        <v>566</v>
      </c>
      <c r="O505">
        <v>2400</v>
      </c>
      <c r="P505">
        <v>4</v>
      </c>
      <c r="Q505">
        <v>400.00000000000068</v>
      </c>
    </row>
    <row r="506" spans="2:17" x14ac:dyDescent="0.25">
      <c r="B506" t="s">
        <v>176</v>
      </c>
      <c r="C506" t="s">
        <v>418</v>
      </c>
      <c r="D506" t="s">
        <v>564</v>
      </c>
      <c r="E506">
        <v>10</v>
      </c>
      <c r="F506" t="s">
        <v>68</v>
      </c>
      <c r="G506" t="s">
        <v>787</v>
      </c>
      <c r="H506" t="s">
        <v>167</v>
      </c>
      <c r="I506" t="s">
        <v>161</v>
      </c>
      <c r="J506">
        <v>0</v>
      </c>
      <c r="K506">
        <v>45314.714062500003</v>
      </c>
      <c r="L506">
        <v>159</v>
      </c>
      <c r="O506">
        <v>4</v>
      </c>
      <c r="P506">
        <v>2</v>
      </c>
      <c r="Q506">
        <v>2</v>
      </c>
    </row>
    <row r="507" spans="2:17" x14ac:dyDescent="0.25">
      <c r="B507" t="s">
        <v>176</v>
      </c>
      <c r="C507" t="s">
        <v>387</v>
      </c>
      <c r="D507" t="s">
        <v>563</v>
      </c>
      <c r="E507">
        <v>1600</v>
      </c>
      <c r="F507" t="s">
        <v>68</v>
      </c>
      <c r="G507" t="s">
        <v>188</v>
      </c>
      <c r="H507" t="s">
        <v>189</v>
      </c>
      <c r="I507" t="s">
        <v>122</v>
      </c>
      <c r="J507">
        <v>0</v>
      </c>
      <c r="K507">
        <v>45314.71466435185</v>
      </c>
      <c r="L507">
        <v>20600</v>
      </c>
      <c r="O507">
        <v>2400</v>
      </c>
      <c r="P507">
        <v>0</v>
      </c>
      <c r="Q507">
        <v>1600</v>
      </c>
    </row>
    <row r="508" spans="2:17" x14ac:dyDescent="0.25">
      <c r="B508" t="s">
        <v>321</v>
      </c>
      <c r="C508" t="s">
        <v>568</v>
      </c>
      <c r="D508" t="s">
        <v>569</v>
      </c>
      <c r="E508">
        <v>2600</v>
      </c>
      <c r="F508" t="s">
        <v>68</v>
      </c>
      <c r="G508" t="s">
        <v>124</v>
      </c>
      <c r="H508" t="s">
        <v>125</v>
      </c>
      <c r="I508" t="s">
        <v>122</v>
      </c>
      <c r="J508">
        <v>0</v>
      </c>
      <c r="K508">
        <v>45315.643148148149</v>
      </c>
      <c r="L508">
        <v>45400</v>
      </c>
      <c r="O508">
        <v>1200</v>
      </c>
      <c r="P508">
        <v>2</v>
      </c>
      <c r="Q508">
        <v>199.99999999999983</v>
      </c>
    </row>
    <row r="509" spans="2:17" x14ac:dyDescent="0.25">
      <c r="B509" t="s">
        <v>321</v>
      </c>
      <c r="C509" t="s">
        <v>368</v>
      </c>
      <c r="D509" t="s">
        <v>570</v>
      </c>
      <c r="E509">
        <v>17400</v>
      </c>
      <c r="F509" t="s">
        <v>68</v>
      </c>
      <c r="G509" t="s">
        <v>124</v>
      </c>
      <c r="H509" t="s">
        <v>125</v>
      </c>
      <c r="I509" t="s">
        <v>122</v>
      </c>
      <c r="J509">
        <v>0</v>
      </c>
      <c r="K509">
        <v>45315.643784722219</v>
      </c>
      <c r="L509">
        <v>28000</v>
      </c>
      <c r="O509">
        <v>1200</v>
      </c>
      <c r="P509">
        <v>14</v>
      </c>
      <c r="Q509">
        <v>600</v>
      </c>
    </row>
    <row r="510" spans="2:17" x14ac:dyDescent="0.25">
      <c r="B510" t="s">
        <v>321</v>
      </c>
      <c r="C510" t="s">
        <v>265</v>
      </c>
      <c r="D510" t="s">
        <v>571</v>
      </c>
      <c r="E510">
        <v>6</v>
      </c>
      <c r="F510" t="s">
        <v>68</v>
      </c>
      <c r="G510" t="s">
        <v>786</v>
      </c>
      <c r="H510" t="s">
        <v>165</v>
      </c>
      <c r="I510" t="s">
        <v>161</v>
      </c>
      <c r="J510">
        <v>0</v>
      </c>
      <c r="K510">
        <v>45315.644305555557</v>
      </c>
      <c r="L510">
        <v>197</v>
      </c>
      <c r="O510">
        <v>24</v>
      </c>
      <c r="P510">
        <v>0</v>
      </c>
      <c r="Q510">
        <v>6</v>
      </c>
    </row>
    <row r="511" spans="2:17" x14ac:dyDescent="0.25">
      <c r="B511" t="s">
        <v>321</v>
      </c>
      <c r="C511" t="s">
        <v>265</v>
      </c>
      <c r="D511" t="s">
        <v>571</v>
      </c>
      <c r="E511">
        <v>150</v>
      </c>
      <c r="F511" t="s">
        <v>68</v>
      </c>
      <c r="G511" t="s">
        <v>170</v>
      </c>
      <c r="H511" t="s">
        <v>171</v>
      </c>
      <c r="I511" t="s">
        <v>122</v>
      </c>
      <c r="J511">
        <v>0</v>
      </c>
      <c r="K511">
        <v>45315.644560185188</v>
      </c>
      <c r="L511">
        <v>1500</v>
      </c>
      <c r="O511">
        <v>100</v>
      </c>
      <c r="P511">
        <v>1</v>
      </c>
      <c r="Q511">
        <v>50</v>
      </c>
    </row>
    <row r="512" spans="2:17" x14ac:dyDescent="0.25">
      <c r="B512" t="s">
        <v>321</v>
      </c>
      <c r="C512" t="s">
        <v>364</v>
      </c>
      <c r="D512" t="s">
        <v>572</v>
      </c>
      <c r="E512">
        <v>144</v>
      </c>
      <c r="F512" t="s">
        <v>152</v>
      </c>
      <c r="G512" t="s">
        <v>157</v>
      </c>
      <c r="H512" t="s">
        <v>154</v>
      </c>
      <c r="I512" t="s">
        <v>155</v>
      </c>
      <c r="J512">
        <v>0</v>
      </c>
      <c r="K512">
        <v>45315.645069444443</v>
      </c>
      <c r="L512">
        <v>2354</v>
      </c>
      <c r="O512">
        <v>144</v>
      </c>
      <c r="P512">
        <v>1</v>
      </c>
      <c r="Q512">
        <v>0</v>
      </c>
    </row>
    <row r="513" spans="2:17" x14ac:dyDescent="0.25">
      <c r="B513" t="s">
        <v>321</v>
      </c>
      <c r="C513" t="s">
        <v>267</v>
      </c>
      <c r="D513" t="s">
        <v>573</v>
      </c>
      <c r="E513">
        <v>15</v>
      </c>
      <c r="F513" t="s">
        <v>68</v>
      </c>
      <c r="G513" t="s">
        <v>200</v>
      </c>
      <c r="H513" t="s">
        <v>201</v>
      </c>
      <c r="J513">
        <v>0</v>
      </c>
      <c r="K513">
        <v>45315.645555555559</v>
      </c>
      <c r="L513">
        <v>10</v>
      </c>
      <c r="O513">
        <v>36</v>
      </c>
      <c r="P513">
        <v>0</v>
      </c>
      <c r="Q513">
        <v>15</v>
      </c>
    </row>
    <row r="514" spans="2:17" x14ac:dyDescent="0.25">
      <c r="B514" t="s">
        <v>321</v>
      </c>
      <c r="C514" t="s">
        <v>345</v>
      </c>
      <c r="D514" t="s">
        <v>571</v>
      </c>
      <c r="E514">
        <v>2500</v>
      </c>
      <c r="F514" t="s">
        <v>68</v>
      </c>
      <c r="G514" t="s">
        <v>163</v>
      </c>
      <c r="H514" t="s">
        <v>164</v>
      </c>
      <c r="I514" t="s">
        <v>161</v>
      </c>
      <c r="J514">
        <v>0</v>
      </c>
      <c r="K514">
        <v>45315.64603009259</v>
      </c>
      <c r="L514">
        <v>44720</v>
      </c>
      <c r="O514">
        <v>440</v>
      </c>
      <c r="P514">
        <v>5</v>
      </c>
      <c r="Q514">
        <v>299.99999999999994</v>
      </c>
    </row>
    <row r="515" spans="2:17" x14ac:dyDescent="0.25">
      <c r="B515" t="s">
        <v>321</v>
      </c>
      <c r="C515" t="s">
        <v>479</v>
      </c>
      <c r="D515" t="s">
        <v>574</v>
      </c>
      <c r="E515">
        <v>195</v>
      </c>
      <c r="F515" t="s">
        <v>144</v>
      </c>
      <c r="G515" t="s">
        <v>150</v>
      </c>
      <c r="H515" t="s">
        <v>151</v>
      </c>
      <c r="I515" t="s">
        <v>147</v>
      </c>
      <c r="J515">
        <v>0</v>
      </c>
      <c r="K515">
        <v>45315.646527777775</v>
      </c>
      <c r="L515">
        <v>905</v>
      </c>
      <c r="O515">
        <v>10</v>
      </c>
      <c r="P515">
        <v>19</v>
      </c>
      <c r="Q515">
        <v>5</v>
      </c>
    </row>
    <row r="516" spans="2:17" x14ac:dyDescent="0.25">
      <c r="B516" t="s">
        <v>321</v>
      </c>
      <c r="C516" t="s">
        <v>479</v>
      </c>
      <c r="D516" t="s">
        <v>574</v>
      </c>
      <c r="E516">
        <v>98</v>
      </c>
      <c r="F516" t="s">
        <v>144</v>
      </c>
      <c r="G516" t="s">
        <v>145</v>
      </c>
      <c r="H516" t="s">
        <v>146</v>
      </c>
      <c r="I516" t="s">
        <v>147</v>
      </c>
      <c r="J516">
        <v>0</v>
      </c>
      <c r="K516">
        <v>45315.64671296296</v>
      </c>
      <c r="L516">
        <v>1260</v>
      </c>
      <c r="O516">
        <v>10</v>
      </c>
      <c r="P516">
        <v>9</v>
      </c>
      <c r="Q516">
        <v>8.0000000000000071</v>
      </c>
    </row>
    <row r="517" spans="2:17" x14ac:dyDescent="0.25">
      <c r="B517" t="s">
        <v>321</v>
      </c>
      <c r="C517" t="s">
        <v>479</v>
      </c>
      <c r="D517" t="s">
        <v>574</v>
      </c>
      <c r="E517">
        <v>98</v>
      </c>
      <c r="F517" t="s">
        <v>144</v>
      </c>
      <c r="G517" t="s">
        <v>148</v>
      </c>
      <c r="H517" t="s">
        <v>149</v>
      </c>
      <c r="I517" t="s">
        <v>147</v>
      </c>
      <c r="J517">
        <v>0</v>
      </c>
      <c r="K517">
        <v>45315.646909722222</v>
      </c>
      <c r="L517">
        <v>6365</v>
      </c>
      <c r="O517">
        <v>10</v>
      </c>
      <c r="P517">
        <v>9</v>
      </c>
      <c r="Q517">
        <v>8.0000000000000071</v>
      </c>
    </row>
    <row r="518" spans="2:17" x14ac:dyDescent="0.25">
      <c r="B518" t="s">
        <v>321</v>
      </c>
      <c r="C518" t="s">
        <v>504</v>
      </c>
      <c r="D518" t="s">
        <v>575</v>
      </c>
      <c r="E518">
        <v>36</v>
      </c>
      <c r="F518" t="s">
        <v>68</v>
      </c>
      <c r="G518" t="s">
        <v>184</v>
      </c>
      <c r="H518" t="s">
        <v>185</v>
      </c>
      <c r="J518">
        <v>0</v>
      </c>
      <c r="K518">
        <v>45315.647453703707</v>
      </c>
      <c r="L518">
        <v>299</v>
      </c>
      <c r="O518">
        <v>4</v>
      </c>
      <c r="P518">
        <v>9</v>
      </c>
      <c r="Q518">
        <v>0</v>
      </c>
    </row>
    <row r="519" spans="2:17" x14ac:dyDescent="0.25">
      <c r="B519" t="s">
        <v>321</v>
      </c>
      <c r="C519" t="s">
        <v>266</v>
      </c>
      <c r="D519" t="s">
        <v>576</v>
      </c>
      <c r="E519">
        <v>300</v>
      </c>
      <c r="F519" t="s">
        <v>68</v>
      </c>
      <c r="G519" t="s">
        <v>177</v>
      </c>
      <c r="H519" t="s">
        <v>178</v>
      </c>
      <c r="I519" t="s">
        <v>179</v>
      </c>
      <c r="J519">
        <v>0</v>
      </c>
      <c r="K519">
        <v>45315.647893518515</v>
      </c>
      <c r="L519">
        <v>2112</v>
      </c>
      <c r="O519">
        <v>36</v>
      </c>
      <c r="P519">
        <v>8</v>
      </c>
      <c r="Q519">
        <v>12.000000000000021</v>
      </c>
    </row>
    <row r="520" spans="2:17" x14ac:dyDescent="0.25">
      <c r="B520" t="s">
        <v>321</v>
      </c>
      <c r="C520" t="s">
        <v>266</v>
      </c>
      <c r="D520" t="s">
        <v>576</v>
      </c>
      <c r="E520">
        <v>10</v>
      </c>
      <c r="F520" t="s">
        <v>68</v>
      </c>
      <c r="G520" t="s">
        <v>787</v>
      </c>
      <c r="H520" t="s">
        <v>167</v>
      </c>
      <c r="I520" t="s">
        <v>161</v>
      </c>
      <c r="J520">
        <v>0</v>
      </c>
      <c r="K520">
        <v>45315.6481712963</v>
      </c>
      <c r="L520">
        <v>149</v>
      </c>
      <c r="O520">
        <v>4</v>
      </c>
      <c r="P520">
        <v>2</v>
      </c>
      <c r="Q520">
        <v>2</v>
      </c>
    </row>
    <row r="521" spans="2:17" x14ac:dyDescent="0.25">
      <c r="B521" t="s">
        <v>321</v>
      </c>
      <c r="C521" t="s">
        <v>509</v>
      </c>
      <c r="D521" t="s">
        <v>577</v>
      </c>
      <c r="E521">
        <v>12000</v>
      </c>
      <c r="F521" t="s">
        <v>68</v>
      </c>
      <c r="G521" t="s">
        <v>120</v>
      </c>
      <c r="H521" t="s">
        <v>121</v>
      </c>
      <c r="I521" t="s">
        <v>122</v>
      </c>
      <c r="J521">
        <v>0</v>
      </c>
      <c r="K521">
        <v>45315.648645833331</v>
      </c>
      <c r="L521">
        <v>109800</v>
      </c>
      <c r="O521">
        <v>2400</v>
      </c>
      <c r="P521">
        <v>5</v>
      </c>
      <c r="Q521">
        <v>0</v>
      </c>
    </row>
    <row r="522" spans="2:17" x14ac:dyDescent="0.25">
      <c r="B522" t="s">
        <v>321</v>
      </c>
      <c r="C522" t="s">
        <v>429</v>
      </c>
      <c r="D522" t="s">
        <v>578</v>
      </c>
      <c r="E522">
        <v>2</v>
      </c>
      <c r="F522" t="s">
        <v>68</v>
      </c>
      <c r="G522" t="s">
        <v>430</v>
      </c>
      <c r="H522" t="s">
        <v>199</v>
      </c>
      <c r="J522">
        <v>0</v>
      </c>
      <c r="K522">
        <v>45315.649085648147</v>
      </c>
      <c r="L522">
        <v>42</v>
      </c>
      <c r="O522">
        <v>40</v>
      </c>
      <c r="P522">
        <v>0</v>
      </c>
      <c r="Q522">
        <v>2</v>
      </c>
    </row>
    <row r="523" spans="2:17" x14ac:dyDescent="0.25">
      <c r="B523" t="s">
        <v>321</v>
      </c>
      <c r="C523" t="s">
        <v>429</v>
      </c>
      <c r="D523" t="s">
        <v>578</v>
      </c>
      <c r="E523">
        <v>120</v>
      </c>
      <c r="F523" t="s">
        <v>68</v>
      </c>
      <c r="G523" t="s">
        <v>219</v>
      </c>
      <c r="H523" t="s">
        <v>220</v>
      </c>
      <c r="I523" t="s">
        <v>161</v>
      </c>
      <c r="J523">
        <v>0</v>
      </c>
      <c r="K523">
        <v>45315.649363425924</v>
      </c>
      <c r="L523">
        <v>7640</v>
      </c>
      <c r="O523">
        <v>100</v>
      </c>
      <c r="P523">
        <v>1</v>
      </c>
      <c r="Q523">
        <v>19.999999999999996</v>
      </c>
    </row>
    <row r="524" spans="2:17" x14ac:dyDescent="0.25">
      <c r="B524" t="s">
        <v>321</v>
      </c>
      <c r="C524" t="s">
        <v>429</v>
      </c>
      <c r="D524" t="s">
        <v>578</v>
      </c>
      <c r="E524">
        <v>12000</v>
      </c>
      <c r="F524" t="s">
        <v>68</v>
      </c>
      <c r="G524" t="s">
        <v>140</v>
      </c>
      <c r="H524" t="s">
        <v>141</v>
      </c>
      <c r="I524" t="s">
        <v>122</v>
      </c>
      <c r="J524">
        <v>0</v>
      </c>
      <c r="K524">
        <v>45315.649583333332</v>
      </c>
      <c r="L524">
        <v>161700</v>
      </c>
      <c r="O524">
        <v>2400</v>
      </c>
      <c r="P524">
        <v>5</v>
      </c>
      <c r="Q524">
        <v>0</v>
      </c>
    </row>
    <row r="525" spans="2:17" x14ac:dyDescent="0.25">
      <c r="B525" t="s">
        <v>129</v>
      </c>
      <c r="C525" t="s">
        <v>129</v>
      </c>
      <c r="D525" t="s">
        <v>129</v>
      </c>
      <c r="E525" t="s">
        <v>579</v>
      </c>
      <c r="F525" t="s">
        <v>68</v>
      </c>
      <c r="G525" t="s">
        <v>129</v>
      </c>
      <c r="H525" t="s">
        <v>358</v>
      </c>
      <c r="I525" t="s">
        <v>66</v>
      </c>
      <c r="K525">
        <v>45316.37940972222</v>
      </c>
      <c r="O525">
        <v>100</v>
      </c>
      <c r="P525">
        <v>0</v>
      </c>
      <c r="Q525">
        <v>1</v>
      </c>
    </row>
    <row r="526" spans="2:17" x14ac:dyDescent="0.25">
      <c r="B526" t="s">
        <v>176</v>
      </c>
      <c r="C526" t="s">
        <v>310</v>
      </c>
      <c r="D526" t="s">
        <v>580</v>
      </c>
      <c r="E526">
        <v>5600</v>
      </c>
      <c r="F526" t="s">
        <v>68</v>
      </c>
      <c r="G526" t="s">
        <v>140</v>
      </c>
      <c r="H526" t="s">
        <v>141</v>
      </c>
      <c r="I526" t="s">
        <v>122</v>
      </c>
      <c r="J526">
        <v>0</v>
      </c>
      <c r="K526">
        <v>45320.577719907407</v>
      </c>
      <c r="L526">
        <v>156100</v>
      </c>
      <c r="O526">
        <v>2400</v>
      </c>
      <c r="P526">
        <v>2</v>
      </c>
      <c r="Q526">
        <v>800.00000000000034</v>
      </c>
    </row>
    <row r="527" spans="2:17" x14ac:dyDescent="0.25">
      <c r="B527" t="s">
        <v>176</v>
      </c>
      <c r="C527" t="s">
        <v>310</v>
      </c>
      <c r="D527" t="s">
        <v>580</v>
      </c>
      <c r="E527">
        <v>50</v>
      </c>
      <c r="F527" t="s">
        <v>68</v>
      </c>
      <c r="G527" t="s">
        <v>786</v>
      </c>
      <c r="H527" t="s">
        <v>165</v>
      </c>
      <c r="I527" t="s">
        <v>161</v>
      </c>
      <c r="J527">
        <v>0</v>
      </c>
      <c r="K527">
        <v>45320.577928240738</v>
      </c>
      <c r="L527">
        <v>147</v>
      </c>
      <c r="O527">
        <v>24</v>
      </c>
      <c r="P527">
        <v>2</v>
      </c>
      <c r="Q527">
        <v>2.0000000000000036</v>
      </c>
    </row>
    <row r="528" spans="2:17" x14ac:dyDescent="0.25">
      <c r="B528" t="s">
        <v>176</v>
      </c>
      <c r="C528" t="s">
        <v>418</v>
      </c>
      <c r="D528" t="s">
        <v>581</v>
      </c>
      <c r="E528">
        <v>10</v>
      </c>
      <c r="F528" t="s">
        <v>68</v>
      </c>
      <c r="G528" t="s">
        <v>787</v>
      </c>
      <c r="H528" t="s">
        <v>167</v>
      </c>
      <c r="I528" t="s">
        <v>161</v>
      </c>
      <c r="J528">
        <v>0</v>
      </c>
      <c r="K528">
        <v>45320.578472222223</v>
      </c>
      <c r="L528">
        <v>139</v>
      </c>
      <c r="O528">
        <v>4</v>
      </c>
      <c r="P528">
        <v>2</v>
      </c>
      <c r="Q528">
        <v>2</v>
      </c>
    </row>
    <row r="529" spans="2:17" x14ac:dyDescent="0.25">
      <c r="B529" t="s">
        <v>176</v>
      </c>
      <c r="C529" t="s">
        <v>582</v>
      </c>
      <c r="D529" t="s">
        <v>583</v>
      </c>
      <c r="E529">
        <v>900</v>
      </c>
      <c r="F529" t="s">
        <v>68</v>
      </c>
      <c r="G529" t="s">
        <v>789</v>
      </c>
      <c r="H529" t="s">
        <v>196</v>
      </c>
      <c r="I529" t="s">
        <v>161</v>
      </c>
      <c r="J529">
        <v>0</v>
      </c>
      <c r="K529">
        <v>45320.579062500001</v>
      </c>
      <c r="L529">
        <v>2210</v>
      </c>
      <c r="O529">
        <v>100</v>
      </c>
      <c r="P529">
        <v>9</v>
      </c>
      <c r="Q529">
        <v>0</v>
      </c>
    </row>
    <row r="530" spans="2:17" x14ac:dyDescent="0.25">
      <c r="B530" t="s">
        <v>176</v>
      </c>
      <c r="C530" t="s">
        <v>582</v>
      </c>
      <c r="D530" t="s">
        <v>583</v>
      </c>
      <c r="E530">
        <v>200</v>
      </c>
      <c r="F530" t="s">
        <v>68</v>
      </c>
      <c r="G530" t="s">
        <v>159</v>
      </c>
      <c r="H530" t="s">
        <v>160</v>
      </c>
      <c r="I530" t="s">
        <v>161</v>
      </c>
      <c r="J530">
        <v>0</v>
      </c>
      <c r="K530">
        <v>45320.579467592594</v>
      </c>
      <c r="L530">
        <v>496</v>
      </c>
      <c r="O530">
        <v>24</v>
      </c>
      <c r="P530">
        <v>8</v>
      </c>
      <c r="Q530">
        <v>8.0000000000000142</v>
      </c>
    </row>
    <row r="531" spans="2:17" x14ac:dyDescent="0.25">
      <c r="B531" t="s">
        <v>176</v>
      </c>
      <c r="C531" t="s">
        <v>582</v>
      </c>
      <c r="D531" t="s">
        <v>583</v>
      </c>
      <c r="E531">
        <v>120</v>
      </c>
      <c r="F531" t="s">
        <v>68</v>
      </c>
      <c r="G531" t="s">
        <v>168</v>
      </c>
      <c r="H531" t="s">
        <v>169</v>
      </c>
      <c r="I531" t="s">
        <v>122</v>
      </c>
      <c r="J531">
        <v>0</v>
      </c>
      <c r="K531">
        <v>45320.579687500001</v>
      </c>
      <c r="L531">
        <v>1186</v>
      </c>
      <c r="O531">
        <v>200</v>
      </c>
      <c r="P531">
        <v>0</v>
      </c>
      <c r="Q531">
        <v>120</v>
      </c>
    </row>
    <row r="532" spans="2:17" x14ac:dyDescent="0.25">
      <c r="B532" t="s">
        <v>176</v>
      </c>
      <c r="C532" t="s">
        <v>537</v>
      </c>
      <c r="D532" t="s">
        <v>584</v>
      </c>
      <c r="E532">
        <v>400</v>
      </c>
      <c r="F532" t="s">
        <v>68</v>
      </c>
      <c r="G532" t="s">
        <v>136</v>
      </c>
      <c r="H532" t="s">
        <v>137</v>
      </c>
      <c r="I532" t="s">
        <v>122</v>
      </c>
      <c r="J532">
        <v>0</v>
      </c>
      <c r="K532">
        <v>45320.580335648148</v>
      </c>
      <c r="L532">
        <v>28800</v>
      </c>
      <c r="O532">
        <v>2400</v>
      </c>
      <c r="P532">
        <v>0</v>
      </c>
      <c r="Q532">
        <v>400</v>
      </c>
    </row>
    <row r="533" spans="2:17" x14ac:dyDescent="0.25">
      <c r="B533" t="s">
        <v>176</v>
      </c>
      <c r="C533" t="s">
        <v>537</v>
      </c>
      <c r="D533" t="s">
        <v>584</v>
      </c>
      <c r="E533">
        <v>200</v>
      </c>
      <c r="F533" t="s">
        <v>68</v>
      </c>
      <c r="G533" t="s">
        <v>130</v>
      </c>
      <c r="H533" t="s">
        <v>131</v>
      </c>
      <c r="I533" t="s">
        <v>122</v>
      </c>
      <c r="J533">
        <v>0</v>
      </c>
      <c r="K533">
        <v>45320.580659722225</v>
      </c>
      <c r="L533">
        <v>4000</v>
      </c>
      <c r="O533">
        <v>3000</v>
      </c>
      <c r="P533">
        <v>0</v>
      </c>
      <c r="Q533">
        <v>200</v>
      </c>
    </row>
    <row r="534" spans="2:17" x14ac:dyDescent="0.25">
      <c r="B534" t="s">
        <v>321</v>
      </c>
      <c r="C534" t="s">
        <v>429</v>
      </c>
      <c r="D534" t="s">
        <v>585</v>
      </c>
      <c r="E534">
        <v>12000</v>
      </c>
      <c r="F534" t="s">
        <v>68</v>
      </c>
      <c r="G534" t="s">
        <v>140</v>
      </c>
      <c r="H534" t="s">
        <v>141</v>
      </c>
      <c r="I534" t="s">
        <v>122</v>
      </c>
      <c r="J534">
        <v>0</v>
      </c>
      <c r="K534">
        <v>45324.383287037039</v>
      </c>
      <c r="L534">
        <v>144100</v>
      </c>
      <c r="O534">
        <v>2400</v>
      </c>
      <c r="P534">
        <v>5</v>
      </c>
      <c r="Q534">
        <v>0</v>
      </c>
    </row>
    <row r="535" spans="2:17" x14ac:dyDescent="0.25">
      <c r="B535" t="s">
        <v>321</v>
      </c>
      <c r="C535" t="s">
        <v>429</v>
      </c>
      <c r="D535" t="s">
        <v>585</v>
      </c>
      <c r="E535">
        <v>120</v>
      </c>
      <c r="F535" t="s">
        <v>68</v>
      </c>
      <c r="G535" t="s">
        <v>219</v>
      </c>
      <c r="H535" t="s">
        <v>220</v>
      </c>
      <c r="I535" t="s">
        <v>161</v>
      </c>
      <c r="J535">
        <v>0</v>
      </c>
      <c r="K535">
        <v>45324.383414351854</v>
      </c>
      <c r="L535">
        <v>7520</v>
      </c>
      <c r="O535">
        <v>100</v>
      </c>
      <c r="P535">
        <v>1</v>
      </c>
      <c r="Q535">
        <v>19.999999999999996</v>
      </c>
    </row>
    <row r="536" spans="2:17" x14ac:dyDescent="0.25">
      <c r="B536" t="s">
        <v>321</v>
      </c>
      <c r="C536" t="s">
        <v>429</v>
      </c>
      <c r="D536" t="s">
        <v>585</v>
      </c>
      <c r="E536">
        <v>2</v>
      </c>
      <c r="F536" t="s">
        <v>68</v>
      </c>
      <c r="G536" t="s">
        <v>430</v>
      </c>
      <c r="H536" t="s">
        <v>199</v>
      </c>
      <c r="J536">
        <v>0</v>
      </c>
      <c r="K536">
        <v>45324.383483796293</v>
      </c>
      <c r="L536">
        <v>40</v>
      </c>
      <c r="O536">
        <v>40</v>
      </c>
      <c r="P536">
        <v>0</v>
      </c>
      <c r="Q536">
        <v>2</v>
      </c>
    </row>
    <row r="537" spans="2:17" x14ac:dyDescent="0.25">
      <c r="B537" t="s">
        <v>321</v>
      </c>
      <c r="C537" t="s">
        <v>345</v>
      </c>
      <c r="D537" t="s">
        <v>586</v>
      </c>
      <c r="E537">
        <v>2500</v>
      </c>
      <c r="F537" t="s">
        <v>68</v>
      </c>
      <c r="G537" t="s">
        <v>163</v>
      </c>
      <c r="H537" t="s">
        <v>164</v>
      </c>
      <c r="I537" t="s">
        <v>161</v>
      </c>
      <c r="J537">
        <v>0</v>
      </c>
      <c r="K537">
        <v>45324.383784722224</v>
      </c>
      <c r="L537">
        <v>42220</v>
      </c>
      <c r="O537">
        <v>440</v>
      </c>
      <c r="P537">
        <v>5</v>
      </c>
      <c r="Q537">
        <v>299.99999999999994</v>
      </c>
    </row>
    <row r="538" spans="2:17" x14ac:dyDescent="0.25">
      <c r="B538" t="s">
        <v>321</v>
      </c>
      <c r="C538" t="s">
        <v>345</v>
      </c>
      <c r="D538" t="s">
        <v>586</v>
      </c>
      <c r="E538">
        <v>80</v>
      </c>
      <c r="F538" t="s">
        <v>68</v>
      </c>
      <c r="G538" t="s">
        <v>126</v>
      </c>
      <c r="H538" t="s">
        <v>180</v>
      </c>
      <c r="J538">
        <v>0</v>
      </c>
      <c r="K538">
        <v>45324.383923611109</v>
      </c>
      <c r="L538">
        <v>112</v>
      </c>
      <c r="O538">
        <v>96</v>
      </c>
      <c r="P538">
        <v>0</v>
      </c>
      <c r="Q538">
        <v>80</v>
      </c>
    </row>
    <row r="539" spans="2:17" x14ac:dyDescent="0.25">
      <c r="B539" t="s">
        <v>321</v>
      </c>
      <c r="C539" t="s">
        <v>267</v>
      </c>
      <c r="D539" t="s">
        <v>587</v>
      </c>
      <c r="E539">
        <v>2</v>
      </c>
      <c r="F539" t="s">
        <v>68</v>
      </c>
      <c r="G539" t="s">
        <v>200</v>
      </c>
      <c r="H539" t="s">
        <v>201</v>
      </c>
      <c r="J539">
        <v>0</v>
      </c>
      <c r="K539">
        <v>45324.384108796294</v>
      </c>
      <c r="L539">
        <v>8</v>
      </c>
      <c r="O539">
        <v>36</v>
      </c>
      <c r="P539">
        <v>0</v>
      </c>
      <c r="Q539">
        <v>2</v>
      </c>
    </row>
    <row r="540" spans="2:17" x14ac:dyDescent="0.25">
      <c r="B540" t="s">
        <v>321</v>
      </c>
      <c r="C540" t="s">
        <v>267</v>
      </c>
      <c r="D540" t="s">
        <v>587</v>
      </c>
      <c r="E540">
        <v>120</v>
      </c>
      <c r="F540" t="s">
        <v>68</v>
      </c>
      <c r="G540" t="s">
        <v>427</v>
      </c>
      <c r="H540" t="s">
        <v>166</v>
      </c>
      <c r="I540" t="s">
        <v>161</v>
      </c>
      <c r="J540">
        <v>0</v>
      </c>
      <c r="K540">
        <v>45324.384189814817</v>
      </c>
      <c r="L540">
        <v>5000</v>
      </c>
      <c r="O540">
        <v>60</v>
      </c>
      <c r="P540">
        <v>2</v>
      </c>
      <c r="Q540">
        <v>0</v>
      </c>
    </row>
    <row r="541" spans="2:17" x14ac:dyDescent="0.25">
      <c r="B541" t="s">
        <v>321</v>
      </c>
      <c r="C541" t="s">
        <v>266</v>
      </c>
      <c r="D541" t="s">
        <v>588</v>
      </c>
      <c r="E541">
        <v>10</v>
      </c>
      <c r="F541" t="s">
        <v>68</v>
      </c>
      <c r="G541" t="s">
        <v>787</v>
      </c>
      <c r="H541" t="s">
        <v>167</v>
      </c>
      <c r="I541" t="s">
        <v>161</v>
      </c>
      <c r="J541">
        <v>0</v>
      </c>
      <c r="K541">
        <v>45324.384236111109</v>
      </c>
      <c r="L541">
        <v>129</v>
      </c>
      <c r="O541">
        <v>4</v>
      </c>
      <c r="P541">
        <v>2</v>
      </c>
      <c r="Q541">
        <v>2</v>
      </c>
    </row>
    <row r="542" spans="2:17" x14ac:dyDescent="0.25">
      <c r="B542" t="s">
        <v>321</v>
      </c>
      <c r="C542" t="s">
        <v>265</v>
      </c>
      <c r="D542" t="s">
        <v>589</v>
      </c>
      <c r="E542">
        <v>6</v>
      </c>
      <c r="F542" t="s">
        <v>68</v>
      </c>
      <c r="G542" t="s">
        <v>786</v>
      </c>
      <c r="H542" t="s">
        <v>165</v>
      </c>
      <c r="I542" t="s">
        <v>161</v>
      </c>
      <c r="J542">
        <v>0</v>
      </c>
      <c r="K542">
        <v>45324.384259259263</v>
      </c>
      <c r="L542">
        <v>141</v>
      </c>
      <c r="O542">
        <v>24</v>
      </c>
      <c r="P542">
        <v>0</v>
      </c>
      <c r="Q542">
        <v>6</v>
      </c>
    </row>
    <row r="543" spans="2:17" x14ac:dyDescent="0.25">
      <c r="B543" t="s">
        <v>321</v>
      </c>
      <c r="C543" t="s">
        <v>479</v>
      </c>
      <c r="D543" t="s">
        <v>590</v>
      </c>
      <c r="E543">
        <v>120</v>
      </c>
      <c r="F543" t="s">
        <v>144</v>
      </c>
      <c r="G543" t="s">
        <v>150</v>
      </c>
      <c r="H543" t="s">
        <v>151</v>
      </c>
      <c r="I543" t="s">
        <v>147</v>
      </c>
      <c r="J543">
        <v>0</v>
      </c>
      <c r="K543">
        <v>45324.384282407409</v>
      </c>
      <c r="L543">
        <v>785</v>
      </c>
      <c r="O543">
        <v>10</v>
      </c>
      <c r="P543">
        <v>12</v>
      </c>
      <c r="Q543">
        <v>0</v>
      </c>
    </row>
    <row r="544" spans="2:17" x14ac:dyDescent="0.25">
      <c r="B544" t="s">
        <v>321</v>
      </c>
      <c r="C544" t="s">
        <v>479</v>
      </c>
      <c r="D544" t="s">
        <v>590</v>
      </c>
      <c r="E544">
        <v>60</v>
      </c>
      <c r="F544" t="s">
        <v>144</v>
      </c>
      <c r="G544" t="s">
        <v>145</v>
      </c>
      <c r="H544" t="s">
        <v>146</v>
      </c>
      <c r="I544" t="s">
        <v>147</v>
      </c>
      <c r="J544">
        <v>0</v>
      </c>
      <c r="K544">
        <v>45324.384340277778</v>
      </c>
      <c r="L544">
        <v>1200</v>
      </c>
      <c r="O544">
        <v>10</v>
      </c>
      <c r="P544">
        <v>6</v>
      </c>
      <c r="Q544">
        <v>0</v>
      </c>
    </row>
    <row r="545" spans="2:17" x14ac:dyDescent="0.25">
      <c r="B545" t="s">
        <v>321</v>
      </c>
      <c r="C545" t="s">
        <v>479</v>
      </c>
      <c r="D545" t="s">
        <v>590</v>
      </c>
      <c r="E545">
        <v>60</v>
      </c>
      <c r="F545" t="s">
        <v>144</v>
      </c>
      <c r="G545" t="s">
        <v>148</v>
      </c>
      <c r="H545" t="s">
        <v>149</v>
      </c>
      <c r="I545" t="s">
        <v>147</v>
      </c>
      <c r="J545">
        <v>0</v>
      </c>
      <c r="K545">
        <v>45324.384375000001</v>
      </c>
      <c r="L545">
        <v>6305</v>
      </c>
      <c r="O545">
        <v>10</v>
      </c>
      <c r="P545">
        <v>6</v>
      </c>
      <c r="Q545">
        <v>0</v>
      </c>
    </row>
    <row r="546" spans="2:17" x14ac:dyDescent="0.25">
      <c r="B546" t="s">
        <v>321</v>
      </c>
      <c r="C546" t="s">
        <v>364</v>
      </c>
      <c r="D546" t="s">
        <v>591</v>
      </c>
      <c r="E546">
        <v>144</v>
      </c>
      <c r="F546" t="s">
        <v>152</v>
      </c>
      <c r="G546" t="s">
        <v>157</v>
      </c>
      <c r="H546" t="s">
        <v>154</v>
      </c>
      <c r="I546" t="s">
        <v>155</v>
      </c>
      <c r="J546">
        <v>0</v>
      </c>
      <c r="K546">
        <v>45324.384409722225</v>
      </c>
      <c r="L546">
        <v>2210</v>
      </c>
      <c r="O546">
        <v>144</v>
      </c>
      <c r="P546">
        <v>1</v>
      </c>
      <c r="Q546">
        <v>0</v>
      </c>
    </row>
    <row r="547" spans="2:17" x14ac:dyDescent="0.25">
      <c r="B547" t="s">
        <v>321</v>
      </c>
      <c r="C547" t="s">
        <v>592</v>
      </c>
      <c r="D547" t="s">
        <v>593</v>
      </c>
      <c r="E547">
        <v>6</v>
      </c>
      <c r="F547" t="s">
        <v>68</v>
      </c>
      <c r="G547" t="s">
        <v>175</v>
      </c>
      <c r="H547" t="s">
        <v>173</v>
      </c>
      <c r="J547">
        <v>0</v>
      </c>
      <c r="K547">
        <v>45324.384432870371</v>
      </c>
      <c r="L547">
        <v>1208</v>
      </c>
      <c r="O547">
        <v>12</v>
      </c>
      <c r="P547">
        <v>0</v>
      </c>
      <c r="Q547">
        <v>6</v>
      </c>
    </row>
    <row r="548" spans="2:17" x14ac:dyDescent="0.25">
      <c r="B548" t="s">
        <v>321</v>
      </c>
      <c r="C548" t="s">
        <v>592</v>
      </c>
      <c r="D548" t="s">
        <v>593</v>
      </c>
      <c r="E548">
        <v>200</v>
      </c>
      <c r="F548" t="s">
        <v>68</v>
      </c>
      <c r="G548" t="s">
        <v>170</v>
      </c>
      <c r="H548" t="s">
        <v>171</v>
      </c>
      <c r="I548" t="s">
        <v>122</v>
      </c>
      <c r="J548">
        <v>0</v>
      </c>
      <c r="K548">
        <v>45324.384479166663</v>
      </c>
      <c r="L548">
        <v>1300</v>
      </c>
      <c r="O548">
        <v>100</v>
      </c>
      <c r="P548">
        <v>2</v>
      </c>
      <c r="Q548">
        <v>0</v>
      </c>
    </row>
    <row r="549" spans="2:17" x14ac:dyDescent="0.25">
      <c r="B549" t="s">
        <v>321</v>
      </c>
      <c r="C549" t="s">
        <v>594</v>
      </c>
      <c r="D549" t="s">
        <v>595</v>
      </c>
      <c r="E549">
        <v>240</v>
      </c>
      <c r="F549" t="s">
        <v>68</v>
      </c>
      <c r="G549" t="s">
        <v>181</v>
      </c>
      <c r="H549" t="s">
        <v>182</v>
      </c>
      <c r="I549" t="s">
        <v>183</v>
      </c>
      <c r="J549">
        <v>0</v>
      </c>
      <c r="K549">
        <v>45324.384525462963</v>
      </c>
      <c r="L549">
        <v>1760</v>
      </c>
      <c r="O549">
        <v>300</v>
      </c>
      <c r="P549">
        <v>0</v>
      </c>
      <c r="Q549">
        <v>240</v>
      </c>
    </row>
    <row r="550" spans="2:17" x14ac:dyDescent="0.25">
      <c r="B550" t="s">
        <v>321</v>
      </c>
      <c r="C550" t="s">
        <v>568</v>
      </c>
      <c r="D550" t="s">
        <v>596</v>
      </c>
      <c r="E550">
        <v>6000</v>
      </c>
      <c r="F550" t="s">
        <v>68</v>
      </c>
      <c r="G550" t="s">
        <v>124</v>
      </c>
      <c r="H550" t="s">
        <v>125</v>
      </c>
      <c r="I550" t="s">
        <v>122</v>
      </c>
      <c r="J550">
        <v>0</v>
      </c>
      <c r="K550">
        <v>45324.384560185186</v>
      </c>
      <c r="L550">
        <v>22000</v>
      </c>
      <c r="O550">
        <v>1200</v>
      </c>
      <c r="P550">
        <v>5</v>
      </c>
      <c r="Q550">
        <v>0</v>
      </c>
    </row>
    <row r="551" spans="2:17" x14ac:dyDescent="0.25">
      <c r="B551" t="s">
        <v>321</v>
      </c>
      <c r="C551" t="s">
        <v>509</v>
      </c>
      <c r="D551" t="s">
        <v>597</v>
      </c>
      <c r="E551">
        <v>12000</v>
      </c>
      <c r="F551" t="s">
        <v>68</v>
      </c>
      <c r="G551" t="s">
        <v>120</v>
      </c>
      <c r="H551" t="s">
        <v>121</v>
      </c>
      <c r="I551" t="s">
        <v>122</v>
      </c>
      <c r="J551">
        <v>0</v>
      </c>
      <c r="K551">
        <v>45324.384594907409</v>
      </c>
      <c r="L551">
        <v>97800</v>
      </c>
      <c r="O551">
        <v>2400</v>
      </c>
      <c r="P551">
        <v>5</v>
      </c>
      <c r="Q551">
        <v>0</v>
      </c>
    </row>
    <row r="552" spans="2:17" x14ac:dyDescent="0.25">
      <c r="B552" t="s">
        <v>321</v>
      </c>
      <c r="C552" t="s">
        <v>504</v>
      </c>
      <c r="D552" t="s">
        <v>598</v>
      </c>
      <c r="E552">
        <v>36</v>
      </c>
      <c r="F552" t="s">
        <v>68</v>
      </c>
      <c r="G552" t="s">
        <v>184</v>
      </c>
      <c r="H552" t="s">
        <v>185</v>
      </c>
      <c r="J552">
        <v>0</v>
      </c>
      <c r="K552">
        <v>45324.384722222225</v>
      </c>
      <c r="L552">
        <v>263</v>
      </c>
      <c r="O552">
        <v>4</v>
      </c>
      <c r="P552">
        <v>9</v>
      </c>
      <c r="Q552">
        <v>0</v>
      </c>
    </row>
    <row r="553" spans="2:17" x14ac:dyDescent="0.25">
      <c r="B553" t="s">
        <v>176</v>
      </c>
      <c r="C553" t="s">
        <v>582</v>
      </c>
      <c r="D553" t="s">
        <v>599</v>
      </c>
      <c r="E553">
        <v>200</v>
      </c>
      <c r="F553" t="s">
        <v>68</v>
      </c>
      <c r="G553" t="s">
        <v>159</v>
      </c>
      <c r="H553" t="s">
        <v>160</v>
      </c>
      <c r="I553" t="s">
        <v>161</v>
      </c>
      <c r="J553">
        <v>0</v>
      </c>
      <c r="K553">
        <v>45327.457372685189</v>
      </c>
      <c r="L553">
        <v>296</v>
      </c>
      <c r="O553">
        <v>24</v>
      </c>
      <c r="P553">
        <v>8</v>
      </c>
      <c r="Q553">
        <v>8.0000000000000142</v>
      </c>
    </row>
    <row r="554" spans="2:17" x14ac:dyDescent="0.25">
      <c r="B554" t="s">
        <v>176</v>
      </c>
      <c r="C554" t="s">
        <v>262</v>
      </c>
      <c r="D554" t="s">
        <v>600</v>
      </c>
      <c r="E554">
        <v>53</v>
      </c>
      <c r="F554" t="s">
        <v>144</v>
      </c>
      <c r="G554" t="s">
        <v>148</v>
      </c>
      <c r="H554" t="s">
        <v>149</v>
      </c>
      <c r="I554" t="s">
        <v>147</v>
      </c>
      <c r="J554">
        <v>0</v>
      </c>
      <c r="K554">
        <v>45327.457442129627</v>
      </c>
      <c r="L554">
        <v>6252</v>
      </c>
      <c r="O554">
        <v>10</v>
      </c>
      <c r="P554">
        <v>5</v>
      </c>
      <c r="Q554">
        <v>2.9999999999999982</v>
      </c>
    </row>
    <row r="555" spans="2:17" x14ac:dyDescent="0.25">
      <c r="B555" t="s">
        <v>176</v>
      </c>
      <c r="C555" t="s">
        <v>537</v>
      </c>
      <c r="D555" t="s">
        <v>601</v>
      </c>
      <c r="E555">
        <v>200</v>
      </c>
      <c r="F555" t="s">
        <v>68</v>
      </c>
      <c r="G555" t="s">
        <v>130</v>
      </c>
      <c r="H555" t="s">
        <v>131</v>
      </c>
      <c r="I555" t="s">
        <v>122</v>
      </c>
      <c r="J555">
        <v>0</v>
      </c>
      <c r="K555">
        <v>45327.457488425927</v>
      </c>
      <c r="L555">
        <v>3800</v>
      </c>
      <c r="O555">
        <v>3000</v>
      </c>
      <c r="P555">
        <v>0</v>
      </c>
      <c r="Q555">
        <v>200</v>
      </c>
    </row>
    <row r="556" spans="2:17" x14ac:dyDescent="0.25">
      <c r="B556" t="s">
        <v>176</v>
      </c>
      <c r="C556" t="s">
        <v>537</v>
      </c>
      <c r="D556" t="s">
        <v>602</v>
      </c>
      <c r="E556">
        <v>600</v>
      </c>
      <c r="F556" t="s">
        <v>68</v>
      </c>
      <c r="G556" t="s">
        <v>134</v>
      </c>
      <c r="H556" t="s">
        <v>135</v>
      </c>
      <c r="I556" t="s">
        <v>122</v>
      </c>
      <c r="J556">
        <v>0</v>
      </c>
      <c r="K556">
        <v>45329.670555555553</v>
      </c>
      <c r="L556">
        <v>4400</v>
      </c>
      <c r="O556">
        <v>3000</v>
      </c>
      <c r="P556">
        <v>0</v>
      </c>
      <c r="Q556">
        <v>600</v>
      </c>
    </row>
    <row r="557" spans="2:17" x14ac:dyDescent="0.25">
      <c r="B557" t="s">
        <v>176</v>
      </c>
      <c r="C557" t="s">
        <v>264</v>
      </c>
      <c r="D557" t="s">
        <v>603</v>
      </c>
      <c r="E557">
        <v>400</v>
      </c>
      <c r="F557" t="s">
        <v>68</v>
      </c>
      <c r="G557" t="s">
        <v>296</v>
      </c>
      <c r="H557" t="s">
        <v>297</v>
      </c>
      <c r="I557" t="s">
        <v>122</v>
      </c>
      <c r="J557">
        <v>0</v>
      </c>
      <c r="K557">
        <v>45329.670624999999</v>
      </c>
      <c r="L557">
        <v>0</v>
      </c>
      <c r="O557">
        <v>1</v>
      </c>
      <c r="P557">
        <v>400</v>
      </c>
      <c r="Q557">
        <v>0</v>
      </c>
    </row>
    <row r="558" spans="2:17" x14ac:dyDescent="0.25">
      <c r="B558" t="s">
        <v>176</v>
      </c>
      <c r="C558" t="s">
        <v>261</v>
      </c>
      <c r="D558" t="s">
        <v>604</v>
      </c>
      <c r="E558">
        <v>500</v>
      </c>
      <c r="F558" t="s">
        <v>152</v>
      </c>
      <c r="G558" t="s">
        <v>153</v>
      </c>
      <c r="H558" t="s">
        <v>154</v>
      </c>
      <c r="I558" t="s">
        <v>155</v>
      </c>
      <c r="J558">
        <v>0</v>
      </c>
      <c r="K558">
        <v>45329.670648148145</v>
      </c>
      <c r="L558">
        <v>220</v>
      </c>
      <c r="O558">
        <v>144</v>
      </c>
      <c r="P558">
        <v>3</v>
      </c>
      <c r="Q558">
        <v>68.000000000000014</v>
      </c>
    </row>
    <row r="559" spans="2:17" x14ac:dyDescent="0.25">
      <c r="B559" t="s">
        <v>176</v>
      </c>
      <c r="C559" t="s">
        <v>261</v>
      </c>
      <c r="D559" t="s">
        <v>604</v>
      </c>
      <c r="E559">
        <v>700</v>
      </c>
      <c r="F559" t="s">
        <v>152</v>
      </c>
      <c r="G559" t="s">
        <v>157</v>
      </c>
      <c r="H559" t="s">
        <v>154</v>
      </c>
      <c r="I559" t="s">
        <v>155</v>
      </c>
      <c r="J559">
        <v>0</v>
      </c>
      <c r="K559">
        <v>45329.670682870368</v>
      </c>
      <c r="L559">
        <v>1510</v>
      </c>
      <c r="O559">
        <v>144</v>
      </c>
      <c r="P559">
        <v>4</v>
      </c>
      <c r="Q559">
        <v>123.99999999999994</v>
      </c>
    </row>
    <row r="560" spans="2:17" x14ac:dyDescent="0.25">
      <c r="B560" t="s">
        <v>176</v>
      </c>
      <c r="C560" t="s">
        <v>418</v>
      </c>
      <c r="D560" t="s">
        <v>605</v>
      </c>
      <c r="E560">
        <v>2500</v>
      </c>
      <c r="F560" t="s">
        <v>68</v>
      </c>
      <c r="G560" t="s">
        <v>142</v>
      </c>
      <c r="H560" t="s">
        <v>143</v>
      </c>
      <c r="I560" t="s">
        <v>122</v>
      </c>
      <c r="J560">
        <v>0</v>
      </c>
      <c r="K560">
        <v>45329.670717592591</v>
      </c>
      <c r="L560">
        <v>12100</v>
      </c>
      <c r="O560">
        <v>2400</v>
      </c>
      <c r="P560">
        <v>1</v>
      </c>
      <c r="Q560">
        <v>100.00000000000017</v>
      </c>
    </row>
    <row r="561" spans="2:17" x14ac:dyDescent="0.25">
      <c r="B561" t="s">
        <v>176</v>
      </c>
      <c r="C561" t="s">
        <v>418</v>
      </c>
      <c r="D561" t="s">
        <v>605</v>
      </c>
      <c r="E561">
        <v>40</v>
      </c>
      <c r="F561" t="s">
        <v>68</v>
      </c>
      <c r="G561" t="s">
        <v>788</v>
      </c>
      <c r="H561" t="s">
        <v>187</v>
      </c>
      <c r="I561" t="s">
        <v>161</v>
      </c>
      <c r="J561">
        <v>0</v>
      </c>
      <c r="K561">
        <v>45329.670775462961</v>
      </c>
      <c r="L561">
        <v>340</v>
      </c>
      <c r="O561">
        <v>100</v>
      </c>
      <c r="P561">
        <v>0</v>
      </c>
      <c r="Q561">
        <v>40</v>
      </c>
    </row>
    <row r="562" spans="2:17" x14ac:dyDescent="0.25">
      <c r="B562" t="s">
        <v>176</v>
      </c>
      <c r="C562" t="s">
        <v>387</v>
      </c>
      <c r="D562" t="s">
        <v>606</v>
      </c>
      <c r="E562">
        <v>1600</v>
      </c>
      <c r="F562" t="s">
        <v>68</v>
      </c>
      <c r="G562" t="s">
        <v>188</v>
      </c>
      <c r="H562" t="s">
        <v>189</v>
      </c>
      <c r="I562" t="s">
        <v>122</v>
      </c>
      <c r="J562">
        <v>0</v>
      </c>
      <c r="K562">
        <v>45329.67082175926</v>
      </c>
      <c r="L562">
        <v>19000</v>
      </c>
      <c r="O562">
        <v>2400</v>
      </c>
      <c r="P562">
        <v>0</v>
      </c>
      <c r="Q562">
        <v>1600</v>
      </c>
    </row>
    <row r="563" spans="2:17" x14ac:dyDescent="0.25">
      <c r="B563" t="s">
        <v>176</v>
      </c>
      <c r="C563" t="s">
        <v>392</v>
      </c>
      <c r="D563" t="s">
        <v>607</v>
      </c>
      <c r="E563">
        <v>1600</v>
      </c>
      <c r="F563" t="s">
        <v>68</v>
      </c>
      <c r="G563" t="s">
        <v>163</v>
      </c>
      <c r="H563" t="s">
        <v>164</v>
      </c>
      <c r="I563" t="s">
        <v>161</v>
      </c>
      <c r="J563">
        <v>0</v>
      </c>
      <c r="K563">
        <v>45329.670868055553</v>
      </c>
      <c r="L563">
        <v>40620</v>
      </c>
      <c r="O563">
        <v>440</v>
      </c>
      <c r="P563">
        <v>3</v>
      </c>
      <c r="Q563">
        <v>279.99999999999994</v>
      </c>
    </row>
    <row r="564" spans="2:17" x14ac:dyDescent="0.25">
      <c r="B564" t="s">
        <v>321</v>
      </c>
      <c r="C564" t="s">
        <v>479</v>
      </c>
      <c r="D564" t="s">
        <v>608</v>
      </c>
      <c r="E564">
        <v>250</v>
      </c>
      <c r="F564" t="s">
        <v>144</v>
      </c>
      <c r="G564" t="s">
        <v>145</v>
      </c>
      <c r="H564" t="s">
        <v>146</v>
      </c>
      <c r="I564" t="s">
        <v>147</v>
      </c>
      <c r="J564">
        <v>0</v>
      </c>
      <c r="K564">
        <v>45329.672592592593</v>
      </c>
      <c r="L564">
        <v>950</v>
      </c>
      <c r="O564">
        <v>10</v>
      </c>
      <c r="P564">
        <v>25</v>
      </c>
      <c r="Q564">
        <v>0</v>
      </c>
    </row>
    <row r="565" spans="2:17" x14ac:dyDescent="0.25">
      <c r="B565" t="s">
        <v>321</v>
      </c>
      <c r="C565" t="s">
        <v>479</v>
      </c>
      <c r="D565" t="s">
        <v>608</v>
      </c>
      <c r="E565">
        <v>120</v>
      </c>
      <c r="F565" t="s">
        <v>144</v>
      </c>
      <c r="G565" t="s">
        <v>148</v>
      </c>
      <c r="H565" t="s">
        <v>149</v>
      </c>
      <c r="I565" t="s">
        <v>147</v>
      </c>
      <c r="J565">
        <v>0</v>
      </c>
      <c r="K565">
        <v>45329.672638888886</v>
      </c>
      <c r="L565">
        <v>6132</v>
      </c>
      <c r="O565">
        <v>10</v>
      </c>
      <c r="P565">
        <v>12</v>
      </c>
      <c r="Q565">
        <v>0</v>
      </c>
    </row>
    <row r="566" spans="2:17" x14ac:dyDescent="0.25">
      <c r="B566" t="s">
        <v>321</v>
      </c>
      <c r="C566" t="s">
        <v>479</v>
      </c>
      <c r="D566" t="s">
        <v>608</v>
      </c>
      <c r="E566">
        <v>130</v>
      </c>
      <c r="F566" t="s">
        <v>144</v>
      </c>
      <c r="G566" t="s">
        <v>150</v>
      </c>
      <c r="H566" t="s">
        <v>151</v>
      </c>
      <c r="I566" t="s">
        <v>147</v>
      </c>
      <c r="J566">
        <v>0</v>
      </c>
      <c r="K566">
        <v>45329.672673611109</v>
      </c>
      <c r="L566">
        <v>655</v>
      </c>
      <c r="O566">
        <v>10</v>
      </c>
      <c r="P566">
        <v>13</v>
      </c>
      <c r="Q566">
        <v>0</v>
      </c>
    </row>
    <row r="567" spans="2:17" x14ac:dyDescent="0.25">
      <c r="B567" t="s">
        <v>321</v>
      </c>
      <c r="C567" t="s">
        <v>454</v>
      </c>
      <c r="D567" t="s">
        <v>609</v>
      </c>
      <c r="E567">
        <v>100</v>
      </c>
      <c r="F567" t="s">
        <v>68</v>
      </c>
      <c r="G567" t="s">
        <v>168</v>
      </c>
      <c r="H567" t="s">
        <v>169</v>
      </c>
      <c r="I567" t="s">
        <v>122</v>
      </c>
      <c r="J567">
        <v>0</v>
      </c>
      <c r="K567">
        <v>45330.346666666665</v>
      </c>
      <c r="L567">
        <v>1086</v>
      </c>
      <c r="O567">
        <v>200</v>
      </c>
      <c r="P567">
        <v>0</v>
      </c>
      <c r="Q567">
        <v>100</v>
      </c>
    </row>
    <row r="568" spans="2:17" x14ac:dyDescent="0.25">
      <c r="B568" t="s">
        <v>321</v>
      </c>
      <c r="C568" t="s">
        <v>509</v>
      </c>
      <c r="D568" t="s">
        <v>610</v>
      </c>
      <c r="E568">
        <v>12000</v>
      </c>
      <c r="F568" t="s">
        <v>68</v>
      </c>
      <c r="G568" t="s">
        <v>120</v>
      </c>
      <c r="H568" t="s">
        <v>121</v>
      </c>
      <c r="I568" t="s">
        <v>122</v>
      </c>
      <c r="J568">
        <v>0</v>
      </c>
      <c r="K568">
        <v>45330.346701388888</v>
      </c>
      <c r="L568">
        <v>85800</v>
      </c>
      <c r="O568">
        <v>2400</v>
      </c>
      <c r="P568">
        <v>5</v>
      </c>
      <c r="Q568">
        <v>0</v>
      </c>
    </row>
    <row r="569" spans="2:17" x14ac:dyDescent="0.25">
      <c r="B569" t="s">
        <v>321</v>
      </c>
      <c r="C569" t="s">
        <v>568</v>
      </c>
      <c r="D569" t="s">
        <v>611</v>
      </c>
      <c r="E569">
        <v>8000</v>
      </c>
      <c r="F569" t="s">
        <v>68</v>
      </c>
      <c r="G569" t="s">
        <v>124</v>
      </c>
      <c r="H569" t="s">
        <v>125</v>
      </c>
      <c r="I569" t="s">
        <v>122</v>
      </c>
      <c r="J569">
        <v>0</v>
      </c>
      <c r="K569">
        <v>45330.346805555557</v>
      </c>
      <c r="L569">
        <v>14000</v>
      </c>
      <c r="O569">
        <v>1200</v>
      </c>
      <c r="P569">
        <v>6</v>
      </c>
      <c r="Q569">
        <v>800.00000000000034</v>
      </c>
    </row>
    <row r="570" spans="2:17" x14ac:dyDescent="0.25">
      <c r="B570" t="s">
        <v>321</v>
      </c>
      <c r="C570" t="s">
        <v>592</v>
      </c>
      <c r="D570" t="s">
        <v>612</v>
      </c>
      <c r="E570">
        <v>30</v>
      </c>
      <c r="F570" t="s">
        <v>68</v>
      </c>
      <c r="G570" t="s">
        <v>175</v>
      </c>
      <c r="H570" t="s">
        <v>173</v>
      </c>
      <c r="J570">
        <v>0</v>
      </c>
      <c r="K570">
        <v>45330.346828703703</v>
      </c>
      <c r="L570">
        <v>1178</v>
      </c>
      <c r="O570">
        <v>12</v>
      </c>
      <c r="P570">
        <v>2</v>
      </c>
      <c r="Q570">
        <v>6</v>
      </c>
    </row>
    <row r="571" spans="2:17" x14ac:dyDescent="0.25">
      <c r="B571" t="s">
        <v>321</v>
      </c>
      <c r="C571" t="s">
        <v>592</v>
      </c>
      <c r="D571" t="s">
        <v>612</v>
      </c>
      <c r="E571">
        <v>150</v>
      </c>
      <c r="F571" t="s">
        <v>68</v>
      </c>
      <c r="G571" t="s">
        <v>170</v>
      </c>
      <c r="H571" t="s">
        <v>171</v>
      </c>
      <c r="I571" t="s">
        <v>122</v>
      </c>
      <c r="J571">
        <v>0</v>
      </c>
      <c r="K571">
        <v>45330.346863425926</v>
      </c>
      <c r="L571">
        <v>1150</v>
      </c>
      <c r="O571">
        <v>100</v>
      </c>
      <c r="P571">
        <v>1</v>
      </c>
      <c r="Q571">
        <v>50</v>
      </c>
    </row>
    <row r="572" spans="2:17" x14ac:dyDescent="0.25">
      <c r="B572" t="s">
        <v>321</v>
      </c>
      <c r="C572" t="s">
        <v>364</v>
      </c>
      <c r="D572" t="s">
        <v>613</v>
      </c>
      <c r="E572">
        <v>144</v>
      </c>
      <c r="F572" t="s">
        <v>152</v>
      </c>
      <c r="G572" t="s">
        <v>157</v>
      </c>
      <c r="H572" t="s">
        <v>154</v>
      </c>
      <c r="I572" t="s">
        <v>155</v>
      </c>
      <c r="J572">
        <v>0</v>
      </c>
      <c r="K572">
        <v>45330.346886574072</v>
      </c>
      <c r="L572">
        <v>1366</v>
      </c>
      <c r="O572">
        <v>144</v>
      </c>
      <c r="P572">
        <v>1</v>
      </c>
      <c r="Q572">
        <v>0</v>
      </c>
    </row>
    <row r="573" spans="2:17" x14ac:dyDescent="0.25">
      <c r="B573" t="s">
        <v>321</v>
      </c>
      <c r="C573" t="s">
        <v>265</v>
      </c>
      <c r="D573" t="s">
        <v>614</v>
      </c>
      <c r="E573">
        <v>6</v>
      </c>
      <c r="F573" t="s">
        <v>68</v>
      </c>
      <c r="G573" t="s">
        <v>786</v>
      </c>
      <c r="H573" t="s">
        <v>165</v>
      </c>
      <c r="I573" t="s">
        <v>161</v>
      </c>
      <c r="J573">
        <v>0</v>
      </c>
      <c r="K573">
        <v>45330.346921296295</v>
      </c>
      <c r="L573">
        <v>135</v>
      </c>
      <c r="O573">
        <v>24</v>
      </c>
      <c r="P573">
        <v>0</v>
      </c>
      <c r="Q573">
        <v>6</v>
      </c>
    </row>
    <row r="574" spans="2:17" x14ac:dyDescent="0.25">
      <c r="B574" t="s">
        <v>321</v>
      </c>
      <c r="C574" t="s">
        <v>266</v>
      </c>
      <c r="D574" t="s">
        <v>615</v>
      </c>
      <c r="E574">
        <v>27</v>
      </c>
      <c r="F574" t="s">
        <v>68</v>
      </c>
      <c r="G574" t="s">
        <v>787</v>
      </c>
      <c r="H574" t="s">
        <v>167</v>
      </c>
      <c r="I574" t="s">
        <v>161</v>
      </c>
      <c r="J574">
        <v>0</v>
      </c>
      <c r="K574">
        <v>45330.347013888888</v>
      </c>
      <c r="L574">
        <v>102</v>
      </c>
      <c r="O574">
        <v>4</v>
      </c>
      <c r="P574">
        <v>6</v>
      </c>
      <c r="Q574">
        <v>3</v>
      </c>
    </row>
    <row r="575" spans="2:17" x14ac:dyDescent="0.25">
      <c r="B575" t="s">
        <v>321</v>
      </c>
      <c r="C575" t="s">
        <v>594</v>
      </c>
      <c r="D575" t="s">
        <v>616</v>
      </c>
      <c r="E575">
        <v>240</v>
      </c>
      <c r="F575" t="s">
        <v>68</v>
      </c>
      <c r="G575" t="s">
        <v>181</v>
      </c>
      <c r="H575" t="s">
        <v>182</v>
      </c>
      <c r="I575" t="s">
        <v>183</v>
      </c>
      <c r="J575">
        <v>0</v>
      </c>
      <c r="K575">
        <v>45330.347048611111</v>
      </c>
      <c r="L575">
        <v>1520</v>
      </c>
      <c r="O575">
        <v>300</v>
      </c>
      <c r="P575">
        <v>0</v>
      </c>
      <c r="Q575">
        <v>240</v>
      </c>
    </row>
    <row r="576" spans="2:17" x14ac:dyDescent="0.25">
      <c r="B576" t="s">
        <v>321</v>
      </c>
      <c r="C576" t="s">
        <v>594</v>
      </c>
      <c r="D576" t="s">
        <v>616</v>
      </c>
      <c r="E576">
        <v>50</v>
      </c>
      <c r="F576" t="s">
        <v>68</v>
      </c>
      <c r="G576" t="s">
        <v>788</v>
      </c>
      <c r="H576" t="s">
        <v>187</v>
      </c>
      <c r="I576" t="s">
        <v>161</v>
      </c>
      <c r="J576">
        <v>0</v>
      </c>
      <c r="K576">
        <v>45330.347071759257</v>
      </c>
      <c r="L576">
        <v>290</v>
      </c>
      <c r="O576">
        <v>100</v>
      </c>
      <c r="P576">
        <v>0</v>
      </c>
      <c r="Q576">
        <v>50</v>
      </c>
    </row>
    <row r="577" spans="2:17" x14ac:dyDescent="0.25">
      <c r="B577" t="s">
        <v>321</v>
      </c>
      <c r="C577" t="s">
        <v>345</v>
      </c>
      <c r="D577" t="s">
        <v>617</v>
      </c>
      <c r="E577">
        <v>2500</v>
      </c>
      <c r="F577" t="s">
        <v>68</v>
      </c>
      <c r="G577" t="s">
        <v>163</v>
      </c>
      <c r="H577" t="s">
        <v>164</v>
      </c>
      <c r="I577" t="s">
        <v>161</v>
      </c>
      <c r="J577">
        <v>0</v>
      </c>
      <c r="K577">
        <v>45330.347094907411</v>
      </c>
      <c r="L577">
        <v>38120</v>
      </c>
      <c r="O577">
        <v>440</v>
      </c>
      <c r="P577">
        <v>5</v>
      </c>
      <c r="Q577">
        <v>299.99999999999994</v>
      </c>
    </row>
    <row r="578" spans="2:17" x14ac:dyDescent="0.25">
      <c r="B578" t="s">
        <v>321</v>
      </c>
      <c r="C578" t="s">
        <v>267</v>
      </c>
      <c r="D578" t="s">
        <v>618</v>
      </c>
      <c r="E578">
        <v>2</v>
      </c>
      <c r="F578" t="s">
        <v>68</v>
      </c>
      <c r="G578" t="s">
        <v>200</v>
      </c>
      <c r="H578" t="s">
        <v>201</v>
      </c>
      <c r="J578">
        <v>0</v>
      </c>
      <c r="K578">
        <v>45330.347245370373</v>
      </c>
      <c r="L578">
        <v>6</v>
      </c>
      <c r="O578">
        <v>36</v>
      </c>
      <c r="P578">
        <v>0</v>
      </c>
      <c r="Q578">
        <v>2</v>
      </c>
    </row>
    <row r="579" spans="2:17" x14ac:dyDescent="0.25">
      <c r="B579" t="s">
        <v>321</v>
      </c>
      <c r="C579" t="s">
        <v>267</v>
      </c>
      <c r="D579" t="s">
        <v>618</v>
      </c>
      <c r="E579">
        <v>120</v>
      </c>
      <c r="F579" t="s">
        <v>68</v>
      </c>
      <c r="G579" t="s">
        <v>427</v>
      </c>
      <c r="H579" t="s">
        <v>166</v>
      </c>
      <c r="I579" t="s">
        <v>161</v>
      </c>
      <c r="J579">
        <v>0</v>
      </c>
      <c r="K579">
        <v>45330.347291666665</v>
      </c>
      <c r="L579">
        <v>4880</v>
      </c>
      <c r="O579">
        <v>60</v>
      </c>
      <c r="P579">
        <v>2</v>
      </c>
      <c r="Q579">
        <v>0</v>
      </c>
    </row>
    <row r="580" spans="2:17" x14ac:dyDescent="0.25">
      <c r="B580" t="s">
        <v>321</v>
      </c>
      <c r="C580" t="s">
        <v>429</v>
      </c>
      <c r="D580" t="s">
        <v>619</v>
      </c>
      <c r="E580">
        <v>12000</v>
      </c>
      <c r="F580" t="s">
        <v>68</v>
      </c>
      <c r="G580" t="s">
        <v>140</v>
      </c>
      <c r="H580" t="s">
        <v>141</v>
      </c>
      <c r="I580" t="s">
        <v>122</v>
      </c>
      <c r="J580">
        <v>0</v>
      </c>
      <c r="K580">
        <v>45330.347349537034</v>
      </c>
      <c r="L580">
        <v>132100</v>
      </c>
      <c r="O580">
        <v>2400</v>
      </c>
      <c r="P580">
        <v>5</v>
      </c>
      <c r="Q580">
        <v>0</v>
      </c>
    </row>
    <row r="581" spans="2:17" x14ac:dyDescent="0.25">
      <c r="B581" t="s">
        <v>321</v>
      </c>
      <c r="C581" t="s">
        <v>429</v>
      </c>
      <c r="D581" t="s">
        <v>619</v>
      </c>
      <c r="E581">
        <v>120</v>
      </c>
      <c r="F581" t="s">
        <v>68</v>
      </c>
      <c r="G581" t="s">
        <v>219</v>
      </c>
      <c r="H581" t="s">
        <v>220</v>
      </c>
      <c r="I581" t="s">
        <v>161</v>
      </c>
      <c r="J581">
        <v>0</v>
      </c>
      <c r="K581">
        <v>45330.347384259258</v>
      </c>
      <c r="L581">
        <v>7400</v>
      </c>
      <c r="O581">
        <v>100</v>
      </c>
      <c r="P581">
        <v>1</v>
      </c>
      <c r="Q581">
        <v>19.999999999999996</v>
      </c>
    </row>
    <row r="582" spans="2:17" x14ac:dyDescent="0.25">
      <c r="B582" t="s">
        <v>321</v>
      </c>
      <c r="C582" t="s">
        <v>429</v>
      </c>
      <c r="D582" t="s">
        <v>619</v>
      </c>
      <c r="E582">
        <v>2</v>
      </c>
      <c r="F582" t="s">
        <v>68</v>
      </c>
      <c r="G582" t="s">
        <v>430</v>
      </c>
      <c r="H582" t="s">
        <v>199</v>
      </c>
      <c r="J582">
        <v>0</v>
      </c>
      <c r="K582">
        <v>45330.34747685185</v>
      </c>
      <c r="L582">
        <v>38</v>
      </c>
      <c r="O582">
        <v>40</v>
      </c>
      <c r="P582">
        <v>0</v>
      </c>
      <c r="Q582">
        <v>2</v>
      </c>
    </row>
    <row r="583" spans="2:17" x14ac:dyDescent="0.25">
      <c r="B583" t="s">
        <v>321</v>
      </c>
      <c r="C583" t="s">
        <v>504</v>
      </c>
      <c r="D583" t="s">
        <v>620</v>
      </c>
      <c r="E583">
        <v>36</v>
      </c>
      <c r="F583" t="s">
        <v>68</v>
      </c>
      <c r="G583" t="s">
        <v>184</v>
      </c>
      <c r="H583" t="s">
        <v>185</v>
      </c>
      <c r="J583">
        <v>0</v>
      </c>
      <c r="K583">
        <v>45330.347546296296</v>
      </c>
      <c r="L583">
        <v>227</v>
      </c>
      <c r="O583">
        <v>4</v>
      </c>
      <c r="P583">
        <v>9</v>
      </c>
      <c r="Q583">
        <v>0</v>
      </c>
    </row>
    <row r="584" spans="2:17" x14ac:dyDescent="0.25">
      <c r="B584" t="s">
        <v>176</v>
      </c>
      <c r="C584" t="s">
        <v>582</v>
      </c>
      <c r="D584" t="s">
        <v>621</v>
      </c>
      <c r="E584">
        <v>200</v>
      </c>
      <c r="F584" t="s">
        <v>68</v>
      </c>
      <c r="G584" t="s">
        <v>159</v>
      </c>
      <c r="H584" t="s">
        <v>160</v>
      </c>
      <c r="I584" t="s">
        <v>161</v>
      </c>
      <c r="J584">
        <v>0</v>
      </c>
      <c r="K584">
        <v>45331.510393518518</v>
      </c>
      <c r="L584">
        <v>96</v>
      </c>
      <c r="O584">
        <v>24</v>
      </c>
      <c r="P584">
        <v>8</v>
      </c>
      <c r="Q584">
        <v>8.0000000000000142</v>
      </c>
    </row>
    <row r="585" spans="2:17" x14ac:dyDescent="0.25">
      <c r="B585" t="s">
        <v>176</v>
      </c>
      <c r="C585" t="s">
        <v>387</v>
      </c>
      <c r="D585" t="s">
        <v>622</v>
      </c>
      <c r="E585">
        <v>1000</v>
      </c>
      <c r="F585" t="s">
        <v>68</v>
      </c>
      <c r="G585" t="s">
        <v>124</v>
      </c>
      <c r="H585" t="s">
        <v>125</v>
      </c>
      <c r="I585" t="s">
        <v>122</v>
      </c>
      <c r="J585">
        <v>0</v>
      </c>
      <c r="K585">
        <v>45331.51054398148</v>
      </c>
      <c r="L585">
        <v>13000</v>
      </c>
      <c r="O585">
        <v>1200</v>
      </c>
      <c r="P585">
        <v>0</v>
      </c>
      <c r="Q585">
        <v>1000</v>
      </c>
    </row>
    <row r="586" spans="2:17" x14ac:dyDescent="0.25">
      <c r="B586" t="s">
        <v>321</v>
      </c>
      <c r="C586" t="s">
        <v>623</v>
      </c>
      <c r="D586" t="s">
        <v>624</v>
      </c>
      <c r="E586">
        <v>1000</v>
      </c>
      <c r="F586" t="s">
        <v>68</v>
      </c>
      <c r="G586" t="s">
        <v>177</v>
      </c>
      <c r="H586" t="s">
        <v>178</v>
      </c>
      <c r="I586" t="s">
        <v>179</v>
      </c>
      <c r="J586">
        <v>0</v>
      </c>
      <c r="K586">
        <v>45331.630798611113</v>
      </c>
      <c r="L586">
        <v>1112</v>
      </c>
      <c r="O586">
        <v>36</v>
      </c>
      <c r="P586">
        <v>27</v>
      </c>
      <c r="Q586">
        <v>28.000000000000028</v>
      </c>
    </row>
    <row r="587" spans="2:17" x14ac:dyDescent="0.25">
      <c r="B587" t="s">
        <v>321</v>
      </c>
      <c r="C587" t="s">
        <v>625</v>
      </c>
      <c r="D587" t="s">
        <v>66</v>
      </c>
      <c r="E587">
        <v>5000</v>
      </c>
      <c r="F587" t="s">
        <v>68</v>
      </c>
      <c r="G587" t="s">
        <v>163</v>
      </c>
      <c r="H587" t="s">
        <v>164</v>
      </c>
      <c r="I587" t="s">
        <v>161</v>
      </c>
      <c r="J587">
        <v>0</v>
      </c>
      <c r="K587">
        <v>45332.566516203704</v>
      </c>
      <c r="L587">
        <v>33120</v>
      </c>
      <c r="O587">
        <v>440</v>
      </c>
      <c r="P587">
        <v>11</v>
      </c>
      <c r="Q587">
        <v>159.99999999999986</v>
      </c>
    </row>
    <row r="588" spans="2:17" x14ac:dyDescent="0.25">
      <c r="B588" t="s">
        <v>176</v>
      </c>
      <c r="C588" t="s">
        <v>262</v>
      </c>
      <c r="D588">
        <v>1387</v>
      </c>
      <c r="E588">
        <v>340</v>
      </c>
      <c r="F588" t="s">
        <v>68</v>
      </c>
      <c r="G588" t="s">
        <v>427</v>
      </c>
      <c r="H588" t="s">
        <v>166</v>
      </c>
      <c r="I588" t="s">
        <v>161</v>
      </c>
      <c r="J588">
        <v>0</v>
      </c>
      <c r="K588">
        <v>45335.535011574073</v>
      </c>
      <c r="L588">
        <v>4540</v>
      </c>
      <c r="O588">
        <v>60</v>
      </c>
      <c r="P588">
        <v>5</v>
      </c>
      <c r="Q588">
        <v>40.000000000000014</v>
      </c>
    </row>
    <row r="589" spans="2:17" x14ac:dyDescent="0.25">
      <c r="B589" t="s">
        <v>176</v>
      </c>
      <c r="C589" t="s">
        <v>582</v>
      </c>
      <c r="D589" t="s">
        <v>626</v>
      </c>
      <c r="E589">
        <v>200</v>
      </c>
      <c r="F589" t="s">
        <v>68</v>
      </c>
      <c r="G589" t="s">
        <v>159</v>
      </c>
      <c r="H589" t="s">
        <v>160</v>
      </c>
      <c r="I589" t="s">
        <v>161</v>
      </c>
      <c r="J589">
        <v>0</v>
      </c>
      <c r="K589">
        <v>45335.535081018519</v>
      </c>
      <c r="L589">
        <v>7888</v>
      </c>
      <c r="O589">
        <v>24</v>
      </c>
      <c r="P589">
        <v>8</v>
      </c>
      <c r="Q589">
        <v>8.0000000000000142</v>
      </c>
    </row>
    <row r="590" spans="2:17" x14ac:dyDescent="0.25">
      <c r="B590" t="s">
        <v>176</v>
      </c>
      <c r="C590" t="s">
        <v>261</v>
      </c>
      <c r="D590" t="s">
        <v>627</v>
      </c>
      <c r="E590">
        <v>1000</v>
      </c>
      <c r="F590" t="s">
        <v>68</v>
      </c>
      <c r="G590" t="s">
        <v>181</v>
      </c>
      <c r="H590" t="s">
        <v>182</v>
      </c>
      <c r="I590" t="s">
        <v>183</v>
      </c>
      <c r="J590">
        <v>0</v>
      </c>
      <c r="K590">
        <v>45335.535104166665</v>
      </c>
      <c r="L590">
        <v>520</v>
      </c>
      <c r="O590">
        <v>300</v>
      </c>
      <c r="P590">
        <v>3</v>
      </c>
      <c r="Q590">
        <v>100.00000000000004</v>
      </c>
    </row>
    <row r="591" spans="2:17" x14ac:dyDescent="0.25">
      <c r="B591" t="s">
        <v>176</v>
      </c>
      <c r="C591" t="s">
        <v>261</v>
      </c>
      <c r="D591" t="s">
        <v>627</v>
      </c>
      <c r="E591">
        <v>800</v>
      </c>
      <c r="F591" t="s">
        <v>152</v>
      </c>
      <c r="G591" t="s">
        <v>156</v>
      </c>
      <c r="H591" t="s">
        <v>154</v>
      </c>
      <c r="I591" t="s">
        <v>155</v>
      </c>
      <c r="J591">
        <v>0</v>
      </c>
      <c r="K591">
        <v>45335.535115740742</v>
      </c>
      <c r="L591">
        <v>3568</v>
      </c>
      <c r="O591">
        <v>144</v>
      </c>
      <c r="P591">
        <v>5</v>
      </c>
      <c r="Q591">
        <v>79.999999999999972</v>
      </c>
    </row>
    <row r="592" spans="2:17" x14ac:dyDescent="0.25">
      <c r="B592" t="s">
        <v>176</v>
      </c>
      <c r="C592" t="s">
        <v>628</v>
      </c>
      <c r="D592" t="s">
        <v>629</v>
      </c>
      <c r="E592">
        <v>1200</v>
      </c>
      <c r="F592" t="s">
        <v>68</v>
      </c>
      <c r="G592" t="s">
        <v>120</v>
      </c>
      <c r="H592" t="s">
        <v>121</v>
      </c>
      <c r="I592" t="s">
        <v>122</v>
      </c>
      <c r="J592">
        <v>0</v>
      </c>
      <c r="K592">
        <v>45335.535127314812</v>
      </c>
      <c r="L592">
        <v>84600</v>
      </c>
      <c r="O592">
        <v>2400</v>
      </c>
      <c r="P592">
        <v>0</v>
      </c>
      <c r="Q592">
        <v>1200</v>
      </c>
    </row>
    <row r="593" spans="2:17" x14ac:dyDescent="0.25">
      <c r="B593" t="s">
        <v>176</v>
      </c>
      <c r="C593" t="s">
        <v>628</v>
      </c>
      <c r="D593" t="s">
        <v>629</v>
      </c>
      <c r="E593">
        <v>200</v>
      </c>
      <c r="F593" t="s">
        <v>144</v>
      </c>
      <c r="G593" t="s">
        <v>145</v>
      </c>
      <c r="H593" t="s">
        <v>146</v>
      </c>
      <c r="I593" t="s">
        <v>147</v>
      </c>
      <c r="J593">
        <v>0</v>
      </c>
      <c r="K593">
        <v>45335.535127314812</v>
      </c>
      <c r="L593">
        <v>750</v>
      </c>
      <c r="O593">
        <v>10</v>
      </c>
      <c r="P593">
        <v>20</v>
      </c>
      <c r="Q593">
        <v>0</v>
      </c>
    </row>
    <row r="594" spans="2:17" x14ac:dyDescent="0.25">
      <c r="B594" t="s">
        <v>176</v>
      </c>
      <c r="C594" t="s">
        <v>628</v>
      </c>
      <c r="D594" t="s">
        <v>629</v>
      </c>
      <c r="E594">
        <v>20</v>
      </c>
      <c r="F594" t="s">
        <v>144</v>
      </c>
      <c r="G594" t="s">
        <v>150</v>
      </c>
      <c r="H594" t="s">
        <v>151</v>
      </c>
      <c r="I594" t="s">
        <v>147</v>
      </c>
      <c r="J594">
        <v>0</v>
      </c>
      <c r="K594">
        <v>45335.535138888888</v>
      </c>
      <c r="L594">
        <v>635</v>
      </c>
      <c r="O594">
        <v>10</v>
      </c>
      <c r="P594">
        <v>2</v>
      </c>
      <c r="Q594">
        <v>0</v>
      </c>
    </row>
    <row r="595" spans="2:17" x14ac:dyDescent="0.25">
      <c r="B595" t="s">
        <v>176</v>
      </c>
      <c r="C595" t="s">
        <v>628</v>
      </c>
      <c r="D595" t="s">
        <v>629</v>
      </c>
      <c r="E595">
        <v>34</v>
      </c>
      <c r="F595" t="s">
        <v>144</v>
      </c>
      <c r="G595" t="s">
        <v>148</v>
      </c>
      <c r="H595" t="s">
        <v>149</v>
      </c>
      <c r="I595" t="s">
        <v>147</v>
      </c>
      <c r="J595">
        <v>0</v>
      </c>
      <c r="K595">
        <v>45335.535150462965</v>
      </c>
      <c r="L595">
        <v>6098</v>
      </c>
      <c r="O595">
        <v>10</v>
      </c>
      <c r="P595">
        <v>3</v>
      </c>
      <c r="Q595">
        <v>3.9999999999999991</v>
      </c>
    </row>
    <row r="596" spans="2:17" x14ac:dyDescent="0.25">
      <c r="B596" t="s">
        <v>176</v>
      </c>
      <c r="C596" t="s">
        <v>387</v>
      </c>
      <c r="D596" t="s">
        <v>630</v>
      </c>
      <c r="E596">
        <v>1600</v>
      </c>
      <c r="F596" t="s">
        <v>68</v>
      </c>
      <c r="G596" t="s">
        <v>188</v>
      </c>
      <c r="H596" t="s">
        <v>189</v>
      </c>
      <c r="I596" t="s">
        <v>122</v>
      </c>
      <c r="J596">
        <v>0</v>
      </c>
      <c r="K596">
        <v>45335.535162037035</v>
      </c>
      <c r="L596">
        <v>17400</v>
      </c>
      <c r="O596">
        <v>2400</v>
      </c>
      <c r="P596">
        <v>0</v>
      </c>
      <c r="Q596">
        <v>1600</v>
      </c>
    </row>
    <row r="597" spans="2:17" x14ac:dyDescent="0.25">
      <c r="B597" t="s">
        <v>176</v>
      </c>
      <c r="C597" t="s">
        <v>387</v>
      </c>
      <c r="D597" t="s">
        <v>630</v>
      </c>
      <c r="E597">
        <v>1000</v>
      </c>
      <c r="F597" t="s">
        <v>68</v>
      </c>
      <c r="G597" t="s">
        <v>124</v>
      </c>
      <c r="H597" t="s">
        <v>125</v>
      </c>
      <c r="I597" t="s">
        <v>122</v>
      </c>
      <c r="J597">
        <v>0</v>
      </c>
      <c r="K597">
        <v>45335.535173611112</v>
      </c>
      <c r="L597">
        <v>12000</v>
      </c>
      <c r="O597">
        <v>1200</v>
      </c>
      <c r="P597">
        <v>0</v>
      </c>
      <c r="Q597">
        <v>1000</v>
      </c>
    </row>
    <row r="598" spans="2:17" x14ac:dyDescent="0.25">
      <c r="B598" t="s">
        <v>176</v>
      </c>
      <c r="C598" t="s">
        <v>418</v>
      </c>
      <c r="D598" t="s">
        <v>631</v>
      </c>
      <c r="E598">
        <v>40</v>
      </c>
      <c r="F598" t="s">
        <v>68</v>
      </c>
      <c r="G598" t="s">
        <v>788</v>
      </c>
      <c r="H598" t="s">
        <v>187</v>
      </c>
      <c r="I598" t="s">
        <v>161</v>
      </c>
      <c r="J598">
        <v>0</v>
      </c>
      <c r="K598">
        <v>45335.535208333335</v>
      </c>
      <c r="L598">
        <v>250</v>
      </c>
      <c r="O598">
        <v>100</v>
      </c>
      <c r="P598">
        <v>0</v>
      </c>
      <c r="Q598">
        <v>40</v>
      </c>
    </row>
    <row r="599" spans="2:17" x14ac:dyDescent="0.25">
      <c r="B599" t="s">
        <v>176</v>
      </c>
      <c r="C599" t="s">
        <v>418</v>
      </c>
      <c r="D599" t="s">
        <v>631</v>
      </c>
      <c r="E599">
        <v>10</v>
      </c>
      <c r="F599" t="s">
        <v>68</v>
      </c>
      <c r="G599" t="s">
        <v>787</v>
      </c>
      <c r="H599" t="s">
        <v>167</v>
      </c>
      <c r="I599" t="s">
        <v>161</v>
      </c>
      <c r="J599">
        <v>0</v>
      </c>
      <c r="K599">
        <v>45335.535219907404</v>
      </c>
      <c r="L599">
        <v>92</v>
      </c>
      <c r="O599">
        <v>4</v>
      </c>
      <c r="P599">
        <v>2</v>
      </c>
      <c r="Q599">
        <v>2</v>
      </c>
    </row>
    <row r="600" spans="2:17" x14ac:dyDescent="0.25">
      <c r="B600" t="s">
        <v>176</v>
      </c>
      <c r="C600" t="s">
        <v>632</v>
      </c>
      <c r="D600" t="s">
        <v>633</v>
      </c>
      <c r="E600">
        <v>5000</v>
      </c>
      <c r="F600" t="s">
        <v>68</v>
      </c>
      <c r="G600" t="s">
        <v>163</v>
      </c>
      <c r="H600" t="s">
        <v>164</v>
      </c>
      <c r="I600" t="s">
        <v>161</v>
      </c>
      <c r="J600">
        <v>0</v>
      </c>
      <c r="K600">
        <v>45335.535266203704</v>
      </c>
      <c r="L600">
        <v>28120</v>
      </c>
      <c r="O600">
        <v>440</v>
      </c>
      <c r="P600">
        <v>11</v>
      </c>
      <c r="Q600">
        <v>159.99999999999986</v>
      </c>
    </row>
    <row r="601" spans="2:17" x14ac:dyDescent="0.25">
      <c r="B601" t="s">
        <v>176</v>
      </c>
      <c r="C601" t="s">
        <v>392</v>
      </c>
      <c r="D601" t="s">
        <v>634</v>
      </c>
      <c r="E601">
        <v>1200</v>
      </c>
      <c r="F601" t="s">
        <v>68</v>
      </c>
      <c r="G601" t="s">
        <v>219</v>
      </c>
      <c r="H601" t="s">
        <v>220</v>
      </c>
      <c r="I601" t="s">
        <v>161</v>
      </c>
      <c r="J601">
        <v>0</v>
      </c>
      <c r="K601">
        <v>45335.53533564815</v>
      </c>
      <c r="L601">
        <v>6200</v>
      </c>
      <c r="O601">
        <v>100</v>
      </c>
      <c r="P601">
        <v>12</v>
      </c>
      <c r="Q601">
        <v>0</v>
      </c>
    </row>
    <row r="602" spans="2:17" x14ac:dyDescent="0.25">
      <c r="B602" t="s">
        <v>176</v>
      </c>
      <c r="C602" t="s">
        <v>422</v>
      </c>
      <c r="D602" t="s">
        <v>635</v>
      </c>
      <c r="E602">
        <v>400</v>
      </c>
      <c r="F602" t="s">
        <v>68</v>
      </c>
      <c r="G602" t="s">
        <v>136</v>
      </c>
      <c r="H602" t="s">
        <v>137</v>
      </c>
      <c r="I602" t="s">
        <v>122</v>
      </c>
      <c r="J602">
        <v>0</v>
      </c>
      <c r="K602">
        <v>45335.53534722222</v>
      </c>
      <c r="L602">
        <v>28400</v>
      </c>
      <c r="O602">
        <v>2400</v>
      </c>
      <c r="P602">
        <v>0</v>
      </c>
      <c r="Q602">
        <v>400</v>
      </c>
    </row>
    <row r="603" spans="2:17" x14ac:dyDescent="0.25">
      <c r="B603" t="s">
        <v>176</v>
      </c>
      <c r="C603" t="s">
        <v>537</v>
      </c>
      <c r="D603" t="s">
        <v>636</v>
      </c>
      <c r="E603">
        <v>600</v>
      </c>
      <c r="F603" t="s">
        <v>68</v>
      </c>
      <c r="G603" t="s">
        <v>134</v>
      </c>
      <c r="H603" t="s">
        <v>135</v>
      </c>
      <c r="I603" t="s">
        <v>122</v>
      </c>
      <c r="J603">
        <v>0</v>
      </c>
      <c r="K603">
        <v>45335.535358796296</v>
      </c>
      <c r="L603">
        <v>3800</v>
      </c>
      <c r="O603">
        <v>3000</v>
      </c>
      <c r="P603">
        <v>0</v>
      </c>
      <c r="Q603">
        <v>600</v>
      </c>
    </row>
    <row r="604" spans="2:17" x14ac:dyDescent="0.25">
      <c r="B604" t="s">
        <v>176</v>
      </c>
      <c r="C604" t="s">
        <v>395</v>
      </c>
      <c r="D604" t="s">
        <v>637</v>
      </c>
      <c r="E604">
        <v>5</v>
      </c>
      <c r="F604" t="s">
        <v>152</v>
      </c>
      <c r="G604" t="s">
        <v>235</v>
      </c>
      <c r="H604" t="s">
        <v>226</v>
      </c>
      <c r="I604" t="s">
        <v>227</v>
      </c>
      <c r="J604">
        <v>0</v>
      </c>
      <c r="K604">
        <v>45335.535370370373</v>
      </c>
      <c r="L604">
        <v>40</v>
      </c>
      <c r="O604">
        <v>1</v>
      </c>
      <c r="P604">
        <v>5</v>
      </c>
      <c r="Q604">
        <v>0</v>
      </c>
    </row>
    <row r="605" spans="2:17" x14ac:dyDescent="0.25">
      <c r="B605" t="s">
        <v>176</v>
      </c>
      <c r="C605" t="s">
        <v>395</v>
      </c>
      <c r="D605" t="s">
        <v>637</v>
      </c>
      <c r="E605">
        <v>5</v>
      </c>
      <c r="F605" t="s">
        <v>152</v>
      </c>
      <c r="G605" t="s">
        <v>236</v>
      </c>
      <c r="H605" t="s">
        <v>226</v>
      </c>
      <c r="I605" t="s">
        <v>227</v>
      </c>
      <c r="J605">
        <v>0</v>
      </c>
      <c r="K605">
        <v>45335.535393518519</v>
      </c>
      <c r="L605">
        <v>32</v>
      </c>
      <c r="O605">
        <v>1</v>
      </c>
      <c r="P605">
        <v>5</v>
      </c>
      <c r="Q605">
        <v>0</v>
      </c>
    </row>
    <row r="606" spans="2:17" x14ac:dyDescent="0.25">
      <c r="B606" t="s">
        <v>798</v>
      </c>
      <c r="C606" t="s">
        <v>66</v>
      </c>
      <c r="D606" t="s">
        <v>66</v>
      </c>
      <c r="E606">
        <v>7992</v>
      </c>
      <c r="F606" t="s">
        <v>68</v>
      </c>
      <c r="G606" t="s">
        <v>159</v>
      </c>
      <c r="H606" t="s">
        <v>160</v>
      </c>
      <c r="I606" t="s">
        <v>161</v>
      </c>
      <c r="J606">
        <v>1</v>
      </c>
      <c r="K606">
        <v>45335.534930555557</v>
      </c>
      <c r="L606">
        <v>8088</v>
      </c>
      <c r="M606">
        <v>45506</v>
      </c>
      <c r="O606">
        <v>24</v>
      </c>
      <c r="P606">
        <v>333</v>
      </c>
      <c r="Q606">
        <v>0</v>
      </c>
    </row>
    <row r="607" spans="2:17" x14ac:dyDescent="0.25">
      <c r="B607" t="s">
        <v>798</v>
      </c>
      <c r="C607" t="s">
        <v>66</v>
      </c>
      <c r="D607" t="s">
        <v>66</v>
      </c>
      <c r="E607">
        <v>152</v>
      </c>
      <c r="F607" t="s">
        <v>68</v>
      </c>
      <c r="G607" t="s">
        <v>787</v>
      </c>
      <c r="H607" t="s">
        <v>167</v>
      </c>
      <c r="I607" t="s">
        <v>161</v>
      </c>
      <c r="J607">
        <v>1</v>
      </c>
      <c r="K607">
        <v>45335.53597222222</v>
      </c>
      <c r="L607">
        <v>244</v>
      </c>
      <c r="M607">
        <v>45506</v>
      </c>
      <c r="O607">
        <v>4</v>
      </c>
      <c r="P607">
        <v>38</v>
      </c>
      <c r="Q607">
        <v>0</v>
      </c>
    </row>
    <row r="608" spans="2:17" x14ac:dyDescent="0.25">
      <c r="B608" t="s">
        <v>799</v>
      </c>
      <c r="C608" t="s">
        <v>66</v>
      </c>
      <c r="D608" t="s">
        <v>66</v>
      </c>
      <c r="E608">
        <v>50</v>
      </c>
      <c r="F608" t="s">
        <v>68</v>
      </c>
      <c r="G608" t="s">
        <v>430</v>
      </c>
      <c r="H608" t="s">
        <v>199</v>
      </c>
      <c r="J608">
        <v>1</v>
      </c>
      <c r="K608">
        <v>45335.536909722221</v>
      </c>
      <c r="L608">
        <v>88</v>
      </c>
      <c r="M608">
        <v>45506</v>
      </c>
      <c r="O608">
        <v>40</v>
      </c>
      <c r="P608">
        <v>1</v>
      </c>
      <c r="Q608">
        <v>10</v>
      </c>
    </row>
    <row r="609" spans="2:17" x14ac:dyDescent="0.25">
      <c r="B609" t="s">
        <v>800</v>
      </c>
      <c r="C609" t="s">
        <v>66</v>
      </c>
      <c r="D609" t="s">
        <v>66</v>
      </c>
      <c r="E609">
        <v>2304</v>
      </c>
      <c r="F609" t="s">
        <v>68</v>
      </c>
      <c r="G609" t="s">
        <v>172</v>
      </c>
      <c r="H609" t="s">
        <v>173</v>
      </c>
      <c r="J609">
        <v>1</v>
      </c>
      <c r="K609">
        <v>45335.537511574075</v>
      </c>
      <c r="L609">
        <v>2352</v>
      </c>
      <c r="M609">
        <v>45506</v>
      </c>
      <c r="O609">
        <v>24</v>
      </c>
      <c r="P609">
        <v>96</v>
      </c>
      <c r="Q609">
        <v>0</v>
      </c>
    </row>
    <row r="610" spans="2:17" x14ac:dyDescent="0.25">
      <c r="B610" t="s">
        <v>800</v>
      </c>
      <c r="C610" t="s">
        <v>66</v>
      </c>
      <c r="D610" t="s">
        <v>66</v>
      </c>
      <c r="E610">
        <v>768</v>
      </c>
      <c r="F610" t="s">
        <v>68</v>
      </c>
      <c r="G610" t="s">
        <v>126</v>
      </c>
      <c r="H610" t="s">
        <v>180</v>
      </c>
      <c r="J610">
        <v>1</v>
      </c>
      <c r="K610">
        <v>45335.537835648145</v>
      </c>
      <c r="L610">
        <v>880</v>
      </c>
      <c r="M610">
        <v>45506</v>
      </c>
      <c r="O610">
        <v>96</v>
      </c>
      <c r="P610">
        <v>8</v>
      </c>
      <c r="Q610">
        <v>0</v>
      </c>
    </row>
    <row r="611" spans="2:17" x14ac:dyDescent="0.25">
      <c r="B611" t="s">
        <v>638</v>
      </c>
      <c r="C611" t="s">
        <v>66</v>
      </c>
      <c r="D611" t="s">
        <v>66</v>
      </c>
      <c r="E611">
        <v>1440</v>
      </c>
      <c r="F611" t="s">
        <v>152</v>
      </c>
      <c r="G611" t="s">
        <v>156</v>
      </c>
      <c r="H611" t="s">
        <v>154</v>
      </c>
      <c r="I611" t="s">
        <v>155</v>
      </c>
      <c r="J611">
        <v>1</v>
      </c>
      <c r="K611">
        <v>45335.553124999999</v>
      </c>
      <c r="L611">
        <v>5008</v>
      </c>
      <c r="M611">
        <v>45506</v>
      </c>
      <c r="O611">
        <v>144</v>
      </c>
      <c r="P611">
        <v>10</v>
      </c>
      <c r="Q611">
        <v>0</v>
      </c>
    </row>
    <row r="612" spans="2:17" x14ac:dyDescent="0.25">
      <c r="B612" t="s">
        <v>638</v>
      </c>
      <c r="C612" t="s">
        <v>66</v>
      </c>
      <c r="D612" t="s">
        <v>66</v>
      </c>
      <c r="E612">
        <v>1008</v>
      </c>
      <c r="F612" t="s">
        <v>152</v>
      </c>
      <c r="G612" t="s">
        <v>153</v>
      </c>
      <c r="H612" t="s">
        <v>154</v>
      </c>
      <c r="I612" t="s">
        <v>155</v>
      </c>
      <c r="J612">
        <v>1</v>
      </c>
      <c r="K612">
        <v>45335.553796296299</v>
      </c>
      <c r="L612">
        <v>1228</v>
      </c>
      <c r="M612">
        <v>45506</v>
      </c>
      <c r="O612">
        <v>144</v>
      </c>
      <c r="P612">
        <v>7</v>
      </c>
      <c r="Q612">
        <v>0</v>
      </c>
    </row>
    <row r="613" spans="2:17" x14ac:dyDescent="0.25">
      <c r="B613" t="s">
        <v>638</v>
      </c>
      <c r="C613" t="s">
        <v>66</v>
      </c>
      <c r="D613" t="s">
        <v>66</v>
      </c>
      <c r="E613">
        <v>2880</v>
      </c>
      <c r="F613" t="s">
        <v>152</v>
      </c>
      <c r="G613" t="s">
        <v>157</v>
      </c>
      <c r="H613" t="s">
        <v>154</v>
      </c>
      <c r="I613" t="s">
        <v>155</v>
      </c>
      <c r="J613">
        <v>1</v>
      </c>
      <c r="K613">
        <v>45335.554837962962</v>
      </c>
      <c r="L613">
        <v>4246</v>
      </c>
      <c r="M613">
        <v>45506</v>
      </c>
      <c r="O613">
        <v>144</v>
      </c>
      <c r="P613">
        <v>20</v>
      </c>
      <c r="Q613">
        <v>0</v>
      </c>
    </row>
    <row r="614" spans="2:17" x14ac:dyDescent="0.25">
      <c r="B614" t="s">
        <v>638</v>
      </c>
      <c r="C614" t="s">
        <v>66</v>
      </c>
      <c r="D614" t="s">
        <v>736</v>
      </c>
      <c r="E614">
        <v>1008</v>
      </c>
      <c r="F614" t="s">
        <v>152</v>
      </c>
      <c r="G614" t="s">
        <v>158</v>
      </c>
      <c r="H614" t="s">
        <v>154</v>
      </c>
      <c r="I614" t="s">
        <v>155</v>
      </c>
      <c r="J614">
        <v>1</v>
      </c>
      <c r="K614">
        <v>45335.555208333331</v>
      </c>
      <c r="L614">
        <v>1868</v>
      </c>
      <c r="M614">
        <v>45506</v>
      </c>
      <c r="O614">
        <v>144</v>
      </c>
      <c r="P614">
        <v>7</v>
      </c>
      <c r="Q614">
        <v>0</v>
      </c>
    </row>
    <row r="615" spans="2:17" x14ac:dyDescent="0.25">
      <c r="B615" t="s">
        <v>639</v>
      </c>
      <c r="C615" t="s">
        <v>66</v>
      </c>
      <c r="D615" t="s">
        <v>66</v>
      </c>
      <c r="E615">
        <v>1000</v>
      </c>
      <c r="F615" t="s">
        <v>68</v>
      </c>
      <c r="G615" t="s">
        <v>170</v>
      </c>
      <c r="H615" t="s">
        <v>171</v>
      </c>
      <c r="I615" t="s">
        <v>122</v>
      </c>
      <c r="J615">
        <v>1</v>
      </c>
      <c r="K615">
        <v>45335.672453703701</v>
      </c>
      <c r="L615">
        <v>2150</v>
      </c>
      <c r="M615">
        <v>45330</v>
      </c>
      <c r="O615">
        <v>100</v>
      </c>
      <c r="P615">
        <v>10</v>
      </c>
      <c r="Q615">
        <v>0</v>
      </c>
    </row>
    <row r="616" spans="2:17" x14ac:dyDescent="0.25">
      <c r="B616" t="s">
        <v>321</v>
      </c>
      <c r="C616" t="s">
        <v>454</v>
      </c>
      <c r="D616" t="s">
        <v>640</v>
      </c>
      <c r="E616">
        <v>100</v>
      </c>
      <c r="F616" t="s">
        <v>68</v>
      </c>
      <c r="G616" t="s">
        <v>168</v>
      </c>
      <c r="H616" t="s">
        <v>169</v>
      </c>
      <c r="I616" t="s">
        <v>122</v>
      </c>
      <c r="J616">
        <v>0</v>
      </c>
      <c r="K616">
        <v>45336.484247685185</v>
      </c>
      <c r="L616">
        <v>986</v>
      </c>
      <c r="O616">
        <v>200</v>
      </c>
      <c r="P616">
        <v>0</v>
      </c>
      <c r="Q616">
        <v>100</v>
      </c>
    </row>
    <row r="617" spans="2:17" x14ac:dyDescent="0.25">
      <c r="B617" t="s">
        <v>321</v>
      </c>
      <c r="C617" t="s">
        <v>509</v>
      </c>
      <c r="D617" t="s">
        <v>641</v>
      </c>
      <c r="E617">
        <v>12000</v>
      </c>
      <c r="F617" t="s">
        <v>68</v>
      </c>
      <c r="G617" t="s">
        <v>120</v>
      </c>
      <c r="H617" t="s">
        <v>121</v>
      </c>
      <c r="I617" t="s">
        <v>122</v>
      </c>
      <c r="J617">
        <v>0</v>
      </c>
      <c r="K617">
        <v>45336.484293981484</v>
      </c>
      <c r="L617">
        <v>72600</v>
      </c>
      <c r="O617">
        <v>2400</v>
      </c>
      <c r="P617">
        <v>5</v>
      </c>
      <c r="Q617">
        <v>0</v>
      </c>
    </row>
    <row r="618" spans="2:17" x14ac:dyDescent="0.25">
      <c r="B618" t="s">
        <v>321</v>
      </c>
      <c r="C618" t="s">
        <v>568</v>
      </c>
      <c r="D618" t="s">
        <v>642</v>
      </c>
      <c r="E618">
        <v>6000</v>
      </c>
      <c r="F618" t="s">
        <v>68</v>
      </c>
      <c r="G618" t="s">
        <v>124</v>
      </c>
      <c r="H618" t="s">
        <v>125</v>
      </c>
      <c r="I618" t="s">
        <v>122</v>
      </c>
      <c r="J618">
        <v>0</v>
      </c>
      <c r="K618">
        <v>45336.484317129631</v>
      </c>
      <c r="L618">
        <v>6000</v>
      </c>
      <c r="O618">
        <v>1200</v>
      </c>
      <c r="P618">
        <v>5</v>
      </c>
      <c r="Q618">
        <v>0</v>
      </c>
    </row>
    <row r="619" spans="2:17" x14ac:dyDescent="0.25">
      <c r="B619" t="s">
        <v>321</v>
      </c>
      <c r="C619" t="s">
        <v>592</v>
      </c>
      <c r="D619" t="s">
        <v>643</v>
      </c>
      <c r="E619">
        <v>10</v>
      </c>
      <c r="F619" t="s">
        <v>68</v>
      </c>
      <c r="G619" t="s">
        <v>175</v>
      </c>
      <c r="H619" t="s">
        <v>173</v>
      </c>
      <c r="J619">
        <v>0</v>
      </c>
      <c r="K619">
        <v>45336.484340277777</v>
      </c>
      <c r="L619">
        <v>1168</v>
      </c>
      <c r="O619">
        <v>12</v>
      </c>
      <c r="P619">
        <v>0</v>
      </c>
      <c r="Q619">
        <v>10</v>
      </c>
    </row>
    <row r="620" spans="2:17" x14ac:dyDescent="0.25">
      <c r="B620" t="s">
        <v>321</v>
      </c>
      <c r="C620" t="s">
        <v>592</v>
      </c>
      <c r="D620" t="s">
        <v>643</v>
      </c>
      <c r="E620">
        <v>150</v>
      </c>
      <c r="F620" t="s">
        <v>68</v>
      </c>
      <c r="G620" t="s">
        <v>170</v>
      </c>
      <c r="H620" t="s">
        <v>171</v>
      </c>
      <c r="I620" t="s">
        <v>122</v>
      </c>
      <c r="J620">
        <v>0</v>
      </c>
      <c r="K620">
        <v>45336.484363425923</v>
      </c>
      <c r="L620">
        <v>2000</v>
      </c>
      <c r="O620">
        <v>100</v>
      </c>
      <c r="P620">
        <v>1</v>
      </c>
      <c r="Q620">
        <v>50</v>
      </c>
    </row>
    <row r="621" spans="2:17" x14ac:dyDescent="0.25">
      <c r="B621" t="s">
        <v>321</v>
      </c>
      <c r="C621" t="s">
        <v>364</v>
      </c>
      <c r="D621" t="s">
        <v>644</v>
      </c>
      <c r="E621">
        <v>144</v>
      </c>
      <c r="F621" t="s">
        <v>152</v>
      </c>
      <c r="G621" t="s">
        <v>157</v>
      </c>
      <c r="H621" t="s">
        <v>154</v>
      </c>
      <c r="I621" t="s">
        <v>155</v>
      </c>
      <c r="J621">
        <v>0</v>
      </c>
      <c r="K621">
        <v>45336.484386574077</v>
      </c>
      <c r="L621">
        <v>4102</v>
      </c>
      <c r="O621">
        <v>144</v>
      </c>
      <c r="P621">
        <v>1</v>
      </c>
      <c r="Q621">
        <v>0</v>
      </c>
    </row>
    <row r="622" spans="2:17" x14ac:dyDescent="0.25">
      <c r="B622" t="s">
        <v>321</v>
      </c>
      <c r="C622" t="s">
        <v>479</v>
      </c>
      <c r="D622" t="s">
        <v>645</v>
      </c>
      <c r="E622">
        <v>150</v>
      </c>
      <c r="F622" t="s">
        <v>144</v>
      </c>
      <c r="G622" t="s">
        <v>150</v>
      </c>
      <c r="H622" t="s">
        <v>151</v>
      </c>
      <c r="I622" t="s">
        <v>147</v>
      </c>
      <c r="J622">
        <v>0</v>
      </c>
      <c r="K622">
        <v>45336.484409722223</v>
      </c>
      <c r="L622">
        <v>485</v>
      </c>
      <c r="O622">
        <v>10</v>
      </c>
      <c r="P622">
        <v>15</v>
      </c>
      <c r="Q622">
        <v>0</v>
      </c>
    </row>
    <row r="623" spans="2:17" x14ac:dyDescent="0.25">
      <c r="B623" t="s">
        <v>321</v>
      </c>
      <c r="C623" t="s">
        <v>479</v>
      </c>
      <c r="D623" t="s">
        <v>645</v>
      </c>
      <c r="E623">
        <v>70</v>
      </c>
      <c r="F623" t="s">
        <v>144</v>
      </c>
      <c r="G623" t="s">
        <v>145</v>
      </c>
      <c r="H623" t="s">
        <v>146</v>
      </c>
      <c r="I623" t="s">
        <v>147</v>
      </c>
      <c r="J623">
        <v>0</v>
      </c>
      <c r="K623">
        <v>45336.484432870369</v>
      </c>
      <c r="L623">
        <v>680</v>
      </c>
      <c r="O623">
        <v>10</v>
      </c>
      <c r="P623">
        <v>7</v>
      </c>
      <c r="Q623">
        <v>0</v>
      </c>
    </row>
    <row r="624" spans="2:17" x14ac:dyDescent="0.25">
      <c r="B624" t="s">
        <v>321</v>
      </c>
      <c r="C624" t="s">
        <v>479</v>
      </c>
      <c r="D624" t="s">
        <v>645</v>
      </c>
      <c r="E624">
        <v>80</v>
      </c>
      <c r="F624" t="s">
        <v>144</v>
      </c>
      <c r="G624" t="s">
        <v>148</v>
      </c>
      <c r="H624" t="s">
        <v>149</v>
      </c>
      <c r="I624" t="s">
        <v>147</v>
      </c>
      <c r="J624">
        <v>0</v>
      </c>
      <c r="K624">
        <v>45336.484456018516</v>
      </c>
      <c r="L624">
        <v>6018</v>
      </c>
      <c r="O624">
        <v>10</v>
      </c>
      <c r="P624">
        <v>8</v>
      </c>
      <c r="Q624">
        <v>0</v>
      </c>
    </row>
    <row r="625" spans="2:17" x14ac:dyDescent="0.25">
      <c r="B625" t="s">
        <v>321</v>
      </c>
      <c r="C625" t="s">
        <v>265</v>
      </c>
      <c r="D625" t="s">
        <v>646</v>
      </c>
      <c r="E625">
        <v>6</v>
      </c>
      <c r="F625" t="s">
        <v>68</v>
      </c>
      <c r="G625" t="s">
        <v>786</v>
      </c>
      <c r="H625" t="s">
        <v>165</v>
      </c>
      <c r="I625" t="s">
        <v>161</v>
      </c>
      <c r="J625">
        <v>0</v>
      </c>
      <c r="K625">
        <v>45336.484479166669</v>
      </c>
      <c r="L625">
        <v>129</v>
      </c>
      <c r="O625">
        <v>24</v>
      </c>
      <c r="P625">
        <v>0</v>
      </c>
      <c r="Q625">
        <v>6</v>
      </c>
    </row>
    <row r="626" spans="2:17" x14ac:dyDescent="0.25">
      <c r="B626" t="s">
        <v>321</v>
      </c>
      <c r="C626" t="s">
        <v>594</v>
      </c>
      <c r="D626" t="s">
        <v>647</v>
      </c>
      <c r="E626">
        <v>240</v>
      </c>
      <c r="F626" t="s">
        <v>68</v>
      </c>
      <c r="G626" t="s">
        <v>181</v>
      </c>
      <c r="H626" t="s">
        <v>182</v>
      </c>
      <c r="I626" t="s">
        <v>183</v>
      </c>
      <c r="J626">
        <v>0</v>
      </c>
      <c r="K626">
        <v>45336.484513888892</v>
      </c>
      <c r="L626">
        <v>280</v>
      </c>
      <c r="O626">
        <v>300</v>
      </c>
      <c r="P626">
        <v>0</v>
      </c>
      <c r="Q626">
        <v>240</v>
      </c>
    </row>
    <row r="627" spans="2:17" x14ac:dyDescent="0.25">
      <c r="B627" t="s">
        <v>321</v>
      </c>
      <c r="C627" t="s">
        <v>594</v>
      </c>
      <c r="D627" t="s">
        <v>647</v>
      </c>
      <c r="E627">
        <v>50</v>
      </c>
      <c r="F627" t="s">
        <v>68</v>
      </c>
      <c r="G627" t="s">
        <v>788</v>
      </c>
      <c r="H627" t="s">
        <v>187</v>
      </c>
      <c r="I627" t="s">
        <v>161</v>
      </c>
      <c r="J627">
        <v>0</v>
      </c>
      <c r="K627">
        <v>45336.484537037039</v>
      </c>
      <c r="L627">
        <v>200</v>
      </c>
      <c r="O627">
        <v>100</v>
      </c>
      <c r="P627">
        <v>0</v>
      </c>
      <c r="Q627">
        <v>50</v>
      </c>
    </row>
    <row r="628" spans="2:17" x14ac:dyDescent="0.25">
      <c r="B628" t="s">
        <v>321</v>
      </c>
      <c r="C628" t="s">
        <v>594</v>
      </c>
      <c r="D628" t="s">
        <v>647</v>
      </c>
      <c r="E628">
        <v>10</v>
      </c>
      <c r="F628" t="s">
        <v>68</v>
      </c>
      <c r="G628" t="s">
        <v>787</v>
      </c>
      <c r="H628" t="s">
        <v>167</v>
      </c>
      <c r="I628" t="s">
        <v>161</v>
      </c>
      <c r="J628">
        <v>0</v>
      </c>
      <c r="K628">
        <v>45336.484560185185</v>
      </c>
      <c r="L628">
        <v>234</v>
      </c>
      <c r="O628">
        <v>4</v>
      </c>
      <c r="P628">
        <v>2</v>
      </c>
      <c r="Q628">
        <v>2</v>
      </c>
    </row>
    <row r="629" spans="2:17" x14ac:dyDescent="0.25">
      <c r="B629" t="s">
        <v>321</v>
      </c>
      <c r="C629" t="s">
        <v>345</v>
      </c>
      <c r="D629" t="s">
        <v>648</v>
      </c>
      <c r="E629">
        <v>2500</v>
      </c>
      <c r="F629" t="s">
        <v>68</v>
      </c>
      <c r="G629" t="s">
        <v>163</v>
      </c>
      <c r="H629" t="s">
        <v>164</v>
      </c>
      <c r="I629" t="s">
        <v>161</v>
      </c>
      <c r="J629">
        <v>0</v>
      </c>
      <c r="K629">
        <v>45336.484618055554</v>
      </c>
      <c r="L629">
        <v>25620</v>
      </c>
      <c r="O629">
        <v>440</v>
      </c>
      <c r="P629">
        <v>5</v>
      </c>
      <c r="Q629">
        <v>299.99999999999994</v>
      </c>
    </row>
    <row r="630" spans="2:17" x14ac:dyDescent="0.25">
      <c r="B630" t="s">
        <v>321</v>
      </c>
      <c r="C630" t="s">
        <v>267</v>
      </c>
      <c r="D630" t="s">
        <v>649</v>
      </c>
      <c r="E630">
        <v>2</v>
      </c>
      <c r="F630" t="s">
        <v>68</v>
      </c>
      <c r="G630" t="s">
        <v>200</v>
      </c>
      <c r="H630" t="s">
        <v>201</v>
      </c>
      <c r="J630">
        <v>0</v>
      </c>
      <c r="K630">
        <v>45336.4846875</v>
      </c>
      <c r="L630">
        <v>4</v>
      </c>
      <c r="O630">
        <v>36</v>
      </c>
      <c r="P630">
        <v>0</v>
      </c>
      <c r="Q630">
        <v>2</v>
      </c>
    </row>
    <row r="631" spans="2:17" x14ac:dyDescent="0.25">
      <c r="B631" t="s">
        <v>321</v>
      </c>
      <c r="C631" t="s">
        <v>267</v>
      </c>
      <c r="D631" t="s">
        <v>649</v>
      </c>
      <c r="E631">
        <v>120</v>
      </c>
      <c r="F631" t="s">
        <v>68</v>
      </c>
      <c r="G631" t="s">
        <v>427</v>
      </c>
      <c r="H631" t="s">
        <v>166</v>
      </c>
      <c r="I631" t="s">
        <v>161</v>
      </c>
      <c r="J631">
        <v>0</v>
      </c>
      <c r="K631">
        <v>45336.484722222223</v>
      </c>
      <c r="L631">
        <v>4420</v>
      </c>
      <c r="O631">
        <v>60</v>
      </c>
      <c r="P631">
        <v>2</v>
      </c>
      <c r="Q631">
        <v>0</v>
      </c>
    </row>
    <row r="632" spans="2:17" x14ac:dyDescent="0.25">
      <c r="B632" t="s">
        <v>321</v>
      </c>
      <c r="C632" t="s">
        <v>429</v>
      </c>
      <c r="D632" t="s">
        <v>650</v>
      </c>
      <c r="E632">
        <v>12000</v>
      </c>
      <c r="F632" t="s">
        <v>68</v>
      </c>
      <c r="G632" t="s">
        <v>140</v>
      </c>
      <c r="H632" t="s">
        <v>141</v>
      </c>
      <c r="I632" t="s">
        <v>122</v>
      </c>
      <c r="J632">
        <v>0</v>
      </c>
      <c r="K632">
        <v>45336.484756944446</v>
      </c>
      <c r="L632">
        <v>120100</v>
      </c>
      <c r="O632">
        <v>2400</v>
      </c>
      <c r="P632">
        <v>5</v>
      </c>
      <c r="Q632">
        <v>0</v>
      </c>
    </row>
    <row r="633" spans="2:17" x14ac:dyDescent="0.25">
      <c r="B633" t="s">
        <v>321</v>
      </c>
      <c r="C633" t="s">
        <v>429</v>
      </c>
      <c r="D633" t="s">
        <v>650</v>
      </c>
      <c r="E633">
        <v>120</v>
      </c>
      <c r="F633" t="s">
        <v>68</v>
      </c>
      <c r="G633" t="s">
        <v>219</v>
      </c>
      <c r="H633" t="s">
        <v>220</v>
      </c>
      <c r="I633" t="s">
        <v>161</v>
      </c>
      <c r="J633">
        <v>0</v>
      </c>
      <c r="K633">
        <v>45336.484780092593</v>
      </c>
      <c r="L633">
        <v>6080</v>
      </c>
      <c r="O633">
        <v>100</v>
      </c>
      <c r="P633">
        <v>1</v>
      </c>
      <c r="Q633">
        <v>19.999999999999996</v>
      </c>
    </row>
    <row r="634" spans="2:17" x14ac:dyDescent="0.25">
      <c r="B634" t="s">
        <v>321</v>
      </c>
      <c r="C634" t="s">
        <v>429</v>
      </c>
      <c r="D634" t="s">
        <v>650</v>
      </c>
      <c r="E634">
        <v>2</v>
      </c>
      <c r="F634" t="s">
        <v>68</v>
      </c>
      <c r="G634" t="s">
        <v>430</v>
      </c>
      <c r="H634" t="s">
        <v>199</v>
      </c>
      <c r="J634">
        <v>0</v>
      </c>
      <c r="K634">
        <v>45336.484814814816</v>
      </c>
      <c r="L634">
        <v>86</v>
      </c>
      <c r="O634">
        <v>40</v>
      </c>
      <c r="P634">
        <v>0</v>
      </c>
      <c r="Q634">
        <v>2</v>
      </c>
    </row>
    <row r="635" spans="2:17" x14ac:dyDescent="0.25">
      <c r="B635" t="s">
        <v>321</v>
      </c>
      <c r="C635" t="s">
        <v>504</v>
      </c>
      <c r="D635" t="s">
        <v>651</v>
      </c>
      <c r="E635">
        <v>36</v>
      </c>
      <c r="F635" t="s">
        <v>68</v>
      </c>
      <c r="G635" t="s">
        <v>184</v>
      </c>
      <c r="H635" t="s">
        <v>185</v>
      </c>
      <c r="J635">
        <v>0</v>
      </c>
      <c r="K635">
        <v>45336.484849537039</v>
      </c>
      <c r="L635">
        <v>191</v>
      </c>
      <c r="O635">
        <v>4</v>
      </c>
      <c r="P635">
        <v>9</v>
      </c>
      <c r="Q635">
        <v>0</v>
      </c>
    </row>
    <row r="636" spans="2:17" x14ac:dyDescent="0.25">
      <c r="B636" t="s">
        <v>321</v>
      </c>
      <c r="C636" t="s">
        <v>652</v>
      </c>
      <c r="D636" t="s">
        <v>653</v>
      </c>
      <c r="E636">
        <v>300</v>
      </c>
      <c r="F636" t="s">
        <v>68</v>
      </c>
      <c r="G636" t="s">
        <v>177</v>
      </c>
      <c r="H636" t="s">
        <v>178</v>
      </c>
      <c r="I636" t="s">
        <v>179</v>
      </c>
      <c r="J636">
        <v>0</v>
      </c>
      <c r="K636">
        <v>45336.484907407408</v>
      </c>
      <c r="L636">
        <v>812</v>
      </c>
      <c r="O636">
        <v>36</v>
      </c>
      <c r="P636">
        <v>8</v>
      </c>
      <c r="Q636">
        <v>12.000000000000021</v>
      </c>
    </row>
    <row r="637" spans="2:17" x14ac:dyDescent="0.25">
      <c r="B637" t="s">
        <v>654</v>
      </c>
      <c r="C637" t="s">
        <v>66</v>
      </c>
      <c r="D637" t="s">
        <v>66</v>
      </c>
      <c r="E637">
        <v>400</v>
      </c>
      <c r="F637" t="s">
        <v>68</v>
      </c>
      <c r="G637" t="s">
        <v>296</v>
      </c>
      <c r="H637" t="s">
        <v>297</v>
      </c>
      <c r="I637" t="s">
        <v>122</v>
      </c>
      <c r="J637">
        <v>1</v>
      </c>
      <c r="K637">
        <v>45336.542685185188</v>
      </c>
      <c r="L637">
        <v>400</v>
      </c>
      <c r="M637">
        <v>45537</v>
      </c>
      <c r="O637">
        <v>1</v>
      </c>
      <c r="P637">
        <v>400</v>
      </c>
      <c r="Q637">
        <v>0</v>
      </c>
    </row>
    <row r="638" spans="2:17" x14ac:dyDescent="0.25">
      <c r="B638" t="s">
        <v>654</v>
      </c>
      <c r="C638" t="s">
        <v>66</v>
      </c>
      <c r="D638" t="s">
        <v>66</v>
      </c>
      <c r="E638">
        <v>40000</v>
      </c>
      <c r="F638" t="s">
        <v>68</v>
      </c>
      <c r="G638" t="s">
        <v>124</v>
      </c>
      <c r="H638" t="s">
        <v>125</v>
      </c>
      <c r="I638" t="s">
        <v>122</v>
      </c>
      <c r="J638">
        <v>1</v>
      </c>
      <c r="K638">
        <v>45336.542800925927</v>
      </c>
      <c r="L638">
        <v>46000</v>
      </c>
      <c r="M638">
        <v>45537</v>
      </c>
      <c r="O638">
        <v>1200</v>
      </c>
      <c r="P638">
        <v>33</v>
      </c>
      <c r="Q638">
        <v>400.00000000000284</v>
      </c>
    </row>
    <row r="639" spans="2:17" x14ac:dyDescent="0.25">
      <c r="B639" t="s">
        <v>321</v>
      </c>
      <c r="C639" t="s">
        <v>429</v>
      </c>
      <c r="D639" t="s">
        <v>655</v>
      </c>
      <c r="E639">
        <v>250</v>
      </c>
      <c r="F639" t="s">
        <v>68</v>
      </c>
      <c r="G639" t="s">
        <v>172</v>
      </c>
      <c r="H639" t="s">
        <v>173</v>
      </c>
      <c r="J639">
        <v>0</v>
      </c>
      <c r="K639">
        <v>45337.672777777778</v>
      </c>
      <c r="L639">
        <v>2102</v>
      </c>
      <c r="O639">
        <v>24</v>
      </c>
      <c r="P639">
        <v>10</v>
      </c>
      <c r="Q639">
        <v>9.9999999999999858</v>
      </c>
    </row>
    <row r="640" spans="2:17" x14ac:dyDescent="0.25">
      <c r="B640" t="s">
        <v>321</v>
      </c>
      <c r="C640" t="s">
        <v>656</v>
      </c>
      <c r="D640" t="s">
        <v>657</v>
      </c>
      <c r="E640">
        <v>500</v>
      </c>
      <c r="F640" t="s">
        <v>68</v>
      </c>
      <c r="G640" t="s">
        <v>132</v>
      </c>
      <c r="H640" t="s">
        <v>133</v>
      </c>
      <c r="I640" t="s">
        <v>122</v>
      </c>
      <c r="J640">
        <v>0</v>
      </c>
      <c r="K640">
        <v>45337.673333333332</v>
      </c>
      <c r="L640">
        <v>13800</v>
      </c>
      <c r="O640">
        <v>1200</v>
      </c>
      <c r="P640">
        <v>0</v>
      </c>
      <c r="Q640">
        <v>500</v>
      </c>
    </row>
    <row r="641" spans="1:17" x14ac:dyDescent="0.25">
      <c r="B641" t="s">
        <v>176</v>
      </c>
      <c r="C641" t="s">
        <v>262</v>
      </c>
      <c r="D641" t="s">
        <v>658</v>
      </c>
      <c r="E641">
        <v>100</v>
      </c>
      <c r="F641" t="s">
        <v>68</v>
      </c>
      <c r="G641" t="s">
        <v>184</v>
      </c>
      <c r="H641" t="s">
        <v>185</v>
      </c>
      <c r="J641">
        <v>0</v>
      </c>
      <c r="K641">
        <v>45337.677893518521</v>
      </c>
      <c r="L641">
        <v>91</v>
      </c>
      <c r="O641">
        <v>4</v>
      </c>
      <c r="P641">
        <v>25</v>
      </c>
      <c r="Q641">
        <v>0</v>
      </c>
    </row>
    <row r="642" spans="1:17" x14ac:dyDescent="0.25">
      <c r="B642" t="s">
        <v>176</v>
      </c>
      <c r="C642" t="s">
        <v>659</v>
      </c>
      <c r="D642" t="s">
        <v>660</v>
      </c>
      <c r="E642">
        <v>5600</v>
      </c>
      <c r="F642" t="s">
        <v>68</v>
      </c>
      <c r="G642" t="s">
        <v>140</v>
      </c>
      <c r="H642" t="s">
        <v>141</v>
      </c>
      <c r="I642" t="s">
        <v>122</v>
      </c>
      <c r="J642">
        <v>0</v>
      </c>
      <c r="K642">
        <v>45337.677928240744</v>
      </c>
      <c r="L642">
        <v>114500</v>
      </c>
      <c r="O642">
        <v>2400</v>
      </c>
      <c r="P642">
        <v>2</v>
      </c>
      <c r="Q642">
        <v>800.00000000000034</v>
      </c>
    </row>
    <row r="643" spans="1:17" x14ac:dyDescent="0.25">
      <c r="B643" t="s">
        <v>176</v>
      </c>
      <c r="C643" t="s">
        <v>387</v>
      </c>
      <c r="D643" t="s">
        <v>661</v>
      </c>
      <c r="E643">
        <v>1000</v>
      </c>
      <c r="F643" t="s">
        <v>68</v>
      </c>
      <c r="G643" t="s">
        <v>124</v>
      </c>
      <c r="H643" t="s">
        <v>125</v>
      </c>
      <c r="I643" t="s">
        <v>122</v>
      </c>
      <c r="J643">
        <v>0</v>
      </c>
      <c r="K643">
        <v>45337.67796296296</v>
      </c>
      <c r="L643">
        <v>45000</v>
      </c>
      <c r="O643">
        <v>1200</v>
      </c>
      <c r="P643">
        <v>0</v>
      </c>
      <c r="Q643">
        <v>1000</v>
      </c>
    </row>
    <row r="644" spans="1:17" x14ac:dyDescent="0.25">
      <c r="B644" t="s">
        <v>176</v>
      </c>
      <c r="C644" t="s">
        <v>387</v>
      </c>
      <c r="D644" t="s">
        <v>661</v>
      </c>
      <c r="E644">
        <v>1600</v>
      </c>
      <c r="F644" t="s">
        <v>68</v>
      </c>
      <c r="G644" t="s">
        <v>188</v>
      </c>
      <c r="H644" t="s">
        <v>189</v>
      </c>
      <c r="I644" t="s">
        <v>122</v>
      </c>
      <c r="J644">
        <v>0</v>
      </c>
      <c r="K644">
        <v>45337.677986111114</v>
      </c>
      <c r="L644">
        <v>15800</v>
      </c>
      <c r="O644">
        <v>2400</v>
      </c>
      <c r="P644">
        <v>0</v>
      </c>
      <c r="Q644">
        <v>1600</v>
      </c>
    </row>
    <row r="645" spans="1:17" x14ac:dyDescent="0.25">
      <c r="B645" t="s">
        <v>176</v>
      </c>
      <c r="C645" t="s">
        <v>582</v>
      </c>
      <c r="D645" t="s">
        <v>662</v>
      </c>
      <c r="E645">
        <v>200</v>
      </c>
      <c r="F645" t="s">
        <v>68</v>
      </c>
      <c r="G645" t="s">
        <v>159</v>
      </c>
      <c r="H645" t="s">
        <v>160</v>
      </c>
      <c r="I645" t="s">
        <v>161</v>
      </c>
      <c r="J645">
        <v>0</v>
      </c>
      <c r="K645">
        <v>45337.67800925926</v>
      </c>
      <c r="L645">
        <v>7688</v>
      </c>
      <c r="O645">
        <v>24</v>
      </c>
      <c r="P645">
        <v>8</v>
      </c>
      <c r="Q645">
        <v>8.0000000000000142</v>
      </c>
    </row>
    <row r="646" spans="1:17" x14ac:dyDescent="0.25">
      <c r="B646" t="s">
        <v>176</v>
      </c>
      <c r="C646" t="s">
        <v>628</v>
      </c>
      <c r="D646" t="s">
        <v>663</v>
      </c>
      <c r="E646">
        <v>1200</v>
      </c>
      <c r="F646" t="s">
        <v>68</v>
      </c>
      <c r="G646" t="s">
        <v>120</v>
      </c>
      <c r="H646" t="s">
        <v>121</v>
      </c>
      <c r="I646" t="s">
        <v>122</v>
      </c>
      <c r="J646">
        <v>0</v>
      </c>
      <c r="K646">
        <v>45337.678032407406</v>
      </c>
      <c r="L646">
        <v>71400</v>
      </c>
      <c r="O646">
        <v>2400</v>
      </c>
      <c r="P646">
        <v>0</v>
      </c>
      <c r="Q646">
        <v>1200</v>
      </c>
    </row>
    <row r="647" spans="1:17" x14ac:dyDescent="0.25">
      <c r="B647" t="s">
        <v>176</v>
      </c>
      <c r="C647" t="s">
        <v>628</v>
      </c>
      <c r="D647" t="s">
        <v>663</v>
      </c>
      <c r="E647">
        <v>200</v>
      </c>
      <c r="F647" t="s">
        <v>144</v>
      </c>
      <c r="G647" t="s">
        <v>145</v>
      </c>
      <c r="H647" t="s">
        <v>146</v>
      </c>
      <c r="I647" t="s">
        <v>147</v>
      </c>
      <c r="J647">
        <v>0</v>
      </c>
      <c r="K647">
        <v>45337.678055555552</v>
      </c>
      <c r="L647">
        <v>480</v>
      </c>
      <c r="O647">
        <v>10</v>
      </c>
      <c r="P647">
        <v>20</v>
      </c>
      <c r="Q647">
        <v>0</v>
      </c>
    </row>
    <row r="648" spans="1:17" x14ac:dyDescent="0.25">
      <c r="B648" t="s">
        <v>176</v>
      </c>
      <c r="C648" t="s">
        <v>628</v>
      </c>
      <c r="D648" t="s">
        <v>663</v>
      </c>
      <c r="E648">
        <v>20</v>
      </c>
      <c r="F648" t="s">
        <v>144</v>
      </c>
      <c r="G648" t="s">
        <v>145</v>
      </c>
      <c r="H648" t="s">
        <v>146</v>
      </c>
      <c r="I648" t="s">
        <v>147</v>
      </c>
      <c r="J648">
        <v>0</v>
      </c>
      <c r="K648">
        <v>45337.678078703706</v>
      </c>
      <c r="L648">
        <v>460</v>
      </c>
      <c r="O648">
        <v>10</v>
      </c>
      <c r="P648">
        <v>2</v>
      </c>
      <c r="Q648">
        <v>0</v>
      </c>
    </row>
    <row r="649" spans="1:17" x14ac:dyDescent="0.25">
      <c r="B649" t="s">
        <v>176</v>
      </c>
      <c r="C649" t="s">
        <v>628</v>
      </c>
      <c r="D649" t="s">
        <v>663</v>
      </c>
      <c r="E649">
        <v>34</v>
      </c>
      <c r="F649" t="s">
        <v>144</v>
      </c>
      <c r="G649" t="s">
        <v>148</v>
      </c>
      <c r="H649" t="s">
        <v>149</v>
      </c>
      <c r="I649" t="s">
        <v>147</v>
      </c>
      <c r="J649">
        <v>0</v>
      </c>
      <c r="K649">
        <v>45337.678113425929</v>
      </c>
      <c r="L649">
        <v>5984</v>
      </c>
      <c r="O649">
        <v>10</v>
      </c>
      <c r="P649">
        <v>3</v>
      </c>
      <c r="Q649">
        <v>3.9999999999999991</v>
      </c>
    </row>
    <row r="650" spans="1:17" x14ac:dyDescent="0.25">
      <c r="B650" t="s">
        <v>176</v>
      </c>
      <c r="C650" t="s">
        <v>418</v>
      </c>
      <c r="D650" t="s">
        <v>664</v>
      </c>
      <c r="E650">
        <v>10</v>
      </c>
      <c r="F650" t="s">
        <v>68</v>
      </c>
      <c r="G650" t="s">
        <v>787</v>
      </c>
      <c r="H650" t="s">
        <v>167</v>
      </c>
      <c r="I650" t="s">
        <v>161</v>
      </c>
      <c r="J650">
        <v>0</v>
      </c>
      <c r="K650">
        <v>45337.678136574075</v>
      </c>
      <c r="L650">
        <v>224</v>
      </c>
      <c r="O650">
        <v>4</v>
      </c>
      <c r="P650">
        <v>2</v>
      </c>
      <c r="Q650">
        <v>2</v>
      </c>
    </row>
    <row r="651" spans="1:17" x14ac:dyDescent="0.25">
      <c r="B651" t="s">
        <v>176</v>
      </c>
      <c r="C651" t="s">
        <v>261</v>
      </c>
      <c r="D651" t="s">
        <v>665</v>
      </c>
      <c r="E651">
        <v>120</v>
      </c>
      <c r="F651" t="s">
        <v>68</v>
      </c>
      <c r="G651" t="s">
        <v>181</v>
      </c>
      <c r="H651" t="s">
        <v>182</v>
      </c>
      <c r="I651" t="s">
        <v>183</v>
      </c>
      <c r="J651">
        <v>0</v>
      </c>
      <c r="K651">
        <v>45337.678171296298</v>
      </c>
      <c r="L651">
        <v>160</v>
      </c>
      <c r="O651">
        <v>300</v>
      </c>
      <c r="P651">
        <v>0</v>
      </c>
      <c r="Q651">
        <v>120</v>
      </c>
    </row>
    <row r="652" spans="1:17" x14ac:dyDescent="0.25">
      <c r="B652" t="s">
        <v>666</v>
      </c>
      <c r="C652" t="s">
        <v>67</v>
      </c>
      <c r="D652" t="s">
        <v>67</v>
      </c>
      <c r="E652">
        <v>600</v>
      </c>
      <c r="F652" t="s">
        <v>68</v>
      </c>
      <c r="G652" t="s">
        <v>184</v>
      </c>
      <c r="H652" t="s">
        <v>185</v>
      </c>
      <c r="J652">
        <v>1</v>
      </c>
      <c r="K652">
        <v>45338.583553240744</v>
      </c>
      <c r="L652">
        <v>691</v>
      </c>
      <c r="M652">
        <v>45324</v>
      </c>
      <c r="O652">
        <v>4</v>
      </c>
      <c r="P652">
        <v>150</v>
      </c>
      <c r="Q652">
        <v>0</v>
      </c>
    </row>
    <row r="653" spans="1:17" x14ac:dyDescent="0.25">
      <c r="A653" t="s">
        <v>667</v>
      </c>
      <c r="B653" t="s">
        <v>321</v>
      </c>
      <c r="C653" t="s">
        <v>768</v>
      </c>
      <c r="D653" t="s">
        <v>668</v>
      </c>
      <c r="E653">
        <v>812</v>
      </c>
      <c r="F653" t="s">
        <v>68</v>
      </c>
      <c r="G653" t="s">
        <v>177</v>
      </c>
      <c r="H653" t="s">
        <v>178</v>
      </c>
      <c r="I653" t="s">
        <v>179</v>
      </c>
      <c r="J653">
        <v>0</v>
      </c>
      <c r="K653">
        <v>45342.652199074073</v>
      </c>
      <c r="L653">
        <v>0</v>
      </c>
      <c r="O653">
        <v>36</v>
      </c>
      <c r="P653">
        <v>22</v>
      </c>
      <c r="Q653">
        <v>20.000000000000057</v>
      </c>
    </row>
    <row r="654" spans="1:17" x14ac:dyDescent="0.25">
      <c r="B654" t="s">
        <v>321</v>
      </c>
      <c r="C654" t="s">
        <v>594</v>
      </c>
      <c r="D654" t="s">
        <v>669</v>
      </c>
      <c r="E654">
        <v>170</v>
      </c>
      <c r="F654" t="s">
        <v>68</v>
      </c>
      <c r="G654" t="s">
        <v>181</v>
      </c>
      <c r="H654" t="s">
        <v>182</v>
      </c>
      <c r="I654" t="s">
        <v>183</v>
      </c>
      <c r="J654">
        <v>0</v>
      </c>
      <c r="K654">
        <v>45342.654687499999</v>
      </c>
      <c r="L654">
        <v>-10</v>
      </c>
      <c r="O654">
        <v>300</v>
      </c>
      <c r="P654">
        <v>0</v>
      </c>
      <c r="Q654">
        <v>170</v>
      </c>
    </row>
    <row r="655" spans="1:17" x14ac:dyDescent="0.25">
      <c r="B655" t="s">
        <v>321</v>
      </c>
      <c r="C655" t="s">
        <v>594</v>
      </c>
      <c r="D655" t="s">
        <v>669</v>
      </c>
      <c r="E655">
        <v>20</v>
      </c>
      <c r="F655" t="s">
        <v>68</v>
      </c>
      <c r="G655" t="s">
        <v>787</v>
      </c>
      <c r="H655" t="s">
        <v>167</v>
      </c>
      <c r="I655" t="s">
        <v>161</v>
      </c>
      <c r="J655">
        <v>0</v>
      </c>
      <c r="K655">
        <v>45342.656076388892</v>
      </c>
      <c r="L655">
        <v>204</v>
      </c>
      <c r="O655">
        <v>4</v>
      </c>
      <c r="P655">
        <v>5</v>
      </c>
      <c r="Q655">
        <v>0</v>
      </c>
    </row>
    <row r="656" spans="1:17" x14ac:dyDescent="0.25">
      <c r="B656" t="s">
        <v>321</v>
      </c>
      <c r="C656" t="s">
        <v>479</v>
      </c>
      <c r="D656" t="s">
        <v>670</v>
      </c>
      <c r="E656">
        <v>500</v>
      </c>
      <c r="F656" t="s">
        <v>144</v>
      </c>
      <c r="G656" t="s">
        <v>145</v>
      </c>
      <c r="H656" t="s">
        <v>146</v>
      </c>
      <c r="I656" t="s">
        <v>147</v>
      </c>
      <c r="J656">
        <v>0</v>
      </c>
      <c r="K656">
        <v>45342.647743055553</v>
      </c>
      <c r="L656">
        <v>-40</v>
      </c>
      <c r="O656">
        <v>10</v>
      </c>
      <c r="P656">
        <v>50</v>
      </c>
      <c r="Q656">
        <v>0</v>
      </c>
    </row>
    <row r="657" spans="1:17" x14ac:dyDescent="0.25">
      <c r="B657" t="s">
        <v>321</v>
      </c>
      <c r="C657" t="s">
        <v>364</v>
      </c>
      <c r="D657" t="s">
        <v>671</v>
      </c>
      <c r="E657">
        <v>600</v>
      </c>
      <c r="F657" t="s">
        <v>152</v>
      </c>
      <c r="G657" t="s">
        <v>157</v>
      </c>
      <c r="H657" t="s">
        <v>154</v>
      </c>
      <c r="I657" t="s">
        <v>155</v>
      </c>
      <c r="J657">
        <v>0</v>
      </c>
      <c r="K657">
        <v>45342.656122685185</v>
      </c>
      <c r="L657">
        <v>3502</v>
      </c>
      <c r="O657">
        <v>144</v>
      </c>
      <c r="P657">
        <v>4</v>
      </c>
      <c r="Q657">
        <v>24.000000000000043</v>
      </c>
    </row>
    <row r="658" spans="1:17" x14ac:dyDescent="0.25">
      <c r="B658" t="s">
        <v>321</v>
      </c>
      <c r="C658" t="s">
        <v>568</v>
      </c>
      <c r="D658" t="s">
        <v>672</v>
      </c>
      <c r="E658">
        <v>21400</v>
      </c>
      <c r="F658" t="s">
        <v>68</v>
      </c>
      <c r="G658" t="s">
        <v>124</v>
      </c>
      <c r="H658" t="s">
        <v>125</v>
      </c>
      <c r="I658" t="s">
        <v>122</v>
      </c>
      <c r="J658">
        <v>0</v>
      </c>
      <c r="K658">
        <v>45342.656157407408</v>
      </c>
      <c r="L658">
        <v>23600</v>
      </c>
      <c r="O658">
        <v>1200</v>
      </c>
      <c r="P658">
        <v>17</v>
      </c>
      <c r="Q658">
        <v>999.99999999999864</v>
      </c>
    </row>
    <row r="659" spans="1:17" x14ac:dyDescent="0.25">
      <c r="B659" t="s">
        <v>321</v>
      </c>
      <c r="C659" t="s">
        <v>509</v>
      </c>
      <c r="D659" t="s">
        <v>673</v>
      </c>
      <c r="E659">
        <v>5600</v>
      </c>
      <c r="F659" t="s">
        <v>68</v>
      </c>
      <c r="G659" t="s">
        <v>120</v>
      </c>
      <c r="H659" t="s">
        <v>121</v>
      </c>
      <c r="I659" t="s">
        <v>122</v>
      </c>
      <c r="J659">
        <v>0</v>
      </c>
      <c r="K659">
        <v>45342.656192129631</v>
      </c>
      <c r="L659">
        <v>65800</v>
      </c>
      <c r="O659">
        <v>2400</v>
      </c>
      <c r="P659">
        <v>2</v>
      </c>
      <c r="Q659">
        <v>800.00000000000034</v>
      </c>
    </row>
    <row r="660" spans="1:17" x14ac:dyDescent="0.25">
      <c r="A660" t="s">
        <v>667</v>
      </c>
      <c r="B660" t="s">
        <v>321</v>
      </c>
      <c r="C660" t="s">
        <v>656</v>
      </c>
      <c r="D660" t="s">
        <v>674</v>
      </c>
      <c r="E660">
        <v>20000</v>
      </c>
      <c r="F660" t="s">
        <v>68</v>
      </c>
      <c r="G660" t="s">
        <v>120</v>
      </c>
      <c r="H660" t="s">
        <v>121</v>
      </c>
      <c r="I660" t="s">
        <v>122</v>
      </c>
      <c r="J660">
        <v>0</v>
      </c>
      <c r="K660">
        <v>45342.656226851854</v>
      </c>
      <c r="L660">
        <v>45800</v>
      </c>
      <c r="O660">
        <v>2400</v>
      </c>
      <c r="P660">
        <v>8</v>
      </c>
      <c r="Q660">
        <v>800.00000000000136</v>
      </c>
    </row>
    <row r="661" spans="1:17" x14ac:dyDescent="0.25">
      <c r="B661" t="s">
        <v>321</v>
      </c>
      <c r="C661" t="s">
        <v>656</v>
      </c>
      <c r="D661" t="s">
        <v>674</v>
      </c>
      <c r="E661">
        <v>1250</v>
      </c>
      <c r="F661" t="s">
        <v>68</v>
      </c>
      <c r="G661" t="s">
        <v>132</v>
      </c>
      <c r="H661" t="s">
        <v>133</v>
      </c>
      <c r="I661" t="s">
        <v>122</v>
      </c>
      <c r="J661">
        <v>0</v>
      </c>
      <c r="K661">
        <v>45342.656261574077</v>
      </c>
      <c r="L661">
        <v>12550</v>
      </c>
      <c r="O661">
        <v>1200</v>
      </c>
      <c r="P661">
        <v>1</v>
      </c>
      <c r="Q661">
        <v>50.000000000000085</v>
      </c>
    </row>
    <row r="662" spans="1:17" x14ac:dyDescent="0.25">
      <c r="A662" t="s">
        <v>667</v>
      </c>
      <c r="B662" t="s">
        <v>321</v>
      </c>
      <c r="C662" t="s">
        <v>561</v>
      </c>
      <c r="D662" t="s">
        <v>675</v>
      </c>
      <c r="E662">
        <v>1400</v>
      </c>
      <c r="F662" t="s">
        <v>68</v>
      </c>
      <c r="G662" t="s">
        <v>142</v>
      </c>
      <c r="H662" t="s">
        <v>143</v>
      </c>
      <c r="I662" t="s">
        <v>122</v>
      </c>
      <c r="J662">
        <v>0</v>
      </c>
      <c r="K662">
        <v>45342.6562962963</v>
      </c>
      <c r="L662">
        <v>10700</v>
      </c>
      <c r="O662">
        <v>2400</v>
      </c>
      <c r="P662">
        <v>0</v>
      </c>
      <c r="Q662">
        <v>1400</v>
      </c>
    </row>
    <row r="663" spans="1:17" x14ac:dyDescent="0.25">
      <c r="B663" t="s">
        <v>321</v>
      </c>
      <c r="C663" t="s">
        <v>429</v>
      </c>
      <c r="D663" t="s">
        <v>676</v>
      </c>
      <c r="E663">
        <v>12000</v>
      </c>
      <c r="F663" t="s">
        <v>68</v>
      </c>
      <c r="G663" t="s">
        <v>140</v>
      </c>
      <c r="H663" t="s">
        <v>141</v>
      </c>
      <c r="I663" t="s">
        <v>122</v>
      </c>
      <c r="J663">
        <v>0</v>
      </c>
      <c r="K663">
        <v>45342.656342592592</v>
      </c>
      <c r="L663">
        <v>102500</v>
      </c>
      <c r="O663">
        <v>2400</v>
      </c>
      <c r="P663">
        <v>5</v>
      </c>
      <c r="Q663">
        <v>0</v>
      </c>
    </row>
    <row r="664" spans="1:17" x14ac:dyDescent="0.25">
      <c r="B664" t="s">
        <v>176</v>
      </c>
      <c r="C664" t="s">
        <v>628</v>
      </c>
      <c r="D664" t="s">
        <v>677</v>
      </c>
      <c r="E664">
        <v>20</v>
      </c>
      <c r="F664" t="s">
        <v>144</v>
      </c>
      <c r="G664" t="s">
        <v>150</v>
      </c>
      <c r="H664" t="s">
        <v>151</v>
      </c>
      <c r="I664" t="s">
        <v>147</v>
      </c>
      <c r="J664">
        <v>0</v>
      </c>
      <c r="K664">
        <v>45343.410358796296</v>
      </c>
      <c r="L664">
        <v>465</v>
      </c>
      <c r="O664">
        <v>10</v>
      </c>
      <c r="P664">
        <v>2</v>
      </c>
      <c r="Q664">
        <v>0</v>
      </c>
    </row>
    <row r="665" spans="1:17" x14ac:dyDescent="0.25">
      <c r="B665" t="s">
        <v>176</v>
      </c>
      <c r="C665" t="s">
        <v>628</v>
      </c>
      <c r="D665">
        <v>522</v>
      </c>
      <c r="E665">
        <v>34</v>
      </c>
      <c r="F665" t="s">
        <v>144</v>
      </c>
      <c r="G665" t="s">
        <v>148</v>
      </c>
      <c r="H665" t="s">
        <v>149</v>
      </c>
      <c r="I665" t="s">
        <v>147</v>
      </c>
      <c r="J665">
        <v>0</v>
      </c>
      <c r="K665">
        <v>45343.410393518519</v>
      </c>
      <c r="L665">
        <v>5900</v>
      </c>
      <c r="O665">
        <v>10</v>
      </c>
      <c r="P665">
        <v>3</v>
      </c>
      <c r="Q665">
        <v>3.9999999999999991</v>
      </c>
    </row>
    <row r="666" spans="1:17" x14ac:dyDescent="0.25">
      <c r="B666" t="s">
        <v>176</v>
      </c>
      <c r="C666" t="s">
        <v>387</v>
      </c>
      <c r="D666" t="s">
        <v>678</v>
      </c>
      <c r="E666">
        <v>1600</v>
      </c>
      <c r="F666" t="s">
        <v>68</v>
      </c>
      <c r="G666" t="s">
        <v>188</v>
      </c>
      <c r="H666" t="s">
        <v>189</v>
      </c>
      <c r="I666" t="s">
        <v>122</v>
      </c>
      <c r="J666">
        <v>0</v>
      </c>
      <c r="K666">
        <v>45343.410416666666</v>
      </c>
      <c r="L666">
        <v>14200</v>
      </c>
      <c r="O666">
        <v>2400</v>
      </c>
      <c r="P666">
        <v>0</v>
      </c>
      <c r="Q666">
        <v>1600</v>
      </c>
    </row>
    <row r="667" spans="1:17" x14ac:dyDescent="0.25">
      <c r="B667" t="s">
        <v>176</v>
      </c>
      <c r="C667" t="s">
        <v>387</v>
      </c>
      <c r="D667">
        <v>523</v>
      </c>
      <c r="E667">
        <v>1000</v>
      </c>
      <c r="F667" t="s">
        <v>68</v>
      </c>
      <c r="G667" t="s">
        <v>124</v>
      </c>
      <c r="H667" t="s">
        <v>125</v>
      </c>
      <c r="I667" t="s">
        <v>122</v>
      </c>
      <c r="J667">
        <v>0</v>
      </c>
      <c r="K667">
        <v>45343.410439814812</v>
      </c>
      <c r="L667">
        <v>22600</v>
      </c>
      <c r="O667">
        <v>1200</v>
      </c>
      <c r="P667">
        <v>0</v>
      </c>
      <c r="Q667">
        <v>1000</v>
      </c>
    </row>
    <row r="668" spans="1:17" x14ac:dyDescent="0.25">
      <c r="B668" t="s">
        <v>176</v>
      </c>
      <c r="C668" t="s">
        <v>418</v>
      </c>
      <c r="D668" t="s">
        <v>679</v>
      </c>
      <c r="E668">
        <v>20</v>
      </c>
      <c r="F668" t="s">
        <v>68</v>
      </c>
      <c r="G668" t="s">
        <v>787</v>
      </c>
      <c r="H668" t="s">
        <v>167</v>
      </c>
      <c r="I668" t="s">
        <v>161</v>
      </c>
      <c r="J668">
        <v>0</v>
      </c>
      <c r="K668">
        <v>45343.410532407404</v>
      </c>
      <c r="L668">
        <v>184</v>
      </c>
      <c r="O668">
        <v>4</v>
      </c>
      <c r="P668">
        <v>5</v>
      </c>
      <c r="Q668">
        <v>0</v>
      </c>
    </row>
    <row r="669" spans="1:17" x14ac:dyDescent="0.25">
      <c r="B669" t="s">
        <v>176</v>
      </c>
      <c r="C669" t="s">
        <v>582</v>
      </c>
      <c r="D669" t="s">
        <v>680</v>
      </c>
      <c r="E669">
        <v>200</v>
      </c>
      <c r="F669" t="s">
        <v>68</v>
      </c>
      <c r="G669" t="s">
        <v>159</v>
      </c>
      <c r="H669" t="s">
        <v>160</v>
      </c>
      <c r="I669" t="s">
        <v>161</v>
      </c>
      <c r="J669">
        <v>0</v>
      </c>
      <c r="K669">
        <v>45343.410590277781</v>
      </c>
      <c r="L669">
        <v>7488</v>
      </c>
      <c r="O669">
        <v>24</v>
      </c>
      <c r="P669">
        <v>8</v>
      </c>
      <c r="Q669">
        <v>8.0000000000000142</v>
      </c>
    </row>
    <row r="670" spans="1:17" x14ac:dyDescent="0.25">
      <c r="B670" t="s">
        <v>176</v>
      </c>
      <c r="C670" t="s">
        <v>582</v>
      </c>
      <c r="D670">
        <v>525</v>
      </c>
      <c r="E670">
        <v>900</v>
      </c>
      <c r="F670" t="s">
        <v>68</v>
      </c>
      <c r="G670" t="s">
        <v>219</v>
      </c>
      <c r="H670" t="s">
        <v>220</v>
      </c>
      <c r="I670" t="s">
        <v>161</v>
      </c>
      <c r="J670">
        <v>0</v>
      </c>
      <c r="K670">
        <v>45343.41064814815</v>
      </c>
      <c r="L670">
        <v>5180</v>
      </c>
      <c r="O670">
        <v>100</v>
      </c>
      <c r="P670">
        <v>9</v>
      </c>
      <c r="Q670">
        <v>0</v>
      </c>
    </row>
    <row r="671" spans="1:17" x14ac:dyDescent="0.25">
      <c r="B671" t="s">
        <v>176</v>
      </c>
      <c r="C671" t="s">
        <v>582</v>
      </c>
      <c r="D671" t="s">
        <v>681</v>
      </c>
      <c r="E671">
        <v>900</v>
      </c>
      <c r="F671" t="s">
        <v>68</v>
      </c>
      <c r="G671" t="s">
        <v>789</v>
      </c>
      <c r="H671" t="s">
        <v>196</v>
      </c>
      <c r="I671" t="s">
        <v>161</v>
      </c>
      <c r="J671">
        <v>0</v>
      </c>
      <c r="K671">
        <v>45343.675694444442</v>
      </c>
      <c r="L671">
        <v>1310</v>
      </c>
      <c r="O671">
        <v>100</v>
      </c>
      <c r="P671">
        <v>9</v>
      </c>
      <c r="Q671">
        <v>0</v>
      </c>
    </row>
    <row r="672" spans="1:17" x14ac:dyDescent="0.25">
      <c r="B672" t="s">
        <v>176</v>
      </c>
      <c r="C672" t="s">
        <v>582</v>
      </c>
      <c r="D672">
        <v>535</v>
      </c>
      <c r="E672">
        <v>400</v>
      </c>
      <c r="F672" t="s">
        <v>68</v>
      </c>
      <c r="G672" t="s">
        <v>159</v>
      </c>
      <c r="H672" t="s">
        <v>160</v>
      </c>
      <c r="I672" t="s">
        <v>161</v>
      </c>
      <c r="J672">
        <v>0</v>
      </c>
      <c r="K672">
        <v>45343.675706018519</v>
      </c>
      <c r="L672">
        <v>7088</v>
      </c>
      <c r="O672">
        <v>24</v>
      </c>
      <c r="P672">
        <v>16</v>
      </c>
      <c r="Q672">
        <v>16.000000000000028</v>
      </c>
    </row>
    <row r="673" spans="1:17" x14ac:dyDescent="0.25">
      <c r="B673" t="s">
        <v>176</v>
      </c>
      <c r="C673" t="s">
        <v>628</v>
      </c>
      <c r="D673" t="s">
        <v>682</v>
      </c>
      <c r="E673">
        <v>200</v>
      </c>
      <c r="F673" t="s">
        <v>144</v>
      </c>
      <c r="G673" t="s">
        <v>145</v>
      </c>
      <c r="H673" t="s">
        <v>146</v>
      </c>
      <c r="I673" t="s">
        <v>147</v>
      </c>
      <c r="J673">
        <v>0</v>
      </c>
      <c r="K673">
        <v>45343.675729166665</v>
      </c>
      <c r="L673">
        <v>-193</v>
      </c>
      <c r="N673" t="s">
        <v>683</v>
      </c>
      <c r="O673">
        <v>10</v>
      </c>
      <c r="P673">
        <v>20</v>
      </c>
      <c r="Q673">
        <v>0</v>
      </c>
    </row>
    <row r="674" spans="1:17" x14ac:dyDescent="0.25">
      <c r="B674" t="s">
        <v>176</v>
      </c>
      <c r="C674" t="s">
        <v>628</v>
      </c>
      <c r="D674">
        <v>536</v>
      </c>
      <c r="E674">
        <v>200</v>
      </c>
      <c r="F674" t="s">
        <v>144</v>
      </c>
      <c r="G674" t="s">
        <v>150</v>
      </c>
      <c r="H674" t="s">
        <v>151</v>
      </c>
      <c r="I674" t="s">
        <v>147</v>
      </c>
      <c r="J674">
        <v>0</v>
      </c>
      <c r="K674">
        <v>45343.675775462965</v>
      </c>
      <c r="L674">
        <v>265</v>
      </c>
      <c r="O674">
        <v>10</v>
      </c>
      <c r="P674">
        <v>20</v>
      </c>
      <c r="Q674">
        <v>0</v>
      </c>
    </row>
    <row r="675" spans="1:17" x14ac:dyDescent="0.25">
      <c r="B675" t="s">
        <v>176</v>
      </c>
      <c r="C675" t="s">
        <v>628</v>
      </c>
      <c r="D675">
        <v>536</v>
      </c>
      <c r="E675">
        <v>300</v>
      </c>
      <c r="F675" t="s">
        <v>68</v>
      </c>
      <c r="G675" t="s">
        <v>120</v>
      </c>
      <c r="H675" t="s">
        <v>121</v>
      </c>
      <c r="I675" t="s">
        <v>122</v>
      </c>
      <c r="J675">
        <v>0</v>
      </c>
      <c r="K675">
        <v>45343.675810185188</v>
      </c>
      <c r="L675">
        <v>45500</v>
      </c>
      <c r="O675">
        <v>2400</v>
      </c>
      <c r="P675">
        <v>0</v>
      </c>
      <c r="Q675">
        <v>300</v>
      </c>
    </row>
    <row r="676" spans="1:17" x14ac:dyDescent="0.25">
      <c r="B676" t="s">
        <v>176</v>
      </c>
      <c r="C676" t="s">
        <v>628</v>
      </c>
      <c r="D676">
        <v>536</v>
      </c>
      <c r="E676">
        <v>1200</v>
      </c>
      <c r="F676" t="s">
        <v>144</v>
      </c>
      <c r="G676" t="s">
        <v>148</v>
      </c>
      <c r="H676" t="s">
        <v>149</v>
      </c>
      <c r="I676" t="s">
        <v>147</v>
      </c>
      <c r="J676">
        <v>0</v>
      </c>
      <c r="K676">
        <v>45343.675821759258</v>
      </c>
      <c r="L676">
        <v>4700</v>
      </c>
      <c r="O676">
        <v>10</v>
      </c>
      <c r="P676">
        <v>120</v>
      </c>
      <c r="Q676">
        <v>0</v>
      </c>
    </row>
    <row r="677" spans="1:17" x14ac:dyDescent="0.25">
      <c r="B677" t="s">
        <v>176</v>
      </c>
      <c r="C677" t="s">
        <v>262</v>
      </c>
      <c r="D677" t="s">
        <v>684</v>
      </c>
      <c r="E677">
        <v>200</v>
      </c>
      <c r="F677" t="s">
        <v>68</v>
      </c>
      <c r="G677" t="s">
        <v>184</v>
      </c>
      <c r="H677" t="s">
        <v>185</v>
      </c>
      <c r="J677">
        <v>0</v>
      </c>
      <c r="K677">
        <v>45343.675844907404</v>
      </c>
      <c r="L677">
        <v>491</v>
      </c>
      <c r="O677">
        <v>4</v>
      </c>
      <c r="P677">
        <v>50</v>
      </c>
      <c r="Q677">
        <v>0</v>
      </c>
    </row>
    <row r="678" spans="1:17" x14ac:dyDescent="0.25">
      <c r="B678" t="s">
        <v>176</v>
      </c>
      <c r="C678" t="s">
        <v>387</v>
      </c>
      <c r="D678" t="s">
        <v>685</v>
      </c>
      <c r="E678">
        <v>1000</v>
      </c>
      <c r="F678" t="s">
        <v>68</v>
      </c>
      <c r="G678" t="s">
        <v>124</v>
      </c>
      <c r="H678" t="s">
        <v>125</v>
      </c>
      <c r="I678" t="s">
        <v>122</v>
      </c>
      <c r="J678">
        <v>0</v>
      </c>
      <c r="K678">
        <v>45343.675856481481</v>
      </c>
      <c r="L678">
        <v>21600</v>
      </c>
      <c r="O678">
        <v>1200</v>
      </c>
      <c r="P678">
        <v>0</v>
      </c>
      <c r="Q678">
        <v>1000</v>
      </c>
    </row>
    <row r="679" spans="1:17" x14ac:dyDescent="0.25">
      <c r="B679" t="s">
        <v>176</v>
      </c>
      <c r="C679" t="s">
        <v>387</v>
      </c>
      <c r="D679">
        <v>538</v>
      </c>
      <c r="E679">
        <v>1600</v>
      </c>
      <c r="F679" t="s">
        <v>68</v>
      </c>
      <c r="G679" t="s">
        <v>188</v>
      </c>
      <c r="H679" t="s">
        <v>189</v>
      </c>
      <c r="I679" t="s">
        <v>122</v>
      </c>
      <c r="J679">
        <v>0</v>
      </c>
      <c r="K679">
        <v>45343.675868055558</v>
      </c>
      <c r="L679">
        <v>12600</v>
      </c>
      <c r="O679">
        <v>2400</v>
      </c>
      <c r="P679">
        <v>0</v>
      </c>
      <c r="Q679">
        <v>1600</v>
      </c>
    </row>
    <row r="680" spans="1:17" x14ac:dyDescent="0.25">
      <c r="B680" t="s">
        <v>176</v>
      </c>
      <c r="C680" t="s">
        <v>418</v>
      </c>
      <c r="D680" t="s">
        <v>686</v>
      </c>
      <c r="E680">
        <v>20</v>
      </c>
      <c r="F680" t="s">
        <v>68</v>
      </c>
      <c r="G680" t="s">
        <v>787</v>
      </c>
      <c r="H680" t="s">
        <v>167</v>
      </c>
      <c r="I680" t="s">
        <v>161</v>
      </c>
      <c r="J680">
        <v>0</v>
      </c>
      <c r="K680">
        <v>45343.675891203704</v>
      </c>
      <c r="L680">
        <v>164</v>
      </c>
      <c r="O680">
        <v>4</v>
      </c>
      <c r="P680">
        <v>5</v>
      </c>
      <c r="Q680">
        <v>0</v>
      </c>
    </row>
    <row r="681" spans="1:17" x14ac:dyDescent="0.25">
      <c r="B681" t="s">
        <v>176</v>
      </c>
      <c r="C681" t="s">
        <v>418</v>
      </c>
      <c r="D681">
        <v>539</v>
      </c>
      <c r="E681">
        <v>40</v>
      </c>
      <c r="F681" t="s">
        <v>68</v>
      </c>
      <c r="G681" t="s">
        <v>788</v>
      </c>
      <c r="H681" t="s">
        <v>187</v>
      </c>
      <c r="I681" t="s">
        <v>161</v>
      </c>
      <c r="J681">
        <v>0</v>
      </c>
      <c r="K681">
        <v>45343.675902777781</v>
      </c>
      <c r="L681">
        <v>160</v>
      </c>
      <c r="O681">
        <v>100</v>
      </c>
      <c r="P681">
        <v>0</v>
      </c>
      <c r="Q681">
        <v>40</v>
      </c>
    </row>
    <row r="682" spans="1:17" x14ac:dyDescent="0.25">
      <c r="A682" t="s">
        <v>687</v>
      </c>
      <c r="B682" t="s">
        <v>176</v>
      </c>
      <c r="C682" t="s">
        <v>632</v>
      </c>
      <c r="D682" t="s">
        <v>688</v>
      </c>
      <c r="E682">
        <v>2000</v>
      </c>
      <c r="F682" t="s">
        <v>68</v>
      </c>
      <c r="G682" t="s">
        <v>163</v>
      </c>
      <c r="H682" t="s">
        <v>164</v>
      </c>
      <c r="I682" t="s">
        <v>161</v>
      </c>
      <c r="J682">
        <v>0</v>
      </c>
      <c r="K682">
        <v>45343.67596064815</v>
      </c>
      <c r="L682">
        <v>23620</v>
      </c>
      <c r="O682">
        <v>440</v>
      </c>
      <c r="P682">
        <v>4</v>
      </c>
      <c r="Q682">
        <v>240.00000000000017</v>
      </c>
    </row>
    <row r="683" spans="1:17" x14ac:dyDescent="0.25">
      <c r="B683" t="s">
        <v>689</v>
      </c>
      <c r="C683" t="s">
        <v>67</v>
      </c>
      <c r="D683" t="s">
        <v>67</v>
      </c>
      <c r="E683">
        <v>400</v>
      </c>
      <c r="F683" t="s">
        <v>68</v>
      </c>
      <c r="G683" t="s">
        <v>788</v>
      </c>
      <c r="H683" t="s">
        <v>187</v>
      </c>
      <c r="I683" t="s">
        <v>161</v>
      </c>
      <c r="J683">
        <v>1</v>
      </c>
      <c r="K683">
        <v>45343.676608796297</v>
      </c>
      <c r="L683">
        <v>560</v>
      </c>
      <c r="M683" t="s">
        <v>690</v>
      </c>
      <c r="O683">
        <v>100</v>
      </c>
      <c r="P683">
        <v>4</v>
      </c>
      <c r="Q683">
        <v>0</v>
      </c>
    </row>
    <row r="684" spans="1:17" x14ac:dyDescent="0.25">
      <c r="B684" t="s">
        <v>691</v>
      </c>
      <c r="C684" t="s">
        <v>67</v>
      </c>
      <c r="D684" t="s">
        <v>67</v>
      </c>
      <c r="E684">
        <v>54</v>
      </c>
      <c r="F684" t="s">
        <v>152</v>
      </c>
      <c r="G684" t="s">
        <v>234</v>
      </c>
      <c r="H684" t="s">
        <v>226</v>
      </c>
      <c r="I684" t="s">
        <v>227</v>
      </c>
      <c r="J684">
        <v>1</v>
      </c>
      <c r="K684">
        <v>45343.684895833336</v>
      </c>
      <c r="L684">
        <v>54</v>
      </c>
      <c r="M684" t="s">
        <v>692</v>
      </c>
      <c r="O684">
        <v>1</v>
      </c>
      <c r="P684">
        <v>54</v>
      </c>
      <c r="Q684">
        <v>0</v>
      </c>
    </row>
    <row r="685" spans="1:17" x14ac:dyDescent="0.25">
      <c r="B685" t="s">
        <v>691</v>
      </c>
      <c r="C685" t="s">
        <v>67</v>
      </c>
      <c r="D685" t="s">
        <v>67</v>
      </c>
      <c r="E685">
        <v>4</v>
      </c>
      <c r="F685" t="s">
        <v>152</v>
      </c>
      <c r="G685" t="s">
        <v>238</v>
      </c>
      <c r="H685" t="s">
        <v>226</v>
      </c>
      <c r="I685" t="s">
        <v>227</v>
      </c>
      <c r="J685">
        <v>1</v>
      </c>
      <c r="K685">
        <v>45343.684988425928</v>
      </c>
      <c r="L685">
        <v>4</v>
      </c>
      <c r="M685" t="s">
        <v>692</v>
      </c>
      <c r="O685">
        <v>1</v>
      </c>
      <c r="P685">
        <v>4</v>
      </c>
      <c r="Q685">
        <v>0</v>
      </c>
    </row>
    <row r="686" spans="1:17" x14ac:dyDescent="0.25">
      <c r="B686" t="s">
        <v>691</v>
      </c>
      <c r="C686" t="s">
        <v>67</v>
      </c>
      <c r="D686" t="s">
        <v>67</v>
      </c>
      <c r="E686">
        <v>58</v>
      </c>
      <c r="F686" t="s">
        <v>152</v>
      </c>
      <c r="G686" t="s">
        <v>64</v>
      </c>
      <c r="H686" t="s">
        <v>226</v>
      </c>
      <c r="I686" t="s">
        <v>227</v>
      </c>
      <c r="J686">
        <v>1</v>
      </c>
      <c r="K686">
        <v>45343.685023148151</v>
      </c>
      <c r="L686">
        <v>58</v>
      </c>
      <c r="M686" t="s">
        <v>692</v>
      </c>
      <c r="O686">
        <v>1</v>
      </c>
      <c r="P686">
        <v>58</v>
      </c>
      <c r="Q686">
        <v>0</v>
      </c>
    </row>
    <row r="687" spans="1:17" x14ac:dyDescent="0.25">
      <c r="B687" t="s">
        <v>691</v>
      </c>
      <c r="C687" t="s">
        <v>67</v>
      </c>
      <c r="D687" t="s">
        <v>67</v>
      </c>
      <c r="E687">
        <v>30</v>
      </c>
      <c r="F687" t="s">
        <v>152</v>
      </c>
      <c r="G687" t="s">
        <v>65</v>
      </c>
      <c r="H687" t="s">
        <v>226</v>
      </c>
      <c r="I687" t="s">
        <v>227</v>
      </c>
      <c r="J687">
        <v>1</v>
      </c>
      <c r="K687">
        <v>45343.685046296298</v>
      </c>
      <c r="L687">
        <v>33</v>
      </c>
      <c r="M687" t="s">
        <v>692</v>
      </c>
      <c r="O687">
        <v>1</v>
      </c>
      <c r="P687">
        <v>30</v>
      </c>
      <c r="Q687">
        <v>0</v>
      </c>
    </row>
    <row r="688" spans="1:17" x14ac:dyDescent="0.25">
      <c r="B688" t="s">
        <v>691</v>
      </c>
      <c r="C688" t="s">
        <v>67</v>
      </c>
      <c r="D688" t="s">
        <v>67</v>
      </c>
      <c r="E688">
        <v>60</v>
      </c>
      <c r="F688" t="s">
        <v>152</v>
      </c>
      <c r="G688" t="s">
        <v>62</v>
      </c>
      <c r="H688" t="s">
        <v>226</v>
      </c>
      <c r="I688" t="s">
        <v>227</v>
      </c>
      <c r="J688">
        <v>1</v>
      </c>
      <c r="K688">
        <v>45343.685081018521</v>
      </c>
      <c r="L688">
        <v>69</v>
      </c>
      <c r="M688" t="s">
        <v>692</v>
      </c>
      <c r="O688">
        <v>1</v>
      </c>
      <c r="P688">
        <v>60</v>
      </c>
      <c r="Q688">
        <v>0</v>
      </c>
    </row>
    <row r="689" spans="2:17" x14ac:dyDescent="0.25">
      <c r="B689" t="s">
        <v>691</v>
      </c>
      <c r="C689" t="s">
        <v>67</v>
      </c>
      <c r="D689" t="s">
        <v>67</v>
      </c>
      <c r="E689">
        <v>4</v>
      </c>
      <c r="F689" t="s">
        <v>152</v>
      </c>
      <c r="G689" t="s">
        <v>246</v>
      </c>
      <c r="H689" t="s">
        <v>226</v>
      </c>
      <c r="I689" t="s">
        <v>227</v>
      </c>
      <c r="J689">
        <v>1</v>
      </c>
      <c r="K689">
        <v>45343.685104166667</v>
      </c>
      <c r="L689">
        <v>4</v>
      </c>
      <c r="M689" t="s">
        <v>692</v>
      </c>
      <c r="O689">
        <v>1</v>
      </c>
      <c r="P689">
        <v>4</v>
      </c>
      <c r="Q689">
        <v>0</v>
      </c>
    </row>
    <row r="690" spans="2:17" x14ac:dyDescent="0.25">
      <c r="B690" t="s">
        <v>691</v>
      </c>
      <c r="C690" t="s">
        <v>67</v>
      </c>
      <c r="D690" t="s">
        <v>67</v>
      </c>
      <c r="E690">
        <v>4</v>
      </c>
      <c r="F690" t="s">
        <v>152</v>
      </c>
      <c r="G690" t="s">
        <v>247</v>
      </c>
      <c r="H690" t="s">
        <v>226</v>
      </c>
      <c r="I690" t="s">
        <v>227</v>
      </c>
      <c r="J690">
        <v>1</v>
      </c>
      <c r="K690">
        <v>45343.685127314813</v>
      </c>
      <c r="L690">
        <v>4</v>
      </c>
      <c r="M690" t="s">
        <v>692</v>
      </c>
      <c r="O690">
        <v>1</v>
      </c>
      <c r="P690">
        <v>4</v>
      </c>
      <c r="Q690">
        <v>0</v>
      </c>
    </row>
    <row r="691" spans="2:17" x14ac:dyDescent="0.25">
      <c r="B691" t="s">
        <v>691</v>
      </c>
      <c r="C691" t="s">
        <v>67</v>
      </c>
      <c r="D691" t="s">
        <v>67</v>
      </c>
      <c r="E691">
        <v>22</v>
      </c>
      <c r="F691" t="s">
        <v>152</v>
      </c>
      <c r="G691" t="s">
        <v>376</v>
      </c>
      <c r="H691" t="s">
        <v>226</v>
      </c>
      <c r="I691" t="s">
        <v>227</v>
      </c>
      <c r="J691">
        <v>1</v>
      </c>
      <c r="K691">
        <v>45343.685162037036</v>
      </c>
      <c r="L691">
        <v>22</v>
      </c>
      <c r="M691" t="s">
        <v>692</v>
      </c>
      <c r="O691">
        <v>1</v>
      </c>
      <c r="P691">
        <v>22</v>
      </c>
      <c r="Q691">
        <v>0</v>
      </c>
    </row>
    <row r="692" spans="2:17" x14ac:dyDescent="0.25">
      <c r="B692" t="s">
        <v>691</v>
      </c>
      <c r="C692" t="s">
        <v>67</v>
      </c>
      <c r="D692" t="s">
        <v>67</v>
      </c>
      <c r="E692">
        <v>4</v>
      </c>
      <c r="F692" t="s">
        <v>152</v>
      </c>
      <c r="G692" t="s">
        <v>63</v>
      </c>
      <c r="H692" t="s">
        <v>226</v>
      </c>
      <c r="I692" t="s">
        <v>227</v>
      </c>
      <c r="J692">
        <v>1</v>
      </c>
      <c r="K692">
        <v>45343.685185185182</v>
      </c>
      <c r="L692">
        <v>4</v>
      </c>
      <c r="M692" t="s">
        <v>692</v>
      </c>
      <c r="O692">
        <v>1</v>
      </c>
      <c r="P692">
        <v>4</v>
      </c>
      <c r="Q692">
        <v>0</v>
      </c>
    </row>
    <row r="693" spans="2:17" x14ac:dyDescent="0.25">
      <c r="B693" t="s">
        <v>693</v>
      </c>
      <c r="C693" t="s">
        <v>67</v>
      </c>
      <c r="D693" t="s">
        <v>67</v>
      </c>
      <c r="E693">
        <v>15000</v>
      </c>
      <c r="F693" t="s">
        <v>68</v>
      </c>
      <c r="G693" t="s">
        <v>138</v>
      </c>
      <c r="H693" t="s">
        <v>139</v>
      </c>
      <c r="I693" t="s">
        <v>122</v>
      </c>
      <c r="J693">
        <v>1</v>
      </c>
      <c r="K693">
        <v>45343.689236111109</v>
      </c>
      <c r="L693">
        <v>34200</v>
      </c>
      <c r="M693" t="s">
        <v>692</v>
      </c>
      <c r="O693">
        <v>3000</v>
      </c>
      <c r="P693">
        <v>5</v>
      </c>
      <c r="Q693">
        <v>0</v>
      </c>
    </row>
    <row r="694" spans="2:17" x14ac:dyDescent="0.25">
      <c r="B694" t="s">
        <v>693</v>
      </c>
      <c r="C694" t="s">
        <v>67</v>
      </c>
      <c r="D694" t="s">
        <v>67</v>
      </c>
      <c r="E694">
        <v>3000</v>
      </c>
      <c r="F694" t="s">
        <v>68</v>
      </c>
      <c r="G694" t="s">
        <v>127</v>
      </c>
      <c r="H694" t="s">
        <v>128</v>
      </c>
      <c r="I694" t="s">
        <v>122</v>
      </c>
      <c r="J694">
        <v>1</v>
      </c>
      <c r="K694">
        <v>45343.689282407409</v>
      </c>
      <c r="L694">
        <v>7800</v>
      </c>
      <c r="M694" t="s">
        <v>692</v>
      </c>
      <c r="O694">
        <v>2400</v>
      </c>
      <c r="P694">
        <v>1</v>
      </c>
      <c r="Q694">
        <v>600</v>
      </c>
    </row>
    <row r="695" spans="2:17" x14ac:dyDescent="0.25">
      <c r="B695" t="s">
        <v>694</v>
      </c>
      <c r="C695" t="s">
        <v>695</v>
      </c>
      <c r="D695" t="s">
        <v>67</v>
      </c>
      <c r="E695">
        <v>0</v>
      </c>
      <c r="F695" t="s">
        <v>144</v>
      </c>
      <c r="G695" t="s">
        <v>148</v>
      </c>
      <c r="H695" t="s">
        <v>149</v>
      </c>
      <c r="I695" t="s">
        <v>147</v>
      </c>
      <c r="J695">
        <v>0</v>
      </c>
      <c r="K695">
        <v>45343.731342592589</v>
      </c>
      <c r="L695">
        <v>4700</v>
      </c>
      <c r="O695">
        <v>10</v>
      </c>
      <c r="P695">
        <v>0</v>
      </c>
      <c r="Q695">
        <v>0</v>
      </c>
    </row>
    <row r="696" spans="2:17" x14ac:dyDescent="0.25">
      <c r="B696" t="s">
        <v>694</v>
      </c>
      <c r="C696" t="s">
        <v>696</v>
      </c>
      <c r="D696" t="s">
        <v>67</v>
      </c>
      <c r="E696">
        <v>0</v>
      </c>
      <c r="F696" t="s">
        <v>144</v>
      </c>
      <c r="G696" t="s">
        <v>150</v>
      </c>
      <c r="H696" t="s">
        <v>151</v>
      </c>
      <c r="I696" t="s">
        <v>147</v>
      </c>
      <c r="J696">
        <v>0</v>
      </c>
      <c r="K696">
        <v>45343.731377314813</v>
      </c>
      <c r="L696">
        <v>265</v>
      </c>
      <c r="O696">
        <v>10</v>
      </c>
      <c r="P696">
        <v>0</v>
      </c>
      <c r="Q696">
        <v>0</v>
      </c>
    </row>
    <row r="697" spans="2:17" x14ac:dyDescent="0.25">
      <c r="B697" t="s">
        <v>694</v>
      </c>
      <c r="C697" t="s">
        <v>697</v>
      </c>
      <c r="D697" t="s">
        <v>67</v>
      </c>
      <c r="E697">
        <v>0</v>
      </c>
      <c r="F697" t="s">
        <v>144</v>
      </c>
      <c r="G697" t="s">
        <v>145</v>
      </c>
      <c r="H697" t="s">
        <v>151</v>
      </c>
      <c r="I697" t="s">
        <v>147</v>
      </c>
      <c r="J697">
        <v>0</v>
      </c>
      <c r="K697">
        <v>45344.731377256947</v>
      </c>
      <c r="L697">
        <v>266</v>
      </c>
    </row>
    <row r="698" spans="2:17" x14ac:dyDescent="0.25">
      <c r="B698" t="s">
        <v>321</v>
      </c>
      <c r="C698" t="s">
        <v>550</v>
      </c>
      <c r="D698" t="s">
        <v>96</v>
      </c>
      <c r="E698">
        <v>20</v>
      </c>
      <c r="F698" t="s">
        <v>152</v>
      </c>
      <c r="G698" t="s">
        <v>62</v>
      </c>
      <c r="H698" t="s">
        <v>226</v>
      </c>
      <c r="I698" t="s">
        <v>227</v>
      </c>
      <c r="J698">
        <v>0</v>
      </c>
      <c r="K698">
        <v>45344.378125000003</v>
      </c>
      <c r="L698">
        <v>49</v>
      </c>
      <c r="O698">
        <v>1</v>
      </c>
      <c r="P698">
        <v>20</v>
      </c>
      <c r="Q698">
        <v>0</v>
      </c>
    </row>
    <row r="699" spans="2:17" x14ac:dyDescent="0.25">
      <c r="B699" t="s">
        <v>321</v>
      </c>
      <c r="C699" t="s">
        <v>550</v>
      </c>
      <c r="D699" t="s">
        <v>96</v>
      </c>
      <c r="E699">
        <v>15</v>
      </c>
      <c r="F699" t="s">
        <v>152</v>
      </c>
      <c r="G699" t="s">
        <v>234</v>
      </c>
      <c r="H699" t="s">
        <v>226</v>
      </c>
      <c r="I699" t="s">
        <v>227</v>
      </c>
      <c r="J699">
        <v>0</v>
      </c>
      <c r="K699">
        <v>45344.378159722219</v>
      </c>
      <c r="L699">
        <v>39</v>
      </c>
      <c r="O699">
        <v>1</v>
      </c>
      <c r="P699">
        <v>15</v>
      </c>
      <c r="Q699">
        <v>0</v>
      </c>
    </row>
    <row r="700" spans="2:17" x14ac:dyDescent="0.25">
      <c r="B700" t="s">
        <v>321</v>
      </c>
      <c r="C700" t="s">
        <v>550</v>
      </c>
      <c r="D700" t="s">
        <v>96</v>
      </c>
      <c r="E700">
        <v>30</v>
      </c>
      <c r="F700" t="s">
        <v>152</v>
      </c>
      <c r="G700" t="s">
        <v>64</v>
      </c>
      <c r="H700" t="s">
        <v>226</v>
      </c>
      <c r="I700" t="s">
        <v>227</v>
      </c>
      <c r="J700">
        <v>0</v>
      </c>
      <c r="K700">
        <v>45344.378171296295</v>
      </c>
      <c r="L700">
        <v>28</v>
      </c>
      <c r="O700">
        <v>1</v>
      </c>
      <c r="P700">
        <v>30</v>
      </c>
      <c r="Q700">
        <v>0</v>
      </c>
    </row>
    <row r="701" spans="2:17" x14ac:dyDescent="0.25">
      <c r="B701" t="s">
        <v>321</v>
      </c>
      <c r="C701" t="s">
        <v>550</v>
      </c>
      <c r="D701" t="s">
        <v>96</v>
      </c>
      <c r="E701">
        <v>12</v>
      </c>
      <c r="F701" t="s">
        <v>152</v>
      </c>
      <c r="G701" t="s">
        <v>376</v>
      </c>
      <c r="H701" t="s">
        <v>226</v>
      </c>
      <c r="I701" t="s">
        <v>227</v>
      </c>
      <c r="J701">
        <v>0</v>
      </c>
      <c r="K701">
        <v>45344.378182870372</v>
      </c>
      <c r="L701">
        <v>10</v>
      </c>
      <c r="O701">
        <v>1</v>
      </c>
      <c r="P701">
        <v>12</v>
      </c>
      <c r="Q701">
        <v>0</v>
      </c>
    </row>
    <row r="702" spans="2:17" x14ac:dyDescent="0.25">
      <c r="B702" t="s">
        <v>321</v>
      </c>
      <c r="C702" t="s">
        <v>550</v>
      </c>
      <c r="D702" t="s">
        <v>96</v>
      </c>
      <c r="E702">
        <v>5</v>
      </c>
      <c r="F702" t="s">
        <v>152</v>
      </c>
      <c r="G702" t="s">
        <v>65</v>
      </c>
      <c r="H702" t="s">
        <v>226</v>
      </c>
      <c r="I702" t="s">
        <v>227</v>
      </c>
      <c r="J702">
        <v>0</v>
      </c>
      <c r="K702">
        <v>45344.378194444442</v>
      </c>
      <c r="L702">
        <v>28</v>
      </c>
      <c r="O702">
        <v>1</v>
      </c>
      <c r="P702">
        <v>5</v>
      </c>
      <c r="Q702">
        <v>0</v>
      </c>
    </row>
    <row r="703" spans="2:17" x14ac:dyDescent="0.25">
      <c r="B703" t="s">
        <v>321</v>
      </c>
      <c r="C703" t="s">
        <v>550</v>
      </c>
      <c r="D703" t="s">
        <v>96</v>
      </c>
      <c r="E703">
        <v>2</v>
      </c>
      <c r="F703" t="s">
        <v>152</v>
      </c>
      <c r="G703" t="s">
        <v>238</v>
      </c>
      <c r="H703" t="s">
        <v>226</v>
      </c>
      <c r="I703" t="s">
        <v>227</v>
      </c>
      <c r="J703">
        <v>0</v>
      </c>
      <c r="K703">
        <v>45344.378217592595</v>
      </c>
      <c r="L703">
        <v>2</v>
      </c>
      <c r="O703">
        <v>1</v>
      </c>
      <c r="P703">
        <v>2</v>
      </c>
      <c r="Q703">
        <v>0</v>
      </c>
    </row>
    <row r="704" spans="2:17" x14ac:dyDescent="0.25">
      <c r="B704" t="s">
        <v>321</v>
      </c>
      <c r="C704" t="s">
        <v>550</v>
      </c>
      <c r="D704" t="s">
        <v>96</v>
      </c>
      <c r="E704">
        <v>2</v>
      </c>
      <c r="F704" t="s">
        <v>152</v>
      </c>
      <c r="G704" t="s">
        <v>63</v>
      </c>
      <c r="H704" t="s">
        <v>226</v>
      </c>
      <c r="I704" t="s">
        <v>227</v>
      </c>
      <c r="J704">
        <v>0</v>
      </c>
      <c r="K704">
        <v>45344.378229166665</v>
      </c>
      <c r="L704">
        <v>2</v>
      </c>
      <c r="O704">
        <v>1</v>
      </c>
      <c r="P704">
        <v>2</v>
      </c>
      <c r="Q704">
        <v>0</v>
      </c>
    </row>
    <row r="705" spans="2:17" x14ac:dyDescent="0.25">
      <c r="B705" t="s">
        <v>321</v>
      </c>
      <c r="C705" t="s">
        <v>550</v>
      </c>
      <c r="D705" t="s">
        <v>96</v>
      </c>
      <c r="E705">
        <v>2</v>
      </c>
      <c r="F705" t="s">
        <v>152</v>
      </c>
      <c r="G705" t="s">
        <v>246</v>
      </c>
      <c r="H705" t="s">
        <v>226</v>
      </c>
      <c r="I705" t="s">
        <v>227</v>
      </c>
      <c r="J705">
        <v>0</v>
      </c>
      <c r="K705">
        <v>45344.378240740742</v>
      </c>
      <c r="L705">
        <v>2</v>
      </c>
      <c r="O705">
        <v>1</v>
      </c>
      <c r="P705">
        <v>2</v>
      </c>
      <c r="Q705">
        <v>0</v>
      </c>
    </row>
    <row r="706" spans="2:17" x14ac:dyDescent="0.25">
      <c r="B706" t="s">
        <v>321</v>
      </c>
      <c r="C706" t="s">
        <v>429</v>
      </c>
      <c r="D706" t="s">
        <v>698</v>
      </c>
      <c r="E706">
        <v>250</v>
      </c>
      <c r="F706" t="s">
        <v>68</v>
      </c>
      <c r="G706" t="s">
        <v>172</v>
      </c>
      <c r="H706" t="s">
        <v>173</v>
      </c>
      <c r="J706">
        <v>0</v>
      </c>
      <c r="K706">
        <v>45344.378252314818</v>
      </c>
      <c r="L706">
        <v>1852</v>
      </c>
      <c r="O706">
        <v>24</v>
      </c>
      <c r="P706">
        <v>10</v>
      </c>
      <c r="Q706">
        <v>9.9999999999999858</v>
      </c>
    </row>
    <row r="707" spans="2:17" x14ac:dyDescent="0.25">
      <c r="B707" t="s">
        <v>321</v>
      </c>
      <c r="C707" t="s">
        <v>568</v>
      </c>
      <c r="D707" t="s">
        <v>699</v>
      </c>
      <c r="E707">
        <v>10000</v>
      </c>
      <c r="F707" t="s">
        <v>68</v>
      </c>
      <c r="G707" t="s">
        <v>124</v>
      </c>
      <c r="H707" t="s">
        <v>125</v>
      </c>
      <c r="I707" t="s">
        <v>122</v>
      </c>
      <c r="J707">
        <v>0</v>
      </c>
      <c r="K707">
        <v>45344.378321759257</v>
      </c>
      <c r="L707">
        <v>11600</v>
      </c>
      <c r="O707">
        <v>1200</v>
      </c>
      <c r="P707">
        <v>8</v>
      </c>
      <c r="Q707">
        <v>400.00000000000068</v>
      </c>
    </row>
    <row r="708" spans="2:17" x14ac:dyDescent="0.25">
      <c r="B708" t="s">
        <v>321</v>
      </c>
      <c r="C708" t="s">
        <v>454</v>
      </c>
      <c r="D708" t="s">
        <v>700</v>
      </c>
      <c r="E708">
        <v>200</v>
      </c>
      <c r="F708" t="s">
        <v>68</v>
      </c>
      <c r="G708" t="s">
        <v>168</v>
      </c>
      <c r="H708" t="s">
        <v>169</v>
      </c>
      <c r="I708" t="s">
        <v>122</v>
      </c>
      <c r="J708">
        <v>0</v>
      </c>
      <c r="K708">
        <v>45344.378333333334</v>
      </c>
      <c r="L708">
        <v>786</v>
      </c>
      <c r="O708">
        <v>200</v>
      </c>
      <c r="P708">
        <v>1</v>
      </c>
      <c r="Q708">
        <v>0</v>
      </c>
    </row>
    <row r="709" spans="2:17" x14ac:dyDescent="0.25">
      <c r="B709" t="s">
        <v>321</v>
      </c>
      <c r="C709" t="s">
        <v>656</v>
      </c>
      <c r="D709" t="s">
        <v>701</v>
      </c>
      <c r="E709">
        <v>750</v>
      </c>
      <c r="F709" t="s">
        <v>68</v>
      </c>
      <c r="G709" t="s">
        <v>132</v>
      </c>
      <c r="H709" t="s">
        <v>133</v>
      </c>
      <c r="I709" t="s">
        <v>122</v>
      </c>
      <c r="J709">
        <v>0</v>
      </c>
      <c r="K709">
        <v>45344.378344907411</v>
      </c>
      <c r="L709">
        <v>11800</v>
      </c>
      <c r="O709">
        <v>1200</v>
      </c>
      <c r="P709">
        <v>0</v>
      </c>
      <c r="Q709">
        <v>750</v>
      </c>
    </row>
    <row r="710" spans="2:17" x14ac:dyDescent="0.25">
      <c r="B710" t="s">
        <v>321</v>
      </c>
      <c r="C710" t="s">
        <v>594</v>
      </c>
      <c r="D710" t="s">
        <v>702</v>
      </c>
      <c r="E710">
        <v>240</v>
      </c>
      <c r="F710" t="s">
        <v>68</v>
      </c>
      <c r="G710" t="s">
        <v>181</v>
      </c>
      <c r="H710" t="s">
        <v>182</v>
      </c>
      <c r="I710" t="s">
        <v>183</v>
      </c>
      <c r="J710">
        <v>0</v>
      </c>
      <c r="K710">
        <v>45344.378368055557</v>
      </c>
      <c r="L710">
        <v>-246</v>
      </c>
      <c r="O710">
        <v>300</v>
      </c>
      <c r="P710">
        <v>0</v>
      </c>
      <c r="Q710">
        <v>240</v>
      </c>
    </row>
    <row r="711" spans="2:17" x14ac:dyDescent="0.25">
      <c r="B711" t="s">
        <v>176</v>
      </c>
      <c r="C711" t="s">
        <v>628</v>
      </c>
      <c r="D711" t="s">
        <v>709</v>
      </c>
      <c r="E711">
        <v>40</v>
      </c>
      <c r="F711" t="s">
        <v>144</v>
      </c>
      <c r="G711" t="s">
        <v>148</v>
      </c>
      <c r="H711" t="s">
        <v>149</v>
      </c>
      <c r="I711" t="s">
        <v>147</v>
      </c>
      <c r="J711">
        <v>0</v>
      </c>
      <c r="K711">
        <v>45345.714942129627</v>
      </c>
      <c r="L711">
        <v>4660</v>
      </c>
      <c r="O711">
        <v>10</v>
      </c>
      <c r="P711">
        <v>4</v>
      </c>
      <c r="Q711">
        <v>0</v>
      </c>
    </row>
    <row r="712" spans="2:17" x14ac:dyDescent="0.25">
      <c r="B712" t="s">
        <v>176</v>
      </c>
      <c r="C712" t="s">
        <v>628</v>
      </c>
      <c r="D712">
        <v>548</v>
      </c>
      <c r="E712">
        <v>20</v>
      </c>
      <c r="F712" t="s">
        <v>144</v>
      </c>
      <c r="G712" t="s">
        <v>150</v>
      </c>
      <c r="H712" t="s">
        <v>151</v>
      </c>
      <c r="I712" t="s">
        <v>147</v>
      </c>
      <c r="J712">
        <v>0</v>
      </c>
      <c r="K712">
        <v>45345.714965277781</v>
      </c>
      <c r="L712">
        <v>245</v>
      </c>
      <c r="O712">
        <v>10</v>
      </c>
      <c r="P712">
        <v>2</v>
      </c>
      <c r="Q712">
        <v>0</v>
      </c>
    </row>
    <row r="713" spans="2:17" x14ac:dyDescent="0.25">
      <c r="B713" t="s">
        <v>176</v>
      </c>
      <c r="C713" t="s">
        <v>582</v>
      </c>
      <c r="D713" t="s">
        <v>710</v>
      </c>
      <c r="E713">
        <v>200</v>
      </c>
      <c r="F713" t="s">
        <v>68</v>
      </c>
      <c r="G713" t="s">
        <v>159</v>
      </c>
      <c r="H713" t="s">
        <v>160</v>
      </c>
      <c r="I713" t="s">
        <v>161</v>
      </c>
      <c r="J713">
        <v>0</v>
      </c>
      <c r="K713">
        <v>45345.71497685185</v>
      </c>
      <c r="L713">
        <v>6888</v>
      </c>
      <c r="O713">
        <v>24</v>
      </c>
      <c r="P713">
        <v>8</v>
      </c>
      <c r="Q713">
        <v>8.0000000000000142</v>
      </c>
    </row>
    <row r="714" spans="2:17" x14ac:dyDescent="0.25">
      <c r="B714" t="s">
        <v>176</v>
      </c>
      <c r="C714" t="s">
        <v>392</v>
      </c>
      <c r="D714" t="s">
        <v>711</v>
      </c>
      <c r="E714">
        <v>1000</v>
      </c>
      <c r="F714" t="s">
        <v>68</v>
      </c>
      <c r="G714" t="s">
        <v>181</v>
      </c>
      <c r="H714" t="s">
        <v>182</v>
      </c>
      <c r="I714" t="s">
        <v>183</v>
      </c>
      <c r="J714">
        <v>0</v>
      </c>
      <c r="K714">
        <v>45345.71497685185</v>
      </c>
      <c r="L714">
        <v>-1246</v>
      </c>
      <c r="O714">
        <v>300</v>
      </c>
      <c r="P714">
        <v>3</v>
      </c>
      <c r="Q714">
        <v>100.00000000000004</v>
      </c>
    </row>
    <row r="715" spans="2:17" x14ac:dyDescent="0.25">
      <c r="B715" t="s">
        <v>176</v>
      </c>
      <c r="C715" t="s">
        <v>769</v>
      </c>
      <c r="D715" t="s">
        <v>712</v>
      </c>
      <c r="E715">
        <v>500</v>
      </c>
      <c r="F715" t="s">
        <v>152</v>
      </c>
      <c r="G715" t="s">
        <v>158</v>
      </c>
      <c r="H715" t="s">
        <v>154</v>
      </c>
      <c r="I715" t="s">
        <v>155</v>
      </c>
      <c r="J715">
        <v>0</v>
      </c>
      <c r="K715">
        <v>45345.714999999997</v>
      </c>
      <c r="L715">
        <v>1368</v>
      </c>
      <c r="O715">
        <v>144</v>
      </c>
      <c r="P715">
        <v>3</v>
      </c>
      <c r="Q715">
        <v>68.000000000000014</v>
      </c>
    </row>
    <row r="716" spans="2:17" x14ac:dyDescent="0.25">
      <c r="B716" t="s">
        <v>321</v>
      </c>
      <c r="C716" t="s">
        <v>592</v>
      </c>
      <c r="D716" t="s">
        <v>704</v>
      </c>
      <c r="E716">
        <v>50</v>
      </c>
      <c r="F716" t="s">
        <v>68</v>
      </c>
      <c r="G716" t="s">
        <v>175</v>
      </c>
      <c r="H716" t="s">
        <v>173</v>
      </c>
      <c r="J716">
        <v>0</v>
      </c>
      <c r="K716">
        <v>45348.563460648147</v>
      </c>
      <c r="L716">
        <v>1118</v>
      </c>
      <c r="O716">
        <v>12</v>
      </c>
      <c r="P716">
        <v>4</v>
      </c>
      <c r="Q716">
        <v>2.0000000000000036</v>
      </c>
    </row>
    <row r="717" spans="2:17" x14ac:dyDescent="0.25">
      <c r="B717" t="s">
        <v>321</v>
      </c>
      <c r="C717" t="s">
        <v>265</v>
      </c>
      <c r="D717" t="s">
        <v>705</v>
      </c>
      <c r="E717">
        <v>3000</v>
      </c>
      <c r="F717" t="s">
        <v>68</v>
      </c>
      <c r="G717" t="s">
        <v>138</v>
      </c>
      <c r="H717" t="s">
        <v>139</v>
      </c>
      <c r="I717" t="s">
        <v>122</v>
      </c>
      <c r="J717">
        <v>0</v>
      </c>
      <c r="K717">
        <v>45348.56349537037</v>
      </c>
      <c r="L717">
        <v>31200</v>
      </c>
      <c r="O717">
        <v>3000</v>
      </c>
      <c r="P717">
        <v>1</v>
      </c>
      <c r="Q717">
        <v>0</v>
      </c>
    </row>
    <row r="718" spans="2:17" x14ac:dyDescent="0.25">
      <c r="B718" t="s">
        <v>321</v>
      </c>
      <c r="C718" t="s">
        <v>345</v>
      </c>
      <c r="D718" t="s">
        <v>706</v>
      </c>
      <c r="E718">
        <v>2000</v>
      </c>
      <c r="F718" t="s">
        <v>68</v>
      </c>
      <c r="G718" t="s">
        <v>197</v>
      </c>
      <c r="H718" t="s">
        <v>198</v>
      </c>
      <c r="I718" t="s">
        <v>161</v>
      </c>
      <c r="J718">
        <v>0</v>
      </c>
      <c r="K718">
        <v>45348.563530092593</v>
      </c>
      <c r="L718">
        <v>-2000</v>
      </c>
      <c r="O718">
        <v>2000</v>
      </c>
      <c r="P718">
        <v>1</v>
      </c>
      <c r="Q718">
        <v>0</v>
      </c>
    </row>
    <row r="719" spans="2:17" x14ac:dyDescent="0.25">
      <c r="B719" t="s">
        <v>321</v>
      </c>
      <c r="C719" t="s">
        <v>770</v>
      </c>
      <c r="D719" t="s">
        <v>707</v>
      </c>
      <c r="E719">
        <v>20</v>
      </c>
      <c r="F719" t="s">
        <v>68</v>
      </c>
      <c r="G719" t="s">
        <v>794</v>
      </c>
      <c r="H719" t="s">
        <v>251</v>
      </c>
      <c r="I719" t="s">
        <v>252</v>
      </c>
      <c r="J719">
        <v>0</v>
      </c>
      <c r="K719">
        <v>45348.563622685186</v>
      </c>
      <c r="L719">
        <v>0</v>
      </c>
      <c r="O719">
        <v>1</v>
      </c>
      <c r="P719">
        <v>20</v>
      </c>
      <c r="Q719">
        <v>0</v>
      </c>
    </row>
    <row r="720" spans="2:17" x14ac:dyDescent="0.25">
      <c r="B720" t="s">
        <v>321</v>
      </c>
      <c r="C720" t="s">
        <v>479</v>
      </c>
      <c r="D720" t="s">
        <v>708</v>
      </c>
      <c r="E720">
        <v>170</v>
      </c>
      <c r="F720" t="s">
        <v>144</v>
      </c>
      <c r="G720" t="s">
        <v>148</v>
      </c>
      <c r="H720" t="s">
        <v>149</v>
      </c>
      <c r="I720" t="s">
        <v>147</v>
      </c>
      <c r="J720">
        <v>0</v>
      </c>
      <c r="K720">
        <v>45348.563692129632</v>
      </c>
      <c r="L720">
        <v>4490</v>
      </c>
      <c r="O720">
        <v>10</v>
      </c>
      <c r="P720">
        <v>17</v>
      </c>
      <c r="Q720">
        <v>0</v>
      </c>
    </row>
    <row r="721" spans="2:17" x14ac:dyDescent="0.25">
      <c r="B721" t="s">
        <v>713</v>
      </c>
      <c r="C721" t="s">
        <v>67</v>
      </c>
      <c r="D721" t="s">
        <v>67</v>
      </c>
      <c r="E721">
        <v>10000</v>
      </c>
      <c r="F721" t="s">
        <v>68</v>
      </c>
      <c r="G721" t="s">
        <v>197</v>
      </c>
      <c r="H721" t="s">
        <v>198</v>
      </c>
      <c r="I721" t="s">
        <v>161</v>
      </c>
      <c r="J721">
        <v>1</v>
      </c>
      <c r="K721">
        <v>45348.5705787037</v>
      </c>
      <c r="L721">
        <v>8000</v>
      </c>
      <c r="M721" t="s">
        <v>714</v>
      </c>
      <c r="O721">
        <v>2000</v>
      </c>
      <c r="P721">
        <v>5</v>
      </c>
      <c r="Q721">
        <v>0</v>
      </c>
    </row>
    <row r="722" spans="2:17" x14ac:dyDescent="0.25">
      <c r="B722" t="s">
        <v>715</v>
      </c>
      <c r="C722" t="s">
        <v>67</v>
      </c>
      <c r="D722" t="s">
        <v>67</v>
      </c>
      <c r="E722">
        <v>14000</v>
      </c>
      <c r="F722" t="s">
        <v>68</v>
      </c>
      <c r="G722" t="s">
        <v>197</v>
      </c>
      <c r="H722" t="s">
        <v>198</v>
      </c>
      <c r="I722" t="s">
        <v>161</v>
      </c>
      <c r="J722">
        <v>1</v>
      </c>
      <c r="K722">
        <v>45348.571747685186</v>
      </c>
      <c r="L722">
        <v>22000</v>
      </c>
      <c r="M722" t="s">
        <v>714</v>
      </c>
      <c r="O722">
        <v>2000</v>
      </c>
      <c r="P722">
        <v>7</v>
      </c>
      <c r="Q722">
        <v>0</v>
      </c>
    </row>
    <row r="723" spans="2:17" x14ac:dyDescent="0.25">
      <c r="B723" t="s">
        <v>716</v>
      </c>
      <c r="C723" t="s">
        <v>67</v>
      </c>
      <c r="D723" t="s">
        <v>67</v>
      </c>
      <c r="E723">
        <v>8000</v>
      </c>
      <c r="F723" t="s">
        <v>68</v>
      </c>
      <c r="G723" t="s">
        <v>197</v>
      </c>
      <c r="H723" t="s">
        <v>198</v>
      </c>
      <c r="I723" t="s">
        <v>161</v>
      </c>
      <c r="J723">
        <v>1</v>
      </c>
      <c r="K723">
        <v>45348.572233796294</v>
      </c>
      <c r="L723">
        <v>30000</v>
      </c>
      <c r="M723" t="s">
        <v>714</v>
      </c>
      <c r="O723">
        <v>2000</v>
      </c>
      <c r="P723">
        <v>4</v>
      </c>
      <c r="Q723">
        <v>0</v>
      </c>
    </row>
    <row r="724" spans="2:17" x14ac:dyDescent="0.25">
      <c r="B724" t="s">
        <v>717</v>
      </c>
      <c r="C724" t="s">
        <v>67</v>
      </c>
      <c r="D724" t="s">
        <v>67</v>
      </c>
      <c r="E724">
        <v>40</v>
      </c>
      <c r="F724" t="s">
        <v>152</v>
      </c>
      <c r="G724" t="s">
        <v>415</v>
      </c>
      <c r="H724" t="s">
        <v>226</v>
      </c>
      <c r="I724" t="s">
        <v>227</v>
      </c>
      <c r="J724">
        <v>1</v>
      </c>
      <c r="K724">
        <v>45348.57980324074</v>
      </c>
      <c r="L724">
        <v>76</v>
      </c>
      <c r="M724" t="s">
        <v>714</v>
      </c>
      <c r="O724">
        <v>1</v>
      </c>
      <c r="P724">
        <v>40</v>
      </c>
      <c r="Q724">
        <v>0</v>
      </c>
    </row>
    <row r="725" spans="2:17" x14ac:dyDescent="0.25">
      <c r="B725" t="s">
        <v>717</v>
      </c>
      <c r="C725" t="s">
        <v>67</v>
      </c>
      <c r="D725" t="s">
        <v>67</v>
      </c>
      <c r="E725">
        <v>44</v>
      </c>
      <c r="F725" t="s">
        <v>152</v>
      </c>
      <c r="G725" t="s">
        <v>376</v>
      </c>
      <c r="H725" t="s">
        <v>226</v>
      </c>
      <c r="I725" t="s">
        <v>227</v>
      </c>
      <c r="J725">
        <v>1</v>
      </c>
      <c r="K725">
        <v>45348.579942129632</v>
      </c>
      <c r="L725">
        <v>54</v>
      </c>
      <c r="M725" t="s">
        <v>714</v>
      </c>
      <c r="O725">
        <v>1</v>
      </c>
      <c r="P725">
        <v>44</v>
      </c>
      <c r="Q725">
        <v>0</v>
      </c>
    </row>
    <row r="726" spans="2:17" x14ac:dyDescent="0.25">
      <c r="B726" t="s">
        <v>717</v>
      </c>
      <c r="C726" t="s">
        <v>67</v>
      </c>
      <c r="D726" t="s">
        <v>67</v>
      </c>
      <c r="E726">
        <v>40</v>
      </c>
      <c r="F726" t="s">
        <v>152</v>
      </c>
      <c r="G726" t="s">
        <v>245</v>
      </c>
      <c r="H726" t="s">
        <v>226</v>
      </c>
      <c r="I726" t="s">
        <v>227</v>
      </c>
      <c r="J726">
        <v>1</v>
      </c>
      <c r="K726">
        <v>45348.58</v>
      </c>
      <c r="L726">
        <v>70</v>
      </c>
      <c r="M726" t="s">
        <v>714</v>
      </c>
      <c r="O726">
        <v>1</v>
      </c>
      <c r="P726">
        <v>40</v>
      </c>
      <c r="Q726">
        <v>0</v>
      </c>
    </row>
    <row r="727" spans="2:17" x14ac:dyDescent="0.25">
      <c r="B727" t="s">
        <v>717</v>
      </c>
      <c r="C727" t="s">
        <v>67</v>
      </c>
      <c r="D727" t="s">
        <v>67</v>
      </c>
      <c r="E727">
        <v>26</v>
      </c>
      <c r="F727" t="s">
        <v>152</v>
      </c>
      <c r="G727" t="s">
        <v>234</v>
      </c>
      <c r="H727" t="s">
        <v>226</v>
      </c>
      <c r="I727" t="s">
        <v>227</v>
      </c>
      <c r="J727">
        <v>1</v>
      </c>
      <c r="K727">
        <v>45348.580046296294</v>
      </c>
      <c r="L727">
        <v>65</v>
      </c>
      <c r="M727" t="s">
        <v>714</v>
      </c>
      <c r="O727">
        <v>1</v>
      </c>
      <c r="P727">
        <v>26</v>
      </c>
      <c r="Q727">
        <v>0</v>
      </c>
    </row>
    <row r="728" spans="2:17" x14ac:dyDescent="0.25">
      <c r="B728" t="s">
        <v>717</v>
      </c>
      <c r="C728" t="s">
        <v>67</v>
      </c>
      <c r="D728" t="s">
        <v>67</v>
      </c>
      <c r="E728">
        <v>4</v>
      </c>
      <c r="F728" t="s">
        <v>152</v>
      </c>
      <c r="G728" t="s">
        <v>248</v>
      </c>
      <c r="H728" t="s">
        <v>226</v>
      </c>
      <c r="I728" t="s">
        <v>227</v>
      </c>
      <c r="J728">
        <v>1</v>
      </c>
      <c r="K728">
        <v>45348.580104166664</v>
      </c>
      <c r="L728">
        <v>4</v>
      </c>
      <c r="M728" t="s">
        <v>714</v>
      </c>
      <c r="O728">
        <v>1</v>
      </c>
      <c r="P728">
        <v>4</v>
      </c>
      <c r="Q728">
        <v>0</v>
      </c>
    </row>
    <row r="729" spans="2:17" x14ac:dyDescent="0.25">
      <c r="B729" t="s">
        <v>717</v>
      </c>
      <c r="C729" t="s">
        <v>67</v>
      </c>
      <c r="D729" t="s">
        <v>67</v>
      </c>
      <c r="E729">
        <v>28</v>
      </c>
      <c r="F729" t="s">
        <v>152</v>
      </c>
      <c r="G729" t="s">
        <v>64</v>
      </c>
      <c r="H729" t="s">
        <v>226</v>
      </c>
      <c r="I729" t="s">
        <v>227</v>
      </c>
      <c r="J729">
        <v>1</v>
      </c>
      <c r="K729">
        <v>45348.580150462964</v>
      </c>
      <c r="L729">
        <v>56</v>
      </c>
      <c r="M729" t="s">
        <v>714</v>
      </c>
      <c r="O729">
        <v>1</v>
      </c>
      <c r="P729">
        <v>28</v>
      </c>
      <c r="Q729">
        <v>0</v>
      </c>
    </row>
    <row r="730" spans="2:17" x14ac:dyDescent="0.25">
      <c r="B730" t="s">
        <v>717</v>
      </c>
      <c r="C730" t="s">
        <v>67</v>
      </c>
      <c r="D730" t="s">
        <v>67</v>
      </c>
      <c r="E730">
        <v>10</v>
      </c>
      <c r="F730" t="s">
        <v>152</v>
      </c>
      <c r="G730" t="s">
        <v>65</v>
      </c>
      <c r="H730" t="s">
        <v>226</v>
      </c>
      <c r="I730" t="s">
        <v>227</v>
      </c>
      <c r="J730">
        <v>1</v>
      </c>
      <c r="K730">
        <v>45348.580208333333</v>
      </c>
      <c r="L730">
        <v>38</v>
      </c>
      <c r="M730" t="s">
        <v>714</v>
      </c>
      <c r="O730">
        <v>1</v>
      </c>
      <c r="P730">
        <v>10</v>
      </c>
      <c r="Q730">
        <v>0</v>
      </c>
    </row>
    <row r="731" spans="2:17" x14ac:dyDescent="0.25">
      <c r="B731" t="s">
        <v>176</v>
      </c>
      <c r="C731" t="s">
        <v>418</v>
      </c>
      <c r="D731" t="s">
        <v>737</v>
      </c>
      <c r="E731">
        <v>40</v>
      </c>
      <c r="F731" t="s">
        <v>68</v>
      </c>
      <c r="G731" t="s">
        <v>788</v>
      </c>
      <c r="H731" t="s">
        <v>187</v>
      </c>
      <c r="I731" t="s">
        <v>161</v>
      </c>
      <c r="J731">
        <v>0</v>
      </c>
      <c r="K731">
        <v>45349.692291666666</v>
      </c>
      <c r="L731">
        <v>520</v>
      </c>
      <c r="O731">
        <v>100</v>
      </c>
      <c r="P731">
        <v>0</v>
      </c>
      <c r="Q731">
        <v>40</v>
      </c>
    </row>
    <row r="732" spans="2:17" x14ac:dyDescent="0.25">
      <c r="B732" t="s">
        <v>176</v>
      </c>
      <c r="C732" t="s">
        <v>418</v>
      </c>
      <c r="D732" t="s">
        <v>737</v>
      </c>
      <c r="E732">
        <v>30</v>
      </c>
      <c r="F732" t="s">
        <v>68</v>
      </c>
      <c r="G732" t="s">
        <v>787</v>
      </c>
      <c r="H732" t="s">
        <v>167</v>
      </c>
      <c r="I732" t="s">
        <v>161</v>
      </c>
      <c r="J732">
        <v>0</v>
      </c>
      <c r="K732">
        <v>45349.692395833335</v>
      </c>
      <c r="L732">
        <v>134</v>
      </c>
      <c r="O732">
        <v>4</v>
      </c>
      <c r="P732">
        <v>7</v>
      </c>
      <c r="Q732">
        <v>2</v>
      </c>
    </row>
    <row r="733" spans="2:17" x14ac:dyDescent="0.25">
      <c r="B733" t="s">
        <v>176</v>
      </c>
      <c r="C733" t="s">
        <v>387</v>
      </c>
      <c r="D733" t="s">
        <v>738</v>
      </c>
      <c r="E733">
        <v>1000</v>
      </c>
      <c r="F733" t="s">
        <v>68</v>
      </c>
      <c r="G733" t="s">
        <v>124</v>
      </c>
      <c r="H733" t="s">
        <v>125</v>
      </c>
      <c r="I733" t="s">
        <v>122</v>
      </c>
      <c r="J733">
        <v>0</v>
      </c>
      <c r="K733">
        <v>45349.692407407405</v>
      </c>
      <c r="L733">
        <v>10600</v>
      </c>
      <c r="O733">
        <v>1200</v>
      </c>
      <c r="P733">
        <v>0</v>
      </c>
      <c r="Q733">
        <v>1000</v>
      </c>
    </row>
    <row r="734" spans="2:17" x14ac:dyDescent="0.25">
      <c r="B734" t="s">
        <v>176</v>
      </c>
      <c r="C734" t="s">
        <v>387</v>
      </c>
      <c r="D734" t="s">
        <v>738</v>
      </c>
      <c r="E734">
        <v>1600</v>
      </c>
      <c r="F734" t="s">
        <v>68</v>
      </c>
      <c r="G734" t="s">
        <v>188</v>
      </c>
      <c r="H734" t="s">
        <v>189</v>
      </c>
      <c r="I734" t="s">
        <v>122</v>
      </c>
      <c r="J734">
        <v>0</v>
      </c>
      <c r="K734">
        <v>45349.692430555559</v>
      </c>
      <c r="L734">
        <v>11000</v>
      </c>
      <c r="O734">
        <v>2400</v>
      </c>
      <c r="P734">
        <v>0</v>
      </c>
      <c r="Q734">
        <v>1600</v>
      </c>
    </row>
    <row r="735" spans="2:17" x14ac:dyDescent="0.25">
      <c r="B735" t="s">
        <v>176</v>
      </c>
      <c r="C735" t="s">
        <v>392</v>
      </c>
      <c r="D735" t="s">
        <v>739</v>
      </c>
      <c r="E735">
        <v>1000</v>
      </c>
      <c r="F735" t="s">
        <v>68</v>
      </c>
      <c r="G735" t="s">
        <v>181</v>
      </c>
      <c r="H735" t="s">
        <v>182</v>
      </c>
      <c r="I735" t="s">
        <v>183</v>
      </c>
      <c r="J735">
        <v>0</v>
      </c>
      <c r="K735">
        <v>45349.692523148151</v>
      </c>
      <c r="L735">
        <v>-2246</v>
      </c>
      <c r="O735">
        <v>300</v>
      </c>
      <c r="P735">
        <v>3</v>
      </c>
      <c r="Q735">
        <v>100.00000000000004</v>
      </c>
    </row>
    <row r="736" spans="2:17" x14ac:dyDescent="0.25">
      <c r="B736" t="s">
        <v>176</v>
      </c>
      <c r="C736" t="s">
        <v>628</v>
      </c>
      <c r="D736" t="s">
        <v>740</v>
      </c>
      <c r="E736">
        <v>40</v>
      </c>
      <c r="F736" t="s">
        <v>144</v>
      </c>
      <c r="G736" t="s">
        <v>148</v>
      </c>
      <c r="H736" t="s">
        <v>149</v>
      </c>
      <c r="I736" t="s">
        <v>147</v>
      </c>
      <c r="J736">
        <v>0</v>
      </c>
      <c r="K736">
        <v>45349.692615740743</v>
      </c>
      <c r="L736">
        <v>4450</v>
      </c>
      <c r="O736">
        <v>10</v>
      </c>
      <c r="P736">
        <v>4</v>
      </c>
      <c r="Q736">
        <v>0</v>
      </c>
    </row>
    <row r="737" spans="2:17" x14ac:dyDescent="0.25">
      <c r="B737" t="s">
        <v>176</v>
      </c>
      <c r="C737" t="s">
        <v>628</v>
      </c>
      <c r="D737" t="s">
        <v>740</v>
      </c>
      <c r="E737">
        <v>1200</v>
      </c>
      <c r="F737" t="s">
        <v>68</v>
      </c>
      <c r="G737" t="s">
        <v>120</v>
      </c>
      <c r="H737" t="s">
        <v>121</v>
      </c>
      <c r="I737" t="s">
        <v>122</v>
      </c>
      <c r="J737">
        <v>0</v>
      </c>
      <c r="K737">
        <v>45349.69263888889</v>
      </c>
      <c r="L737">
        <v>44300</v>
      </c>
      <c r="O737">
        <v>2400</v>
      </c>
      <c r="P737">
        <v>0</v>
      </c>
      <c r="Q737">
        <v>1200</v>
      </c>
    </row>
    <row r="738" spans="2:17" x14ac:dyDescent="0.25">
      <c r="B738" t="s">
        <v>176</v>
      </c>
      <c r="C738" t="s">
        <v>628</v>
      </c>
      <c r="D738" t="s">
        <v>740</v>
      </c>
      <c r="E738">
        <v>50</v>
      </c>
      <c r="F738" t="s">
        <v>144</v>
      </c>
      <c r="G738" t="s">
        <v>150</v>
      </c>
      <c r="H738" t="s">
        <v>151</v>
      </c>
      <c r="I738" t="s">
        <v>147</v>
      </c>
      <c r="J738">
        <v>0</v>
      </c>
      <c r="K738">
        <v>45349.692650462966</v>
      </c>
      <c r="L738">
        <v>195</v>
      </c>
      <c r="O738">
        <v>10</v>
      </c>
      <c r="P738">
        <v>5</v>
      </c>
      <c r="Q738">
        <v>0</v>
      </c>
    </row>
    <row r="739" spans="2:17" x14ac:dyDescent="0.25">
      <c r="B739" t="s">
        <v>741</v>
      </c>
      <c r="C739" t="s">
        <v>742</v>
      </c>
      <c r="D739" t="s">
        <v>66</v>
      </c>
      <c r="E739">
        <v>4000</v>
      </c>
      <c r="F739" t="s">
        <v>68</v>
      </c>
      <c r="G739" t="s">
        <v>181</v>
      </c>
      <c r="H739" t="s">
        <v>182</v>
      </c>
      <c r="I739" t="s">
        <v>183</v>
      </c>
      <c r="J739">
        <v>1</v>
      </c>
      <c r="K739">
        <v>45349.709305555552</v>
      </c>
      <c r="L739">
        <v>-6246</v>
      </c>
      <c r="M739">
        <v>45324</v>
      </c>
      <c r="O739">
        <v>300</v>
      </c>
      <c r="P739">
        <v>13</v>
      </c>
      <c r="Q739">
        <v>100.00000000000017</v>
      </c>
    </row>
    <row r="740" spans="2:17" x14ac:dyDescent="0.25">
      <c r="B740" t="s">
        <v>694</v>
      </c>
      <c r="C740" t="s">
        <v>123</v>
      </c>
      <c r="D740">
        <v>1905</v>
      </c>
      <c r="E740">
        <v>0</v>
      </c>
      <c r="F740" t="s">
        <v>144</v>
      </c>
      <c r="G740" t="s">
        <v>150</v>
      </c>
      <c r="H740" t="s">
        <v>151</v>
      </c>
      <c r="I740" t="s">
        <v>147</v>
      </c>
      <c r="J740">
        <v>0</v>
      </c>
      <c r="K740">
        <v>45349.71366898148</v>
      </c>
      <c r="L740">
        <v>1905</v>
      </c>
      <c r="O740">
        <v>10</v>
      </c>
      <c r="P740">
        <v>0</v>
      </c>
      <c r="Q740">
        <v>0</v>
      </c>
    </row>
    <row r="741" spans="2:17" x14ac:dyDescent="0.25">
      <c r="B741" t="s">
        <v>694</v>
      </c>
      <c r="C741" t="s">
        <v>123</v>
      </c>
      <c r="D741" t="s">
        <v>195</v>
      </c>
      <c r="E741">
        <v>0</v>
      </c>
      <c r="F741" t="s">
        <v>144</v>
      </c>
      <c r="G741" t="s">
        <v>145</v>
      </c>
      <c r="H741" t="s">
        <v>146</v>
      </c>
      <c r="I741" t="s">
        <v>147</v>
      </c>
      <c r="J741">
        <v>0</v>
      </c>
      <c r="K741">
        <v>45349.714375000003</v>
      </c>
      <c r="L741">
        <v>-193</v>
      </c>
      <c r="O741">
        <v>10</v>
      </c>
      <c r="P741">
        <v>0</v>
      </c>
      <c r="Q741">
        <v>0</v>
      </c>
    </row>
    <row r="742" spans="2:17" x14ac:dyDescent="0.25">
      <c r="B742" t="s">
        <v>694</v>
      </c>
      <c r="C742" t="s">
        <v>743</v>
      </c>
      <c r="D742" t="s">
        <v>66</v>
      </c>
      <c r="E742">
        <v>0</v>
      </c>
      <c r="F742" t="s">
        <v>144</v>
      </c>
      <c r="G742" t="s">
        <v>148</v>
      </c>
      <c r="H742" t="s">
        <v>149</v>
      </c>
      <c r="I742" t="s">
        <v>147</v>
      </c>
      <c r="J742">
        <v>0</v>
      </c>
      <c r="K742">
        <v>45349.715868055559</v>
      </c>
      <c r="L742">
        <v>4450</v>
      </c>
      <c r="O742">
        <v>10</v>
      </c>
      <c r="P742">
        <v>0</v>
      </c>
      <c r="Q742">
        <v>0</v>
      </c>
    </row>
    <row r="743" spans="2:17" x14ac:dyDescent="0.25">
      <c r="B743" t="s">
        <v>694</v>
      </c>
      <c r="C743" t="s">
        <v>744</v>
      </c>
      <c r="D743" t="s">
        <v>745</v>
      </c>
      <c r="E743">
        <v>0</v>
      </c>
      <c r="F743" t="s">
        <v>152</v>
      </c>
      <c r="G743" t="s">
        <v>153</v>
      </c>
      <c r="H743" t="s">
        <v>154</v>
      </c>
      <c r="I743" t="s">
        <v>155</v>
      </c>
      <c r="J743">
        <v>0</v>
      </c>
      <c r="K743">
        <v>45350.666354166664</v>
      </c>
      <c r="L743">
        <v>1228</v>
      </c>
      <c r="O743">
        <v>144</v>
      </c>
      <c r="P743">
        <v>0</v>
      </c>
      <c r="Q743">
        <v>0</v>
      </c>
    </row>
    <row r="744" spans="2:17" x14ac:dyDescent="0.25">
      <c r="B744" t="s">
        <v>694</v>
      </c>
      <c r="C744" t="s">
        <v>746</v>
      </c>
      <c r="D744" t="s">
        <v>747</v>
      </c>
      <c r="E744">
        <v>0</v>
      </c>
      <c r="F744" t="s">
        <v>152</v>
      </c>
      <c r="G744" t="s">
        <v>156</v>
      </c>
      <c r="H744" t="s">
        <v>154</v>
      </c>
      <c r="I744" t="s">
        <v>155</v>
      </c>
      <c r="J744">
        <v>0</v>
      </c>
      <c r="K744">
        <v>45350.666400462964</v>
      </c>
      <c r="L744">
        <v>5008</v>
      </c>
      <c r="O744">
        <v>144</v>
      </c>
      <c r="P744">
        <v>0</v>
      </c>
      <c r="Q744">
        <v>0</v>
      </c>
    </row>
    <row r="745" spans="2:17" x14ac:dyDescent="0.25">
      <c r="B745" t="s">
        <v>694</v>
      </c>
      <c r="C745" t="s">
        <v>748</v>
      </c>
      <c r="D745" t="s">
        <v>749</v>
      </c>
      <c r="E745">
        <v>0</v>
      </c>
      <c r="F745" t="s">
        <v>152</v>
      </c>
      <c r="G745" t="s">
        <v>157</v>
      </c>
      <c r="H745" t="s">
        <v>154</v>
      </c>
      <c r="I745" t="s">
        <v>155</v>
      </c>
      <c r="J745">
        <v>0</v>
      </c>
      <c r="K745">
        <v>45350.666446759256</v>
      </c>
      <c r="L745">
        <v>3502</v>
      </c>
      <c r="O745">
        <v>144</v>
      </c>
      <c r="P745">
        <v>0</v>
      </c>
      <c r="Q745">
        <v>0</v>
      </c>
    </row>
    <row r="746" spans="2:17" x14ac:dyDescent="0.25">
      <c r="B746" t="s">
        <v>694</v>
      </c>
      <c r="C746" t="s">
        <v>620</v>
      </c>
      <c r="D746" t="s">
        <v>750</v>
      </c>
      <c r="E746">
        <v>0</v>
      </c>
      <c r="F746" t="s">
        <v>152</v>
      </c>
      <c r="G746" t="s">
        <v>158</v>
      </c>
      <c r="H746" t="s">
        <v>154</v>
      </c>
      <c r="I746" t="s">
        <v>155</v>
      </c>
      <c r="J746">
        <v>0</v>
      </c>
      <c r="K746">
        <v>45350.666481481479</v>
      </c>
      <c r="L746">
        <v>1368</v>
      </c>
      <c r="O746">
        <v>144</v>
      </c>
      <c r="P746">
        <v>0</v>
      </c>
      <c r="Q746">
        <v>0</v>
      </c>
    </row>
    <row r="747" spans="2:17" x14ac:dyDescent="0.25">
      <c r="B747" t="s">
        <v>176</v>
      </c>
      <c r="C747" t="s">
        <v>392</v>
      </c>
      <c r="D747" t="s">
        <v>751</v>
      </c>
      <c r="E747">
        <v>220</v>
      </c>
      <c r="F747" t="s">
        <v>152</v>
      </c>
      <c r="G747" t="s">
        <v>153</v>
      </c>
      <c r="H747" t="s">
        <v>154</v>
      </c>
      <c r="I747" t="s">
        <v>155</v>
      </c>
      <c r="J747">
        <v>0</v>
      </c>
      <c r="K747">
        <v>45330.688067129631</v>
      </c>
      <c r="L747">
        <v>788</v>
      </c>
      <c r="O747">
        <v>144</v>
      </c>
      <c r="P747">
        <v>1</v>
      </c>
      <c r="Q747">
        <v>75.999999999999986</v>
      </c>
    </row>
    <row r="748" spans="2:17" x14ac:dyDescent="0.25">
      <c r="B748" t="s">
        <v>176</v>
      </c>
      <c r="C748" t="s">
        <v>392</v>
      </c>
      <c r="D748" t="s">
        <v>751</v>
      </c>
      <c r="E748">
        <v>800</v>
      </c>
      <c r="F748" t="s">
        <v>152</v>
      </c>
      <c r="G748" t="s">
        <v>156</v>
      </c>
      <c r="H748" t="s">
        <v>154</v>
      </c>
      <c r="I748" t="s">
        <v>155</v>
      </c>
      <c r="J748">
        <v>0</v>
      </c>
      <c r="K748">
        <v>45330.688067129631</v>
      </c>
      <c r="L748">
        <v>4208</v>
      </c>
      <c r="O748">
        <v>144</v>
      </c>
      <c r="P748">
        <v>5</v>
      </c>
      <c r="Q748">
        <v>79.999999999999972</v>
      </c>
    </row>
    <row r="749" spans="2:17" x14ac:dyDescent="0.25">
      <c r="B749" t="s">
        <v>176</v>
      </c>
      <c r="C749" t="s">
        <v>392</v>
      </c>
      <c r="D749" t="s">
        <v>751</v>
      </c>
      <c r="E749">
        <v>700</v>
      </c>
      <c r="F749" t="s">
        <v>152</v>
      </c>
      <c r="G749" t="s">
        <v>157</v>
      </c>
      <c r="H749" t="s">
        <v>154</v>
      </c>
      <c r="I749" t="s">
        <v>155</v>
      </c>
      <c r="J749">
        <v>0</v>
      </c>
      <c r="K749">
        <v>45330.688067129631</v>
      </c>
      <c r="L749">
        <v>2802</v>
      </c>
      <c r="O749">
        <v>144</v>
      </c>
      <c r="P749">
        <v>4</v>
      </c>
      <c r="Q749">
        <v>123.99999999999994</v>
      </c>
    </row>
    <row r="750" spans="2:17" x14ac:dyDescent="0.25">
      <c r="B750" t="s">
        <v>176</v>
      </c>
      <c r="C750" t="s">
        <v>387</v>
      </c>
      <c r="D750" t="s">
        <v>752</v>
      </c>
      <c r="E750">
        <v>1600</v>
      </c>
      <c r="F750" t="s">
        <v>68</v>
      </c>
      <c r="G750" t="s">
        <v>188</v>
      </c>
      <c r="H750" t="s">
        <v>189</v>
      </c>
      <c r="I750" t="s">
        <v>122</v>
      </c>
      <c r="J750">
        <v>0</v>
      </c>
      <c r="K750">
        <v>45330.688067129631</v>
      </c>
      <c r="L750">
        <v>9400</v>
      </c>
      <c r="O750">
        <v>2400</v>
      </c>
      <c r="P750">
        <v>0</v>
      </c>
      <c r="Q750">
        <v>1600</v>
      </c>
    </row>
    <row r="751" spans="2:17" x14ac:dyDescent="0.25">
      <c r="B751" t="s">
        <v>176</v>
      </c>
      <c r="C751" t="s">
        <v>418</v>
      </c>
      <c r="D751" t="s">
        <v>753</v>
      </c>
      <c r="E751">
        <v>2500</v>
      </c>
      <c r="F751" t="s">
        <v>68</v>
      </c>
      <c r="G751" t="s">
        <v>142</v>
      </c>
      <c r="H751" t="s">
        <v>143</v>
      </c>
      <c r="I751" t="s">
        <v>122</v>
      </c>
      <c r="J751">
        <v>0</v>
      </c>
      <c r="K751">
        <v>45330.688067129631</v>
      </c>
      <c r="L751">
        <v>8200</v>
      </c>
      <c r="O751">
        <v>2400</v>
      </c>
      <c r="P751">
        <v>1</v>
      </c>
      <c r="Q751">
        <v>100.00000000000017</v>
      </c>
    </row>
    <row r="752" spans="2:17" x14ac:dyDescent="0.25">
      <c r="B752" t="s">
        <v>176</v>
      </c>
      <c r="C752" t="s">
        <v>418</v>
      </c>
      <c r="D752" t="s">
        <v>753</v>
      </c>
      <c r="E752">
        <v>40</v>
      </c>
      <c r="F752" t="s">
        <v>68</v>
      </c>
      <c r="G752" t="s">
        <v>788</v>
      </c>
      <c r="H752" t="s">
        <v>187</v>
      </c>
      <c r="I752" t="s">
        <v>161</v>
      </c>
      <c r="J752">
        <v>0</v>
      </c>
      <c r="K752">
        <v>45330.688067129631</v>
      </c>
      <c r="L752">
        <v>480</v>
      </c>
      <c r="O752">
        <v>100</v>
      </c>
      <c r="P752">
        <v>0</v>
      </c>
      <c r="Q752">
        <v>40</v>
      </c>
    </row>
    <row r="753" spans="2:17" x14ac:dyDescent="0.25">
      <c r="B753" t="s">
        <v>321</v>
      </c>
      <c r="C753" t="s">
        <v>561</v>
      </c>
      <c r="D753" t="s">
        <v>754</v>
      </c>
      <c r="E753">
        <v>600</v>
      </c>
      <c r="F753" t="s">
        <v>68</v>
      </c>
      <c r="G753" t="s">
        <v>142</v>
      </c>
      <c r="H753" t="s">
        <v>143</v>
      </c>
      <c r="I753" t="s">
        <v>122</v>
      </c>
      <c r="J753">
        <v>0</v>
      </c>
      <c r="K753">
        <v>45330.688067129631</v>
      </c>
      <c r="L753">
        <v>7600</v>
      </c>
      <c r="O753">
        <v>2400</v>
      </c>
      <c r="P753">
        <v>0</v>
      </c>
      <c r="Q753">
        <v>600</v>
      </c>
    </row>
    <row r="754" spans="2:17" x14ac:dyDescent="0.25">
      <c r="B754" t="s">
        <v>321</v>
      </c>
      <c r="C754" t="s">
        <v>755</v>
      </c>
      <c r="D754" t="s">
        <v>756</v>
      </c>
      <c r="E754">
        <v>500</v>
      </c>
      <c r="F754" t="s">
        <v>68</v>
      </c>
      <c r="G754" t="s">
        <v>132</v>
      </c>
      <c r="H754" t="s">
        <v>133</v>
      </c>
      <c r="I754" t="s">
        <v>122</v>
      </c>
      <c r="J754">
        <v>0</v>
      </c>
      <c r="K754">
        <v>45330.688067129631</v>
      </c>
      <c r="L754">
        <v>11300</v>
      </c>
      <c r="O754">
        <v>1200</v>
      </c>
      <c r="P754">
        <v>0</v>
      </c>
      <c r="Q754">
        <v>500</v>
      </c>
    </row>
    <row r="755" spans="2:17" x14ac:dyDescent="0.25">
      <c r="B755" t="s">
        <v>176</v>
      </c>
      <c r="C755" t="s">
        <v>628</v>
      </c>
      <c r="D755" t="s">
        <v>757</v>
      </c>
      <c r="E755">
        <v>40</v>
      </c>
      <c r="F755" t="s">
        <v>144</v>
      </c>
      <c r="G755" t="s">
        <v>148</v>
      </c>
      <c r="H755" t="s">
        <v>149</v>
      </c>
      <c r="I755" t="s">
        <v>147</v>
      </c>
      <c r="J755">
        <v>0</v>
      </c>
      <c r="K755">
        <v>45351.560983796298</v>
      </c>
      <c r="L755">
        <v>4810</v>
      </c>
      <c r="O755">
        <v>10</v>
      </c>
      <c r="P755">
        <v>4</v>
      </c>
      <c r="Q755">
        <v>0</v>
      </c>
    </row>
    <row r="756" spans="2:17" x14ac:dyDescent="0.25">
      <c r="B756" t="s">
        <v>176</v>
      </c>
      <c r="C756" t="s">
        <v>628</v>
      </c>
      <c r="D756" t="s">
        <v>757</v>
      </c>
      <c r="E756">
        <v>1200</v>
      </c>
      <c r="F756" t="s">
        <v>68</v>
      </c>
      <c r="G756" t="s">
        <v>120</v>
      </c>
      <c r="H756" t="s">
        <v>121</v>
      </c>
      <c r="I756" t="s">
        <v>122</v>
      </c>
      <c r="J756">
        <v>0</v>
      </c>
      <c r="K756">
        <v>45351.561030092591</v>
      </c>
      <c r="L756">
        <v>43100</v>
      </c>
      <c r="O756">
        <v>2400</v>
      </c>
      <c r="P756">
        <v>0</v>
      </c>
      <c r="Q756">
        <v>1200</v>
      </c>
    </row>
    <row r="757" spans="2:17" x14ac:dyDescent="0.25">
      <c r="B757" t="s">
        <v>176</v>
      </c>
      <c r="C757" t="s">
        <v>628</v>
      </c>
      <c r="D757" t="s">
        <v>757</v>
      </c>
      <c r="E757">
        <v>20</v>
      </c>
      <c r="F757" t="s">
        <v>144</v>
      </c>
      <c r="G757" t="s">
        <v>150</v>
      </c>
      <c r="H757" t="s">
        <v>151</v>
      </c>
      <c r="I757" t="s">
        <v>147</v>
      </c>
      <c r="J757">
        <v>0</v>
      </c>
      <c r="K757">
        <v>45351.56318287037</v>
      </c>
      <c r="L757">
        <v>1885</v>
      </c>
      <c r="O757">
        <v>10</v>
      </c>
      <c r="P757">
        <v>2</v>
      </c>
      <c r="Q757">
        <v>0</v>
      </c>
    </row>
    <row r="758" spans="2:17" x14ac:dyDescent="0.25">
      <c r="B758" t="s">
        <v>176</v>
      </c>
      <c r="C758" t="s">
        <v>418</v>
      </c>
      <c r="D758" t="s">
        <v>758</v>
      </c>
      <c r="E758">
        <v>40</v>
      </c>
      <c r="F758" t="s">
        <v>68</v>
      </c>
      <c r="G758" t="s">
        <v>788</v>
      </c>
      <c r="H758" t="s">
        <v>187</v>
      </c>
      <c r="I758" t="s">
        <v>161</v>
      </c>
      <c r="J758">
        <v>0</v>
      </c>
      <c r="K758">
        <v>45351.563217592593</v>
      </c>
      <c r="L758">
        <v>440</v>
      </c>
      <c r="O758">
        <v>100</v>
      </c>
      <c r="P758">
        <v>0</v>
      </c>
      <c r="Q758">
        <v>40</v>
      </c>
    </row>
    <row r="759" spans="2:17" x14ac:dyDescent="0.25">
      <c r="B759" t="s">
        <v>176</v>
      </c>
      <c r="C759" t="s">
        <v>310</v>
      </c>
      <c r="D759" t="s">
        <v>759</v>
      </c>
      <c r="E759">
        <v>5600</v>
      </c>
      <c r="F759" t="s">
        <v>68</v>
      </c>
      <c r="G759" t="s">
        <v>140</v>
      </c>
      <c r="H759" t="s">
        <v>141</v>
      </c>
      <c r="I759" t="s">
        <v>122</v>
      </c>
      <c r="J759">
        <v>0</v>
      </c>
      <c r="K759">
        <v>45351.563263888886</v>
      </c>
      <c r="L759">
        <v>96900</v>
      </c>
      <c r="O759">
        <v>2400</v>
      </c>
      <c r="P759">
        <v>2</v>
      </c>
      <c r="Q759">
        <v>800.00000000000034</v>
      </c>
    </row>
    <row r="760" spans="2:17" x14ac:dyDescent="0.25">
      <c r="B760" t="s">
        <v>176</v>
      </c>
      <c r="C760" t="s">
        <v>392</v>
      </c>
      <c r="D760" t="s">
        <v>760</v>
      </c>
      <c r="E760">
        <v>1000</v>
      </c>
      <c r="F760" t="s">
        <v>68</v>
      </c>
      <c r="G760" t="s">
        <v>181</v>
      </c>
      <c r="H760" t="s">
        <v>182</v>
      </c>
      <c r="I760" t="s">
        <v>183</v>
      </c>
      <c r="J760">
        <v>0</v>
      </c>
      <c r="K760">
        <v>45351.563356481478</v>
      </c>
      <c r="L760">
        <v>-7246</v>
      </c>
      <c r="O760">
        <v>300</v>
      </c>
      <c r="P760">
        <v>3</v>
      </c>
      <c r="Q760">
        <v>100.00000000000004</v>
      </c>
    </row>
    <row r="761" spans="2:17" x14ac:dyDescent="0.25">
      <c r="B761" t="s">
        <v>176</v>
      </c>
      <c r="C761" t="s">
        <v>392</v>
      </c>
      <c r="D761" t="s">
        <v>725</v>
      </c>
      <c r="E761">
        <v>5600</v>
      </c>
      <c r="F761" t="s">
        <v>68</v>
      </c>
      <c r="G761" t="s">
        <v>140</v>
      </c>
      <c r="H761" t="s">
        <v>141</v>
      </c>
      <c r="I761" t="s">
        <v>122</v>
      </c>
      <c r="J761">
        <v>0</v>
      </c>
      <c r="K761">
        <v>45352.328344907408</v>
      </c>
      <c r="L761">
        <v>91300</v>
      </c>
      <c r="O761">
        <v>2400</v>
      </c>
      <c r="P761">
        <v>2</v>
      </c>
      <c r="Q761">
        <v>800.00000000000034</v>
      </c>
    </row>
    <row r="762" spans="2:17" x14ac:dyDescent="0.25">
      <c r="B762" t="s">
        <v>176</v>
      </c>
      <c r="C762" t="s">
        <v>392</v>
      </c>
      <c r="D762" t="s">
        <v>725</v>
      </c>
      <c r="E762">
        <v>698</v>
      </c>
      <c r="F762" t="s">
        <v>152</v>
      </c>
      <c r="G762" t="s">
        <v>153</v>
      </c>
      <c r="H762" t="s">
        <v>154</v>
      </c>
      <c r="I762" t="s">
        <v>155</v>
      </c>
      <c r="J762">
        <v>0</v>
      </c>
      <c r="K762">
        <v>45352.3283912037</v>
      </c>
      <c r="L762">
        <v>90</v>
      </c>
      <c r="O762">
        <v>144</v>
      </c>
      <c r="P762">
        <v>4</v>
      </c>
      <c r="Q762">
        <v>122.00000000000001</v>
      </c>
    </row>
    <row r="763" spans="2:17" x14ac:dyDescent="0.25">
      <c r="B763" t="s">
        <v>176</v>
      </c>
      <c r="C763" t="s">
        <v>418</v>
      </c>
      <c r="D763" t="s">
        <v>726</v>
      </c>
      <c r="E763">
        <v>30</v>
      </c>
      <c r="F763" t="s">
        <v>68</v>
      </c>
      <c r="G763" t="s">
        <v>788</v>
      </c>
      <c r="H763" t="s">
        <v>187</v>
      </c>
      <c r="I763" t="s">
        <v>161</v>
      </c>
      <c r="J763">
        <v>0</v>
      </c>
      <c r="K763">
        <v>45352.328414351854</v>
      </c>
      <c r="L763">
        <v>410</v>
      </c>
      <c r="O763">
        <v>100</v>
      </c>
      <c r="P763">
        <v>0</v>
      </c>
      <c r="Q763">
        <v>30</v>
      </c>
    </row>
    <row r="764" spans="2:17" x14ac:dyDescent="0.25">
      <c r="B764" t="s">
        <v>176</v>
      </c>
      <c r="C764" t="s">
        <v>628</v>
      </c>
      <c r="D764" t="s">
        <v>727</v>
      </c>
      <c r="E764">
        <v>40</v>
      </c>
      <c r="F764" t="s">
        <v>144</v>
      </c>
      <c r="G764" t="s">
        <v>148</v>
      </c>
      <c r="H764" t="s">
        <v>149</v>
      </c>
      <c r="I764" t="s">
        <v>147</v>
      </c>
      <c r="J764">
        <v>0</v>
      </c>
      <c r="K764">
        <v>45352.3284375</v>
      </c>
      <c r="L764">
        <v>4770</v>
      </c>
      <c r="O764">
        <v>10</v>
      </c>
      <c r="P764">
        <v>4</v>
      </c>
      <c r="Q764">
        <v>0</v>
      </c>
    </row>
    <row r="765" spans="2:17" x14ac:dyDescent="0.25">
      <c r="B765" t="s">
        <v>176</v>
      </c>
      <c r="C765" t="s">
        <v>628</v>
      </c>
      <c r="D765" t="s">
        <v>727</v>
      </c>
      <c r="E765">
        <v>1200</v>
      </c>
      <c r="F765" t="s">
        <v>68</v>
      </c>
      <c r="G765" t="s">
        <v>120</v>
      </c>
      <c r="H765" t="s">
        <v>121</v>
      </c>
      <c r="I765" t="s">
        <v>122</v>
      </c>
      <c r="J765">
        <v>0</v>
      </c>
      <c r="K765">
        <v>45352.328460648147</v>
      </c>
      <c r="L765">
        <v>41900</v>
      </c>
      <c r="O765">
        <v>2400</v>
      </c>
      <c r="P765">
        <v>0</v>
      </c>
      <c r="Q765">
        <v>1200</v>
      </c>
    </row>
    <row r="766" spans="2:17" x14ac:dyDescent="0.25">
      <c r="B766" t="s">
        <v>176</v>
      </c>
      <c r="C766" t="s">
        <v>771</v>
      </c>
      <c r="D766" t="s">
        <v>728</v>
      </c>
      <c r="E766">
        <v>500</v>
      </c>
      <c r="F766" t="s">
        <v>152</v>
      </c>
      <c r="G766" t="s">
        <v>158</v>
      </c>
      <c r="H766" t="s">
        <v>154</v>
      </c>
      <c r="I766" t="s">
        <v>155</v>
      </c>
      <c r="J766">
        <v>0</v>
      </c>
      <c r="K766">
        <v>45352.328472222223</v>
      </c>
      <c r="L766">
        <v>868</v>
      </c>
      <c r="O766">
        <v>144</v>
      </c>
      <c r="P766">
        <v>3</v>
      </c>
      <c r="Q766">
        <v>68.000000000000014</v>
      </c>
    </row>
    <row r="767" spans="2:17" x14ac:dyDescent="0.25">
      <c r="B767" t="s">
        <v>176</v>
      </c>
      <c r="C767" t="s">
        <v>771</v>
      </c>
      <c r="D767" t="s">
        <v>728</v>
      </c>
      <c r="E767">
        <v>30</v>
      </c>
      <c r="F767" t="s">
        <v>68</v>
      </c>
      <c r="G767" t="s">
        <v>787</v>
      </c>
      <c r="H767" t="s">
        <v>167</v>
      </c>
      <c r="I767" t="s">
        <v>161</v>
      </c>
      <c r="J767">
        <v>0</v>
      </c>
      <c r="K767">
        <v>45352.328483796293</v>
      </c>
      <c r="L767">
        <v>104</v>
      </c>
      <c r="O767">
        <v>4</v>
      </c>
      <c r="P767">
        <v>7</v>
      </c>
      <c r="Q767">
        <v>2</v>
      </c>
    </row>
    <row r="768" spans="2:17" x14ac:dyDescent="0.25">
      <c r="B768" t="s">
        <v>176</v>
      </c>
      <c r="C768" t="s">
        <v>771</v>
      </c>
      <c r="D768" t="s">
        <v>728</v>
      </c>
      <c r="E768">
        <v>1000</v>
      </c>
      <c r="F768" t="s">
        <v>68</v>
      </c>
      <c r="G768" t="s">
        <v>159</v>
      </c>
      <c r="H768" t="s">
        <v>160</v>
      </c>
      <c r="I768" t="s">
        <v>161</v>
      </c>
      <c r="J768">
        <v>0</v>
      </c>
      <c r="K768">
        <v>45352.328506944446</v>
      </c>
      <c r="L768">
        <v>5888</v>
      </c>
      <c r="O768">
        <v>24</v>
      </c>
      <c r="P768">
        <v>41</v>
      </c>
      <c r="Q768">
        <v>15.999999999999943</v>
      </c>
    </row>
    <row r="769" spans="2:17" x14ac:dyDescent="0.25">
      <c r="B769" t="s">
        <v>176</v>
      </c>
      <c r="C769" t="s">
        <v>772</v>
      </c>
      <c r="D769" t="s">
        <v>729</v>
      </c>
      <c r="E769">
        <v>5000</v>
      </c>
      <c r="F769" t="s">
        <v>68</v>
      </c>
      <c r="G769" t="s">
        <v>163</v>
      </c>
      <c r="H769" t="s">
        <v>164</v>
      </c>
      <c r="I769" t="s">
        <v>161</v>
      </c>
      <c r="J769">
        <v>0</v>
      </c>
      <c r="K769">
        <v>45352.328541666669</v>
      </c>
      <c r="L769">
        <v>18620</v>
      </c>
      <c r="O769">
        <v>440</v>
      </c>
      <c r="P769">
        <v>11</v>
      </c>
      <c r="Q769">
        <v>159.99999999999986</v>
      </c>
    </row>
    <row r="770" spans="2:17" x14ac:dyDescent="0.25">
      <c r="B770" t="s">
        <v>321</v>
      </c>
      <c r="C770" t="s">
        <v>732</v>
      </c>
      <c r="D770">
        <v>2113</v>
      </c>
      <c r="E770">
        <v>2500</v>
      </c>
      <c r="F770" t="s">
        <v>68</v>
      </c>
      <c r="G770" t="s">
        <v>163</v>
      </c>
      <c r="H770" t="s">
        <v>164</v>
      </c>
      <c r="I770" t="s">
        <v>161</v>
      </c>
      <c r="K770">
        <v>45352.37127314815</v>
      </c>
      <c r="O770">
        <v>440</v>
      </c>
      <c r="P770">
        <v>5</v>
      </c>
      <c r="Q770">
        <v>299.99999999999994</v>
      </c>
    </row>
    <row r="771" spans="2:17" x14ac:dyDescent="0.25">
      <c r="B771" t="s">
        <v>321</v>
      </c>
      <c r="C771" t="s">
        <v>732</v>
      </c>
      <c r="D771">
        <v>2113</v>
      </c>
      <c r="E771">
        <v>1000</v>
      </c>
      <c r="F771" t="s">
        <v>68</v>
      </c>
      <c r="G771" t="s">
        <v>197</v>
      </c>
      <c r="H771" t="s">
        <v>198</v>
      </c>
      <c r="I771" t="s">
        <v>161</v>
      </c>
      <c r="K771">
        <v>45352.371354166666</v>
      </c>
      <c r="O771">
        <v>2000</v>
      </c>
      <c r="P771">
        <v>0</v>
      </c>
      <c r="Q771">
        <v>1000</v>
      </c>
    </row>
    <row r="772" spans="2:17" x14ac:dyDescent="0.25">
      <c r="B772" t="s">
        <v>321</v>
      </c>
      <c r="C772" t="s">
        <v>724</v>
      </c>
      <c r="D772">
        <v>2111</v>
      </c>
      <c r="E772">
        <v>2</v>
      </c>
      <c r="F772" t="s">
        <v>68</v>
      </c>
      <c r="G772" t="s">
        <v>430</v>
      </c>
      <c r="H772" t="s">
        <v>199</v>
      </c>
      <c r="K772">
        <v>45352.371932870374</v>
      </c>
      <c r="O772">
        <v>40</v>
      </c>
      <c r="P772">
        <v>0</v>
      </c>
      <c r="Q772">
        <v>2</v>
      </c>
    </row>
    <row r="773" spans="2:17" x14ac:dyDescent="0.25">
      <c r="B773" t="s">
        <v>321</v>
      </c>
      <c r="C773" t="s">
        <v>724</v>
      </c>
      <c r="D773">
        <v>2111</v>
      </c>
      <c r="E773">
        <v>120</v>
      </c>
      <c r="F773" t="s">
        <v>68</v>
      </c>
      <c r="G773" t="s">
        <v>219</v>
      </c>
      <c r="H773" t="s">
        <v>220</v>
      </c>
      <c r="I773" t="s">
        <v>161</v>
      </c>
      <c r="K773">
        <v>45352.372048611112</v>
      </c>
      <c r="O773">
        <v>100</v>
      </c>
      <c r="P773">
        <v>1</v>
      </c>
      <c r="Q773">
        <v>19.999999999999996</v>
      </c>
    </row>
    <row r="774" spans="2:17" x14ac:dyDescent="0.25">
      <c r="B774" t="s">
        <v>321</v>
      </c>
      <c r="C774" t="s">
        <v>724</v>
      </c>
      <c r="D774">
        <v>2111</v>
      </c>
      <c r="E774">
        <v>250</v>
      </c>
      <c r="F774" t="s">
        <v>68</v>
      </c>
      <c r="G774" t="s">
        <v>172</v>
      </c>
      <c r="H774" t="s">
        <v>173</v>
      </c>
      <c r="K774">
        <v>45352.372777777775</v>
      </c>
      <c r="O774">
        <v>24</v>
      </c>
      <c r="P774">
        <v>10</v>
      </c>
      <c r="Q774">
        <v>9.9999999999999858</v>
      </c>
    </row>
    <row r="775" spans="2:17" x14ac:dyDescent="0.25">
      <c r="B775" t="s">
        <v>321</v>
      </c>
      <c r="C775" t="s">
        <v>724</v>
      </c>
      <c r="D775">
        <v>2111</v>
      </c>
      <c r="E775">
        <v>12000</v>
      </c>
      <c r="F775" t="s">
        <v>68</v>
      </c>
      <c r="G775" t="s">
        <v>140</v>
      </c>
      <c r="H775" t="s">
        <v>141</v>
      </c>
      <c r="I775" t="s">
        <v>122</v>
      </c>
      <c r="K775">
        <v>45352.372777777775</v>
      </c>
      <c r="O775">
        <v>2400</v>
      </c>
      <c r="P775">
        <v>5</v>
      </c>
      <c r="Q775">
        <v>0</v>
      </c>
    </row>
    <row r="776" spans="2:17" x14ac:dyDescent="0.25">
      <c r="B776" t="s">
        <v>321</v>
      </c>
      <c r="C776" t="s">
        <v>724</v>
      </c>
      <c r="D776">
        <v>2112</v>
      </c>
      <c r="E776">
        <v>2</v>
      </c>
      <c r="F776" t="s">
        <v>68</v>
      </c>
      <c r="G776" t="s">
        <v>200</v>
      </c>
      <c r="H776" t="s">
        <v>201</v>
      </c>
      <c r="K776">
        <v>45352.372789351852</v>
      </c>
      <c r="O776">
        <v>36</v>
      </c>
      <c r="P776">
        <v>0</v>
      </c>
      <c r="Q776">
        <v>2</v>
      </c>
    </row>
    <row r="777" spans="2:17" x14ac:dyDescent="0.25">
      <c r="B777" t="s">
        <v>321</v>
      </c>
      <c r="C777" t="s">
        <v>724</v>
      </c>
      <c r="D777">
        <v>2112</v>
      </c>
      <c r="E777">
        <v>120</v>
      </c>
      <c r="F777" t="s">
        <v>68</v>
      </c>
      <c r="G777" t="s">
        <v>427</v>
      </c>
      <c r="H777" t="s">
        <v>166</v>
      </c>
      <c r="I777" t="s">
        <v>161</v>
      </c>
      <c r="K777">
        <v>45352.372789351852</v>
      </c>
      <c r="O777">
        <v>60</v>
      </c>
      <c r="P777">
        <v>2</v>
      </c>
      <c r="Q777">
        <v>0</v>
      </c>
    </row>
    <row r="778" spans="2:17" x14ac:dyDescent="0.25">
      <c r="B778" t="s">
        <v>321</v>
      </c>
      <c r="C778" t="s">
        <v>724</v>
      </c>
      <c r="D778">
        <v>2119</v>
      </c>
      <c r="E778">
        <v>10</v>
      </c>
      <c r="F778" t="s">
        <v>68</v>
      </c>
      <c r="G778" t="s">
        <v>175</v>
      </c>
      <c r="H778" t="s">
        <v>173</v>
      </c>
      <c r="K778">
        <v>45352.372800925928</v>
      </c>
      <c r="O778">
        <v>12</v>
      </c>
      <c r="P778">
        <v>0</v>
      </c>
      <c r="Q778">
        <v>10</v>
      </c>
    </row>
    <row r="779" spans="2:17" x14ac:dyDescent="0.25">
      <c r="B779" t="s">
        <v>321</v>
      </c>
      <c r="C779" t="s">
        <v>724</v>
      </c>
      <c r="D779">
        <v>2119</v>
      </c>
      <c r="E779">
        <v>200</v>
      </c>
      <c r="F779" t="s">
        <v>68</v>
      </c>
      <c r="G779" t="s">
        <v>170</v>
      </c>
      <c r="H779" t="s">
        <v>171</v>
      </c>
      <c r="I779" t="s">
        <v>122</v>
      </c>
      <c r="K779">
        <v>45352.372800925928</v>
      </c>
      <c r="O779">
        <v>100</v>
      </c>
      <c r="P779">
        <v>2</v>
      </c>
      <c r="Q779">
        <v>0</v>
      </c>
    </row>
    <row r="780" spans="2:17" x14ac:dyDescent="0.25">
      <c r="B780" t="s">
        <v>321</v>
      </c>
      <c r="C780" t="s">
        <v>724</v>
      </c>
      <c r="D780">
        <v>2122</v>
      </c>
      <c r="E780">
        <v>130</v>
      </c>
      <c r="F780" t="s">
        <v>68</v>
      </c>
      <c r="G780" t="s">
        <v>168</v>
      </c>
      <c r="H780" t="s">
        <v>169</v>
      </c>
      <c r="I780" t="s">
        <v>122</v>
      </c>
      <c r="K780">
        <v>45352.372835648152</v>
      </c>
      <c r="O780">
        <v>200</v>
      </c>
      <c r="P780">
        <v>0</v>
      </c>
      <c r="Q780">
        <v>130</v>
      </c>
    </row>
    <row r="781" spans="2:17" x14ac:dyDescent="0.25">
      <c r="B781" t="s">
        <v>321</v>
      </c>
      <c r="C781" t="s">
        <v>724</v>
      </c>
      <c r="D781">
        <v>2120</v>
      </c>
      <c r="E781">
        <v>10000</v>
      </c>
      <c r="F781" t="s">
        <v>68</v>
      </c>
      <c r="G781" t="s">
        <v>124</v>
      </c>
      <c r="H781" t="s">
        <v>125</v>
      </c>
      <c r="I781" t="s">
        <v>122</v>
      </c>
      <c r="K781">
        <v>45352.373055555552</v>
      </c>
      <c r="O781">
        <v>1200</v>
      </c>
      <c r="P781">
        <v>8</v>
      </c>
      <c r="Q781">
        <v>400.00000000000068</v>
      </c>
    </row>
    <row r="782" spans="2:17" x14ac:dyDescent="0.25">
      <c r="B782" t="s">
        <v>321</v>
      </c>
      <c r="C782" t="s">
        <v>724</v>
      </c>
      <c r="D782">
        <v>2118</v>
      </c>
      <c r="E782">
        <v>144</v>
      </c>
      <c r="F782" t="s">
        <v>152</v>
      </c>
      <c r="G782" t="s">
        <v>157</v>
      </c>
      <c r="H782" t="s">
        <v>154</v>
      </c>
      <c r="I782" t="s">
        <v>155</v>
      </c>
      <c r="K782">
        <v>45352.373055555552</v>
      </c>
      <c r="O782">
        <v>144</v>
      </c>
      <c r="P782">
        <v>1</v>
      </c>
      <c r="Q782">
        <v>0</v>
      </c>
    </row>
    <row r="783" spans="2:17" x14ac:dyDescent="0.25">
      <c r="B783" t="s">
        <v>321</v>
      </c>
      <c r="C783" t="s">
        <v>724</v>
      </c>
      <c r="D783">
        <v>2117</v>
      </c>
      <c r="E783">
        <v>175</v>
      </c>
      <c r="F783" t="s">
        <v>144</v>
      </c>
      <c r="G783" t="s">
        <v>150</v>
      </c>
      <c r="H783" t="s">
        <v>151</v>
      </c>
      <c r="I783" t="s">
        <v>147</v>
      </c>
      <c r="K783">
        <v>45352.373067129629</v>
      </c>
      <c r="O783">
        <v>10</v>
      </c>
      <c r="P783">
        <v>17</v>
      </c>
      <c r="Q783">
        <v>5</v>
      </c>
    </row>
    <row r="784" spans="2:17" x14ac:dyDescent="0.25">
      <c r="B784" t="s">
        <v>321</v>
      </c>
      <c r="C784" t="s">
        <v>724</v>
      </c>
      <c r="D784">
        <v>2117</v>
      </c>
      <c r="E784">
        <v>4</v>
      </c>
      <c r="F784" t="s">
        <v>144</v>
      </c>
      <c r="G784" t="s">
        <v>148</v>
      </c>
      <c r="H784" t="s">
        <v>149</v>
      </c>
      <c r="I784" t="s">
        <v>147</v>
      </c>
      <c r="K784">
        <v>45352.373067129629</v>
      </c>
      <c r="O784">
        <v>10</v>
      </c>
      <c r="P784">
        <v>0</v>
      </c>
      <c r="Q784">
        <v>4</v>
      </c>
    </row>
    <row r="785" spans="1:17" x14ac:dyDescent="0.25">
      <c r="B785" t="s">
        <v>321</v>
      </c>
      <c r="C785" t="s">
        <v>724</v>
      </c>
      <c r="D785">
        <v>2115</v>
      </c>
      <c r="E785">
        <v>6</v>
      </c>
      <c r="F785" t="s">
        <v>68</v>
      </c>
      <c r="G785" t="s">
        <v>786</v>
      </c>
      <c r="H785" t="s">
        <v>165</v>
      </c>
      <c r="I785" t="s">
        <v>161</v>
      </c>
      <c r="K785">
        <v>45352.373090277775</v>
      </c>
      <c r="O785">
        <v>24</v>
      </c>
      <c r="P785">
        <v>0</v>
      </c>
      <c r="Q785">
        <v>6</v>
      </c>
    </row>
    <row r="786" spans="1:17" x14ac:dyDescent="0.25">
      <c r="B786" t="s">
        <v>321</v>
      </c>
      <c r="C786" t="s">
        <v>724</v>
      </c>
      <c r="D786">
        <v>2115</v>
      </c>
      <c r="E786">
        <v>3700</v>
      </c>
      <c r="F786" t="s">
        <v>68</v>
      </c>
      <c r="G786" t="s">
        <v>138</v>
      </c>
      <c r="H786" t="s">
        <v>139</v>
      </c>
      <c r="I786" t="s">
        <v>122</v>
      </c>
      <c r="K786">
        <v>45352.373229166667</v>
      </c>
      <c r="O786">
        <v>3000</v>
      </c>
      <c r="P786">
        <v>1</v>
      </c>
      <c r="Q786">
        <v>700.00000000000023</v>
      </c>
    </row>
    <row r="787" spans="1:17" x14ac:dyDescent="0.25">
      <c r="B787" t="s">
        <v>321</v>
      </c>
      <c r="C787" t="s">
        <v>724</v>
      </c>
      <c r="D787">
        <v>2121</v>
      </c>
      <c r="E787">
        <v>12000</v>
      </c>
      <c r="F787" t="s">
        <v>68</v>
      </c>
      <c r="G787" t="s">
        <v>120</v>
      </c>
      <c r="H787" t="s">
        <v>121</v>
      </c>
      <c r="I787" t="s">
        <v>122</v>
      </c>
      <c r="K787">
        <v>45352.373437499999</v>
      </c>
      <c r="O787">
        <v>2400</v>
      </c>
      <c r="P787">
        <v>5</v>
      </c>
      <c r="Q787">
        <v>0</v>
      </c>
    </row>
    <row r="788" spans="1:17" x14ac:dyDescent="0.25">
      <c r="B788" t="s">
        <v>321</v>
      </c>
      <c r="C788" t="s">
        <v>724</v>
      </c>
      <c r="D788">
        <v>2121</v>
      </c>
      <c r="E788">
        <v>500</v>
      </c>
      <c r="F788" t="s">
        <v>68</v>
      </c>
      <c r="G788" t="s">
        <v>132</v>
      </c>
      <c r="H788" t="s">
        <v>133</v>
      </c>
      <c r="I788" t="s">
        <v>122</v>
      </c>
      <c r="K788">
        <v>45352.373449074075</v>
      </c>
      <c r="O788">
        <v>1200</v>
      </c>
      <c r="P788">
        <v>0</v>
      </c>
      <c r="Q788">
        <v>500</v>
      </c>
    </row>
    <row r="789" spans="1:17" x14ac:dyDescent="0.25">
      <c r="B789" t="s">
        <v>321</v>
      </c>
      <c r="C789" t="s">
        <v>724</v>
      </c>
      <c r="D789">
        <v>2114</v>
      </c>
      <c r="E789">
        <v>240</v>
      </c>
      <c r="F789" t="s">
        <v>68</v>
      </c>
      <c r="G789" t="s">
        <v>181</v>
      </c>
      <c r="H789" t="s">
        <v>182</v>
      </c>
      <c r="I789" t="s">
        <v>183</v>
      </c>
      <c r="K789">
        <v>45352.373449074075</v>
      </c>
      <c r="O789">
        <v>300</v>
      </c>
      <c r="P789">
        <v>0</v>
      </c>
      <c r="Q789">
        <v>240</v>
      </c>
    </row>
    <row r="790" spans="1:17" x14ac:dyDescent="0.25">
      <c r="B790" t="s">
        <v>321</v>
      </c>
      <c r="C790" t="s">
        <v>724</v>
      </c>
      <c r="D790">
        <v>2114</v>
      </c>
      <c r="E790">
        <v>10</v>
      </c>
      <c r="F790" t="s">
        <v>68</v>
      </c>
      <c r="G790" t="s">
        <v>787</v>
      </c>
      <c r="H790" t="s">
        <v>167</v>
      </c>
      <c r="I790" t="s">
        <v>161</v>
      </c>
      <c r="K790">
        <v>45352.373449074075</v>
      </c>
      <c r="O790">
        <v>4</v>
      </c>
      <c r="P790">
        <v>2</v>
      </c>
      <c r="Q790">
        <v>2</v>
      </c>
    </row>
    <row r="791" spans="1:17" x14ac:dyDescent="0.25">
      <c r="B791" t="s">
        <v>321</v>
      </c>
      <c r="C791" t="s">
        <v>724</v>
      </c>
      <c r="D791">
        <v>2114</v>
      </c>
      <c r="E791">
        <v>50</v>
      </c>
      <c r="F791" t="s">
        <v>68</v>
      </c>
      <c r="G791" t="s">
        <v>788</v>
      </c>
      <c r="H791" t="s">
        <v>187</v>
      </c>
      <c r="I791" t="s">
        <v>161</v>
      </c>
      <c r="K791">
        <v>45352.373460648145</v>
      </c>
      <c r="O791">
        <v>100</v>
      </c>
      <c r="P791">
        <v>0</v>
      </c>
      <c r="Q791">
        <v>50</v>
      </c>
    </row>
    <row r="792" spans="1:17" x14ac:dyDescent="0.25">
      <c r="B792" t="s">
        <v>321</v>
      </c>
      <c r="C792" t="s">
        <v>724</v>
      </c>
      <c r="D792">
        <v>2110</v>
      </c>
      <c r="E792">
        <v>36</v>
      </c>
      <c r="F792" t="s">
        <v>68</v>
      </c>
      <c r="G792" t="s">
        <v>184</v>
      </c>
      <c r="H792" t="s">
        <v>185</v>
      </c>
      <c r="K792">
        <v>45352.373460648145</v>
      </c>
      <c r="O792">
        <v>4</v>
      </c>
      <c r="P792">
        <v>9</v>
      </c>
      <c r="Q792">
        <v>0</v>
      </c>
    </row>
    <row r="793" spans="1:17" x14ac:dyDescent="0.25">
      <c r="A793" t="s">
        <v>801</v>
      </c>
      <c r="B793" t="s">
        <v>321</v>
      </c>
      <c r="C793">
        <v>41219425</v>
      </c>
      <c r="D793" t="s">
        <v>802</v>
      </c>
      <c r="E793">
        <v>12000</v>
      </c>
      <c r="F793" t="s">
        <v>68</v>
      </c>
      <c r="G793" t="s">
        <v>140</v>
      </c>
      <c r="H793" t="s">
        <v>141</v>
      </c>
      <c r="I793" t="s">
        <v>122</v>
      </c>
      <c r="J793">
        <v>0</v>
      </c>
      <c r="K793">
        <v>45352.662499999999</v>
      </c>
      <c r="L793">
        <v>79300</v>
      </c>
      <c r="O793">
        <v>2400</v>
      </c>
      <c r="P793">
        <v>5</v>
      </c>
      <c r="Q793">
        <v>0</v>
      </c>
    </row>
    <row r="794" spans="1:17" x14ac:dyDescent="0.25">
      <c r="A794" t="s">
        <v>801</v>
      </c>
      <c r="B794" t="s">
        <v>321</v>
      </c>
      <c r="C794">
        <v>41219425</v>
      </c>
      <c r="D794" t="s">
        <v>802</v>
      </c>
      <c r="E794">
        <v>250</v>
      </c>
      <c r="F794" t="s">
        <v>68</v>
      </c>
      <c r="G794" t="s">
        <v>172</v>
      </c>
      <c r="H794" t="s">
        <v>173</v>
      </c>
      <c r="J794">
        <v>0</v>
      </c>
      <c r="K794">
        <v>45352.662592592591</v>
      </c>
      <c r="L794">
        <v>1602</v>
      </c>
      <c r="O794">
        <v>24</v>
      </c>
      <c r="P794">
        <v>10</v>
      </c>
      <c r="Q794">
        <v>9.9999999999999858</v>
      </c>
    </row>
    <row r="795" spans="1:17" x14ac:dyDescent="0.25">
      <c r="A795" t="s">
        <v>801</v>
      </c>
      <c r="B795" t="s">
        <v>321</v>
      </c>
      <c r="C795">
        <v>41219425</v>
      </c>
      <c r="D795" t="s">
        <v>802</v>
      </c>
      <c r="E795">
        <v>120</v>
      </c>
      <c r="F795" t="s">
        <v>68</v>
      </c>
      <c r="G795" t="s">
        <v>219</v>
      </c>
      <c r="H795" t="s">
        <v>220</v>
      </c>
      <c r="I795" t="s">
        <v>161</v>
      </c>
      <c r="J795">
        <v>0</v>
      </c>
      <c r="K795">
        <v>45352.662615740737</v>
      </c>
      <c r="L795">
        <v>5060</v>
      </c>
      <c r="O795">
        <v>100</v>
      </c>
      <c r="P795">
        <v>1</v>
      </c>
      <c r="Q795">
        <v>19.999999999999996</v>
      </c>
    </row>
    <row r="796" spans="1:17" x14ac:dyDescent="0.25">
      <c r="A796" t="s">
        <v>801</v>
      </c>
      <c r="B796" t="s">
        <v>321</v>
      </c>
      <c r="C796">
        <v>41219425</v>
      </c>
      <c r="D796" t="s">
        <v>802</v>
      </c>
      <c r="E796">
        <v>2</v>
      </c>
      <c r="F796" t="s">
        <v>68</v>
      </c>
      <c r="G796" t="s">
        <v>430</v>
      </c>
      <c r="H796" t="s">
        <v>199</v>
      </c>
      <c r="J796">
        <v>0</v>
      </c>
      <c r="K796">
        <v>45352.662638888891</v>
      </c>
      <c r="L796">
        <v>84</v>
      </c>
      <c r="O796">
        <v>40</v>
      </c>
      <c r="P796">
        <v>0</v>
      </c>
      <c r="Q796">
        <v>2</v>
      </c>
    </row>
    <row r="797" spans="1:17" x14ac:dyDescent="0.25">
      <c r="A797" t="s">
        <v>801</v>
      </c>
      <c r="B797" t="s">
        <v>321</v>
      </c>
      <c r="C797">
        <v>41218860</v>
      </c>
      <c r="D797" t="s">
        <v>803</v>
      </c>
      <c r="E797">
        <v>2</v>
      </c>
      <c r="F797" t="s">
        <v>68</v>
      </c>
      <c r="G797" t="s">
        <v>200</v>
      </c>
      <c r="H797" t="s">
        <v>201</v>
      </c>
      <c r="J797">
        <v>0</v>
      </c>
      <c r="K797">
        <v>45352.662662037037</v>
      </c>
      <c r="L797">
        <v>2</v>
      </c>
      <c r="O797">
        <v>36</v>
      </c>
      <c r="P797">
        <v>0</v>
      </c>
      <c r="Q797">
        <v>2</v>
      </c>
    </row>
    <row r="798" spans="1:17" x14ac:dyDescent="0.25">
      <c r="A798" t="s">
        <v>801</v>
      </c>
      <c r="B798" t="s">
        <v>321</v>
      </c>
      <c r="C798">
        <v>41218860</v>
      </c>
      <c r="D798" t="s">
        <v>803</v>
      </c>
      <c r="E798">
        <v>120</v>
      </c>
      <c r="F798" t="s">
        <v>68</v>
      </c>
      <c r="G798" t="s">
        <v>427</v>
      </c>
      <c r="H798" t="s">
        <v>166</v>
      </c>
      <c r="I798" t="s">
        <v>161</v>
      </c>
      <c r="J798">
        <v>0</v>
      </c>
      <c r="K798">
        <v>45352.662685185183</v>
      </c>
      <c r="L798">
        <v>4300</v>
      </c>
      <c r="O798">
        <v>60</v>
      </c>
      <c r="P798">
        <v>2</v>
      </c>
      <c r="Q798">
        <v>0</v>
      </c>
    </row>
    <row r="799" spans="1:17" x14ac:dyDescent="0.25">
      <c r="A799" t="s">
        <v>801</v>
      </c>
      <c r="B799" t="s">
        <v>321</v>
      </c>
      <c r="C799">
        <v>41219252</v>
      </c>
      <c r="D799" t="s">
        <v>804</v>
      </c>
      <c r="E799">
        <v>1000</v>
      </c>
      <c r="F799" t="s">
        <v>68</v>
      </c>
      <c r="G799" t="s">
        <v>197</v>
      </c>
      <c r="H799" t="s">
        <v>198</v>
      </c>
      <c r="I799" t="s">
        <v>161</v>
      </c>
      <c r="J799">
        <v>0</v>
      </c>
      <c r="K799">
        <v>45352.66269675926</v>
      </c>
      <c r="L799">
        <v>29000</v>
      </c>
      <c r="O799">
        <v>2000</v>
      </c>
      <c r="P799">
        <v>0</v>
      </c>
      <c r="Q799">
        <v>1000</v>
      </c>
    </row>
    <row r="800" spans="1:17" x14ac:dyDescent="0.25">
      <c r="A800" t="s">
        <v>801</v>
      </c>
      <c r="B800" t="s">
        <v>321</v>
      </c>
      <c r="C800">
        <v>41219252</v>
      </c>
      <c r="D800" t="s">
        <v>804</v>
      </c>
      <c r="E800">
        <v>2500</v>
      </c>
      <c r="F800" t="s">
        <v>68</v>
      </c>
      <c r="G800" t="s">
        <v>163</v>
      </c>
      <c r="H800" t="s">
        <v>164</v>
      </c>
      <c r="I800" t="s">
        <v>161</v>
      </c>
      <c r="J800">
        <v>0</v>
      </c>
      <c r="K800">
        <v>45352.662731481483</v>
      </c>
      <c r="L800">
        <v>16120</v>
      </c>
      <c r="O800">
        <v>440</v>
      </c>
      <c r="P800">
        <v>5</v>
      </c>
      <c r="Q800">
        <v>299.99999999999994</v>
      </c>
    </row>
    <row r="801" spans="1:17" x14ac:dyDescent="0.25">
      <c r="A801" t="s">
        <v>801</v>
      </c>
      <c r="B801" t="s">
        <v>321</v>
      </c>
      <c r="C801">
        <v>41219949</v>
      </c>
      <c r="D801" t="s">
        <v>805</v>
      </c>
      <c r="E801">
        <v>240</v>
      </c>
      <c r="F801" t="s">
        <v>68</v>
      </c>
      <c r="G801" t="s">
        <v>181</v>
      </c>
      <c r="H801" t="s">
        <v>182</v>
      </c>
      <c r="I801" t="s">
        <v>183</v>
      </c>
      <c r="J801">
        <v>0</v>
      </c>
      <c r="K801">
        <v>45352.662777777776</v>
      </c>
      <c r="L801">
        <v>-7486</v>
      </c>
      <c r="O801">
        <v>300</v>
      </c>
      <c r="P801">
        <v>0</v>
      </c>
      <c r="Q801">
        <v>240</v>
      </c>
    </row>
    <row r="802" spans="1:17" x14ac:dyDescent="0.25">
      <c r="A802" t="s">
        <v>801</v>
      </c>
      <c r="B802" t="s">
        <v>321</v>
      </c>
      <c r="C802">
        <v>41219949</v>
      </c>
      <c r="D802" t="s">
        <v>805</v>
      </c>
      <c r="E802">
        <v>50</v>
      </c>
      <c r="F802" t="s">
        <v>68</v>
      </c>
      <c r="G802" t="s">
        <v>788</v>
      </c>
      <c r="H802" t="s">
        <v>187</v>
      </c>
      <c r="I802" t="s">
        <v>161</v>
      </c>
      <c r="J802">
        <v>0</v>
      </c>
      <c r="K802">
        <v>45352.662812499999</v>
      </c>
      <c r="L802">
        <v>360</v>
      </c>
      <c r="O802">
        <v>100</v>
      </c>
      <c r="P802">
        <v>0</v>
      </c>
      <c r="Q802">
        <v>50</v>
      </c>
    </row>
    <row r="803" spans="1:17" x14ac:dyDescent="0.25">
      <c r="A803" t="s">
        <v>801</v>
      </c>
      <c r="B803" t="s">
        <v>321</v>
      </c>
      <c r="C803">
        <v>41219949</v>
      </c>
      <c r="D803" t="s">
        <v>805</v>
      </c>
      <c r="E803">
        <v>10</v>
      </c>
      <c r="F803" t="s">
        <v>68</v>
      </c>
      <c r="G803" t="s">
        <v>787</v>
      </c>
      <c r="H803" t="s">
        <v>167</v>
      </c>
      <c r="I803" t="s">
        <v>161</v>
      </c>
      <c r="J803">
        <v>0</v>
      </c>
      <c r="K803">
        <v>45352.662824074076</v>
      </c>
      <c r="L803">
        <v>94</v>
      </c>
      <c r="O803">
        <v>4</v>
      </c>
      <c r="P803">
        <v>2</v>
      </c>
      <c r="Q803">
        <v>2</v>
      </c>
    </row>
    <row r="804" spans="1:17" x14ac:dyDescent="0.25">
      <c r="A804" t="s">
        <v>801</v>
      </c>
      <c r="B804" t="s">
        <v>321</v>
      </c>
      <c r="C804">
        <v>41218896</v>
      </c>
      <c r="D804" t="s">
        <v>806</v>
      </c>
      <c r="E804">
        <v>3700</v>
      </c>
      <c r="F804" t="s">
        <v>68</v>
      </c>
      <c r="G804" t="s">
        <v>138</v>
      </c>
      <c r="H804" t="s">
        <v>139</v>
      </c>
      <c r="I804" t="s">
        <v>122</v>
      </c>
      <c r="J804">
        <v>0</v>
      </c>
      <c r="K804">
        <v>45352.662835648145</v>
      </c>
      <c r="L804">
        <v>27500</v>
      </c>
      <c r="O804">
        <v>3000</v>
      </c>
      <c r="P804">
        <v>1</v>
      </c>
      <c r="Q804">
        <v>700.00000000000023</v>
      </c>
    </row>
    <row r="805" spans="1:17" x14ac:dyDescent="0.25">
      <c r="A805" t="s">
        <v>801</v>
      </c>
      <c r="B805" t="s">
        <v>321</v>
      </c>
      <c r="C805">
        <v>41218896</v>
      </c>
      <c r="D805" t="s">
        <v>806</v>
      </c>
      <c r="E805">
        <v>6</v>
      </c>
      <c r="F805" t="s">
        <v>68</v>
      </c>
      <c r="G805" t="s">
        <v>786</v>
      </c>
      <c r="H805" t="s">
        <v>165</v>
      </c>
      <c r="I805" t="s">
        <v>161</v>
      </c>
      <c r="J805">
        <v>0</v>
      </c>
      <c r="K805">
        <v>45352.662847222222</v>
      </c>
      <c r="L805">
        <v>123</v>
      </c>
      <c r="O805">
        <v>24</v>
      </c>
      <c r="P805">
        <v>0</v>
      </c>
      <c r="Q805">
        <v>6</v>
      </c>
    </row>
    <row r="806" spans="1:17" x14ac:dyDescent="0.25">
      <c r="A806" t="s">
        <v>801</v>
      </c>
      <c r="B806" t="s">
        <v>321</v>
      </c>
      <c r="C806">
        <v>41219694</v>
      </c>
      <c r="D806" t="s">
        <v>807</v>
      </c>
      <c r="E806">
        <v>175</v>
      </c>
      <c r="F806" t="s">
        <v>144</v>
      </c>
      <c r="G806" t="s">
        <v>150</v>
      </c>
      <c r="H806" t="s">
        <v>151</v>
      </c>
      <c r="I806" t="s">
        <v>147</v>
      </c>
      <c r="J806">
        <v>0</v>
      </c>
      <c r="K806">
        <v>45352.662858796299</v>
      </c>
      <c r="L806">
        <v>1710</v>
      </c>
      <c r="O806">
        <v>10</v>
      </c>
      <c r="P806">
        <v>17</v>
      </c>
      <c r="Q806">
        <v>5</v>
      </c>
    </row>
    <row r="807" spans="1:17" x14ac:dyDescent="0.25">
      <c r="A807" t="s">
        <v>801</v>
      </c>
      <c r="B807" t="s">
        <v>321</v>
      </c>
      <c r="C807">
        <v>41219694</v>
      </c>
      <c r="D807" t="s">
        <v>807</v>
      </c>
      <c r="E807">
        <v>4</v>
      </c>
      <c r="F807" t="s">
        <v>144</v>
      </c>
      <c r="G807" t="s">
        <v>148</v>
      </c>
      <c r="H807" t="s">
        <v>149</v>
      </c>
      <c r="I807" t="s">
        <v>147</v>
      </c>
      <c r="J807">
        <v>0</v>
      </c>
      <c r="K807">
        <v>45352.662870370368</v>
      </c>
      <c r="L807">
        <v>4766</v>
      </c>
      <c r="O807">
        <v>10</v>
      </c>
      <c r="P807">
        <v>0</v>
      </c>
      <c r="Q807">
        <v>4</v>
      </c>
    </row>
    <row r="808" spans="1:17" x14ac:dyDescent="0.25">
      <c r="A808" t="s">
        <v>801</v>
      </c>
      <c r="B808" t="s">
        <v>321</v>
      </c>
      <c r="C808">
        <v>41217314</v>
      </c>
      <c r="D808" t="s">
        <v>808</v>
      </c>
      <c r="E808">
        <v>144</v>
      </c>
      <c r="F808" t="s">
        <v>152</v>
      </c>
      <c r="G808" t="s">
        <v>157</v>
      </c>
      <c r="H808" t="s">
        <v>154</v>
      </c>
      <c r="I808" t="s">
        <v>155</v>
      </c>
      <c r="J808">
        <v>0</v>
      </c>
      <c r="K808">
        <v>45352.662881944445</v>
      </c>
      <c r="L808">
        <v>2658</v>
      </c>
      <c r="O808">
        <v>144</v>
      </c>
      <c r="P808">
        <v>1</v>
      </c>
      <c r="Q808">
        <v>0</v>
      </c>
    </row>
    <row r="809" spans="1:17" x14ac:dyDescent="0.25">
      <c r="A809" t="s">
        <v>801</v>
      </c>
      <c r="B809" t="s">
        <v>321</v>
      </c>
      <c r="C809">
        <v>41219951</v>
      </c>
      <c r="D809" t="s">
        <v>809</v>
      </c>
      <c r="E809">
        <v>10</v>
      </c>
      <c r="F809" t="s">
        <v>68</v>
      </c>
      <c r="G809" t="s">
        <v>175</v>
      </c>
      <c r="H809" t="s">
        <v>173</v>
      </c>
      <c r="J809">
        <v>0</v>
      </c>
      <c r="K809">
        <v>45352.662893518522</v>
      </c>
      <c r="L809">
        <v>1108</v>
      </c>
      <c r="O809">
        <v>12</v>
      </c>
      <c r="P809">
        <v>0</v>
      </c>
      <c r="Q809">
        <v>10</v>
      </c>
    </row>
    <row r="810" spans="1:17" x14ac:dyDescent="0.25">
      <c r="A810" t="s">
        <v>801</v>
      </c>
      <c r="B810" t="s">
        <v>321</v>
      </c>
      <c r="C810">
        <v>41219951</v>
      </c>
      <c r="D810" t="s">
        <v>809</v>
      </c>
      <c r="E810">
        <v>200</v>
      </c>
      <c r="F810" t="s">
        <v>68</v>
      </c>
      <c r="G810" t="s">
        <v>170</v>
      </c>
      <c r="H810" t="s">
        <v>171</v>
      </c>
      <c r="I810" t="s">
        <v>122</v>
      </c>
      <c r="J810">
        <v>0</v>
      </c>
      <c r="K810">
        <v>45352.662905092591</v>
      </c>
      <c r="L810">
        <v>1800</v>
      </c>
      <c r="O810">
        <v>100</v>
      </c>
      <c r="P810">
        <v>2</v>
      </c>
      <c r="Q810">
        <v>0</v>
      </c>
    </row>
    <row r="811" spans="1:17" x14ac:dyDescent="0.25">
      <c r="A811" t="s">
        <v>801</v>
      </c>
      <c r="B811" t="s">
        <v>321</v>
      </c>
      <c r="C811">
        <v>41217777</v>
      </c>
      <c r="D811" t="s">
        <v>810</v>
      </c>
      <c r="E811">
        <v>10000</v>
      </c>
      <c r="F811" t="s">
        <v>68</v>
      </c>
      <c r="G811" t="s">
        <v>124</v>
      </c>
      <c r="H811" t="s">
        <v>125</v>
      </c>
      <c r="I811" t="s">
        <v>122</v>
      </c>
      <c r="J811">
        <v>0</v>
      </c>
      <c r="K811">
        <v>45352.662916666668</v>
      </c>
      <c r="L811">
        <v>600</v>
      </c>
      <c r="O811">
        <v>1200</v>
      </c>
      <c r="P811">
        <v>8</v>
      </c>
      <c r="Q811">
        <v>400.00000000000068</v>
      </c>
    </row>
    <row r="812" spans="1:17" x14ac:dyDescent="0.25">
      <c r="A812" t="s">
        <v>801</v>
      </c>
      <c r="B812" t="s">
        <v>321</v>
      </c>
      <c r="C812">
        <v>41220015</v>
      </c>
      <c r="D812" t="s">
        <v>811</v>
      </c>
      <c r="E812">
        <v>12000</v>
      </c>
      <c r="F812" t="s">
        <v>68</v>
      </c>
      <c r="G812" t="s">
        <v>120</v>
      </c>
      <c r="H812" t="s">
        <v>121</v>
      </c>
      <c r="I812" t="s">
        <v>122</v>
      </c>
      <c r="J812">
        <v>0</v>
      </c>
      <c r="K812">
        <v>45352.662951388891</v>
      </c>
      <c r="L812">
        <v>29900</v>
      </c>
      <c r="O812">
        <v>2400</v>
      </c>
      <c r="P812">
        <v>5</v>
      </c>
      <c r="Q812">
        <v>0</v>
      </c>
    </row>
    <row r="813" spans="1:17" x14ac:dyDescent="0.25">
      <c r="A813" t="s">
        <v>801</v>
      </c>
      <c r="B813" t="s">
        <v>321</v>
      </c>
      <c r="C813">
        <v>41220015</v>
      </c>
      <c r="D813" t="s">
        <v>811</v>
      </c>
      <c r="E813">
        <v>500</v>
      </c>
      <c r="F813" t="s">
        <v>68</v>
      </c>
      <c r="G813" t="s">
        <v>132</v>
      </c>
      <c r="H813" t="s">
        <v>133</v>
      </c>
      <c r="I813" t="s">
        <v>122</v>
      </c>
      <c r="J813">
        <v>0</v>
      </c>
      <c r="K813">
        <v>45352.662962962961</v>
      </c>
      <c r="L813">
        <v>10800</v>
      </c>
      <c r="O813">
        <v>1200</v>
      </c>
      <c r="P813">
        <v>0</v>
      </c>
      <c r="Q813">
        <v>500</v>
      </c>
    </row>
    <row r="814" spans="1:17" x14ac:dyDescent="0.25">
      <c r="A814" t="s">
        <v>801</v>
      </c>
      <c r="B814" t="s">
        <v>321</v>
      </c>
      <c r="C814">
        <v>41217485</v>
      </c>
      <c r="D814" t="s">
        <v>812</v>
      </c>
      <c r="E814">
        <v>130</v>
      </c>
      <c r="F814" t="s">
        <v>68</v>
      </c>
      <c r="G814" t="s">
        <v>168</v>
      </c>
      <c r="H814" t="s">
        <v>169</v>
      </c>
      <c r="I814" t="s">
        <v>122</v>
      </c>
      <c r="J814">
        <v>0</v>
      </c>
      <c r="K814">
        <v>45352.662986111114</v>
      </c>
      <c r="L814">
        <v>656</v>
      </c>
      <c r="O814">
        <v>200</v>
      </c>
      <c r="P814">
        <v>0</v>
      </c>
      <c r="Q814">
        <v>130</v>
      </c>
    </row>
    <row r="815" spans="1:17" x14ac:dyDescent="0.25">
      <c r="B815" t="s">
        <v>813</v>
      </c>
      <c r="C815" t="s">
        <v>67</v>
      </c>
      <c r="D815" t="s">
        <v>67</v>
      </c>
      <c r="E815">
        <v>4000</v>
      </c>
      <c r="F815" t="s">
        <v>68</v>
      </c>
      <c r="G815" t="s">
        <v>181</v>
      </c>
      <c r="H815" t="s">
        <v>182</v>
      </c>
      <c r="I815" t="s">
        <v>183</v>
      </c>
      <c r="J815">
        <v>1</v>
      </c>
      <c r="K815">
        <v>45355.693865740737</v>
      </c>
      <c r="L815">
        <v>-3486</v>
      </c>
      <c r="M815" t="s">
        <v>814</v>
      </c>
      <c r="O815">
        <v>12</v>
      </c>
      <c r="P815">
        <v>333</v>
      </c>
      <c r="Q815">
        <v>3.9999999999997726</v>
      </c>
    </row>
    <row r="816" spans="1:17" x14ac:dyDescent="0.25">
      <c r="B816" t="s">
        <v>815</v>
      </c>
      <c r="C816" t="s">
        <v>67</v>
      </c>
      <c r="D816" t="s">
        <v>67</v>
      </c>
      <c r="E816">
        <v>2500</v>
      </c>
      <c r="F816" t="s">
        <v>144</v>
      </c>
      <c r="G816" t="s">
        <v>145</v>
      </c>
      <c r="H816" t="s">
        <v>146</v>
      </c>
      <c r="I816" t="s">
        <v>147</v>
      </c>
      <c r="J816">
        <v>1</v>
      </c>
      <c r="K816">
        <v>45355.681307870371</v>
      </c>
      <c r="L816">
        <v>2510</v>
      </c>
      <c r="M816" t="s">
        <v>816</v>
      </c>
      <c r="O816">
        <v>10</v>
      </c>
      <c r="P816">
        <v>250</v>
      </c>
      <c r="Q816">
        <v>0</v>
      </c>
    </row>
    <row r="817" spans="2:17" x14ac:dyDescent="0.25">
      <c r="B817">
        <v>6</v>
      </c>
      <c r="C817">
        <v>41219432</v>
      </c>
      <c r="D817" t="s">
        <v>773</v>
      </c>
      <c r="E817">
        <v>1600</v>
      </c>
      <c r="F817" t="s">
        <v>68</v>
      </c>
      <c r="G817" t="s">
        <v>188</v>
      </c>
      <c r="H817" t="s">
        <v>189</v>
      </c>
      <c r="I817" t="s">
        <v>122</v>
      </c>
      <c r="J817">
        <v>0</v>
      </c>
      <c r="K817">
        <v>45356.530497685184</v>
      </c>
      <c r="L817">
        <v>7800</v>
      </c>
      <c r="O817">
        <v>2400</v>
      </c>
      <c r="P817">
        <v>0</v>
      </c>
      <c r="Q817">
        <v>1600</v>
      </c>
    </row>
    <row r="818" spans="2:17" x14ac:dyDescent="0.25">
      <c r="B818">
        <v>6</v>
      </c>
      <c r="C818">
        <v>41219432</v>
      </c>
      <c r="D818" t="s">
        <v>773</v>
      </c>
      <c r="E818">
        <v>600</v>
      </c>
      <c r="F818" t="s">
        <v>68</v>
      </c>
      <c r="G818" t="s">
        <v>124</v>
      </c>
      <c r="H818" t="s">
        <v>125</v>
      </c>
      <c r="I818" t="s">
        <v>122</v>
      </c>
      <c r="J818">
        <v>0</v>
      </c>
      <c r="K818">
        <v>45356.530740740738</v>
      </c>
      <c r="L818">
        <v>0</v>
      </c>
      <c r="O818">
        <v>1200</v>
      </c>
      <c r="P818">
        <v>0</v>
      </c>
      <c r="Q818">
        <v>600</v>
      </c>
    </row>
    <row r="819" spans="2:17" x14ac:dyDescent="0.25">
      <c r="B819">
        <v>6</v>
      </c>
      <c r="C819">
        <v>41220183</v>
      </c>
      <c r="D819" t="s">
        <v>774</v>
      </c>
      <c r="E819">
        <v>2000</v>
      </c>
      <c r="F819" t="s">
        <v>68</v>
      </c>
      <c r="G819" t="s">
        <v>120</v>
      </c>
      <c r="H819" t="s">
        <v>121</v>
      </c>
      <c r="I819" t="s">
        <v>122</v>
      </c>
      <c r="J819">
        <v>0</v>
      </c>
      <c r="K819">
        <v>45356.530844907407</v>
      </c>
      <c r="L819">
        <v>27900</v>
      </c>
      <c r="O819">
        <v>2400</v>
      </c>
      <c r="P819">
        <v>0</v>
      </c>
      <c r="Q819">
        <v>2000</v>
      </c>
    </row>
    <row r="820" spans="2:17" x14ac:dyDescent="0.25">
      <c r="B820">
        <v>6</v>
      </c>
      <c r="C820">
        <v>41220183</v>
      </c>
      <c r="D820" t="s">
        <v>782</v>
      </c>
      <c r="E820">
        <v>2000</v>
      </c>
      <c r="G820" t="s">
        <v>120</v>
      </c>
      <c r="H820" t="s">
        <v>121</v>
      </c>
      <c r="I820" t="s">
        <v>122</v>
      </c>
      <c r="J820">
        <v>0</v>
      </c>
      <c r="K820">
        <v>45356.722627314812</v>
      </c>
      <c r="L820">
        <v>25900</v>
      </c>
      <c r="O820">
        <v>2400</v>
      </c>
      <c r="P820">
        <v>0</v>
      </c>
      <c r="Q820">
        <v>2000</v>
      </c>
    </row>
    <row r="821" spans="2:17" x14ac:dyDescent="0.25">
      <c r="B821">
        <v>6</v>
      </c>
      <c r="C821">
        <v>41220281</v>
      </c>
      <c r="D821" t="s">
        <v>783</v>
      </c>
      <c r="E821">
        <v>5000</v>
      </c>
      <c r="F821" t="s">
        <v>68</v>
      </c>
      <c r="G821" t="s">
        <v>163</v>
      </c>
      <c r="H821" t="s">
        <v>164</v>
      </c>
      <c r="I821" t="s">
        <v>161</v>
      </c>
      <c r="J821">
        <v>0</v>
      </c>
      <c r="K821">
        <v>45356.722673611112</v>
      </c>
      <c r="L821">
        <v>11120</v>
      </c>
      <c r="O821">
        <v>440</v>
      </c>
      <c r="P821">
        <v>11</v>
      </c>
      <c r="Q821">
        <v>159.99999999999986</v>
      </c>
    </row>
    <row r="822" spans="2:17" x14ac:dyDescent="0.25">
      <c r="B822">
        <v>6</v>
      </c>
      <c r="C822">
        <v>41220281</v>
      </c>
      <c r="D822" t="s">
        <v>783</v>
      </c>
      <c r="E822">
        <v>10</v>
      </c>
      <c r="F822" t="s">
        <v>68</v>
      </c>
      <c r="G822" t="s">
        <v>200</v>
      </c>
      <c r="H822" t="s">
        <v>201</v>
      </c>
      <c r="J822">
        <v>0</v>
      </c>
      <c r="K822">
        <v>45356.722719907404</v>
      </c>
      <c r="L822">
        <v>-8</v>
      </c>
      <c r="O822">
        <v>36</v>
      </c>
      <c r="P822">
        <v>0</v>
      </c>
      <c r="Q822">
        <v>10</v>
      </c>
    </row>
    <row r="823" spans="2:17" x14ac:dyDescent="0.25">
      <c r="B823">
        <v>6</v>
      </c>
      <c r="C823">
        <v>41220289</v>
      </c>
      <c r="D823" t="s">
        <v>784</v>
      </c>
      <c r="E823">
        <v>30</v>
      </c>
      <c r="F823" t="s">
        <v>68</v>
      </c>
      <c r="G823" t="s">
        <v>787</v>
      </c>
      <c r="H823" t="s">
        <v>167</v>
      </c>
      <c r="I823" t="s">
        <v>161</v>
      </c>
      <c r="J823">
        <v>0</v>
      </c>
      <c r="K823">
        <v>45356.72278935185</v>
      </c>
      <c r="L823">
        <v>64</v>
      </c>
      <c r="O823">
        <v>4</v>
      </c>
      <c r="P823">
        <v>7</v>
      </c>
      <c r="Q823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</vt:i4>
      </vt:variant>
    </vt:vector>
  </HeadingPairs>
  <TitlesOfParts>
    <vt:vector size="11" baseType="lpstr">
      <vt:lpstr>PRINT</vt:lpstr>
      <vt:lpstr>COPYPO</vt:lpstr>
      <vt:lpstr>XFILES</vt:lpstr>
      <vt:lpstr>XMAIL</vt:lpstr>
      <vt:lpstr>XLABEL</vt:lpstr>
      <vt:lpstr>clip</vt:lpstr>
      <vt:lpstr>set</vt:lpstr>
      <vt:lpstr>x</vt:lpstr>
      <vt:lpstr>cap</vt:lpstr>
      <vt:lpstr>x!Área_de_impresión</vt:lpstr>
      <vt:lpstr>XLABEL!Área_de_impresión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 casas</dc:creator>
  <cp:lastModifiedBy>jaime casas</cp:lastModifiedBy>
  <cp:lastPrinted>2024-02-01T20:55:03Z</cp:lastPrinted>
  <dcterms:created xsi:type="dcterms:W3CDTF">2023-12-15T17:56:22Z</dcterms:created>
  <dcterms:modified xsi:type="dcterms:W3CDTF">2024-03-11T19:22:22Z</dcterms:modified>
</cp:coreProperties>
</file>