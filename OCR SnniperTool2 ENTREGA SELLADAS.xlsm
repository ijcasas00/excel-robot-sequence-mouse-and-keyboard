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scelec\Desktop\"/>
    </mc:Choice>
  </mc:AlternateContent>
  <xr:revisionPtr revIDLastSave="0" documentId="13_ncr:1_{404C5855-77F2-4DCE-B62C-DB886E217439}" xr6:coauthVersionLast="47" xr6:coauthVersionMax="47" xr10:uidLastSave="{00000000-0000-0000-0000-000000000000}"/>
  <bookViews>
    <workbookView xWindow="-120" yWindow="-120" windowWidth="20730" windowHeight="11040" activeTab="2" xr2:uid="{178E965E-FF98-4B44-84FF-F2AA2F4C89A9}"/>
  </bookViews>
  <sheets>
    <sheet name="PRINT" sheetId="2" r:id="rId1"/>
    <sheet name="set" sheetId="1" r:id="rId2"/>
    <sheet name="cap" sheetId="11" r:id="rId3"/>
    <sheet name="COPYPO" sheetId="8" r:id="rId4"/>
    <sheet name="XFILES" sheetId="4" r:id="rId5"/>
    <sheet name="XMAIL" sheetId="5" r:id="rId6"/>
    <sheet name="XLABEL" sheetId="6" r:id="rId7"/>
    <sheet name="clip" sheetId="9" r:id="rId8"/>
    <sheet name="x" sheetId="10" r:id="rId9"/>
  </sheets>
  <functionGroups builtInGroupCount="19"/>
  <definedNames>
    <definedName name="_xlnm._FilterDatabase" localSheetId="8" hidden="1">x!$A$1:$K$889</definedName>
    <definedName name="_xlnm.Print_Area" localSheetId="8">x!$A$1:$N$112</definedName>
    <definedName name="_xlnm.Print_Area" localSheetId="6">XLABEL!$A$1:$E$1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6" i="1" l="1"/>
  <c r="B236" i="1"/>
  <c r="B233" i="1"/>
  <c r="C200" i="1"/>
  <c r="B200" i="1"/>
  <c r="B197" i="1"/>
  <c r="C161" i="1"/>
  <c r="B161" i="1"/>
  <c r="B158" i="1"/>
  <c r="C123" i="1"/>
  <c r="B123" i="1"/>
  <c r="B120" i="1"/>
  <c r="B82" i="1" l="1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42" i="10"/>
  <c r="I199" i="10" l="1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4" i="10"/>
  <c r="I173" i="10"/>
  <c r="I172" i="10"/>
  <c r="I171" i="10"/>
  <c r="I170" i="10"/>
  <c r="I169" i="10"/>
  <c r="I168" i="10"/>
  <c r="I167" i="10"/>
  <c r="I166" i="10"/>
  <c r="I165" i="10"/>
  <c r="I163" i="10"/>
  <c r="I162" i="10"/>
  <c r="I161" i="10"/>
  <c r="I160" i="10"/>
  <c r="I159" i="10"/>
  <c r="I158" i="10"/>
  <c r="I157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M467" i="10"/>
  <c r="M449" i="10"/>
  <c r="N240" i="10"/>
  <c r="N235" i="10"/>
  <c r="M221" i="10"/>
  <c r="E202" i="10"/>
  <c r="E95" i="10"/>
  <c r="E94" i="10"/>
  <c r="C85" i="1"/>
  <c r="B85" i="1"/>
  <c r="A1" i="6"/>
</calcChain>
</file>

<file path=xl/sharedStrings.xml><?xml version="1.0" encoding="utf-8"?>
<sst xmlns="http://schemas.openxmlformats.org/spreadsheetml/2006/main" count="17557" uniqueCount="2202">
  <si>
    <t>ScreenResolutionY</t>
  </si>
  <si>
    <t>ScreenResolutionX</t>
  </si>
  <si>
    <t>MOUSE</t>
  </si>
  <si>
    <t>DELAY</t>
  </si>
  <si>
    <t>TAB</t>
  </si>
  <si>
    <t>TEXT</t>
  </si>
  <si>
    <t>PASTE</t>
  </si>
  <si>
    <t>COPY</t>
  </si>
  <si>
    <t>SELECTTEXT</t>
  </si>
  <si>
    <t>WINSELECT</t>
  </si>
  <si>
    <t>OPENEDGEAPPONSPECIFICLINK</t>
  </si>
  <si>
    <t>TERMINATEAPP</t>
  </si>
  <si>
    <t xml:space="preserve"> mouse &amp; window &amp; delay sequence loop COMMANDS: OPENEDGEAPPONSPECIFICLINK
DELAY
MOUSE
MOUSE
TAB
COPY
PASTE
TEXT
SELECTTEXT
TERMINATEAPP
</t>
  </si>
  <si>
    <t>SETCLIPBOARDWITFILENAME</t>
  </si>
  <si>
    <t>ENTER</t>
  </si>
  <si>
    <t>APPACTIVATE</t>
  </si>
  <si>
    <t>APPENDCLIPBOARDTOMEMSHEET</t>
  </si>
  <si>
    <t>SETCLIPBOARD</t>
  </si>
  <si>
    <t>PRINTFILES</t>
  </si>
  <si>
    <t>ENTREGA</t>
  </si>
  <si>
    <t>I/O</t>
  </si>
  <si>
    <t>LLEGADAS</t>
  </si>
  <si>
    <t>EXPRESS</t>
  </si>
  <si>
    <t>FOLDER TXT</t>
  </si>
  <si>
    <t>P6</t>
  </si>
  <si>
    <t>P4</t>
  </si>
  <si>
    <t>PLANTAS</t>
  </si>
  <si>
    <t>SELLADAS</t>
  </si>
  <si>
    <t>ESTE</t>
  </si>
  <si>
    <t>XXXX</t>
  </si>
  <si>
    <t>CARPETA 20240125 TIEMPO 171213 XXXX LLEGADA</t>
  </si>
  <si>
    <t>OPENPDF</t>
  </si>
  <si>
    <t>RUN</t>
  </si>
  <si>
    <t>CANTIDAD DE COPIAS POR NOMBRE DE ARCHIVO</t>
  </si>
  <si>
    <t>REMISION</t>
  </si>
  <si>
    <t>PO</t>
  </si>
  <si>
    <t>IN-STRING</t>
  </si>
  <si>
    <t>selene.dominguez@segisa.com.mx; eduardo.zapata@segisa.com.mx</t>
  </si>
  <si>
    <t>jcasas@sigadgroup.com; ijcasas00@gmail.com</t>
  </si>
  <si>
    <t>jcasas@sigadgroup.com; ijcasas00@gmail.com;asierra@sigadgroup.com</t>
  </si>
  <si>
    <t>C:\Users\Miscelec\Downloads\SEGISA\ENTREGAS\CARPETA 20240201 TIEMPO 135806 P6 ENTREGA\SELLADAS\</t>
  </si>
  <si>
    <t>FILES JOBS CUANDO SE GENERA LOS FOLDERS MUEVE LOS ARCHIVOS</t>
  </si>
  <si>
    <t>CARPETA 20240201 TIEMPO 144958 P6 ENTREGA</t>
  </si>
  <si>
    <t>C:\Users\Miscelec\Downloads\SEGISA\ENTREGAS\CARPETA 20240201 TIEMPO 144958 P6 ENTREGA\</t>
  </si>
  <si>
    <t>C:\Users\Miscelec\Downloads\SEGISA\ENTREGAS\CARPETA 20240201 TIEMPO 144958 P6 ENTREGA\SELLADAS\</t>
  </si>
  <si>
    <t>address</t>
  </si>
  <si>
    <t>DBLCLK TO EMAIL</t>
  </si>
  <si>
    <t>VK_SNAPSHOT</t>
  </si>
  <si>
    <t>WINDOWMAXIMIZE</t>
  </si>
  <si>
    <t>SNNIPER IMAGE SNIPPER</t>
  </si>
  <si>
    <t>OCR ACCIONES DE TEXTO</t>
  </si>
  <si>
    <t>SNNIPER</t>
  </si>
  <si>
    <t>COPIAR TODO EL TEXTO</t>
  </si>
  <si>
    <t>WINDOW HANDLE FOR WINDOWMAXIMIZE</t>
  </si>
  <si>
    <t xml:space="preserve">mem append on shhet, row APPENDCLIPBOARDTOMEMSHEET </t>
  </si>
  <si>
    <t>MOUSEX</t>
  </si>
  <si>
    <t>MOUSEY</t>
  </si>
  <si>
    <t>MSGBOX</t>
  </si>
  <si>
    <t>maximize</t>
  </si>
  <si>
    <t>ALTSPACEx</t>
  </si>
  <si>
    <t>select over window</t>
  </si>
  <si>
    <t>select window from task bar</t>
  </si>
  <si>
    <t>103-T5</t>
  </si>
  <si>
    <t>103-T10.5</t>
  </si>
  <si>
    <t>103-T7</t>
  </si>
  <si>
    <t>103-T9</t>
  </si>
  <si>
    <t>X</t>
  </si>
  <si>
    <t>x</t>
  </si>
  <si>
    <t>Pieza</t>
  </si>
  <si>
    <t>MOUSEDOWN</t>
  </si>
  <si>
    <t>MOUSEUP</t>
  </si>
  <si>
    <t>MOUSEMOVE</t>
  </si>
  <si>
    <t>CLIPBORDAPPEND</t>
  </si>
  <si>
    <t>APPENDCLIPBOARDTOMEMSHEETFRAGMENTED</t>
  </si>
  <si>
    <t>SQR</t>
  </si>
  <si>
    <t>NUMERODEPARTE</t>
  </si>
  <si>
    <t>CANTIDADDEPIEZAS</t>
  </si>
  <si>
    <t>PRECIOUNITARIO</t>
  </si>
  <si>
    <t>PRECIOTOTAL</t>
  </si>
  <si>
    <t>LABEL TEXT FIELD</t>
  </si>
  <si>
    <t>DBLCLK</t>
  </si>
  <si>
    <t>ALTF4</t>
  </si>
  <si>
    <t>ALTTAB</t>
  </si>
  <si>
    <t>REMYCFIDO</t>
  </si>
  <si>
    <t>OPENINTERNETEXPLORER</t>
  </si>
  <si>
    <t>dacc</t>
  </si>
  <si>
    <t>2PRECIOUNITARIOIf ThisWorkbook.Sheets("set").Cells(i, 1).Value = "APPENDCLIPBOARDTOMEMSHEETFRAGMENTED" Then@PRECIOTOTALNTIDAD UBICA@100.00@@acionado@</t>
  </si>
  <si>
    <t>FIND PO COPY TO DOWNLOADS</t>
  </si>
  <si>
    <t>SEQUENCE PRINTING MARRY PO AND OC</t>
  </si>
  <si>
    <t>542</t>
  </si>
  <si>
    <t>ID</t>
  </si>
  <si>
    <t>ALTAS-SEGISA, ENVIO-PLANTA, OR FOLIO-FACTURA.</t>
  </si>
  <si>
    <t>O.C.</t>
  </si>
  <si>
    <t>NUMERO DE REMISION</t>
  </si>
  <si>
    <t>cantidad</t>
  </si>
  <si>
    <t>UNIDAD</t>
  </si>
  <si>
    <t>NUMERO DE ARTICULO</t>
  </si>
  <si>
    <t>DESCRIPCION DEL ARTICULO</t>
  </si>
  <si>
    <t>MARCA DEL MATERIAL</t>
  </si>
  <si>
    <t>INGRESO DE MATERIAL  BOOL I/O</t>
  </si>
  <si>
    <t>FECHA DEL ULTIMO MOVIMIENTO</t>
  </si>
  <si>
    <t>CANTIDAD DEL ULTIMO MOVIMIENTO</t>
  </si>
  <si>
    <t>FECHA DE FACTURA</t>
  </si>
  <si>
    <t>NOTAS</t>
  </si>
  <si>
    <t xml:space="preserve">BULTO </t>
  </si>
  <si>
    <t>CAJAS</t>
  </si>
  <si>
    <t>PARCIAL</t>
  </si>
  <si>
    <t>EXCEPCIONES pn REQUIERE PARES  Y NO EN PIEZAS</t>
  </si>
  <si>
    <t>PLANTA # REQUIERE PARES  Y NO EN PIEZAS</t>
  </si>
  <si>
    <t>SEGISA INVENTARIO DE NUMEROS DE PARTE</t>
  </si>
  <si>
    <t>MATERIALS IN</t>
  </si>
  <si>
    <t>MATERIALS OUT</t>
  </si>
  <si>
    <t>CODIGO PROVEEDOR</t>
  </si>
  <si>
    <t>033K080C-15000B</t>
  </si>
  <si>
    <t>LIJA GRANO 80</t>
  </si>
  <si>
    <t>KLIGSPOR</t>
  </si>
  <si>
    <t>N</t>
  </si>
  <si>
    <t>033K060C-15000B</t>
  </si>
  <si>
    <t>LIJA GRANO 60</t>
  </si>
  <si>
    <t>SXKW18</t>
  </si>
  <si>
    <t>033K500B-15000B</t>
  </si>
  <si>
    <t>LIJA GRANO 500</t>
  </si>
  <si>
    <t>DUMMY</t>
  </si>
  <si>
    <t>073K800W-15000B</t>
  </si>
  <si>
    <t>LIJA GRANO 800</t>
  </si>
  <si>
    <t>QRC036AO300</t>
  </si>
  <si>
    <t>LIJA GRANO 36</t>
  </si>
  <si>
    <t>073KC00W-15000B</t>
  </si>
  <si>
    <t>LIJA GRANO 1200</t>
  </si>
  <si>
    <t>033K320B-15000B</t>
  </si>
  <si>
    <t>LIJA 320</t>
  </si>
  <si>
    <t>033K220B-15000B</t>
  </si>
  <si>
    <t>LIJA 220***</t>
  </si>
  <si>
    <t>033K120C-15000B</t>
  </si>
  <si>
    <t>LIJA 120</t>
  </si>
  <si>
    <t>033K400B-15000B</t>
  </si>
  <si>
    <t>LIJA 400</t>
  </si>
  <si>
    <t>Dispens</t>
  </si>
  <si>
    <t>705PFE-TL</t>
  </si>
  <si>
    <t>DISPENSADOR GUANTES DE NITRILO TALLA L</t>
  </si>
  <si>
    <t>GLOBAL GLOVE</t>
  </si>
  <si>
    <t>705PFE-TM</t>
  </si>
  <si>
    <t>DISPENSADOR GUANTES DE NITRILO TALLA M</t>
  </si>
  <si>
    <t>705PFE-TXL</t>
  </si>
  <si>
    <t>DISPENSADOR GUANTES DE NITRILO TALLA XL</t>
  </si>
  <si>
    <t>Par</t>
  </si>
  <si>
    <t>PUG-111-T7</t>
  </si>
  <si>
    <t>GUANTE ANTICORTE GRIS RECUBIERTO POLIURETANO</t>
  </si>
  <si>
    <t>PUG</t>
  </si>
  <si>
    <t>PUG-111-T8</t>
  </si>
  <si>
    <t>PUG-111-T9</t>
  </si>
  <si>
    <t>PUG-111-T10</t>
  </si>
  <si>
    <t>201+</t>
  </si>
  <si>
    <t xml:space="preserve">MASKIN TAPE 48MMx55m </t>
  </si>
  <si>
    <t>3M</t>
  </si>
  <si>
    <t>RESPIRADOR 95N N95</t>
  </si>
  <si>
    <t>9010i</t>
  </si>
  <si>
    <t>RESPIRADOR ES EL LOGO 3M ROJO MS900105117  DESECHABLE 9010 NMX</t>
  </si>
  <si>
    <t>RESPIRADOR MEDIA CARA 3M</t>
  </si>
  <si>
    <t>CARTUCHO PARA VAPORES ORGANICOS 3M</t>
  </si>
  <si>
    <t>RESPIRADOR CARA COMPLETA 3M TALLA MEDIANA</t>
  </si>
  <si>
    <t>FJ70516-H6</t>
  </si>
  <si>
    <t>SBP6KMP RESPALDOS 6 PULGADAS*6 ORIFICIOS FJ70516-H6</t>
  </si>
  <si>
    <t>IR0012</t>
  </si>
  <si>
    <t>RESPALDO 5-5/8 GRIP-CENTER3102 SCREW</t>
  </si>
  <si>
    <t>GSS-2" BRUSH-35</t>
  </si>
  <si>
    <t>BROCHA</t>
  </si>
  <si>
    <t>1216</t>
  </si>
  <si>
    <t>GSS-4IN BRUSH</t>
  </si>
  <si>
    <t>6</t>
  </si>
  <si>
    <t>CT501</t>
  </si>
  <si>
    <t>CINTA TRANSPARENTE OFFILAND 2" X 100 CT501</t>
  </si>
  <si>
    <t>OFFILAND</t>
  </si>
  <si>
    <t>MANGAS 18" POLIESTER ALTA TEMPERATURA</t>
  </si>
  <si>
    <t>LPLC</t>
  </si>
  <si>
    <t>LENTE PROTECCION CLARO LIGEROX  SEGURIDAD LPLCY</t>
  </si>
  <si>
    <t>LIJEROX</t>
  </si>
  <si>
    <t>FLEJE-001</t>
  </si>
  <si>
    <t>FLEJE</t>
  </si>
  <si>
    <t>1824167-2</t>
  </si>
  <si>
    <t xml:space="preserve">MICA PROTECTORA PARA VISOR </t>
  </si>
  <si>
    <t>033K100C-15000B</t>
  </si>
  <si>
    <t>LIJA DE GRANO 100</t>
  </si>
  <si>
    <t>033K150B-15000B</t>
  </si>
  <si>
    <t>LIJA 150</t>
  </si>
  <si>
    <t>Kg</t>
  </si>
  <si>
    <t>2458047-KG</t>
  </si>
  <si>
    <t xml:space="preserve">TRAPO USO INDUSTRIAL </t>
  </si>
  <si>
    <t>10</t>
  </si>
  <si>
    <t>RETENEDOR PARA PREFILTROS 3M</t>
  </si>
  <si>
    <t>311-1250</t>
  </si>
  <si>
    <t>TAPON AUD YELLOW NEON EARSOFT</t>
  </si>
  <si>
    <t>CHALECO VERDE NEON RESCATISTA</t>
  </si>
  <si>
    <t>B07SFV1G4H</t>
  </si>
  <si>
    <t>SILVATO DE ENTRENADOR</t>
  </si>
  <si>
    <t>LIJA 36</t>
  </si>
  <si>
    <t>LIJA220</t>
  </si>
  <si>
    <t>GUANTES DE NITRILO TALLA L</t>
  </si>
  <si>
    <t xml:space="preserve">TAPE TRASPARENTE OFFILAND </t>
  </si>
  <si>
    <t>LIJA80</t>
  </si>
  <si>
    <t>LIJA 60</t>
  </si>
  <si>
    <t>A59886</t>
  </si>
  <si>
    <t>SG86</t>
  </si>
  <si>
    <t>GUANTES DE NITRILO TALLA M</t>
  </si>
  <si>
    <t>DISPENSADORES LASTIMADOS Cant 5</t>
  </si>
  <si>
    <t>OC88</t>
  </si>
  <si>
    <t>RESPIRADOR DESECHABLE 9010 NMX</t>
  </si>
  <si>
    <t>DICSCREPANCIA EN NUMEROS DE SEGISA PARCIALES INCOMPLETABLES</t>
  </si>
  <si>
    <t>OC81</t>
  </si>
  <si>
    <t>RETENEDOR PARA PREFILTROS 501</t>
  </si>
  <si>
    <t>6885 MICAS PROTECTORAS 70070709103</t>
  </si>
  <si>
    <t>discrepancia de 26</t>
  </si>
  <si>
    <t>5P71</t>
  </si>
  <si>
    <t>5P71 P95 PREFILTRO CAJA CON 1OO, 70070757417</t>
  </si>
  <si>
    <t>6001 CARTUCHO P/VAP.ORG. EASI-CARE</t>
  </si>
  <si>
    <t>lija36</t>
  </si>
  <si>
    <t>RETENEDOR PARA PREFILTROS</t>
  </si>
  <si>
    <t>RESPALDO DE VINIL DE 6 CON 6 ORIFICIOS VELCRO 5/16-24 SERIE FJ MEDIANO</t>
  </si>
  <si>
    <t>RESPIRADOR MEDIA CARA T MED</t>
  </si>
  <si>
    <t>ZAPATO SEGURIDAD</t>
  </si>
  <si>
    <t>LOPZAN</t>
  </si>
  <si>
    <t>DAR DE ALTA ZAPATOS</t>
  </si>
  <si>
    <t>LIJA 220</t>
  </si>
  <si>
    <t>DISPENSADOR GUANTE DE NITRILO</t>
  </si>
  <si>
    <t>se entrtego a planta 6 y deveria ser a planta 4 ERA CORRECTO SE ACLARARA CON EL DE COMPRAS DE TPI</t>
  </si>
  <si>
    <t>LENTE MICA CLARA SEGURIDAD</t>
  </si>
  <si>
    <t>103-T2.5</t>
  </si>
  <si>
    <t>103-T6</t>
  </si>
  <si>
    <t>103-T7.5</t>
  </si>
  <si>
    <t>103-T8.5</t>
  </si>
  <si>
    <t>103-T9.5</t>
  </si>
  <si>
    <t>103-T10</t>
  </si>
  <si>
    <t>DOUBLE CHECK Y AJUSTO INVENTARIO</t>
  </si>
  <si>
    <t>RESPIRADOR ES EL LOGO 3M ROJO MS900105117</t>
  </si>
  <si>
    <t>A60096</t>
  </si>
  <si>
    <t>LUGAR EXPEDICION 32127</t>
  </si>
  <si>
    <t>103-T3</t>
  </si>
  <si>
    <t>103-T3.5</t>
  </si>
  <si>
    <t>103-T5.5</t>
  </si>
  <si>
    <t>103-T11</t>
  </si>
  <si>
    <t>103-T11.5</t>
  </si>
  <si>
    <t>103-T12</t>
  </si>
  <si>
    <t>ENVIO</t>
  </si>
  <si>
    <t>NATURAL</t>
  </si>
  <si>
    <t>RAFIA BLANCA</t>
  </si>
  <si>
    <t>CALIBRE 2</t>
  </si>
  <si>
    <t>FV-45117</t>
  </si>
  <si>
    <t>023151</t>
  </si>
  <si>
    <t>022955</t>
  </si>
  <si>
    <t>A-60329</t>
  </si>
  <si>
    <t>SG98</t>
  </si>
  <si>
    <t>41218656</t>
  </si>
  <si>
    <t>MANGAS 18" PLIESTER ALTA TEMPERATURA</t>
  </si>
  <si>
    <t>41217265</t>
  </si>
  <si>
    <t>41219042</t>
  </si>
  <si>
    <t>41219002</t>
  </si>
  <si>
    <t>41217223</t>
  </si>
  <si>
    <t>41217180</t>
  </si>
  <si>
    <t>41218896</t>
  </si>
  <si>
    <t>41218405</t>
  </si>
  <si>
    <t>41218860</t>
  </si>
  <si>
    <t>ORDEN INTERNA</t>
  </si>
  <si>
    <t>4217223</t>
  </si>
  <si>
    <t>41219171</t>
  </si>
  <si>
    <t>LUGAR DE EXPEDICION</t>
  </si>
  <si>
    <t>23/10/2023</t>
  </si>
  <si>
    <t>1126</t>
  </si>
  <si>
    <t>1124</t>
  </si>
  <si>
    <t>15/11/2023</t>
  </si>
  <si>
    <t>1127</t>
  </si>
  <si>
    <t xml:space="preserve">CINTA ADHESIVA </t>
  </si>
  <si>
    <t>1125</t>
  </si>
  <si>
    <t>CAJA CON 24 PIEZAS FALTANTE</t>
  </si>
  <si>
    <t>CAJA CON 24 PIEZAS FALTANTE SE DESCONTO DEL SISTEMA</t>
  </si>
  <si>
    <t xml:space="preserve">41217865 </t>
  </si>
  <si>
    <t xml:space="preserve">41218896 </t>
  </si>
  <si>
    <t xml:space="preserve">41217314 </t>
  </si>
  <si>
    <t xml:space="preserve">41218860 </t>
  </si>
  <si>
    <t xml:space="preserve">41217334 </t>
  </si>
  <si>
    <t xml:space="preserve">41218857 </t>
  </si>
  <si>
    <t>CINTA ADHESIVA OFFILAND</t>
  </si>
  <si>
    <t xml:space="preserve">41219171 </t>
  </si>
  <si>
    <t xml:space="preserve">41217265 </t>
  </si>
  <si>
    <t>00/00/00</t>
  </si>
  <si>
    <t xml:space="preserve">41217223 </t>
  </si>
  <si>
    <t xml:space="preserve">41219252 </t>
  </si>
  <si>
    <t>95</t>
  </si>
  <si>
    <t>LUGAR EXPEDICION 32575</t>
  </si>
  <si>
    <t>18/10/2023</t>
  </si>
  <si>
    <t>033K600B-15000B</t>
  </si>
  <si>
    <t xml:space="preserve"> LIJA 600</t>
  </si>
  <si>
    <t>PRIMERA LLEGADA</t>
  </si>
  <si>
    <t xml:space="preserve">SE ENTREGO POR PARES Y NO POR PIEZAS FECHA DE ENTREGA EL21DE SEPTIEMBRE +26 PIEZAS </t>
  </si>
  <si>
    <t>033K180B-15000B</t>
  </si>
  <si>
    <t>LIJA 180</t>
  </si>
  <si>
    <t xml:space="preserve">F 17683 </t>
  </si>
  <si>
    <t xml:space="preserve">Sg 102 </t>
  </si>
  <si>
    <t>025739</t>
  </si>
  <si>
    <t>808109</t>
  </si>
  <si>
    <t>OC98</t>
  </si>
  <si>
    <t>16/11/2023</t>
  </si>
  <si>
    <t>449</t>
  </si>
  <si>
    <t>447</t>
  </si>
  <si>
    <t>41219254</t>
  </si>
  <si>
    <t>452</t>
  </si>
  <si>
    <t>41218407</t>
  </si>
  <si>
    <t>448</t>
  </si>
  <si>
    <t>451</t>
  </si>
  <si>
    <t>450</t>
  </si>
  <si>
    <t xml:space="preserve">41218898 </t>
  </si>
  <si>
    <t xml:space="preserve">41219002 </t>
  </si>
  <si>
    <t xml:space="preserve">41219042 </t>
  </si>
  <si>
    <t>A60442</t>
  </si>
  <si>
    <t>SG99</t>
  </si>
  <si>
    <t>4</t>
  </si>
  <si>
    <t>458</t>
  </si>
  <si>
    <t>457</t>
  </si>
  <si>
    <t>4638999</t>
  </si>
  <si>
    <t>SBP6KMP RESPALDOS 6 PULGADAS*6 ORIFICIOS</t>
  </si>
  <si>
    <t>4636626</t>
  </si>
  <si>
    <t>1142</t>
  </si>
  <si>
    <t>1143</t>
  </si>
  <si>
    <t>41218301</t>
  </si>
  <si>
    <t>1141</t>
  </si>
  <si>
    <t>027863</t>
  </si>
  <si>
    <t>811599</t>
  </si>
  <si>
    <t>OC91</t>
  </si>
  <si>
    <t>23/11/2023</t>
  </si>
  <si>
    <t>027581</t>
  </si>
  <si>
    <t>789381</t>
  </si>
  <si>
    <t>027582</t>
  </si>
  <si>
    <t>803617</t>
  </si>
  <si>
    <t>027862</t>
  </si>
  <si>
    <t>804884</t>
  </si>
  <si>
    <t>OC90</t>
  </si>
  <si>
    <t>463</t>
  </si>
  <si>
    <t>41217865</t>
  </si>
  <si>
    <t>41217334</t>
  </si>
  <si>
    <t>41219252</t>
  </si>
  <si>
    <t>NO LA FIRMO CESAR</t>
  </si>
  <si>
    <t>41218898</t>
  </si>
  <si>
    <t>9550</t>
  </si>
  <si>
    <t>21/11/2023</t>
  </si>
  <si>
    <t xml:space="preserve">FC 464257 </t>
  </si>
  <si>
    <t xml:space="preserve">Orden interna </t>
  </si>
  <si>
    <t>24/11/2023</t>
  </si>
  <si>
    <t xml:space="preserve">4121942 </t>
  </si>
  <si>
    <t>1300out  discrepancia de -40</t>
  </si>
  <si>
    <t xml:space="preserve">FC 4642360   </t>
  </si>
  <si>
    <t xml:space="preserve">134953 </t>
  </si>
  <si>
    <t>473</t>
  </si>
  <si>
    <t>TEST PLAN</t>
  </si>
  <si>
    <t>XXX</t>
  </si>
  <si>
    <t>1146</t>
  </si>
  <si>
    <t>1145</t>
  </si>
  <si>
    <t>412171221</t>
  </si>
  <si>
    <t>114</t>
  </si>
  <si>
    <t>41217314</t>
  </si>
  <si>
    <t>1182</t>
  </si>
  <si>
    <t>1183</t>
  </si>
  <si>
    <t>1184</t>
  </si>
  <si>
    <t>41218857</t>
  </si>
  <si>
    <t>1185</t>
  </si>
  <si>
    <t>1186</t>
  </si>
  <si>
    <t>1187</t>
  </si>
  <si>
    <t>1188</t>
  </si>
  <si>
    <t>030397</t>
  </si>
  <si>
    <t>29/11/2023</t>
  </si>
  <si>
    <t>1938</t>
  </si>
  <si>
    <t>103-T8</t>
  </si>
  <si>
    <t>103-T4</t>
  </si>
  <si>
    <t>103-T4.5</t>
  </si>
  <si>
    <t>103-T2</t>
  </si>
  <si>
    <t>37205</t>
  </si>
  <si>
    <t>28/11/2023</t>
  </si>
  <si>
    <t>1190</t>
  </si>
  <si>
    <t>1189</t>
  </si>
  <si>
    <t>1195</t>
  </si>
  <si>
    <t>1193</t>
  </si>
  <si>
    <t>1192</t>
  </si>
  <si>
    <t>41219432</t>
  </si>
  <si>
    <t>1199</t>
  </si>
  <si>
    <t>1198</t>
  </si>
  <si>
    <t>41218897</t>
  </si>
  <si>
    <t>1194</t>
  </si>
  <si>
    <t>41219377</t>
  </si>
  <si>
    <t>1197</t>
  </si>
  <si>
    <t>1196</t>
  </si>
  <si>
    <t>41217317</t>
  </si>
  <si>
    <t>1191</t>
  </si>
  <si>
    <t>FC4645078</t>
  </si>
  <si>
    <t>ORDEN INT</t>
  </si>
  <si>
    <t>137244</t>
  </si>
  <si>
    <t>30/11/2023</t>
  </si>
  <si>
    <t>1926</t>
  </si>
  <si>
    <t>FC4645647</t>
  </si>
  <si>
    <t>INT</t>
  </si>
  <si>
    <t>136835</t>
  </si>
  <si>
    <t>1200</t>
  </si>
  <si>
    <t>41217864</t>
  </si>
  <si>
    <t>1201</t>
  </si>
  <si>
    <t>1207</t>
  </si>
  <si>
    <t>1205</t>
  </si>
  <si>
    <t>1206</t>
  </si>
  <si>
    <t>1119</t>
  </si>
  <si>
    <t>1948</t>
  </si>
  <si>
    <t>LUGAR DE EXPEDICION37205</t>
  </si>
  <si>
    <t>TOT 216</t>
  </si>
  <si>
    <t>103-T6.5</t>
  </si>
  <si>
    <t>LUGA</t>
  </si>
  <si>
    <t>TOT</t>
  </si>
  <si>
    <t>41219444</t>
  </si>
  <si>
    <t>1208</t>
  </si>
  <si>
    <t>1209</t>
  </si>
  <si>
    <t>1210</t>
  </si>
  <si>
    <t>41219386</t>
  </si>
  <si>
    <t>1211</t>
  </si>
  <si>
    <t>1212</t>
  </si>
  <si>
    <t>1213</t>
  </si>
  <si>
    <t>1214</t>
  </si>
  <si>
    <t>6001</t>
  </si>
  <si>
    <t>1215</t>
  </si>
  <si>
    <t>41219425</t>
  </si>
  <si>
    <t>81066</t>
  </si>
  <si>
    <t>1217</t>
  </si>
  <si>
    <t>1218</t>
  </si>
  <si>
    <t>1219</t>
  </si>
  <si>
    <t>1220</t>
  </si>
  <si>
    <t>9549</t>
  </si>
  <si>
    <t>oc</t>
  </si>
  <si>
    <t>106</t>
  </si>
  <si>
    <t>1221</t>
  </si>
  <si>
    <t>1227</t>
  </si>
  <si>
    <t>1228</t>
  </si>
  <si>
    <t>1229</t>
  </si>
  <si>
    <t>1230</t>
  </si>
  <si>
    <t>620+G376</t>
  </si>
  <si>
    <t>1231</t>
  </si>
  <si>
    <t>1226</t>
  </si>
  <si>
    <t>1222</t>
  </si>
  <si>
    <t>1223</t>
  </si>
  <si>
    <t>1224</t>
  </si>
  <si>
    <t>1225</t>
  </si>
  <si>
    <t>A61246</t>
  </si>
  <si>
    <t>A61245</t>
  </si>
  <si>
    <t>SG108</t>
  </si>
  <si>
    <t>474</t>
  </si>
  <si>
    <t>41217485</t>
  </si>
  <si>
    <t>475</t>
  </si>
  <si>
    <t>476</t>
  </si>
  <si>
    <t>pend</t>
  </si>
  <si>
    <t>PEND</t>
  </si>
  <si>
    <t>FC4652550</t>
  </si>
  <si>
    <t>OC INT</t>
  </si>
  <si>
    <t>137833</t>
  </si>
  <si>
    <t>14/12/2023</t>
  </si>
  <si>
    <t>485</t>
  </si>
  <si>
    <t>1963</t>
  </si>
  <si>
    <t>exp</t>
  </si>
  <si>
    <t>ok</t>
  </si>
  <si>
    <t>5988374</t>
  </si>
  <si>
    <t>rem</t>
  </si>
  <si>
    <t>22/12/2023</t>
  </si>
  <si>
    <t>1244</t>
  </si>
  <si>
    <t>1245</t>
  </si>
  <si>
    <t>1246</t>
  </si>
  <si>
    <t>1247</t>
  </si>
  <si>
    <t>1248</t>
  </si>
  <si>
    <t>1249</t>
  </si>
  <si>
    <t>1250</t>
  </si>
  <si>
    <t>1251</t>
  </si>
  <si>
    <t>1265</t>
  </si>
  <si>
    <t>41219694</t>
  </si>
  <si>
    <t>1266</t>
  </si>
  <si>
    <t>NO HAY ORDEN DE COMPRA</t>
  </si>
  <si>
    <t>41218145</t>
  </si>
  <si>
    <t>1268</t>
  </si>
  <si>
    <t>1269</t>
  </si>
  <si>
    <t>41218868</t>
  </si>
  <si>
    <t>1270</t>
  </si>
  <si>
    <t>41217605</t>
  </si>
  <si>
    <t>1271</t>
  </si>
  <si>
    <t>1272</t>
  </si>
  <si>
    <t>041265</t>
  </si>
  <si>
    <t>789382</t>
  </si>
  <si>
    <t>041081</t>
  </si>
  <si>
    <t>822840</t>
  </si>
  <si>
    <t>041080</t>
  </si>
  <si>
    <t>822838</t>
  </si>
  <si>
    <t>1275</t>
  </si>
  <si>
    <t>1274</t>
  </si>
  <si>
    <t>1273</t>
  </si>
  <si>
    <t>1995</t>
  </si>
  <si>
    <t>03/01/2024</t>
  </si>
  <si>
    <t>1279</t>
  </si>
  <si>
    <t>1281</t>
  </si>
  <si>
    <t>1282</t>
  </si>
  <si>
    <t>41219744</t>
  </si>
  <si>
    <t>1276</t>
  </si>
  <si>
    <t>1280</t>
  </si>
  <si>
    <t>1283</t>
  </si>
  <si>
    <t>1278</t>
  </si>
  <si>
    <t>41218064</t>
  </si>
  <si>
    <t>1284</t>
  </si>
  <si>
    <t>1277</t>
  </si>
  <si>
    <t>1285</t>
  </si>
  <si>
    <t>1287</t>
  </si>
  <si>
    <t>1288</t>
  </si>
  <si>
    <t>1289</t>
  </si>
  <si>
    <t>412190002</t>
  </si>
  <si>
    <t>1291</t>
  </si>
  <si>
    <t>F18718</t>
  </si>
  <si>
    <t>2530</t>
  </si>
  <si>
    <t>CLIEN</t>
  </si>
  <si>
    <t>1292</t>
  </si>
  <si>
    <t>1293</t>
  </si>
  <si>
    <t>1294</t>
  </si>
  <si>
    <t>1295</t>
  </si>
  <si>
    <t>41114878</t>
  </si>
  <si>
    <t>1696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</si>
  <si>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</si>
  <si>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</si>
  <si>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</si>
  <si>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</si>
  <si>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</si>
  <si>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</si>
  <si>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</si>
  <si>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</si>
  <si>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</si>
  <si>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</si>
  <si>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41218317</t>
  </si>
  <si>
    <t>486</t>
  </si>
  <si>
    <t>A61981</t>
  </si>
  <si>
    <t>SG144</t>
  </si>
  <si>
    <t>OC</t>
  </si>
  <si>
    <t>16/01/2024</t>
  </si>
  <si>
    <t>41219754</t>
  </si>
  <si>
    <t>1307</t>
  </si>
  <si>
    <t>1308</t>
  </si>
  <si>
    <t>1309</t>
  </si>
  <si>
    <t>1310</t>
  </si>
  <si>
    <t>1311</t>
  </si>
  <si>
    <t>1312</t>
  </si>
  <si>
    <t>41217695</t>
  </si>
  <si>
    <t>487</t>
  </si>
  <si>
    <t>491</t>
  </si>
  <si>
    <t>490</t>
  </si>
  <si>
    <t>489</t>
  </si>
  <si>
    <t>492</t>
  </si>
  <si>
    <t>488</t>
  </si>
  <si>
    <t>045553</t>
  </si>
  <si>
    <t>25000</t>
  </si>
  <si>
    <t>17/01/2024</t>
  </si>
  <si>
    <t>493</t>
  </si>
  <si>
    <t>41217700</t>
  </si>
  <si>
    <t>494</t>
  </si>
  <si>
    <t>495</t>
  </si>
  <si>
    <t>496</t>
  </si>
  <si>
    <t>FC4665856</t>
  </si>
  <si>
    <t>18/01/2024</t>
  </si>
  <si>
    <t>FC4665256</t>
  </si>
  <si>
    <t>41217777</t>
  </si>
  <si>
    <t>506</t>
  </si>
  <si>
    <t>505</t>
  </si>
  <si>
    <t>502</t>
  </si>
  <si>
    <t>504</t>
  </si>
  <si>
    <t>499</t>
  </si>
  <si>
    <t>503</t>
  </si>
  <si>
    <t>497</t>
  </si>
  <si>
    <t>500</t>
  </si>
  <si>
    <t>507</t>
  </si>
  <si>
    <t>498</t>
  </si>
  <si>
    <t>1</t>
  </si>
  <si>
    <t>511</t>
  </si>
  <si>
    <t>512</t>
  </si>
  <si>
    <t>41219872</t>
  </si>
  <si>
    <t>509</t>
  </si>
  <si>
    <t>510</t>
  </si>
  <si>
    <t>1314</t>
  </si>
  <si>
    <t>1315</t>
  </si>
  <si>
    <t>1316</t>
  </si>
  <si>
    <t>1317</t>
  </si>
  <si>
    <t>1318</t>
  </si>
  <si>
    <t>1319</t>
  </si>
  <si>
    <t>1320</t>
  </si>
  <si>
    <t>41219951</t>
  </si>
  <si>
    <t>1321</t>
  </si>
  <si>
    <t>41219949</t>
  </si>
  <si>
    <t>1322</t>
  </si>
  <si>
    <t>1323</t>
  </si>
  <si>
    <t>1324</t>
  </si>
  <si>
    <t>1313</t>
  </si>
  <si>
    <t>1358</t>
  </si>
  <si>
    <t>1360</t>
  </si>
  <si>
    <t>1359</t>
  </si>
  <si>
    <t>1361</t>
  </si>
  <si>
    <t>1362</t>
  </si>
  <si>
    <t>1363</t>
  </si>
  <si>
    <t>1364</t>
  </si>
  <si>
    <t>1365</t>
  </si>
  <si>
    <t>1366</t>
  </si>
  <si>
    <t>1367</t>
  </si>
  <si>
    <t>1379</t>
  </si>
  <si>
    <t>1378</t>
  </si>
  <si>
    <t>1377</t>
  </si>
  <si>
    <t>1376</t>
  </si>
  <si>
    <t>1375</t>
  </si>
  <si>
    <t>1374</t>
  </si>
  <si>
    <t>1373</t>
  </si>
  <si>
    <t>1372</t>
  </si>
  <si>
    <t>1371</t>
  </si>
  <si>
    <t>1370</t>
  </si>
  <si>
    <t>1369</t>
  </si>
  <si>
    <t>1368</t>
  </si>
  <si>
    <t>1386</t>
  </si>
  <si>
    <t>1385</t>
  </si>
  <si>
    <t>raul fernandez</t>
  </si>
  <si>
    <t>519</t>
  </si>
  <si>
    <t>OMAR LEMUS</t>
  </si>
  <si>
    <t>1388</t>
  </si>
  <si>
    <t>1389</t>
  </si>
  <si>
    <t>41220007</t>
  </si>
  <si>
    <t>1390</t>
  </si>
  <si>
    <t>1391</t>
  </si>
  <si>
    <t>1392</t>
  </si>
  <si>
    <t>41220010</t>
  </si>
  <si>
    <t>1393</t>
  </si>
  <si>
    <t>1394</t>
  </si>
  <si>
    <t>1395</t>
  </si>
  <si>
    <t>1396</t>
  </si>
  <si>
    <t>1397</t>
  </si>
  <si>
    <t>A62803</t>
  </si>
  <si>
    <t>FV-45540</t>
  </si>
  <si>
    <t>1410</t>
  </si>
  <si>
    <t>1409</t>
  </si>
  <si>
    <t>1408</t>
  </si>
  <si>
    <t>1407</t>
  </si>
  <si>
    <t>1406</t>
  </si>
  <si>
    <t>1405</t>
  </si>
  <si>
    <t>1404</t>
  </si>
  <si>
    <t>1403</t>
  </si>
  <si>
    <t>1402</t>
  </si>
  <si>
    <t>1401</t>
  </si>
  <si>
    <t>1400</t>
  </si>
  <si>
    <t>1399</t>
  </si>
  <si>
    <t>RAul fernandez</t>
  </si>
  <si>
    <t>521</t>
  </si>
  <si>
    <t>FC4678419</t>
  </si>
  <si>
    <t>1418</t>
  </si>
  <si>
    <t>41220015</t>
  </si>
  <si>
    <t>1419</t>
  </si>
  <si>
    <t>1411</t>
  </si>
  <si>
    <t>41219554</t>
  </si>
  <si>
    <t>1417</t>
  </si>
  <si>
    <t>1415</t>
  </si>
  <si>
    <t>1412</t>
  </si>
  <si>
    <t>1414</t>
  </si>
  <si>
    <t>1416</t>
  </si>
  <si>
    <t>1413</t>
  </si>
  <si>
    <t>9408</t>
  </si>
  <si>
    <t>ACTUALIZE SHEET(cap) copiar y pegar datos de INVENTARIOma, no hay PO con ese numero de parte se busco solo e numero de articulo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</si>
  <si>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</si>
  <si>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</si>
  <si>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</si>
  <si>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</si>
  <si>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</si>
  <si>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</si>
  <si>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</si>
  <si>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</si>
  <si>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</si>
  <si>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522</t>
  </si>
  <si>
    <t>523</t>
  </si>
  <si>
    <t>524</t>
  </si>
  <si>
    <t>525</t>
  </si>
  <si>
    <t>535</t>
  </si>
  <si>
    <t>536</t>
  </si>
  <si>
    <t>SE ENTREGARON 5 DISPENSADORES TALLA M</t>
  </si>
  <si>
    <t>537</t>
  </si>
  <si>
    <t>538</t>
  </si>
  <si>
    <t>539</t>
  </si>
  <si>
    <t>no hay pn</t>
  </si>
  <si>
    <t>540</t>
  </si>
  <si>
    <t>054950</t>
  </si>
  <si>
    <t>14/02/2024</t>
  </si>
  <si>
    <t>2040</t>
  </si>
  <si>
    <t>15/02/2024</t>
  </si>
  <si>
    <t>FC4681389</t>
  </si>
  <si>
    <t>inventario</t>
  </si>
  <si>
    <t>5110 DISP</t>
  </si>
  <si>
    <t>240 DISP</t>
  </si>
  <si>
    <t>8 DISP</t>
  </si>
  <si>
    <t>543</t>
  </si>
  <si>
    <t>544</t>
  </si>
  <si>
    <t>545</t>
  </si>
  <si>
    <t>546</t>
  </si>
  <si>
    <t>547</t>
  </si>
  <si>
    <t>552</t>
  </si>
  <si>
    <t>553</t>
  </si>
  <si>
    <t>554</t>
  </si>
  <si>
    <t>555</t>
  </si>
  <si>
    <t>556</t>
  </si>
  <si>
    <t>548</t>
  </si>
  <si>
    <t>549</t>
  </si>
  <si>
    <t>550</t>
  </si>
  <si>
    <t>551</t>
  </si>
  <si>
    <t>9552</t>
  </si>
  <si>
    <t>20/02/2024</t>
  </si>
  <si>
    <t>057787</t>
  </si>
  <si>
    <t>057786</t>
  </si>
  <si>
    <t>2046</t>
  </si>
  <si>
    <t>LISTGROUPSSETS</t>
  </si>
  <si>
    <t xml:space="preserve">2113_x000D_
</t>
  </si>
  <si>
    <t xml:space="preserve">2111_x000D_
</t>
  </si>
  <si>
    <t>5p71</t>
  </si>
  <si>
    <t>GSS-2" BRUSH-3</t>
  </si>
  <si>
    <t>033K120C</t>
  </si>
  <si>
    <t>COTIZACION</t>
  </si>
  <si>
    <t>565</t>
  </si>
  <si>
    <t>566</t>
  </si>
  <si>
    <t>567</t>
  </si>
  <si>
    <t>568</t>
  </si>
  <si>
    <t>569</t>
  </si>
  <si>
    <t>discontinuidad de articulo</t>
  </si>
  <si>
    <t xml:space="preserve">_x000D_
</t>
  </si>
  <si>
    <t xml:space="preserve">COTIZACION_x000D_
</t>
  </si>
  <si>
    <t>20ENTREGA</t>
  </si>
  <si>
    <t>033K080C-1500</t>
  </si>
  <si>
    <t>#:41220015</t>
  </si>
  <si>
    <t>discrepancia</t>
  </si>
  <si>
    <t>557</t>
  </si>
  <si>
    <t>558</t>
  </si>
  <si>
    <t>559</t>
  </si>
  <si>
    <t>560</t>
  </si>
  <si>
    <t>F19380</t>
  </si>
  <si>
    <t>BYLACK</t>
  </si>
  <si>
    <t>4850</t>
  </si>
  <si>
    <t>1008</t>
  </si>
  <si>
    <t>220 discrepancia</t>
  </si>
  <si>
    <t>4352</t>
  </si>
  <si>
    <t>656 discrepancia</t>
  </si>
  <si>
    <t>2658</t>
  </si>
  <si>
    <t>844 discrepancia</t>
  </si>
  <si>
    <t>0 discrepancia</t>
  </si>
  <si>
    <t>1380</t>
  </si>
  <si>
    <t>1381</t>
  </si>
  <si>
    <t>1382</t>
  </si>
  <si>
    <t>1383</t>
  </si>
  <si>
    <t>41217793</t>
  </si>
  <si>
    <t>1384</t>
  </si>
  <si>
    <t>561</t>
  </si>
  <si>
    <t>562</t>
  </si>
  <si>
    <t>563</t>
  </si>
  <si>
    <t>564</t>
  </si>
  <si>
    <t>8666</t>
  </si>
  <si>
    <t>41217336</t>
  </si>
  <si>
    <t>789363</t>
  </si>
  <si>
    <t>797939</t>
  </si>
  <si>
    <t>31191500</t>
  </si>
  <si>
    <t>41217882</t>
  </si>
  <si>
    <t>41217698</t>
  </si>
  <si>
    <t>41220022</t>
  </si>
  <si>
    <t>41220183</t>
  </si>
  <si>
    <t>41217401</t>
  </si>
  <si>
    <t>41220289</t>
  </si>
  <si>
    <t>41220281</t>
  </si>
  <si>
    <t>1484</t>
  </si>
  <si>
    <t>1485</t>
  </si>
  <si>
    <t>1486</t>
  </si>
  <si>
    <t>1487</t>
  </si>
  <si>
    <t>1488</t>
  </si>
  <si>
    <t>9205</t>
  </si>
  <si>
    <t>6200</t>
  </si>
  <si>
    <t>6800</t>
  </si>
  <si>
    <t>6885</t>
  </si>
  <si>
    <t>501</t>
  </si>
  <si>
    <t>17948</t>
  </si>
  <si>
    <t>17023</t>
  </si>
  <si>
    <t>17947</t>
  </si>
  <si>
    <t>17022</t>
  </si>
  <si>
    <t>111023</t>
  </si>
  <si>
    <t>4630423</t>
  </si>
  <si>
    <t>9422</t>
  </si>
  <si>
    <t>9412</t>
  </si>
  <si>
    <t>53113</t>
  </si>
  <si>
    <t>9452</t>
  </si>
  <si>
    <t>9446</t>
  </si>
  <si>
    <t>OK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</si>
  <si>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</si>
  <si>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</si>
  <si>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</si>
  <si>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</si>
  <si>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</si>
  <si>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</si>
  <si>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</si>
  <si>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</si>
  <si>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</si>
  <si>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</si>
  <si>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</si>
  <si>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f19919</t>
  </si>
  <si>
    <t>27/02/2024</t>
  </si>
  <si>
    <t>A63442</t>
  </si>
  <si>
    <t>29/02/2024</t>
  </si>
  <si>
    <t>CAJAS CERRADAS</t>
  </si>
  <si>
    <t>BULTOS CERRADO</t>
  </si>
  <si>
    <t>MSGBOX NOTIFICACIONES</t>
  </si>
  <si>
    <t>MINIMOS</t>
  </si>
  <si>
    <t>MAXIMOS</t>
  </si>
  <si>
    <r>
      <rPr>
        <sz val="11"/>
        <color theme="1"/>
        <rFont val="Calibri"/>
        <family val="2"/>
        <scheme val="minor"/>
      </rPr>
      <t>10</t>
    </r>
  </si>
  <si>
    <r>
      <rPr>
        <sz val="11"/>
        <color theme="1"/>
        <rFont val="Calibri"/>
        <family val="2"/>
        <scheme val="minor"/>
      </rPr>
      <t>15</t>
    </r>
  </si>
  <si>
    <r>
      <rPr>
        <sz val="11"/>
        <color theme="1"/>
        <rFont val="Calibri"/>
        <family val="2"/>
        <scheme val="minor"/>
      </rPr>
      <t>14</t>
    </r>
  </si>
  <si>
    <r>
      <rPr>
        <sz val="11"/>
        <color theme="1"/>
        <rFont val="Calibri"/>
        <family val="2"/>
        <scheme val="minor"/>
      </rPr>
      <t>5</t>
    </r>
  </si>
  <si>
    <r>
      <rPr>
        <sz val="11"/>
        <color theme="1"/>
        <rFont val="Calibri"/>
        <family val="2"/>
        <scheme val="minor"/>
      </rPr>
      <t>2</t>
    </r>
  </si>
  <si>
    <t>15</t>
  </si>
  <si>
    <t>14</t>
  </si>
  <si>
    <t>5</t>
  </si>
  <si>
    <t>2</t>
  </si>
  <si>
    <t>ReplaceCommasInStr = Replace(STRINGTXT, ",", ".")</t>
  </si>
  <si>
    <t>correction in strings</t>
  </si>
  <si>
    <t>close msedge</t>
  </si>
  <si>
    <t>PRECIOUNITARIO@</t>
  </si>
  <si>
    <t>@</t>
  </si>
  <si>
    <t>open a file</t>
  </si>
  <si>
    <t>CTRL+</t>
  </si>
  <si>
    <t>KEYUP</t>
  </si>
  <si>
    <t>MOUSERIGHTCLICKX</t>
  </si>
  <si>
    <t>max</t>
  </si>
  <si>
    <t>KEYDOWNx</t>
  </si>
  <si>
    <t>path</t>
  </si>
  <si>
    <t>start date</t>
  </si>
  <si>
    <t>C:\Users\Miscelec\Downloads\SEGISA\ENTREGAS</t>
  </si>
  <si>
    <t>trm294</t>
  </si>
  <si>
    <t>C:\Users\Miscelec\Desktop\entregas 23-24\2023\235 entrega a tpi sep 21 2023\selladas\Scan 3.jpeg</t>
  </si>
  <si>
    <t>COPY FROM HERE</t>
  </si>
  <si>
    <t>640</t>
  </si>
  <si>
    <t>REVISAR CANTIDA VS PRECIOUNITARIO/PRECIOTOTAL</t>
  </si>
  <si>
    <t>642</t>
  </si>
  <si>
    <t>641</t>
  </si>
  <si>
    <t>BORRAR ESTA ALARMA AL RESOLVER, PEDIR O ACTUALIZAR SHEET(cap) copiar y pegar datos de INVENTARIOma, no hay PO con ese numero de parte se busco solo eL numero de articulo</t>
  </si>
  <si>
    <t>647</t>
  </si>
  <si>
    <t>#: 646@@</t>
  </si>
  <si>
    <t/>
  </si>
  <si>
    <t>649</t>
  </si>
  <si>
    <t>650</t>
  </si>
  <si>
    <t>651</t>
  </si>
  <si>
    <t>645</t>
  </si>
  <si>
    <t>648</t>
  </si>
  <si>
    <t>652</t>
  </si>
  <si>
    <t>653</t>
  </si>
  <si>
    <t>282</t>
  </si>
  <si>
    <t>283</t>
  </si>
  <si>
    <t>643</t>
  </si>
  <si>
    <t>658</t>
  </si>
  <si>
    <t>655</t>
  </si>
  <si>
    <t>654</t>
  </si>
  <si>
    <t>656</t>
  </si>
  <si>
    <t>#: 657@@</t>
  </si>
  <si>
    <t>664</t>
  </si>
  <si>
    <t>663</t>
  </si>
  <si>
    <t>662</t>
  </si>
  <si>
    <t>665</t>
  </si>
  <si>
    <t>668</t>
  </si>
  <si>
    <t>667</t>
  </si>
  <si>
    <t>666</t>
  </si>
  <si>
    <t>669</t>
  </si>
  <si>
    <t>671</t>
  </si>
  <si>
    <t>670</t>
  </si>
  <si>
    <t>672</t>
  </si>
  <si>
    <t>676</t>
  </si>
  <si>
    <t>675</t>
  </si>
  <si>
    <t>674</t>
  </si>
  <si>
    <t>677</t>
  </si>
  <si>
    <t>678</t>
  </si>
  <si>
    <t>679</t>
  </si>
  <si>
    <t>681</t>
  </si>
  <si>
    <t>680</t>
  </si>
  <si>
    <t>682</t>
  </si>
  <si>
    <t>683</t>
  </si>
  <si>
    <t>684</t>
  </si>
  <si>
    <t>685</t>
  </si>
  <si>
    <t>686</t>
  </si>
  <si>
    <t>688</t>
  </si>
  <si>
    <t>687</t>
  </si>
  <si>
    <t>689</t>
  </si>
  <si>
    <t>691</t>
  </si>
  <si>
    <t>#: 690@@</t>
  </si>
  <si>
    <t>692</t>
  </si>
  <si>
    <t>#: 287@@</t>
  </si>
  <si>
    <t>286</t>
  </si>
  <si>
    <t>288</t>
  </si>
  <si>
    <t>696</t>
  </si>
  <si>
    <t>697</t>
  </si>
  <si>
    <t>700</t>
  </si>
  <si>
    <t>701</t>
  </si>
  <si>
    <t>702</t>
  </si>
  <si>
    <t>704</t>
  </si>
  <si>
    <t>703</t>
  </si>
  <si>
    <t>#: 291@@</t>
  </si>
  <si>
    <t>295</t>
  </si>
  <si>
    <t>294</t>
  </si>
  <si>
    <t>299</t>
  </si>
  <si>
    <t>297</t>
  </si>
  <si>
    <t>#: 296@@</t>
  </si>
  <si>
    <t>300</t>
  </si>
  <si>
    <t>301</t>
  </si>
  <si>
    <t>302</t>
  </si>
  <si>
    <t>644</t>
  </si>
  <si>
    <t>#: 11217</t>
  </si>
  <si>
    <t>303</t>
  </si>
  <si>
    <t>717</t>
  </si>
  <si>
    <t>718</t>
  </si>
  <si>
    <t>719</t>
  </si>
  <si>
    <t>725</t>
  </si>
  <si>
    <t>724</t>
  </si>
  <si>
    <t>723</t>
  </si>
  <si>
    <t>#: 720@@</t>
  </si>
  <si>
    <t>721</t>
  </si>
  <si>
    <t>722</t>
  </si>
  <si>
    <t>735</t>
  </si>
  <si>
    <t>646</t>
  </si>
  <si>
    <t>734</t>
  </si>
  <si>
    <t>737</t>
  </si>
  <si>
    <t>736</t>
  </si>
  <si>
    <t>740</t>
  </si>
  <si>
    <t>739</t>
  </si>
  <si>
    <t>738</t>
  </si>
  <si>
    <t>744</t>
  </si>
  <si>
    <t>#: 746@@</t>
  </si>
  <si>
    <t>745</t>
  </si>
  <si>
    <t>747</t>
  </si>
  <si>
    <t>741</t>
  </si>
  <si>
    <t>742</t>
  </si>
  <si>
    <t>748</t>
  </si>
  <si>
    <t>749</t>
  </si>
  <si>
    <t>743</t>
  </si>
  <si>
    <t>752</t>
  </si>
  <si>
    <t>750</t>
  </si>
  <si>
    <t>751</t>
  </si>
  <si>
    <t>309</t>
  </si>
  <si>
    <t>311</t>
  </si>
  <si>
    <t>307</t>
  </si>
  <si>
    <t>306</t>
  </si>
  <si>
    <t>304</t>
  </si>
  <si>
    <t>305</t>
  </si>
  <si>
    <t>312</t>
  </si>
  <si>
    <t>310</t>
  </si>
  <si>
    <t>316</t>
  </si>
  <si>
    <t>315</t>
  </si>
  <si>
    <t>314</t>
  </si>
  <si>
    <t>313</t>
  </si>
  <si>
    <t>319</t>
  </si>
  <si>
    <t>318</t>
  </si>
  <si>
    <t>317</t>
  </si>
  <si>
    <t>321</t>
  </si>
  <si>
    <t>323</t>
  </si>
  <si>
    <t>785</t>
  </si>
  <si>
    <t>784</t>
  </si>
  <si>
    <t>783</t>
  </si>
  <si>
    <t>782</t>
  </si>
  <si>
    <t>781</t>
  </si>
  <si>
    <t>786</t>
  </si>
  <si>
    <t>780</t>
  </si>
  <si>
    <t>779</t>
  </si>
  <si>
    <t>787</t>
  </si>
  <si>
    <t>790</t>
  </si>
  <si>
    <t>789</t>
  </si>
  <si>
    <t>791</t>
  </si>
  <si>
    <t>788</t>
  </si>
  <si>
    <t>795</t>
  </si>
  <si>
    <t>284</t>
  </si>
  <si>
    <t>794</t>
  </si>
  <si>
    <t>792</t>
  </si>
  <si>
    <t>793</t>
  </si>
  <si>
    <t>805</t>
  </si>
  <si>
    <t>804</t>
  </si>
  <si>
    <t>803</t>
  </si>
  <si>
    <t>809</t>
  </si>
  <si>
    <t>808</t>
  </si>
  <si>
    <t>657</t>
  </si>
  <si>
    <t>807</t>
  </si>
  <si>
    <t>812</t>
  </si>
  <si>
    <t>811</t>
  </si>
  <si>
    <t>810</t>
  </si>
  <si>
    <t>806</t>
  </si>
  <si>
    <t>800</t>
  </si>
  <si>
    <t>285</t>
  </si>
  <si>
    <t>797</t>
  </si>
  <si>
    <t>798</t>
  </si>
  <si>
    <t>799</t>
  </si>
  <si>
    <t>820</t>
  </si>
  <si>
    <t>819</t>
  </si>
  <si>
    <t>818</t>
  </si>
  <si>
    <t>817</t>
  </si>
  <si>
    <t>816</t>
  </si>
  <si>
    <t>815</t>
  </si>
  <si>
    <t>814</t>
  </si>
  <si>
    <t>813</t>
  </si>
  <si>
    <t>821</t>
  </si>
  <si>
    <t>822</t>
  </si>
  <si>
    <t>826</t>
  </si>
  <si>
    <t>825</t>
  </si>
  <si>
    <t>823</t>
  </si>
  <si>
    <t>824</t>
  </si>
  <si>
    <t>828</t>
  </si>
  <si>
    <t>827</t>
  </si>
  <si>
    <t>837</t>
  </si>
  <si>
    <t>838</t>
  </si>
  <si>
    <t>690</t>
  </si>
  <si>
    <t>839</t>
  </si>
  <si>
    <t>840</t>
  </si>
  <si>
    <t>287</t>
  </si>
  <si>
    <t>841</t>
  </si>
  <si>
    <t>842</t>
  </si>
  <si>
    <t>843</t>
  </si>
  <si>
    <t>831</t>
  </si>
  <si>
    <t>832</t>
  </si>
  <si>
    <t>835</t>
  </si>
  <si>
    <t>830</t>
  </si>
  <si>
    <t>836</t>
  </si>
  <si>
    <t>833</t>
  </si>
  <si>
    <t>834</t>
  </si>
  <si>
    <t>845</t>
  </si>
  <si>
    <t>289</t>
  </si>
  <si>
    <t>844</t>
  </si>
  <si>
    <t>290</t>
  </si>
  <si>
    <t>848</t>
  </si>
  <si>
    <t>291</t>
  </si>
  <si>
    <t>847</t>
  </si>
  <si>
    <t>292</t>
  </si>
  <si>
    <t>293</t>
  </si>
  <si>
    <t>846</t>
  </si>
  <si>
    <t>331</t>
  </si>
  <si>
    <t>334</t>
  </si>
  <si>
    <t>325</t>
  </si>
  <si>
    <t>329</t>
  </si>
  <si>
    <t>324</t>
  </si>
  <si>
    <t>327</t>
  </si>
  <si>
    <t>326</t>
  </si>
  <si>
    <t>328</t>
  </si>
  <si>
    <t>332</t>
  </si>
  <si>
    <t>330</t>
  </si>
  <si>
    <t>298</t>
  </si>
  <si>
    <t>336</t>
  </si>
  <si>
    <t>346</t>
  </si>
  <si>
    <t>347</t>
  </si>
  <si>
    <t>296</t>
  </si>
  <si>
    <t>337</t>
  </si>
  <si>
    <t>338</t>
  </si>
  <si>
    <t>339</t>
  </si>
  <si>
    <t>340</t>
  </si>
  <si>
    <t>342</t>
  </si>
  <si>
    <t>343</t>
  </si>
  <si>
    <t>344</t>
  </si>
  <si>
    <t>345</t>
  </si>
  <si>
    <t>335</t>
  </si>
  <si>
    <t>349</t>
  </si>
  <si>
    <t>348</t>
  </si>
  <si>
    <t>350</t>
  </si>
  <si>
    <t>#:411140</t>
  </si>
  <si>
    <t>351</t>
  </si>
  <si>
    <t>366</t>
  </si>
  <si>
    <t>360</t>
  </si>
  <si>
    <t>355</t>
  </si>
  <si>
    <t>354</t>
  </si>
  <si>
    <t>356</t>
  </si>
  <si>
    <t>353</t>
  </si>
  <si>
    <t>358</t>
  </si>
  <si>
    <t>357</t>
  </si>
  <si>
    <t>352</t>
  </si>
  <si>
    <t>359</t>
  </si>
  <si>
    <t>364</t>
  </si>
  <si>
    <t>363</t>
  </si>
  <si>
    <t>362</t>
  </si>
  <si>
    <t>365</t>
  </si>
  <si>
    <t>361</t>
  </si>
  <si>
    <t>367</t>
  </si>
  <si>
    <t>368</t>
  </si>
  <si>
    <t>369</t>
  </si>
  <si>
    <t>371</t>
  </si>
  <si>
    <t>370</t>
  </si>
  <si>
    <t>372</t>
  </si>
  <si>
    <t>849</t>
  </si>
  <si>
    <t>898</t>
  </si>
  <si>
    <t>720</t>
  </si>
  <si>
    <t>897</t>
  </si>
  <si>
    <t>895</t>
  </si>
  <si>
    <t>850</t>
  </si>
  <si>
    <t>901</t>
  </si>
  <si>
    <t>899</t>
  </si>
  <si>
    <t>900</t>
  </si>
  <si>
    <t>896</t>
  </si>
  <si>
    <t>904</t>
  </si>
  <si>
    <t>903</t>
  </si>
  <si>
    <t>902</t>
  </si>
  <si>
    <t>909</t>
  </si>
  <si>
    <t>913</t>
  </si>
  <si>
    <t>912</t>
  </si>
  <si>
    <t>911</t>
  </si>
  <si>
    <t>910</t>
  </si>
  <si>
    <t>746</t>
  </si>
  <si>
    <t>914</t>
  </si>
  <si>
    <t>918</t>
  </si>
  <si>
    <t>919</t>
  </si>
  <si>
    <t>917</t>
  </si>
  <si>
    <t>921</t>
  </si>
  <si>
    <t>920</t>
  </si>
  <si>
    <t>925</t>
  </si>
  <si>
    <t>924</t>
  </si>
  <si>
    <t>923</t>
  </si>
  <si>
    <t>926</t>
  </si>
  <si>
    <t>922</t>
  </si>
  <si>
    <t>930</t>
  </si>
  <si>
    <t>929</t>
  </si>
  <si>
    <t>308</t>
  </si>
  <si>
    <t>927</t>
  </si>
  <si>
    <t>928</t>
  </si>
  <si>
    <t>931</t>
  </si>
  <si>
    <t>935</t>
  </si>
  <si>
    <t>933</t>
  </si>
  <si>
    <t>932</t>
  </si>
  <si>
    <t>934</t>
  </si>
  <si>
    <t>936</t>
  </si>
  <si>
    <t>937</t>
  </si>
  <si>
    <t>320</t>
  </si>
  <si>
    <t>322</t>
  </si>
  <si>
    <t>938</t>
  </si>
  <si>
    <t>939</t>
  </si>
  <si>
    <t>940</t>
  </si>
  <si>
    <t>941</t>
  </si>
  <si>
    <t>943</t>
  </si>
  <si>
    <t>942</t>
  </si>
  <si>
    <t>944</t>
  </si>
  <si>
    <t>945</t>
  </si>
  <si>
    <t>953</t>
  </si>
  <si>
    <t>954</t>
  </si>
  <si>
    <t>955</t>
  </si>
  <si>
    <t>952</t>
  </si>
  <si>
    <t>373</t>
  </si>
  <si>
    <t>379</t>
  </si>
  <si>
    <t>380</t>
  </si>
  <si>
    <t>378</t>
  </si>
  <si>
    <t>376</t>
  </si>
  <si>
    <t>374</t>
  </si>
  <si>
    <t>375</t>
  </si>
  <si>
    <t>381</t>
  </si>
  <si>
    <t>382</t>
  </si>
  <si>
    <t>384</t>
  </si>
  <si>
    <t>385</t>
  </si>
  <si>
    <t>383</t>
  </si>
  <si>
    <t>388</t>
  </si>
  <si>
    <t>80100617050285861200068005114412172653801809202317203961234567820002400024000250012000150003000003000680011162001115719010705680011162001115719010705027670070709050290028102857007031550291027870070757403050287194001700568821701450333400070568270453340188000408001344022050204002175099000102008010061705028586120006800</t>
  </si>
  <si>
    <t>386</t>
  </si>
  <si>
    <t>392</t>
  </si>
  <si>
    <t>391</t>
  </si>
  <si>
    <t>390</t>
  </si>
  <si>
    <t>389</t>
  </si>
  <si>
    <t>395</t>
  </si>
  <si>
    <t>396</t>
  </si>
  <si>
    <t>399</t>
  </si>
  <si>
    <t>398</t>
  </si>
  <si>
    <t>406</t>
  </si>
  <si>
    <t>407</t>
  </si>
  <si>
    <t>405</t>
  </si>
  <si>
    <t>401</t>
  </si>
  <si>
    <t>402</t>
  </si>
  <si>
    <t>403</t>
  </si>
  <si>
    <t>404</t>
  </si>
  <si>
    <t>400</t>
  </si>
  <si>
    <t>#: 41114</t>
  </si>
  <si>
    <t>408</t>
  </si>
  <si>
    <t>414</t>
  </si>
  <si>
    <t>413</t>
  </si>
  <si>
    <t>415</t>
  </si>
  <si>
    <t>411</t>
  </si>
  <si>
    <t>409</t>
  </si>
  <si>
    <t>957</t>
  </si>
  <si>
    <t>956</t>
  </si>
  <si>
    <t>958</t>
  </si>
  <si>
    <t>999</t>
  </si>
  <si>
    <t>998</t>
  </si>
  <si>
    <t>1000</t>
  </si>
  <si>
    <t>1001</t>
  </si>
  <si>
    <t>997</t>
  </si>
  <si>
    <t>1002</t>
  </si>
  <si>
    <t>1004</t>
  </si>
  <si>
    <t>1005</t>
  </si>
  <si>
    <t>1014</t>
  </si>
  <si>
    <t>1012</t>
  </si>
  <si>
    <t>1013</t>
  </si>
  <si>
    <t>1009</t>
  </si>
  <si>
    <t>1011</t>
  </si>
  <si>
    <t>1010</t>
  </si>
  <si>
    <t>1007</t>
  </si>
  <si>
    <t>1006</t>
  </si>
  <si>
    <t>1015</t>
  </si>
  <si>
    <t>1018</t>
  </si>
  <si>
    <t>1017</t>
  </si>
  <si>
    <t>1016</t>
  </si>
  <si>
    <t>1028</t>
  </si>
  <si>
    <t>1020</t>
  </si>
  <si>
    <t>1023</t>
  </si>
  <si>
    <t>1021</t>
  </si>
  <si>
    <t>1022</t>
  </si>
  <si>
    <t>1029</t>
  </si>
  <si>
    <t>1019</t>
  </si>
  <si>
    <t>1037</t>
  </si>
  <si>
    <t>1038</t>
  </si>
  <si>
    <t>1031</t>
  </si>
  <si>
    <t>1036</t>
  </si>
  <si>
    <t>1032</t>
  </si>
  <si>
    <t>1030</t>
  </si>
  <si>
    <t>1033</t>
  </si>
  <si>
    <t>1035</t>
  </si>
  <si>
    <t>1039</t>
  </si>
  <si>
    <t>1046</t>
  </si>
  <si>
    <t>1043</t>
  </si>
  <si>
    <t>1045</t>
  </si>
  <si>
    <t>1044</t>
  </si>
  <si>
    <t>1040</t>
  </si>
  <si>
    <t>1042</t>
  </si>
  <si>
    <t>1041</t>
  </si>
  <si>
    <t>1047</t>
  </si>
  <si>
    <t>1048</t>
  </si>
  <si>
    <t>1049</t>
  </si>
  <si>
    <t>1053</t>
  </si>
  <si>
    <t>1051</t>
  </si>
  <si>
    <t>1050</t>
  </si>
  <si>
    <t>1052</t>
  </si>
  <si>
    <t>1054</t>
  </si>
  <si>
    <t>1055</t>
  </si>
  <si>
    <t>1056</t>
  </si>
  <si>
    <t>418</t>
  </si>
  <si>
    <t>419</t>
  </si>
  <si>
    <t>429</t>
  </si>
  <si>
    <t>428</t>
  </si>
  <si>
    <t>427</t>
  </si>
  <si>
    <t>426</t>
  </si>
  <si>
    <t>425</t>
  </si>
  <si>
    <t>424</t>
  </si>
  <si>
    <t>423</t>
  </si>
  <si>
    <t>422</t>
  </si>
  <si>
    <t>430</t>
  </si>
  <si>
    <t>432</t>
  </si>
  <si>
    <t>431</t>
  </si>
  <si>
    <t>433</t>
  </si>
  <si>
    <t>#:411148</t>
  </si>
  <si>
    <t>434</t>
  </si>
  <si>
    <t>435</t>
  </si>
  <si>
    <t>438</t>
  </si>
  <si>
    <t>1063</t>
  </si>
  <si>
    <t>1067</t>
  </si>
  <si>
    <t>1066</t>
  </si>
  <si>
    <t>1065</t>
  </si>
  <si>
    <t>1068</t>
  </si>
  <si>
    <t>1064</t>
  </si>
  <si>
    <t>1061</t>
  </si>
  <si>
    <t>1062</t>
  </si>
  <si>
    <t>1069</t>
  </si>
  <si>
    <t>1070</t>
  </si>
  <si>
    <t>1074</t>
  </si>
  <si>
    <t>1077</t>
  </si>
  <si>
    <t>1078</t>
  </si>
  <si>
    <t>1075</t>
  </si>
  <si>
    <t>1076</t>
  </si>
  <si>
    <t>1072</t>
  </si>
  <si>
    <t>1071</t>
  </si>
  <si>
    <t>1073</t>
  </si>
  <si>
    <t>1108</t>
  </si>
  <si>
    <t>1109</t>
  </si>
  <si>
    <t>412</t>
  </si>
  <si>
    <t>1106</t>
  </si>
  <si>
    <t>1107</t>
  </si>
  <si>
    <t>1101</t>
  </si>
  <si>
    <t>1102</t>
  </si>
  <si>
    <t>1103</t>
  </si>
  <si>
    <t>1104</t>
  </si>
  <si>
    <t>1100</t>
  </si>
  <si>
    <t>1110</t>
  </si>
  <si>
    <t>1114</t>
  </si>
  <si>
    <t>1113</t>
  </si>
  <si>
    <t>1112</t>
  </si>
  <si>
    <t>1111</t>
  </si>
  <si>
    <t>1122</t>
  </si>
  <si>
    <t>1121</t>
  </si>
  <si>
    <t>1120</t>
  </si>
  <si>
    <t>1118</t>
  </si>
  <si>
    <t>1123</t>
  </si>
  <si>
    <t>1116</t>
  </si>
  <si>
    <t>1115</t>
  </si>
  <si>
    <t>417</t>
  </si>
  <si>
    <t>420</t>
  </si>
  <si>
    <t>421</t>
  </si>
  <si>
    <t>1117</t>
  </si>
  <si>
    <t>#:421722</t>
  </si>
  <si>
    <t>1129</t>
  </si>
  <si>
    <t>1130</t>
  </si>
  <si>
    <t>1132</t>
  </si>
  <si>
    <t>1131</t>
  </si>
  <si>
    <t>1128</t>
  </si>
  <si>
    <t>1139</t>
  </si>
  <si>
    <t>1138</t>
  </si>
  <si>
    <t>1137</t>
  </si>
  <si>
    <t>1140</t>
  </si>
  <si>
    <t>439</t>
  </si>
  <si>
    <t>1136</t>
  </si>
  <si>
    <t>1134</t>
  </si>
  <si>
    <t>440</t>
  </si>
  <si>
    <t>1135</t>
  </si>
  <si>
    <t>442</t>
  </si>
  <si>
    <t>441</t>
  </si>
  <si>
    <t>1133</t>
  </si>
  <si>
    <t>446</t>
  </si>
  <si>
    <t>444</t>
  </si>
  <si>
    <t>445</t>
  </si>
  <si>
    <t>443</t>
  </si>
  <si>
    <t>454</t>
  </si>
  <si>
    <t>456</t>
  </si>
  <si>
    <t>459</t>
  </si>
  <si>
    <t>455</t>
  </si>
  <si>
    <t>461</t>
  </si>
  <si>
    <t>462</t>
  </si>
  <si>
    <t>453</t>
  </si>
  <si>
    <t>466</t>
  </si>
  <si>
    <t>465</t>
  </si>
  <si>
    <t>472</t>
  </si>
  <si>
    <t>468</t>
  </si>
  <si>
    <t>469</t>
  </si>
  <si>
    <t>471</t>
  </si>
  <si>
    <t>1144</t>
  </si>
  <si>
    <t>460</t>
  </si>
  <si>
    <t>467</t>
  </si>
  <si>
    <t>470</t>
  </si>
  <si>
    <t>477</t>
  </si>
  <si>
    <t>479</t>
  </si>
  <si>
    <t>482</t>
  </si>
  <si>
    <t>483</t>
  </si>
  <si>
    <t>480</t>
  </si>
  <si>
    <t>948</t>
  </si>
  <si>
    <t>951</t>
  </si>
  <si>
    <t>946</t>
  </si>
  <si>
    <t>947</t>
  </si>
  <si>
    <t>950</t>
  </si>
  <si>
    <t>1252</t>
  </si>
  <si>
    <t>508</t>
  </si>
  <si>
    <t>516</t>
  </si>
  <si>
    <t>515</t>
  </si>
  <si>
    <t>518</t>
  </si>
  <si>
    <t>517</t>
  </si>
  <si>
    <t>514</t>
  </si>
  <si>
    <t>513</t>
  </si>
  <si>
    <t xml:space="preserve">#: raul </t>
  </si>
  <si>
    <t xml:space="preserve">#: OMAR </t>
  </si>
  <si>
    <t>520</t>
  </si>
  <si>
    <t>1387</t>
  </si>
  <si>
    <t>541</t>
  </si>
  <si>
    <t>481</t>
  </si>
  <si>
    <t>478</t>
  </si>
  <si>
    <t>949</t>
  </si>
  <si>
    <t>1296</t>
  </si>
  <si>
    <t>1491</t>
  </si>
  <si>
    <t>1489</t>
  </si>
  <si>
    <t>1492</t>
  </si>
  <si>
    <t>1493</t>
  </si>
  <si>
    <t>1490</t>
  </si>
  <si>
    <t>1495</t>
  </si>
  <si>
    <t>1496</t>
  </si>
  <si>
    <t>1499</t>
  </si>
  <si>
    <t>1497</t>
  </si>
  <si>
    <t>1501</t>
  </si>
  <si>
    <t>1494</t>
  </si>
  <si>
    <t>1500</t>
  </si>
  <si>
    <t>1498</t>
  </si>
  <si>
    <t>1503</t>
  </si>
  <si>
    <t>1504</t>
  </si>
  <si>
    <t>1505</t>
  </si>
  <si>
    <t>1502</t>
  </si>
  <si>
    <t>1507</t>
  </si>
  <si>
    <t>1508</t>
  </si>
  <si>
    <t>1509</t>
  </si>
  <si>
    <t>1506</t>
  </si>
  <si>
    <t>1510</t>
  </si>
  <si>
    <t>1511</t>
  </si>
  <si>
    <t>#:s/o@@R</t>
  </si>
  <si>
    <t>570</t>
  </si>
  <si>
    <t>C:\Users\Miscelec\Desktop\entregas 23-24\2023\160 entrega a tpi enero 10 del 2023\selladas\Scan 2.jpeg</t>
  </si>
  <si>
    <t>C:\Users\Miscelec\Desktop\entregas 23-24\2023\160 entrega a tpi enero 10 del 2023\selladas\Scan 4.jpeg</t>
  </si>
  <si>
    <t>C:\Users\Miscelec\Desktop\entregas 23-24\2023\160 entrega a tpi enero 10 del 2023\selladas\Scan.jpeg</t>
  </si>
  <si>
    <t>C:\Users\Miscelec\Desktop\entregas 23-24\2023\161 entrega a tpi enero 17 2023\selladas\Scan 1.jpeg</t>
  </si>
  <si>
    <t>C:\Users\Miscelec\Desktop\entregas 23-24\2023\161 entrega a tpi enero 17 2023\selladas\Scan 2.jpeg</t>
  </si>
  <si>
    <t>C:\Users\Miscelec\Desktop\entregas 23-24\2023\161 entrega a tpi enero 17 2023\selladas\Scan 3.jpeg</t>
  </si>
  <si>
    <t>C:\Users\Miscelec\Desktop\entregas 23-24\2023\161 entrega a tpi enero 17 2023\selladas\Scan 4.jpeg</t>
  </si>
  <si>
    <t>C:\Users\Miscelec\Desktop\entregas 23-24\2023\161 entrega a tpi enero 17 2023\selladas\Scan 5.jpeg</t>
  </si>
  <si>
    <t>C:\Users\Miscelec\Desktop\entregas 23-24\2023\161 entrega a tpi enero 17 2023\selladas\Scan 6.jpeg</t>
  </si>
  <si>
    <t>C:\Users\Miscelec\Desktop\entregas 23-24\2023\161 entrega a tpi enero 17 2023\selladas\Scan.jpeg</t>
  </si>
  <si>
    <t>C:\Users\Miscelec\Desktop\entregas 23-24\2023\162 entrega a tpi enero 18 2023\sellada\Scan.jpeg</t>
  </si>
  <si>
    <t>C:\Users\Miscelec\Desktop\entregas 23-24\2023\163 entrega a tpi enero 19 2023\sellada\Scan.jpeg</t>
  </si>
  <si>
    <t>C:\Users\Miscelec\Desktop\entregas 23-24\2023\164 entrega a tpi enero 24 2023\selladas\Scan.jpeg</t>
  </si>
  <si>
    <t>C:\Users\Miscelec\Desktop\entregas 23-24\2023\165 entrega a tpi enero 26 2023\selladas\Scan 1.jpeg</t>
  </si>
  <si>
    <t>C:\Users\Miscelec\Desktop\entregas 23-24\2023\160 entrega a tpi enero 10 del 2023\selladas\Scan 1.jpeg</t>
  </si>
  <si>
    <t>C:\Users\Miscelec\Desktop\entregas 23-24\2023\166 entrega a tpi febrero 1 2023\selladas\Scan 1.jpeg</t>
  </si>
  <si>
    <t>C:\Users\Miscelec\Desktop\entregas 23-24\2023\166 entrega a tpi febrero 1 2023\selladas\Scan 2.jpeg</t>
  </si>
  <si>
    <t>C:\Users\Miscelec\Desktop\entregas 23-24\2023\166 entrega a tpi febrero 1 2023\selladas\Scan 3.jpeg</t>
  </si>
  <si>
    <t>C:\Users\Miscelec\Desktop\entregas 23-24\2023\166 entrega a tpi febrero 1 2023\selladas\Scan 4.jpeg</t>
  </si>
  <si>
    <t>C:\Users\Miscelec\Desktop\entregas 23-24\2023\166 entrega a tpi febrero 1 2023\selladas\Scan.jpeg</t>
  </si>
  <si>
    <t>C:\Users\Miscelec\Desktop\entregas 23-24\2023\167 entrega a tpi febrero 8 2023\selladas\Scan 1.jpeg</t>
  </si>
  <si>
    <t>C:\Users\Miscelec\Desktop\entregas 23-24\2023\167 entrega a tpi febrero 8 2023\selladas\Scan 2.jpeg</t>
  </si>
  <si>
    <t>C:\Users\Miscelec\Desktop\entregas 23-24\2023\167 entrega a tpi febrero 8 2023\selladas\Scan 3.jpeg</t>
  </si>
  <si>
    <t>C:\Users\Miscelec\Desktop\entregas 23-24\2023\167 entrega a tpi febrero 8 2023\selladas\Scan.jpeg</t>
  </si>
  <si>
    <t>C:\Users\Miscelec\Desktop\entregas 23-24\2023\168 entrega a tpi 2023 febrero 14\selladas\Scan 1.jpeg</t>
  </si>
  <si>
    <t>C:\Users\Miscelec\Desktop\entregas 23-24\2023\168 entrega a tpi 2023 febrero 14\selladas\Scan 2.jpeg</t>
  </si>
  <si>
    <t>C:\Users\Miscelec\Desktop\entregas 23-24\2023\168 entrega a tpi 2023 febrero 14\selladas\Scan 3.jpeg</t>
  </si>
  <si>
    <t>C:\Users\Miscelec\Desktop\entregas 23-24\2023\168 entrega a tpi 2023 febrero 14\selladas\Scan.jpeg</t>
  </si>
  <si>
    <t>C:\Users\Miscelec\Desktop\entregas 23-24\2023\170 entrega a tpi marzo 1 2023\selladas\Scan 1.jpeg</t>
  </si>
  <si>
    <t>C:\Users\Miscelec\Desktop\entregas 23-24\2023\170 entrega a tpi marzo 1 2023\selladas\Scan 2.jpeg</t>
  </si>
  <si>
    <t>C:\Users\Miscelec\Desktop\entregas 23-24\2023\170 entrega a tpi marzo 1 2023\selladas\Scan.jpeg</t>
  </si>
  <si>
    <t>C:\Users\Miscelec\Desktop\entregas 23-24\2023\171 entrega a tpi marzo 8 2023\selladas\Scan 1.jpeg</t>
  </si>
  <si>
    <t>C:\Users\Miscelec\Desktop\entregas 23-24\2023\171 entrega a tpi marzo 8 2023\selladas\Scan 2.jpeg</t>
  </si>
  <si>
    <t>C:\Users\Miscelec\Desktop\entregas 23-24\2023\171 entrega a tpi marzo 8 2023\selladas\Scan.jpeg</t>
  </si>
  <si>
    <t>C:\Users\Miscelec\Desktop\entregas 23-24\2023\172 entrega a tpi marzo 16 2023\selladas\Scan 1.jpeg</t>
  </si>
  <si>
    <t>C:\Users\Miscelec\Desktop\entregas 23-24\2023\172 entrega a tpi marzo 16 2023\selladas\Scan 2.jpeg</t>
  </si>
  <si>
    <t>C:\Users\Miscelec\Desktop\entregas 23-24\2023\172 entrega a tpi marzo 16 2023\selladas\Scan 3.jpeg</t>
  </si>
  <si>
    <t>C:\Users\Miscelec\Desktop\entregas 23-24\2023\172 entrega a tpi marzo 16 2023\selladas\Scan 4.jpeg</t>
  </si>
  <si>
    <t>C:\Users\Miscelec\Desktop\entregas 23-24\2023\172 entrega a tpi marzo 16 2023\selladas\Scan 5.jpeg</t>
  </si>
  <si>
    <t>C:\Users\Miscelec\Desktop\entregas 23-24\2023\173 entrega a tpi abril 10\selladas\Scan 1.jpeg</t>
  </si>
  <si>
    <t>C:\Users\Miscelec\Desktop\entregas 23-24\2023\173 entrega a tpi abril 10\selladas\Scan 2.jpeg</t>
  </si>
  <si>
    <t>C:\Users\Miscelec\Desktop\entregas 23-24\2023\173 entrega a tpi abril 10\selladas\Scan 3.jpeg</t>
  </si>
  <si>
    <t>C:\Users\Miscelec\Desktop\entregas 23-24\2023\173 entrega a tpi abril 10\selladas\Scan 4.jpeg</t>
  </si>
  <si>
    <t>C:\Users\Miscelec\Desktop\entregas 23-24\2023\173 entrega a tpi abril 10\selladas\Scan 5.jpeg</t>
  </si>
  <si>
    <t>C:\Users\Miscelec\Desktop\entregas 23-24\2023\174 entrega a tpi mayo 4 2023\selladas\Scan 1.jpeg</t>
  </si>
  <si>
    <t>C:\Users\Miscelec\Desktop\entregas 23-24\2023\174 entrega a tpi mayo 4 2023\selladas\Scan 2.jpeg</t>
  </si>
  <si>
    <t>C:\Users\Miscelec\Desktop\entregas 23-24\2023\174 entrega a tpi mayo 4 2023\selladas\Scan 3.jpeg</t>
  </si>
  <si>
    <t>C:\Users\Miscelec\Desktop\entregas 23-24\2023\175 entrega a tpi  mayo 11 2023\selladas\Scan 1.jpeg</t>
  </si>
  <si>
    <t>C:\Users\Miscelec\Desktop\entregas 23-24\2023\175 entrega a tpi  mayo 11 2023\selladas\Scan 2.jpeg</t>
  </si>
  <si>
    <t>C:\Users\Miscelec\Desktop\entregas 23-24\2023\176 entrega a tpi mayo 12 2023\sellada\Scan 1.jpeg</t>
  </si>
  <si>
    <t>C:\Users\Miscelec\Desktop\entregas 23-24\2023\177 entrega a tpi mayo 22 2023\selladas\Scan 1.jpeg</t>
  </si>
  <si>
    <t>C:\Users\Miscelec\Desktop\entregas 23-24\2023\177 entrega a tpi mayo 22 2023\selladas\Scan 2.jpeg</t>
  </si>
  <si>
    <t>C:\Users\Miscelec\Desktop\entregas 23-24\2023\177 entrega a tpi mayo 22 2023\selladas\Scan 3.jpeg</t>
  </si>
  <si>
    <t>C:\Users\Miscelec\Desktop\entregas 23-24\2023\178 entrega a tpi junio 7 2023\ellada\Scan 1.jpeg</t>
  </si>
  <si>
    <t>C:\Users\Miscelec\Desktop\entregas 23-24\2023\179 entrega tpi junio 8 2023\selladas\Scan 1.jpeg</t>
  </si>
  <si>
    <t>C:\Users\Miscelec\Desktop\entregas 23-24\2023\180 entraga a tpi junio 9 2023\selladas\Scan 1.jpeg</t>
  </si>
  <si>
    <t>C:\Users\Miscelec\Desktop\entregas 23-24\2023\180 entraga a tpi junio 9 2023\selladas\Scan 2.jpeg</t>
  </si>
  <si>
    <t>C:\Users\Miscelec\Desktop\entregas 23-24\2023\181 entrega a tpi 13 junio 2023\sellada\Scan 1.jpeg</t>
  </si>
  <si>
    <t>C:\Users\Miscelec\Desktop\entregas 23-24\2023\182 entrega a tpi junio 16\selladas\Scan 1.jpeg</t>
  </si>
  <si>
    <t>C:\Users\Miscelec\Desktop\entregas 23-24\2023\182 entrega a tpi junio 16\selladas\Scan 2.jpeg</t>
  </si>
  <si>
    <t>C:\Users\Miscelec\Desktop\entregas 23-24\2023\183 entrega a tpi junio 22 2023\selladas\Scan 1.jpeg</t>
  </si>
  <si>
    <t>C:\Users\Miscelec\Desktop\entregas 23-24\2023\185 entrega a tpi (nordex) junio 28 2023\selladas\Scan 1.jpeg</t>
  </si>
  <si>
    <t>C:\Users\Miscelec\Desktop\entregas 23-24\2023\185 entrega a tpi (nordex) junio 28 2023\selladas\Scan 2.jpeg</t>
  </si>
  <si>
    <t>C:\Users\Miscelec\Desktop\entregas 23-24\2023\186 entrega a tpi junio 29 2023\selladas\Scan 1.jpeg</t>
  </si>
  <si>
    <t>C:\Users\Miscelec\Desktop\entregas 23-24\2023\186 entrega a tpi junio 29 2023\selladas\Scan 2.jpeg</t>
  </si>
  <si>
    <t>C:\Users\Miscelec\Desktop\entregas 23-24\2023\186 entrega a tpi junio 29 2023\selladas\Scan 4.jpeg</t>
  </si>
  <si>
    <t>C:\Users\Miscelec\Desktop\entregas 23-24\2023\187 entrega a TPI junio 30 2023\selladas\Scan 3.jpeg</t>
  </si>
  <si>
    <t>C:\Users\Miscelec\Desktop\entregas 23-24\2023\187 entrega a TPI junio 30 2023\selladas\Scan 4.jpeg</t>
  </si>
  <si>
    <t>C:\Users\Miscelec\Desktop\entregas 23-24\2023\188 entrega a tpi (nordex) junio 30 2023\sellada\Scan 1.jpeg</t>
  </si>
  <si>
    <t>C:\Users\Miscelec\Desktop\entregas 23-24\2023\160 entrega a tpi enero 10 del 2023\selladas\Scan 3.jpeg</t>
  </si>
  <si>
    <t>C:\Users\Miscelec\Desktop\entregas 23-24\2023\189 entrega a tpi julio 3 2023\sellada\Scan 1.jpeg</t>
  </si>
  <si>
    <t>C:\Users\Miscelec\Desktop\entregas 23-24\2023\190 entrega a tpi julio 4 2023\sellada\Scan 1.jpeg</t>
  </si>
  <si>
    <t>C:\Users\Miscelec\Desktop\entregas 23-24\2023\191 entrega a tpi julio 5 2023\selladas\Scan 1.jpeg</t>
  </si>
  <si>
    <t>C:\Users\Miscelec\Desktop\entregas 23-24\2023\191 entrega a tpi julio 5 2023\selladas\Scan 2.jpeg</t>
  </si>
  <si>
    <t>C:\Users\Miscelec\Desktop\entregas 23-24\2023\192 entrega a tpi nordex julio 7 2023\sellada\Scan 6.jpeg</t>
  </si>
  <si>
    <t>C:\Users\Miscelec\Desktop\entregas 23-24\2023\192 entrega tpi JULIO 7 2023\selladas\Scan 1.jpeg</t>
  </si>
  <si>
    <t>C:\Users\Miscelec\Desktop\entregas 23-24\2023\192 entrega tpi JULIO 7 2023\selladas\Scan 2.jpeg</t>
  </si>
  <si>
    <t>C:\Users\Miscelec\Desktop\entregas 23-24\2023\192 entrega tpi JULIO 7 2023\selladas\Scan 3.jpeg</t>
  </si>
  <si>
    <t>C:\Users\Miscelec\Desktop\entregas 23-24\2023\192 entrega tpi JULIO 7 2023\selladas\Scan 4.jpeg</t>
  </si>
  <si>
    <t>C:\Users\Miscelec\Desktop\entregas 23-24\2023\192 entrega tpi JULIO 7 2023\selladas\Scan 5.jpeg</t>
  </si>
  <si>
    <t>C:\Users\Miscelec\Desktop\entregas 23-24\2023\193 entrega a tpi (nordex) julio 12 2023\selladas\Scan 1.jpeg</t>
  </si>
  <si>
    <t>C:\Users\Miscelec\Desktop\entregas 23-24\2023\193 entrega a tpi (nordex) julio 12 2023\selladas\Scan 2.jpeg</t>
  </si>
  <si>
    <t>C:\Users\Miscelec\Desktop\entregas 23-24\2023\193 entrega a tpi julio 12 2023\selladas\Scan 1.jpeg</t>
  </si>
  <si>
    <t>C:\Users\Miscelec\Desktop\entregas 23-24\2023\193 entrega a tpi julio 12 2023\selladas\Scan 2.jpeg</t>
  </si>
  <si>
    <t>C:\Users\Miscelec\Desktop\entregas 23-24\2023\194 entrega a TPI julip 13 2023\selladas\Scan 1.jpeg</t>
  </si>
  <si>
    <t>C:\Users\Miscelec\Desktop\entregas 23-24\2023\194 entrega a TPI julip 13 2023\selladas\Scan 2.jpeg</t>
  </si>
  <si>
    <t>C:\Users\Miscelec\Desktop\entregas 23-24\2023\194 entrega a TPI julip 13 2023\selladas\Scan 3.jpeg</t>
  </si>
  <si>
    <t>C:\Users\Miscelec\Desktop\entregas 23-24\2023\195 entrega a tpi y nordex julio 14 2023\p4\selladas\Scan 1.jpeg</t>
  </si>
  <si>
    <t>C:\Users\Miscelec\Desktop\entregas 23-24\2023\195 entrega a tpi y nordex julio 14 2023\p4\selladas\Scan 2.jpeg</t>
  </si>
  <si>
    <t>C:\Users\Miscelec\Desktop\entregas 23-24\2023\195 entrega a tpi y nordex julio 14 2023\p4\selladas\Scan 3.jpeg</t>
  </si>
  <si>
    <t>C:\Users\Miscelec\Desktop\entregas 23-24\2023\195 entrega a tpi y nordex julio 14 2023\p4\selladas\Scan 4.jpeg</t>
  </si>
  <si>
    <t>C:\Users\Miscelec\Desktop\entregas 23-24\2023\195 entrega a tpi y nordex julio 14 2023\p6\selladas\Scan 5.jpeg</t>
  </si>
  <si>
    <t>C:\Users\Miscelec\Desktop\entregas 23-24\2023\195 entrega a tpi y nordex julio 14 2023\p6\selladas\Scan 6.jpeg</t>
  </si>
  <si>
    <t>C:\Users\Miscelec\Desktop\entregas 23-24\2023\196 entrega a TPI julio 17 2023\selladas\Scan 1.jpeg</t>
  </si>
  <si>
    <t>C:\Users\Miscelec\Desktop\entregas 23-24\2023\196 entrega a TPI julio 17 2023\selladas\Scan 2.jpeg</t>
  </si>
  <si>
    <t>C:\Users\Miscelec\Desktop\entregas 23-24\2023\196 entrega a TPI julio 17 2023\selladas\Scan 3.jpeg</t>
  </si>
  <si>
    <t>C:\Users\Miscelec\Desktop\entregas 23-24\2023\197 entrega a tpi (nordex) julio 18 2023\selladas\Scan 1.jpeg</t>
  </si>
  <si>
    <t>C:\Users\Miscelec\Desktop\entregas 23-24\2023\197 entrega a tpi (nordex) julio 18 2023\selladas\Scan 2.jpeg</t>
  </si>
  <si>
    <t>C:\Users\Miscelec\Desktop\entregas 23-24\2023\197 entrega a tpi (nordex) julio 18 2023\selladas\Scan 3.jpeg</t>
  </si>
  <si>
    <t>C:\Users\Miscelec\Desktop\entregas 23-24\2023\198 entrega a tpi julio 20 2023\selladas\Scan 1.jpeg</t>
  </si>
  <si>
    <t>C:\Users\Miscelec\Desktop\entregas 23-24\2023\198 entrega a tpi julio 20 2023\selladas\Scan 3.jpeg</t>
  </si>
  <si>
    <t>C:\Users\Miscelec\Desktop\entregas 23-24\2023\198 entrega a tpi julio 20 2023\selladas\Scan 4.jpeg</t>
  </si>
  <si>
    <t>C:\Users\Miscelec\Desktop\entregas 23-24\2023\198 entrega a tpi julio 20 2023\selladas\Scan 5.jpeg</t>
  </si>
  <si>
    <t>C:\Users\Miscelec\Desktop\entregas 23-24\2023\198 entrega a tpi julio 20 2023\selladas\Scan 6.jpeg</t>
  </si>
  <si>
    <t>C:\Users\Miscelec\Desktop\entregas 23-24\2023\198 entrega a tpi julio 20 2023\selladas\Scan 7.jpeg</t>
  </si>
  <si>
    <t>C:\Users\Miscelec\Desktop\entregas 23-24\2023\198 entrega a tpi julio 20 2023\selladas\Scan 8.jpeg</t>
  </si>
  <si>
    <t>C:\Users\Miscelec\Desktop\entregas 23-24\2023\198 entrega a tpi julio 20 2023\selladas\Scan 9.jpeg</t>
  </si>
  <si>
    <t>C:\Users\Miscelec\Desktop\entregas 23-24\2023\199 entrega a tpi julio 21 2023\selladas\Scan 1.jpeg</t>
  </si>
  <si>
    <t>C:\Users\Miscelec\Desktop\entregas 23-24\2023\199 entrega a tpi julio 21 2023\selladas\Scan 2.jpeg</t>
  </si>
  <si>
    <t>C:\Users\Miscelec\Desktop\entregas 23-24\2023\199 entrega a tpi julio 21 2023\selladas\Scan 3.jpeg</t>
  </si>
  <si>
    <t>C:\Users\Miscelec\Desktop\entregas 23-24\2023\199 entrega a tpi julio 21 2023\selladas\Scan 4.jpeg</t>
  </si>
  <si>
    <t>C:\Users\Miscelec\Desktop\entregas 23-24\2023\200 entrga a tpi julio 26 2023\selladas\Scan 1.jpeg</t>
  </si>
  <si>
    <t>C:\Users\Miscelec\Desktop\entregas 23-24\2023\200 entrga a tpi julio 26 2023\selladas\Scan 2.jpeg</t>
  </si>
  <si>
    <t>C:\Users\Miscelec\Desktop\entregas 23-24\2023\200 entrga a tpi julio 26 2023\selladas\Scan 3.jpeg</t>
  </si>
  <si>
    <t>C:\Users\Miscelec\Desktop\entregas 23-24\2023\201 entrega a tpi (noedex) julio 27 2023\selladas\Scan 1.jpeg</t>
  </si>
  <si>
    <t>C:\Users\Miscelec\Desktop\entregas 23-24\2023\202 entrega a TPI julio 31 2023\Scan 2.jpeg</t>
  </si>
  <si>
    <t>C:\Users\Miscelec\Desktop\entregas 23-24\2023\203 entrega a tpi p4 y (nordex) agosto 2 2023\selladas\Scan 1.jpeg</t>
  </si>
  <si>
    <t>C:\Users\Miscelec\Desktop\entregas 23-24\2023\203 entrega a tpi p4 y (nordex) agosto 2 2023\selladas\Scan 2.jpeg</t>
  </si>
  <si>
    <t>C:\Users\Miscelec\Desktop\entregas 23-24\2023\203 entrega a tpi p4 y (nordex) agosto 2 2023\selladas\Scan 3.jpeg</t>
  </si>
  <si>
    <t>C:\Users\Miscelec\Desktop\entregas 23-24\2023\203 entrega a tpi p4 y (nordex) agosto 2 2023\selladas\Scan 4.jpeg</t>
  </si>
  <si>
    <t>C:\Users\Miscelec\Desktop\entregas 23-24\2023\203 entrega a tpi p4 y (nordex) agosto 2 2023\selladas\Scan 5.jpeg</t>
  </si>
  <si>
    <t>C:\Users\Miscelec\Desktop\entregas 23-24\2023\203 entrega a tpi p4 y (nordex) agosto 2 2023\selladas\Scan 6.jpeg</t>
  </si>
  <si>
    <t>C:\Users\Miscelec\Desktop\entregas 23-24\2023\203 entrega a tpi p4 y (nordex) agosto 2 2023\selladas\Scan 7.jpeg</t>
  </si>
  <si>
    <t>C:\Users\Miscelec\Desktop\entregas 23-24\2023\203 entrega a tpi p4 y (nordex) agosto 2 2023\selladas\Scan 8.jpeg</t>
  </si>
  <si>
    <t>C:\Users\Miscelec\Desktop\entregas 23-24\2023\204 entrega a tpi p4 y p6 (nordex) agosto 3 2023\selladas\Scan 1.jpeg</t>
  </si>
  <si>
    <t>C:\Users\Miscelec\Desktop\entregas 23-24\2023\204 entrega a tpi p4 y p6 (nordex) agosto 3 2023\selladas\Scan 2.jpeg</t>
  </si>
  <si>
    <t>C:\Users\Miscelec\Desktop\entregas 23-24\2023\204 entrega a tpi p4 y p6 (nordex) agosto 3 2023\selladas\Scan 3.jpeg</t>
  </si>
  <si>
    <t>C:\Users\Miscelec\Desktop\entregas 23-24\2023\204 entrega a tpi p4 y p6 (nordex) agosto 3 2023\selladas\Scan 4.jpeg</t>
  </si>
  <si>
    <t>C:\Users\Miscelec\Desktop\entregas 23-24\2023\204 entrega a tpi p4 y p6 (nordex) agosto 3 2023\selladas\Scan 5.jpeg</t>
  </si>
  <si>
    <t>C:\Users\Miscelec\Desktop\entregas 23-24\2023\205 entrega a tpi agosto 4 2023\selladas\Scan 1.jpeg</t>
  </si>
  <si>
    <t>C:\Users\Miscelec\Desktop\entregas 23-24\2023\165 entrega a tpi enero 26 2023\selladas\Scan.jpeg</t>
  </si>
  <si>
    <t>C:\Users\Miscelec\Desktop\entregas 23-24\2023\205 entrega a tpi agosto 4 2023\selladas\Scan 2.jpeg</t>
  </si>
  <si>
    <t>C:\Users\Miscelec\Desktop\entregas 23-24\2023\205 entrega a tpi agosto 4 2023\selladas\Scan 3.jpeg</t>
  </si>
  <si>
    <t>C:\Users\Miscelec\Desktop\entregas 23-24\2023\205 entrega a tpi agosto 4 2023\selladas\Scan 4.jpeg</t>
  </si>
  <si>
    <t>C:\Users\Miscelec\Desktop\entregas 23-24\2023\206 entrega a tpi y NORDEX agosto 8 2023\selladas\p4\Scan 1.jpeg</t>
  </si>
  <si>
    <t>C:\Users\Miscelec\Desktop\entregas 23-24\2023\206 entrega a tpi y NORDEX agosto 8 2023\selladas\p4\Scan 2.jpeg</t>
  </si>
  <si>
    <t>C:\Users\Miscelec\Desktop\entregas 23-24\2023\206 entrega a tpi y NORDEX agosto 8 2023\selladas\p4\Scan 3.jpeg</t>
  </si>
  <si>
    <t>C:\Users\Miscelec\Desktop\entregas 23-24\2023\206 entrega a tpi y NORDEX agosto 8 2023\selladas\p4\Scan 4.jpeg</t>
  </si>
  <si>
    <t>C:\Users\Miscelec\Desktop\entregas 23-24\2023\206 entrega a tpi y NORDEX agosto 8 2023\selladas\p4\Scan 5.jpeg</t>
  </si>
  <si>
    <t>C:\Users\Miscelec\Desktop\entregas 23-24\2023\206 entrega a tpi y NORDEX agosto 8 2023\selladas\p4\Scan 6.jpeg</t>
  </si>
  <si>
    <t>C:\Users\Miscelec\Desktop\entregas 23-24\2023\206 entrega a tpi y NORDEX agosto 8 2023\selladas\p4\Scan 7.jpeg</t>
  </si>
  <si>
    <t>C:\Users\Miscelec\Desktop\entregas 23-24\2023\206 entrega a tpi y NORDEX agosto 8 2023\selladas\p4\Scan 8.jpeg</t>
  </si>
  <si>
    <t>C:\Users\Miscelec\Desktop\entregas 23-24\2023\206 entrega a tpi y NORDEX agosto 8 2023\selladas\p4\Scan 9.jpeg</t>
  </si>
  <si>
    <t>C:\Users\Miscelec\Desktop\entregas 23-24\2023\206 entrega a tpi y NORDEX agosto 8 2023\selladas\p4\Scan.jpeg</t>
  </si>
  <si>
    <t>C:\Users\Miscelec\Desktop\entregas 23-24\2023\206 entrega a tpi y NORDEX agosto 8 2023\selladas\p6\Scan 1.jpeg</t>
  </si>
  <si>
    <t>C:\Users\Miscelec\Desktop\entregas 23-24\2023\169 entrega a tpi febrero 27\sellada\Scan.jpeg</t>
  </si>
  <si>
    <t>C:\Users\Miscelec\Desktop\entregas 23-24\2023\206 entrega a tpi y NORDEX agosto 8 2023\selladas\p6\Scan 2.jpeg</t>
  </si>
  <si>
    <t>C:\Users\Miscelec\Desktop\entregas 23-24\2023\206 entrega a tpi y NORDEX agosto 8 2023\selladas\p6\Scan 3.jpeg</t>
  </si>
  <si>
    <t>C:\Users\Miscelec\Desktop\entregas 23-24\2023\206 entrega a tpi y NORDEX agosto 8 2023\selladas\p6\Scan 4.jpeg</t>
  </si>
  <si>
    <t>C:\Users\Miscelec\Desktop\entregas 23-24\2023\207 entrega a TPI agosto 9 2023\selladas\Scan 1.jpeg</t>
  </si>
  <si>
    <t>C:\Users\Miscelec\Desktop\entregas 23-24\2023\207 entrega a TPI agosto 9 2023\selladas\Scan 2.jpeg</t>
  </si>
  <si>
    <t>C:\Users\Miscelec\Desktop\entregas 23-24\2023\207 entrega a TPI agosto 9 2023\selladas\Scan 3.jpeg</t>
  </si>
  <si>
    <t>C:\Users\Miscelec\Desktop\entregas 23-24\2023\207 entrega a TPI agosto 9 2023\selladas\Scan 4.jpeg</t>
  </si>
  <si>
    <t>C:\Users\Miscelec\Desktop\entregas 23-24\2023\207 entrega a TPI agosto 9 2023\selladas\Scan 5.jpeg</t>
  </si>
  <si>
    <t>C:\Users\Miscelec\Desktop\entregas 23-24\2023\207 entrega a TPI agosto 9 2023\selladas\Scan 6.jpeg</t>
  </si>
  <si>
    <t>C:\Users\Miscelec\Desktop\entregas 23-24\2023\207 entrega a TPI agosto 9 2023\selladas\Scan 7.jpeg</t>
  </si>
  <si>
    <t>C:\Users\Miscelec\Desktop\entregas 23-24\2023\207 entrega a TPI agosto 9 2023\selladas\Scan 8.jpeg</t>
  </si>
  <si>
    <t>C:\Users\Miscelec\Desktop\entregas 23-24\2023\207 entrega a TPI agosto 9 2023\selladas\Scan.jpeg</t>
  </si>
  <si>
    <t>C:\Users\Miscelec\Desktop\entregas 23-24\2023\208 entrega a tpi agosto 11 2023\selladas\Scan 1.jpeg</t>
  </si>
  <si>
    <t>C:\Users\Miscelec\Desktop\entregas 23-24\2023\208 entrega a tpi agosto 11 2023\selladas\Scan 2.jpeg</t>
  </si>
  <si>
    <t>C:\Users\Miscelec\Desktop\entregas 23-24\2023\208 entrega a tpi agosto 11 2023\selladas\Scan 3.jpeg</t>
  </si>
  <si>
    <t>C:\Users\Miscelec\Desktop\entregas 23-24\2023\208 entrega a tpi agosto 11 2023\selladas\Scan 4.jpeg</t>
  </si>
  <si>
    <t>C:\Users\Miscelec\Desktop\entregas 23-24\2023\208 entrega a tpi agosto 11 2023\selladas\Scan.jpeg</t>
  </si>
  <si>
    <t>C:\Users\Miscelec\Desktop\entregas 23-24\2023\208 entrega a tpi agosto 11 2023\selladas 2\Scan 1.jpeg</t>
  </si>
  <si>
    <t>C:\Users\Miscelec\Desktop\entregas 23-24\2023\208 entrega a tpi agosto 11 2023\selladas 2\Scan.jpeg</t>
  </si>
  <si>
    <t>C:\Users\Miscelec\Desktop\entregas 23-24\2023\209 entrega a tpi agosto 14 2023\selladas\Scan 1.jpeg</t>
  </si>
  <si>
    <t>C:\Users\Miscelec\Desktop\entregas 23-24\2023\209 entrega a tpi agosto 14 2023\selladas\Scan 2.jpeg</t>
  </si>
  <si>
    <t>C:\Users\Miscelec\Desktop\entregas 23-24\2023\209 entrega a tpi agosto 14 2023\selladas\Scan 3.jpeg</t>
  </si>
  <si>
    <t>C:\Users\Miscelec\Desktop\entregas 23-24\2023\209 entrega a tpi agosto 14 2023\selladas\Scan 4.jpeg</t>
  </si>
  <si>
    <t>C:\Users\Miscelec\Desktop\entregas 23-24\2023\209 entrega a tpi agosto 14 2023\selladas\Scan 5.jpeg</t>
  </si>
  <si>
    <t>C:\Users\Miscelec\Desktop\entregas 23-24\2023\209 entrega a tpi agosto 14 2023\selladas\Scan 6.jpeg</t>
  </si>
  <si>
    <t>C:\Users\Miscelec\Desktop\entregas 23-24\2023\209 entrega a tpi agosto 14 2023\selladas\Scan.jpeg</t>
  </si>
  <si>
    <t>C:\Users\Miscelec\Desktop\entregas 23-24\2023\210 entrega a tpi agosto 14 2023\selladas\Scan 1.jpeg</t>
  </si>
  <si>
    <t>C:\Users\Miscelec\Desktop\entregas 23-24\2023\210 entrega a tpi agosto 14 2023\selladas\Scan 2.jpeg</t>
  </si>
  <si>
    <t>C:\Users\Miscelec\Desktop\entregas 23-24\2023\210 entrega a tpi agosto 14 2023\selladas\Scan 3.jpeg</t>
  </si>
  <si>
    <t>C:\Users\Miscelec\Desktop\entregas 23-24\2023\210 entrega a tpi agosto 14 2023\selladas\Scan 4.jpeg</t>
  </si>
  <si>
    <t>C:\Users\Miscelec\Desktop\entregas 23-24\2023\210 entrega a tpi agosto 14 2023\selladas\Scan 5.jpeg</t>
  </si>
  <si>
    <t>C:\Users\Miscelec\Desktop\entregas 23-24\2023\210 entrega a tpi agosto 14 2023\selladas\Scan 6.jpeg</t>
  </si>
  <si>
    <t>C:\Users\Miscelec\Desktop\entregas 23-24\2023\210 entrega a tpi agosto 14 2023\selladas\Scan.jpeg</t>
  </si>
  <si>
    <t>C:\Users\Miscelec\Desktop\entregas 23-24\2023\211 entrega a tpi (nordex) p6 agosto 15 2023\selladas\Scan 1.jpeg</t>
  </si>
  <si>
    <t>C:\Users\Miscelec\Desktop\entregas 23-24\2023\183 entrega (NORDEX) TPI junio 22 2023\selladas\Scan 2.jpeg</t>
  </si>
  <si>
    <t>C:\Users\Miscelec\Desktop\entregas 23-24\2023\211 entrega a tpi (nordex) p6 agosto 15 2023\selladas\Scan 2.jpeg</t>
  </si>
  <si>
    <t>C:\Users\Miscelec\Desktop\entregas 23-24\2023\183 entrega (NORDEX) TPI junio 22 2023\selladas\Scan 3.jpeg</t>
  </si>
  <si>
    <t>C:\Users\Miscelec\Desktop\entregas 23-24\2023\211 entrega a tpi (nordex) p6 agosto 15 2023\selladas\Scan 3.jpeg</t>
  </si>
  <si>
    <t>C:\Users\Miscelec\Desktop\entregas 23-24\2023\211 entrega a tpi (nordex) p6 agosto 15 2023\selladas\Scan 4.jpeg</t>
  </si>
  <si>
    <t>C:\Users\Miscelec\Desktop\entregas 23-24\2023\184 entrega a tpi (nordex) junio 27 2023\elladas\Scan 1.jpeg</t>
  </si>
  <si>
    <t>C:\Users\Miscelec\Desktop\entregas 23-24\2023\184 entrega a tpi (nordex) junio 27 2023\elladas\Scan 2.jpeg</t>
  </si>
  <si>
    <t>C:\Users\Miscelec\Desktop\entregas 23-24\2023\211 entrega a tpi (nordex) p6 agosto 15 2023\selladas\Scan.jpeg</t>
  </si>
  <si>
    <t>C:\Users\Miscelec\Desktop\entregas 23-24\2023\212 facturas selladas 16 de agosto\Scan 2.jpeg</t>
  </si>
  <si>
    <t>C:\Users\Miscelec\Desktop\entregas 23-24\2023\212 facturas selladas 16 de agosto\Scan 3.jpeg</t>
  </si>
  <si>
    <t>C:\Users\Miscelec\Desktop\entregas 23-24\2023\212 facturas selladas 16 de agosto\Scan.jpeg</t>
  </si>
  <si>
    <t>C:\Users\Miscelec\Desktop\entregas 23-24\2023\213 entrega tpi agosto 17 2023\selladas\Scan 1.jpeg</t>
  </si>
  <si>
    <t>C:\Users\Miscelec\Desktop\entregas 23-24\2023\213 entrega tpi agosto 17 2023\selladas\Scan 2.jpeg</t>
  </si>
  <si>
    <t>C:\Users\Miscelec\Desktop\entregas 23-24\2023\213 entrega tpi agosto 17 2023\selladas\Scan 3.jpeg</t>
  </si>
  <si>
    <t>C:\Users\Miscelec\Desktop\entregas 23-24\2023\213 entrega tpi agosto 17 2023\selladas\Scan 4.jpeg</t>
  </si>
  <si>
    <t>C:\Users\Miscelec\Desktop\entregas 23-24\2023\213 entrega tpi agosto 17 2023\selladas\Scan 5.jpeg</t>
  </si>
  <si>
    <t>C:\Users\Miscelec\Desktop\entregas 23-24\2023\213 entrega tpi agosto 17 2023\selladas\Scan 6.jpeg</t>
  </si>
  <si>
    <t>C:\Users\Miscelec\Desktop\entregas 23-24\2023\213 entrega tpi agosto 17 2023\selladas\Scan 7.jpeg</t>
  </si>
  <si>
    <t>C:\Users\Miscelec\Desktop\entregas 23-24\2023\213 entrega tpi agosto 17 2023\selladas\Scan 8.jpeg</t>
  </si>
  <si>
    <t>C:\Users\Miscelec\Desktop\entregas 23-24\2023\213 entrega tpi agosto 17 2023\selladas\Scan 9.jpeg</t>
  </si>
  <si>
    <t>C:\Users\Miscelec\Desktop\entregas 23-24\2023\213 entrega tpi agosto 17 2023\selladas\Scan.jpeg</t>
  </si>
  <si>
    <t>C:\Users\Miscelec\Desktop\entregas 23-24\2023\186 entrega a tpi junio 29 2023\selladas\Scan 3.jpeg</t>
  </si>
  <si>
    <t>C:\Users\Miscelec\Desktop\entregas 23-24\2023\214 entrega a TPI agosto 18 2023\selladas\Scan 1.jpeg</t>
  </si>
  <si>
    <t>C:\Users\Miscelec\Desktop\entregas 23-24\2023\214 entrega a TPI agosto 18 2023\selladas\Scan 10.jpeg</t>
  </si>
  <si>
    <t>C:\Users\Miscelec\Desktop\entregas 23-24\2023\214 entrega a TPI agosto 18 2023\selladas\Scan 11.jpeg</t>
  </si>
  <si>
    <t>C:\Users\Miscelec\Desktop\entregas 23-24\2023\214 entrega a TPI agosto 18 2023\selladas\Scan 2.jpeg</t>
  </si>
  <si>
    <t>C:\Users\Miscelec\Desktop\entregas 23-24\2023\214 entrega a TPI agosto 18 2023\selladas\Scan 3.jpeg</t>
  </si>
  <si>
    <t>C:\Users\Miscelec\Desktop\entregas 23-24\2023\214 entrega a TPI agosto 18 2023\selladas\Scan 4.jpeg</t>
  </si>
  <si>
    <t>C:\Users\Miscelec\Desktop\entregas 23-24\2023\214 entrega a TPI agosto 18 2023\selladas\Scan 5.jpeg</t>
  </si>
  <si>
    <t>C:\Users\Miscelec\Desktop\entregas 23-24\2023\214 entrega a TPI agosto 18 2023\selladas\Scan 6.jpeg</t>
  </si>
  <si>
    <t>C:\Users\Miscelec\Desktop\entregas 23-24\2023\214 entrega a TPI agosto 18 2023\selladas\Scan 7.jpeg</t>
  </si>
  <si>
    <t>C:\Users\Miscelec\Desktop\entregas 23-24\2023\214 entrega a TPI agosto 18 2023\selladas\Scan 8.jpeg</t>
  </si>
  <si>
    <t>C:\Users\Miscelec\Desktop\entregas 23-24\2023\214 entrega a TPI agosto 18 2023\selladas\Scan 9.jpeg</t>
  </si>
  <si>
    <t>C:\Users\Miscelec\Desktop\entregas 23-24\2023\214 entrega a TPI agosto 18 2023\selladas\Scan.jpeg</t>
  </si>
  <si>
    <t>C:\Users\Miscelec\Desktop\entregas 23-24\2023\215 entrega a tpi (nordex) 21 agosto 2023\firmadas\Scan 1.jpeg</t>
  </si>
  <si>
    <t>C:\Users\Miscelec\Desktop\entregas 23-24\2023\215 entrega a tpi (nordex) 21 agosto 2023\firmadas\Scan 2.jpeg</t>
  </si>
  <si>
    <t>C:\Users\Miscelec\Desktop\entregas 23-24\2023\215 entrega a tpi (nordex) 21 agosto 2023\firmadas\Scan.jpeg</t>
  </si>
  <si>
    <t>C:\Users\Miscelec\Desktop\entregas 23-24\2023\216 entrega a tpi agosto 23 2023\sellada\Scan.jpeg</t>
  </si>
  <si>
    <t>C:\Users\Miscelec\Desktop\entregas 23-24\2023\217 entrega a TPI agosto 24 2023\2a entrega a p4\firmada\Scan.jpeg</t>
  </si>
  <si>
    <t>C:\Users\Miscelec\Desktop\entregas 23-24\2023\217 entrega a TPI agosto 24 2023\firmadas\Scan 1.jpeg</t>
  </si>
  <si>
    <t>C:\Users\Miscelec\Desktop\entregas 23-24\2023\217 entrega a TPI agosto 24 2023\firmadas\Scan 10.jpeg</t>
  </si>
  <si>
    <t>C:\Users\Miscelec\Desktop\entregas 23-24\2023\217 entrega a TPI agosto 24 2023\firmadas\Scan 11.jpeg</t>
  </si>
  <si>
    <t>C:\Users\Miscelec\Desktop\entregas 23-24\2023\217 entrega a TPI agosto 24 2023\firmadas\Scan 12.jpeg</t>
  </si>
  <si>
    <t>C:\Users\Miscelec\Desktop\entregas 23-24\2023\217 entrega a TPI agosto 24 2023\firmadas\Scan 13.jpeg</t>
  </si>
  <si>
    <t>C:\Users\Miscelec\Desktop\entregas 23-24\2023\217 entrega a TPI agosto 24 2023\firmadas\Scan 2.jpeg</t>
  </si>
  <si>
    <t>C:\Users\Miscelec\Desktop\entregas 23-24\2023\217 entrega a TPI agosto 24 2023\firmadas\Scan 3.jpeg</t>
  </si>
  <si>
    <t>C:\Users\Miscelec\Desktop\entregas 23-24\2023\217 entrega a TPI agosto 24 2023\firmadas\Scan 4.jpeg</t>
  </si>
  <si>
    <t>C:\Users\Miscelec\Desktop\entregas 23-24\2023\217 entrega a TPI agosto 24 2023\firmadas\Scan 5.jpeg</t>
  </si>
  <si>
    <t>C:\Users\Miscelec\Desktop\entregas 23-24\2023\217 entrega a TPI agosto 24 2023\firmadas\Scan 6.jpeg</t>
  </si>
  <si>
    <t>C:\Users\Miscelec\Desktop\entregas 23-24\2023\217 entrega a TPI agosto 24 2023\firmadas\Scan 7.jpeg</t>
  </si>
  <si>
    <t>C:\Users\Miscelec\Desktop\entregas 23-24\2023\217 entrega a TPI agosto 24 2023\firmadas\Scan 8.jpeg</t>
  </si>
  <si>
    <t>C:\Users\Miscelec\Desktop\entregas 23-24\2023\217 entrega a TPI agosto 24 2023\firmadas\Scan 9.jpeg</t>
  </si>
  <si>
    <t>C:\Users\Miscelec\Desktop\entregas 23-24\2023\217 entrega a TPI agosto 24 2023\firmadas\Scan.jpeg</t>
  </si>
  <si>
    <t>C:\Users\Miscelec\Desktop\entregas 23-24\2023\217 entrega a TPI agosto 24 2023\firmadas\factura faltante de scanear guante nitrilo tl noviembre 21 2023\Scan.jpeg</t>
  </si>
  <si>
    <t>C:\Users\Miscelec\Desktop\entregas 23-24\2023\218 enbtrega a TPI agosto 28 2023\selladas\Scan 1.jpeg</t>
  </si>
  <si>
    <t>C:\Users\Miscelec\Desktop\entregas 23-24\2023\218 enbtrega a TPI agosto 28 2023\selladas\Scan.jpeg</t>
  </si>
  <si>
    <t>C:\Users\Miscelec\Desktop\entregas 23-24\2023\219 entrega a tpi (nordex) agosto 31 2023\selladas\Scan 1.jpeg</t>
  </si>
  <si>
    <t>C:\Users\Miscelec\Desktop\entregas 23-24\2023\219 entrega a tpi (nordex) agosto 31 2023\selladas\Scan 2.jpeg</t>
  </si>
  <si>
    <t>C:\Users\Miscelec\Desktop\entregas 23-24\2023\219 entrega a tpi (nordex) agosto 31 2023\selladas\Scan 3.jpeg</t>
  </si>
  <si>
    <t>C:\Users\Miscelec\Desktop\entregas 23-24\2023\219 entrega a tpi (nordex) agosto 31 2023\selladas\Scan.jpeg</t>
  </si>
  <si>
    <t>C:\Users\Miscelec\Desktop\entregas 23-24\2023\220 entrega a tpi septiembre 4 2023\selladas\Scan 1.jpeg</t>
  </si>
  <si>
    <t>C:\Users\Miscelec\Desktop\entregas 23-24\2023\220 entrega a tpi septiembre 4 2023\selladas\Scan 2.jpeg</t>
  </si>
  <si>
    <t>C:\Users\Miscelec\Desktop\entregas 23-24\2023\220 entrega a tpi septiembre 4 2023\selladas\Scan 3.jpeg</t>
  </si>
  <si>
    <t>C:\Users\Miscelec\Desktop\entregas 23-24\2023\220 entrega a tpi septiembre 4 2023\selladas\Scan 4.jpeg</t>
  </si>
  <si>
    <t>C:\Users\Miscelec\Desktop\entregas 23-24\2023\220 entrega a tpi septiembre 4 2023\selladas\Scan 5.jpeg</t>
  </si>
  <si>
    <t>C:\Users\Miscelec\Desktop\entregas 23-24\2023\220 entrega a tpi septiembre 4 2023\selladas\Scan 6.jpeg</t>
  </si>
  <si>
    <t>C:\Users\Miscelec\Desktop\entregas 23-24\2023\220 entrega a tpi septiembre 4 2023\selladas\Scan 7.jpeg</t>
  </si>
  <si>
    <t>C:\Users\Miscelec\Desktop\entregas 23-24\2023\220 entrega a tpi septiembre 4 2023\selladas\Scan 8.jpeg</t>
  </si>
  <si>
    <t>C:\Users\Miscelec\Desktop\entregas 23-24\2023\220 entrega a tpi septiembre 4 2023\selladas\Scan.jpeg</t>
  </si>
  <si>
    <t>C:\Users\Miscelec\Desktop\entregas 23-24\2023\221 entrega a tpi (nordex) p6 sep 5 2023\selladas\Scan 1.jpeg</t>
  </si>
  <si>
    <t>C:\Users\Miscelec\Desktop\entregas 23-24\2023\221 entrega a tpi (nordex) p6 sep 5 2023\selladas\Scan 2.jpeg</t>
  </si>
  <si>
    <t>C:\Users\Miscelec\Desktop\entregas 23-24\2023\221 entrega a tpi (nordex) p6 sep 5 2023\selladas\Scan.jpeg</t>
  </si>
  <si>
    <t>C:\Users\Miscelec\Desktop\entregas 23-24\2023\222 entrega a tpi septiembre 6 2023\sellada\Scan.jpeg</t>
  </si>
  <si>
    <t>C:\Users\Miscelec\Desktop\entregas 23-24\2023\223 entrega a tpi (nordex) p6 septiembre 6 2023\selladas\Scan 1.jpeg</t>
  </si>
  <si>
    <t>C:\Users\Miscelec\Desktop\entregas 23-24\2023\223 entrega a tpi (nordex) p6 septiembre 6 2023\selladas\Scan 2.jpeg</t>
  </si>
  <si>
    <t>C:\Users\Miscelec\Desktop\entregas 23-24\2023\223 entrega a tpi (nordex) p6 septiembre 6 2023\selladas\Scan 3.jpeg</t>
  </si>
  <si>
    <t>C:\Users\Miscelec\Desktop\entregas 23-24\2023\223 entrega a tpi (nordex) p6 septiembre 6 2023\selladas\Scan 4.jpeg</t>
  </si>
  <si>
    <t>C:\Users\Miscelec\Desktop\entregas 23-24\2023\223 entrega a tpi (nordex) p6 septiembre 6 2023\selladas\Scan.jpeg</t>
  </si>
  <si>
    <t>C:\Users\Miscelec\Desktop\entregas 23-24\2023\224 entrega a tpi p4 y p6 sep 7 2023\p4\selladas\Scan 1.jpeg</t>
  </si>
  <si>
    <t>C:\Users\Miscelec\Desktop\entregas 23-24\2023\224 entrega a tpi p4 y p6 sep 7 2023\p4\selladas\Scan 2.jpeg</t>
  </si>
  <si>
    <t>C:\Users\Miscelec\Desktop\entregas 23-24\2023\224 entrega a tpi p4 y p6 sep 7 2023\p4\selladas\Scan.jpeg</t>
  </si>
  <si>
    <t>C:\Users\Miscelec\Desktop\entregas 23-24\2023\224 entrega a tpi p4 y p6 sep 7 2023\p6\selladas\Scan 1.jpeg</t>
  </si>
  <si>
    <t>C:\Users\Miscelec\Desktop\entregas 23-24\2023\224 entrega a tpi p4 y p6 sep 7 2023\p6\selladas\Scan.jpeg</t>
  </si>
  <si>
    <t>C:\Users\Miscelec\Desktop\entregas 23-24\2023\225 entrega a tpi p4 y p6 septiembre 8 2023\p4\sellafdas\Scan 1.jpeg</t>
  </si>
  <si>
    <t>C:\Users\Miscelec\Desktop\entregas 23-24\2023\225 entrega a tpi p4 y p6 septiembre 8 2023\p4\sellafdas\Scan 2.jpeg</t>
  </si>
  <si>
    <t>C:\Users\Miscelec\Desktop\entregas 23-24\2023\225 entrega a tpi p4 y p6 septiembre 8 2023\p4\sellafdas\Scan 3.jpeg</t>
  </si>
  <si>
    <t>C:\Users\Miscelec\Desktop\entregas 23-24\2023\225 entrega a tpi p4 y p6 septiembre 8 2023\p4\sellafdas\Scan 4.jpeg</t>
  </si>
  <si>
    <t>C:\Users\Miscelec\Desktop\entregas 23-24\2023\225 entrega a tpi p4 y p6 septiembre 8 2023\p4\sellafdas\Scan.jpeg</t>
  </si>
  <si>
    <t>C:\Users\Miscelec\Desktop\entregas 23-24\2023\225 entrega a tpi p4 y p6 septiembre 8 2023\p6\selladas\Scan 1.jpeg</t>
  </si>
  <si>
    <t>C:\Users\Miscelec\Desktop\entregas 23-24\2023\225 entrega a tpi p4 y p6 septiembre 8 2023\p6\selladas\Scan 2.jpeg</t>
  </si>
  <si>
    <t>C:\Users\Miscelec\Desktop\entregas 23-24\2023\198 entrega a tpi julio 20 2023\selladas\Scan 2.jpeg</t>
  </si>
  <si>
    <t>C:\Users\Miscelec\Desktop\entregas 23-24\2023\225 entrega a tpi p4 y p6 septiembre 8 2023\p6\selladas\Scan 3.jpeg</t>
  </si>
  <si>
    <t>C:\Users\Miscelec\Desktop\entregas 23-24\2023\225 entrega a tpi p4 y p6 septiembre 8 2023\p6\selladas\Scan 4.jpeg</t>
  </si>
  <si>
    <t>C:\Users\Miscelec\Desktop\entregas 23-24\2023\225 entrega a tpi p4 y p6 septiembre 8 2023\p6\selladas\Scan.jpeg</t>
  </si>
  <si>
    <t>C:\Users\Miscelec\Desktop\entregas 23-24\2023\226 entrega a tpi p6 sep 11 2023\selladas\Scan 1.jpeg</t>
  </si>
  <si>
    <t>C:\Users\Miscelec\Desktop\entregas 23-24\2023\226 entrega a tpi p6 sep 11 2023\selladas\Scan 2.jpeg</t>
  </si>
  <si>
    <t>C:\Users\Miscelec\Desktop\entregas 23-24\2023\226 entrega a tpi p6 sep 11 2023\selladas\Scan 3.jpeg</t>
  </si>
  <si>
    <t>C:\Users\Miscelec\Desktop\entregas 23-24\2023\226 entrega a tpi p6 sep 11 2023\selladas\Scan 4.jpeg</t>
  </si>
  <si>
    <t>C:\Users\Miscelec\Desktop\entregas 23-24\2023\226 entrega a tpi p6 sep 11 2023\selladas\Scan 5.jpeg</t>
  </si>
  <si>
    <t>C:\Users\Miscelec\Desktop\entregas 23-24\2023\226 entrega a tpi p6 sep 11 2023\selladas\Scan.jpeg</t>
  </si>
  <si>
    <t>C:\Users\Miscelec\Desktop\entregas 23-24\2023\201 entrega a tpi (noedex) julio 27 2023\selladas\Scan 2.jpeg</t>
  </si>
  <si>
    <t>C:\Users\Miscelec\Desktop\entregas 23-24\2023\201 entrega a tpi (noedex) julio 27 2023\selladas\Scan 3.jpeg</t>
  </si>
  <si>
    <t>C:\Users\Miscelec\Desktop\entregas 23-24\2023\227 entrega a tpi p4 sep 12 2023\selladas\Scan 1.jpeg</t>
  </si>
  <si>
    <t>C:\Users\Miscelec\Desktop\entregas 23-24\2023\227 entrega a tpi p4 sep 12 2023\selladas\Scan 2.jpeg</t>
  </si>
  <si>
    <t>C:\Users\Miscelec\Desktop\entregas 23-24\2023\227 entrega a tpi p4 sep 12 2023\selladas\Scan 3.jpeg</t>
  </si>
  <si>
    <t>C:\Users\Miscelec\Desktop\entregas 23-24\2023\227 entrega a tpi p4 sep 12 2023\selladas\Scan 4.jpeg</t>
  </si>
  <si>
    <t>C:\Users\Miscelec\Desktop\entregas 23-24\2023\227 entrega a tpi p4 sep 12 2023\selladas\Scan 5.jpeg</t>
  </si>
  <si>
    <t>C:\Users\Miscelec\Desktop\entregas 23-24\2023\227 entrega a tpi p4 sep 12 2023\selladas\Scan.jpeg</t>
  </si>
  <si>
    <t>C:\Users\Miscelec\Desktop\entregas 23-24\2023\228 entrega a tpi  sep 13 2023\selladas\Scan 1.jpeg</t>
  </si>
  <si>
    <t>C:\Users\Miscelec\Desktop\entregas 23-24\2023\228 entrega a tpi  sep 13 2023\selladas\Scan.jpeg</t>
  </si>
  <si>
    <t>C:\Users\Miscelec\Desktop\entregas 23-24\2023\230 entrega a p4 sep 14 2023\selladas\Scan 1.jpeg</t>
  </si>
  <si>
    <t>C:\Users\Miscelec\Desktop\entregas 23-24\2023\230 entrega a p4 sep 14 2023\selladas\Scan 2.jpeg</t>
  </si>
  <si>
    <t>C:\Users\Miscelec\Desktop\entregas 23-24\2023\230 entrega a p4 sep 14 2023\selladas\Scan 3.jpeg</t>
  </si>
  <si>
    <t>C:\Users\Miscelec\Desktop\entregas 23-24\2023\230 entrega a p4 sep 14 2023\selladas\Scan.jpeg</t>
  </si>
  <si>
    <t>C:\Users\Miscelec\Desktop\entregas 23-24\2023\231 entrega a tpi sep 15 2023\sellada\Scan.jpeg</t>
  </si>
  <si>
    <t>C:\Users\Miscelec\Desktop\entregas 23-24\2023\232 entrega a tpi septiembre 19 2023\p6\selladas\Scan 1.jpeg</t>
  </si>
  <si>
    <t>C:\Users\Miscelec\Desktop\entregas 23-24\2023\232 entrega a tpi septiembre 19 2023\p6\selladas\Scan 2.jpeg</t>
  </si>
  <si>
    <t>C:\Users\Miscelec\Desktop\entregas 23-24\2023\232 entrega a tpi septiembre 19 2023\p6\selladas\Scan.jpeg</t>
  </si>
  <si>
    <t>C:\Users\Miscelec\Desktop\entregas 23-24\2023\232 entrega a tpi septiembre 19 2023\selladas p4\Scan 1.jpeg</t>
  </si>
  <si>
    <t>C:\Users\Miscelec\Desktop\entregas 23-24\2023\232 entrega a tpi septiembre 19 2023\selladas p4\Scan 2.jpeg</t>
  </si>
  <si>
    <t>C:\Users\Miscelec\Desktop\entregas 23-24\2023\232 entrega a tpi septiembre 19 2023\selladas p4\Scan.jpeg</t>
  </si>
  <si>
    <t>C:\Users\Miscelec\Desktop\entregas 23-24\2023\233 entrega a tpi septiembre 20 2023\selladas\Scan 1.jpeg</t>
  </si>
  <si>
    <t>C:\Users\Miscelec\Desktop\entregas 23-24\2023\233 entrega a tpi septiembre 20 2023\selladas\Scan.jpeg</t>
  </si>
  <si>
    <t>C:\Users\Miscelec\Desktop\entregas 23-24\2023\234 entrega a tpi p6 sep 20 2023\selladas\Scan 1.jpeg</t>
  </si>
  <si>
    <t>C:\Users\Miscelec\Desktop\entregas 23-24\2023\234 entrega a tpi p6 sep 20 2023\selladas\Scan 2.jpeg</t>
  </si>
  <si>
    <t>C:\Users\Miscelec\Desktop\entregas 23-24\2023\234 entrega a tpi p6 sep 20 2023\selladas\Scan.jpeg</t>
  </si>
  <si>
    <t>C:\Users\Miscelec\Desktop\entregas 23-24\2023\235 entrega a tpi sep 21 2023\selladas\Scan 1.jpeg</t>
  </si>
  <si>
    <t>C:\Users\Miscelec\Desktop\entregas 23-24\2023\235 entrega a tpi sep 21 2023\selladas\Scan 4.jpeg</t>
  </si>
  <si>
    <t>C:\Users\Miscelec\Desktop\entregas 23-24\2023\235 entrega a tpi sep 21 2023\selladas\Scan 5.jpeg</t>
  </si>
  <si>
    <t>C:\Users\Miscelec\Desktop\entregas 23-24\2023\235 entrega a tpi sep 21 2023\selladas\Scan 6.jpeg</t>
  </si>
  <si>
    <t>C:\Users\Miscelec\Desktop\entregas 23-24\2023\235 entrega a tpi sep 21 2023\selladas\Scan.jpeg</t>
  </si>
  <si>
    <t>C:\Users\Miscelec\Desktop\entregas 23-24\2023\236 entrega a tpi sep 22 2023\selladas\Scan 1.jpeg</t>
  </si>
  <si>
    <t>C:\Users\Miscelec\Desktop\entregas 23-24\2023\236 entrega a tpi sep 22 2023\selladas\Scan 2.jpeg</t>
  </si>
  <si>
    <t>C:\Users\Miscelec\Desktop\entregas 23-24\2023\236 entrega a tpi sep 22 2023\selladas\Scan 3.jpeg</t>
  </si>
  <si>
    <t>C:\Users\Miscelec\Desktop\entregas 23-24\2023\236 entrega a tpi sep 22 2023\selladas\Scan.jpeg</t>
  </si>
  <si>
    <t>C:\Users\Miscelec\Desktop\entregas 23-24\2023\212 facturas selladas 16 de agosto\Scan 1.jpeg</t>
  </si>
  <si>
    <t>C:\Users\Miscelec\Desktop\entregas 23-24\2023\237 entrega a tpi p4 y p6 sep 25 2023\p6\selladas\Scan 1.jpeg</t>
  </si>
  <si>
    <t>C:\Users\Miscelec\Desktop\entregas 23-24\2023\237 entrega a tpi p4 y p6 sep 25 2023\p6\selladas\Scan 2.jpeg</t>
  </si>
  <si>
    <t>C:\Users\Miscelec\Desktop\entregas 23-24\2023\237 entrega a tpi p4 y p6 sep 25 2023\p6\selladas\Scan.jpeg</t>
  </si>
  <si>
    <t>C:\Users\Miscelec\Desktop\entregas 23-24\2023\237 entrega a tpi p4 y p6 sep 25 2023\selladas p4\Scan 1.jpeg</t>
  </si>
  <si>
    <t>C:\Users\Miscelec\Desktop\entregas 23-24\2023\237 entrega a tpi p4 y p6 sep 25 2023\selladas p4\Scan 2.jpeg</t>
  </si>
  <si>
    <t>C:\Users\Miscelec\Desktop\entregas 23-24\2023\237 entrega a tpi p4 y p6 sep 25 2023\selladas p4\Scan 3.jpeg</t>
  </si>
  <si>
    <t>C:\Users\Miscelec\Desktop\entregas 23-24\2023\237 entrega a tpi p4 y p6 sep 25 2023\selladas p4\Scan 4.jpeg</t>
  </si>
  <si>
    <t>C:\Users\Miscelec\Desktop\entregas 23-24\2023\237 entrega a tpi p4 y p6 sep 25 2023\selladas p4\Scan.jpeg</t>
  </si>
  <si>
    <t>C:\Users\Miscelec\Desktop\entregas 23-24\2023\238 entrega a tpi p4 sep 27 2023\selladas\Scan.jpeg</t>
  </si>
  <si>
    <t>C:\Users\Miscelec\Desktop\entregas 23-24\2023\239 entrega a tpi p4 y p6 sep 29 2023\p6\selladas\Scan 1.jpeg</t>
  </si>
  <si>
    <t>C:\Users\Miscelec\Desktop\entregas 23-24\2023\239 entrega a tpi p4 y p6 sep 29 2023\p6\selladas\Scan 3.jpeg</t>
  </si>
  <si>
    <t>C:\Users\Miscelec\Desktop\entregas 23-24\2023\239 entrega a tpi p4 y p6 sep 29 2023\p6\selladas\Scan.jpeg</t>
  </si>
  <si>
    <t>C:\Users\Miscelec\Desktop\entregas 23-24\2023\239 entrega a tpi p4 y p6 sep 29 2023\selladas\Scan 1.jpeg</t>
  </si>
  <si>
    <t>C:\Users\Miscelec\Desktop\entregas 23-24\2023\239 entrega a tpi p4 y p6 sep 29 2023\selladas\Scan.jpeg</t>
  </si>
  <si>
    <t>C:\Users\Miscelec\Desktop\entregas 23-24\2023\240 entrega a tpi p4 octubre 2 2023\selladas\Scan 1.jpeg</t>
  </si>
  <si>
    <t>C:\Users\Miscelec\Desktop\entregas 23-24\2023\240 entrega a tpi p4 octubre 2 2023\selladas\Scan 2.jpeg</t>
  </si>
  <si>
    <t>C:\Users\Miscelec\Desktop\entregas 23-24\2023\240 entrega a tpi p4 octubre 2 2023\selladas\Scan.jpeg</t>
  </si>
  <si>
    <t>C:\Users\Miscelec\Desktop\entregas 23-24\2023\241 entrega a tpi p5 octubre 3 2023\selladas\Scan 1.jpeg</t>
  </si>
  <si>
    <t>C:\Users\Miscelec\Desktop\entregas 23-24\2023\241 entrega a tpi p5 octubre 3 2023\selladas\Scan 2.jpeg</t>
  </si>
  <si>
    <t>C:\Users\Miscelec\Desktop\entregas 23-24\2023\241 entrega a tpi p5 octubre 3 2023\selladas\Scan 3.jpeg</t>
  </si>
  <si>
    <t>C:\Users\Miscelec\Desktop\entregas 23-24\2023\241 entrega a tpi p5 octubre 3 2023\selladas\Scan 5.jpeg</t>
  </si>
  <si>
    <t>C:\Users\Miscelec\Desktop\entregas 23-24\2023\241 entrega a tpi p5 octubre 3 2023\selladas\Scan.jpeg</t>
  </si>
  <si>
    <t>C:\Users\Miscelec\Desktop\entregas 23-24\2023\241 entrega a tpi p5 octubre 3 2023\selladas\Scan4.jpeg</t>
  </si>
  <si>
    <t>C:\Users\Miscelec\Desktop\entregas 23-24\2023\242 entrega a tpi octubre 4 2023\sellada\Scan.jpeg</t>
  </si>
  <si>
    <t>C:\Users\Miscelec\Desktop\entregas 23-24\2023\243 entrega a tpi p6 octubre 4 2023\sellada\Scan 5.jpeg</t>
  </si>
  <si>
    <t>C:\Users\Miscelec\Desktop\entregas 23-24\2023\244 entrega a tpi p4 y p6 octubre 5 2023\p6\selladas\Scan 2.jpeg</t>
  </si>
  <si>
    <t>C:\Users\Miscelec\Desktop\entregas 23-24\2023\244 entrega a tpi p4 y p6 octubre 5 2023\p6\selladas\Scan 3.jpeg</t>
  </si>
  <si>
    <t>C:\Users\Miscelec\Desktop\entregas 23-24\2023\244 entrega a tpi p4 y p6 octubre 5 2023\p6\selladas\Scan.jpeg</t>
  </si>
  <si>
    <t>C:\Users\Miscelec\Desktop\entregas 23-24\2023\244 entrega a tpi p4 y p6 octubre 5 2023\selladas\Scan 1.jpeg</t>
  </si>
  <si>
    <t>C:\Users\Miscelec\Desktop\entregas 23-24\2023\244 entrega a tpi p4 y p6 octubre 5 2023\selladas\Scan 2.jpeg</t>
  </si>
  <si>
    <t>C:\Users\Miscelec\Desktop\entregas 23-24\2023\244 entrega a tpi p4 y p6 octubre 5 2023\selladas\Scan 3.jpeg</t>
  </si>
  <si>
    <t>C:\Users\Miscelec\Desktop\entregas 23-24\2023\244 entrega a tpi p4 y p6 octubre 5 2023\selladas\Scan 4.jpeg</t>
  </si>
  <si>
    <t>C:\Users\Miscelec\Desktop\entregas 23-24\2023\244 entrega a tpi p4 y p6 octubre 5 2023\selladas\Scan 5.jpeg</t>
  </si>
  <si>
    <t>C:\Users\Miscelec\Desktop\entregas 23-24\2023\244 entrega a tpi p4 y p6 octubre 5 2023\selladas\Scan.jpeg</t>
  </si>
  <si>
    <t>C:\Users\Miscelec\Desktop\entregas 23-24\2023\245 entrega a tpi p6 octubre 6 2023\selladas\Scan 1.jpeg</t>
  </si>
  <si>
    <t>C:\Users\Miscelec\Desktop\entregas 23-24\2023\246 entrega a tpi p6 octubre 6 2023\selladas\Scan 1.jpeg</t>
  </si>
  <si>
    <t>C:\Users\Miscelec\Desktop\entregas 23-24\2023\246 entrega a tpi p6 octubre 6 2023\selladas\Scan 2.jpeg</t>
  </si>
  <si>
    <t>C:\Users\Miscelec\Desktop\entregas 23-24\2023\246 entrega a tpi p6 octubre 6 2023\selladas\Scan.jpeg</t>
  </si>
  <si>
    <t>C:\Users\Miscelec\Desktop\entregas 23-24\2023\247 entrega a tpi -4 y p6 octubre 9 2023\p6\selladas\Scan 1.jpeg</t>
  </si>
  <si>
    <t>C:\Users\Miscelec\Desktop\entregas 23-24\2023\247 entrega a tpi -4 y p6 octubre 9 2023\p6\selladas\Scan 2.jpeg</t>
  </si>
  <si>
    <t>C:\Users\Miscelec\Desktop\entregas 23-24\2023\247 entrega a tpi -4 y p6 octubre 9 2023\p6\selladas\Scan 3.jpeg</t>
  </si>
  <si>
    <t>C:\Users\Miscelec\Desktop\entregas 23-24\2023\247 entrega a tpi -4 y p6 octubre 9 2023\p6\selladas\Scan 4.jpeg</t>
  </si>
  <si>
    <t>C:\Users\Miscelec\Desktop\entregas 23-24\2023\247 entrega a tpi -4 y p6 octubre 9 2023\p6\selladas\Scan 5.jpeg</t>
  </si>
  <si>
    <t>C:\Users\Miscelec\Desktop\entregas 23-24\2023\247 entrega a tpi -4 y p6 octubre 9 2023\p6\selladas\Scan.jpeg</t>
  </si>
  <si>
    <t>C:\Users\Miscelec\Desktop\entregas 23-24\2023\247 entrega a tpi -4 y p6 octubre 9 2023\selladas\Scan 1.jpeg</t>
  </si>
  <si>
    <t>C:\Users\Miscelec\Desktop\entregas 23-24\2023\247 entrega a tpi -4 y p6 octubre 9 2023\selladas\Scan.jpeg</t>
  </si>
  <si>
    <t>C:\Users\Miscelec\Desktop\entregas 23-24\2023\248 entrega a tpi p4 y p6 octubre 12 2023\p6\selladas\Scan 1.jpeg</t>
  </si>
  <si>
    <t>C:\Users\Miscelec\Desktop\entregas 23-24\2023\248 entrega a tpi p4 y p6 octubre 12 2023\p6\selladas\Scan.jpeg</t>
  </si>
  <si>
    <t>C:\Users\Miscelec\Desktop\entregas 23-24\2023\248 entrega a tpi p4 y p6 octubre 12 2023\selladas\Scan 1.jpeg</t>
  </si>
  <si>
    <t>C:\Users\Miscelec\Desktop\entregas 23-24\2023\248 entrega a tpi p4 y p6 octubre 12 2023\selladas\Scan 2.jpeg</t>
  </si>
  <si>
    <t>C:\Users\Miscelec\Desktop\entregas 23-24\2023\248 entrega a tpi p4 y p6 octubre 12 2023\selladas\Scan 3.jpeg</t>
  </si>
  <si>
    <t>C:\Users\Miscelec\Desktop\entregas 23-24\2023\248 entrega a tpi p4 y p6 octubre 12 2023\selladas\Scan 4.jpeg</t>
  </si>
  <si>
    <t>C:\Users\Miscelec\Desktop\entregas 23-24\2023\248 entrega a tpi p4 y p6 octubre 12 2023\selladas\Scan 5.jpeg</t>
  </si>
  <si>
    <t>C:\Users\Miscelec\Desktop\entregas 23-24\2023\248 entrega a tpi p4 y p6 octubre 12 2023\selladas\Scan.jpeg</t>
  </si>
  <si>
    <t>C:\Users\Miscelec\Desktop\entregas 23-24\2023\249 entrega a tpi p4 octubre 12 2023\sellada\Scan 1.jpeg</t>
  </si>
  <si>
    <t>C:\Users\Miscelec\Desktop\entregas 23-24\2023\250 entrega a tpi  p4 y p6octubre 16 2023\p6\selladas\3.jpeg</t>
  </si>
  <si>
    <t>C:\Users\Miscelec\Desktop\entregas 23-24\2023\250 entrega a tpi  p4 y p6octubre 16 2023\p6\selladas\Scan 1.jpeg</t>
  </si>
  <si>
    <t>C:\Users\Miscelec\Desktop\entregas 23-24\2023\250 entrega a tpi  p4 y p6octubre 16 2023\p6\selladas\Scan 2.jpeg</t>
  </si>
  <si>
    <t>C:\Users\Miscelec\Desktop\entregas 23-24\2023\250 entrega a tpi  p4 y p6octubre 16 2023\p6\selladas\Scan.jpeg</t>
  </si>
  <si>
    <t>C:\Users\Miscelec\Desktop\entregas 23-24\2023\250 entrega a tpi  p4 y p6octubre 16 2023\selladas\Scan 3.jpeg</t>
  </si>
  <si>
    <t>C:\Users\Miscelec\Desktop\entregas 23-24\2023\250 entrega a tpi  p4 y p6octubre 16 2023\selladas\Scan 4.jpeg</t>
  </si>
  <si>
    <t>C:\Users\Miscelec\Desktop\entregas 23-24\2023\250 entrega a tpi  p4 y p6octubre 16 2023\selladas\Scan 5.jpeg</t>
  </si>
  <si>
    <t>C:\Users\Miscelec\Desktop\entregas 23-24\2023\251 entrega a tpi octubre 17 2023\sellada\Scan.jpeg</t>
  </si>
  <si>
    <t>C:\Users\Miscelec\Desktop\entregas 23-24\2023\252 entrega a tpi p4 oct 18 2023\selladas\Scan 1.jpeg</t>
  </si>
  <si>
    <t>C:\Users\Miscelec\Desktop\entregas 23-24\2023\252 entrega a tpi p4 oct 18 2023\selladas\Scan.jpeg</t>
  </si>
  <si>
    <t>C:\Users\Miscelec\Desktop\entregas 23-24\2023\253 entrega a tpi p6 octubre 18\selladas\Scan 1.jpeg</t>
  </si>
  <si>
    <t>C:\Users\Miscelec\Desktop\entregas 23-24\2023\253 entrega a tpi p6 octubre 18\selladas\Scan 2.jpeg</t>
  </si>
  <si>
    <t>C:\Users\Miscelec\Desktop\entregas 23-24\2023\253 entrega a tpi p6 octubre 18\selladas\Scan 3.jpeg</t>
  </si>
  <si>
    <t>C:\Users\Miscelec\Desktop\entregas 23-24\2023\253 entrega a tpi p6 octubre 18\selladas\Scan.jpeg</t>
  </si>
  <si>
    <t>C:\Users\Miscelec\Desktop\entregas 23-24\2023\254 entrega a tpi p4 octubre 19 2023\selladas\Scan 1.jpeg</t>
  </si>
  <si>
    <t>C:\Users\Miscelec\Desktop\entregas 23-24\2023\254 entrega a tpi p4 octubre 19 2023\selladas\Scan 2.jpeg</t>
  </si>
  <si>
    <t>C:\Users\Miscelec\Desktop\entregas 23-24\2023\254 entrega a tpi p4 octubre 19 2023\selladas\Scan 3.jpeg</t>
  </si>
  <si>
    <t>C:\Users\Miscelec\Desktop\entregas 23-24\2023\254 entrega a tpi p4 octubre 19 2023\selladas\Scan.jpeg</t>
  </si>
  <si>
    <t>C:\Users\Miscelec\Desktop\entregas 23-24\2023\255 entrega a tpi octubre 20 2023\selladas'\Scan 2.jpeg</t>
  </si>
  <si>
    <t>C:\Users\Miscelec\Desktop\entregas 23-24\2023\255 entrega a tpi octubre 20 2023\selladas'\Scan 4.jpeg</t>
  </si>
  <si>
    <t>C:\Users\Miscelec\Desktop\entregas 23-24\2023\256 entrega a tpi octubre 23 2023\elladas\Scan 1.jpeg</t>
  </si>
  <si>
    <t>C:\Users\Miscelec\Desktop\entregas 23-24\2023\256 entrega a tpi octubre 23 2023\elladas\Scan 2.jpeg</t>
  </si>
  <si>
    <t>C:\Users\Miscelec\Desktop\entregas 23-24\2023\256 entrega a tpi octubre 23 2023\elladas\Scan 3.jpeg</t>
  </si>
  <si>
    <t>C:\Users\Miscelec\Desktop\entregas 23-24\2023\256 entrega a tpi octubre 23 2023\elladas\Scan 4.jpeg</t>
  </si>
  <si>
    <t>C:\Users\Miscelec\Desktop\entregas 23-24\2023\256 entrega a tpi octubre 23 2023\elladas\Scan 5.jpeg</t>
  </si>
  <si>
    <t>C:\Users\Miscelec\Desktop\entregas 23-24\2023\256 entrega a tpi octubre 23 2023\elladas\Scan 6.jpeg</t>
  </si>
  <si>
    <t>C:\Users\Miscelec\Desktop\entregas 23-24\2023\256 entrega a tpi octubre 23 2023\elladas\Scan 7.jpeg</t>
  </si>
  <si>
    <t>C:\Users\Miscelec\Desktop\entregas 23-24\2023\256 entrega a tpi octubre 23 2023\elladas\Scan 8.jpeg</t>
  </si>
  <si>
    <t>C:\Users\Miscelec\Desktop\entregas 23-24\2023\256 entrega a tpi octubre 23 2023\p6\selladas\Scan.jpeg</t>
  </si>
  <si>
    <t>C:\Users\Miscelec\Desktop\entregas 23-24\2023\257 entrega a tpi p4 octubre 25 2023\selladas\Scan 1.jpeg</t>
  </si>
  <si>
    <t>C:\Users\Miscelec\Desktop\entregas 23-24\2023\257 entrega a tpi p4 octubre 25 2023\selladas\Scan 2.jpeg</t>
  </si>
  <si>
    <t>C:\Users\Miscelec\Desktop\entregas 23-24\2023\257 entrega a tpi p4 octubre 25 2023\selladas\Scan.jpeg</t>
  </si>
  <si>
    <t>C:\Users\Miscelec\Desktop\entregas 23-24\2023\258 entrega a tpi p4 octubre 26 2023\selladas\Scan 4.jpeg</t>
  </si>
  <si>
    <t>C:\Users\Miscelec\Desktop\entregas 23-24\2023\259 entrega a tpi 27 2023\selladas\Scan 2.jpeg</t>
  </si>
  <si>
    <t>C:\Users\Miscelec\Desktop\entregas 23-24\2023\259 entrega a tpi 27 2023\selladas\Scan 3.jpeg</t>
  </si>
  <si>
    <t>C:\Users\Miscelec\Desktop\entregas 23-24\2023\260 entrega a tpi p4 y p6noviembre 1 2023\p6\selladas\Scan 2.jpeg</t>
  </si>
  <si>
    <t>C:\Users\Miscelec\Desktop\entregas 23-24\2023\260 entrega a tpi p4 y p6noviembre 1 2023\p6\selladas\Scan 3.jpeg</t>
  </si>
  <si>
    <t>C:\Users\Miscelec\Desktop\entregas 23-24\2023\260 entrega a tpi p4 y p6noviembre 1 2023\p6\selladas\Scan 4.jpeg</t>
  </si>
  <si>
    <t>C:\Users\Miscelec\Desktop\entregas 23-24\2023\260 entrega a tpi p4 y p6noviembre 1 2023\p6\selladas\Scan 5.jpeg</t>
  </si>
  <si>
    <t>C:\Users\Miscelec\Desktop\entregas 23-24\2023\260 entrega a tpi p4 y p6noviembre 1 2023\p6\selladas\Scan 8.jpeg</t>
  </si>
  <si>
    <t>C:\Users\Miscelec\Desktop\entregas 23-24\2023\260 entrega a tpi p4 y p6noviembre 1 2023\p6\selladas\Scan 9.jpeg</t>
  </si>
  <si>
    <t>C:\Users\Miscelec\Desktop\entregas 23-24\2023\260 entrega a tpi p4 y p6noviembre 1 2023\selladas\Scan 6.jpeg</t>
  </si>
  <si>
    <t>C:\Users\Miscelec\Desktop\entregas 23-24\2023\260 entrega a tpi p4 y p6noviembre 1 2023\selladas\Scan 7.jpeg</t>
  </si>
  <si>
    <t>C:\Users\Miscelec\Desktop\entregas 23-24\2023\261 entrega a tpi p4 noviembre 2 2023\selladas\Scan 2.jpeg</t>
  </si>
  <si>
    <t>C:\Users\Miscelec\Desktop\entregas 23-24\2023\261 entrega a tpi p4 noviembre 2 2023\selladas\Scan 3.jpeg</t>
  </si>
  <si>
    <t>C:\Users\Miscelec\Desktop\entregas 23-24\2023\262 entrega a tpi p4 y p6 noviembre 3 2023\p6\selladas\Scan 5.jpeg</t>
  </si>
  <si>
    <t>C:\Users\Miscelec\Desktop\entregas 23-24\2023\262 entrega a tpi p4 y p6 noviembre 3 2023\p6\selladas\Scan 6.jpeg</t>
  </si>
  <si>
    <t>C:\Users\Miscelec\Desktop\entregas 23-24\2023\262 entrega a tpi p4 y p6 noviembre 3 2023\p6\selladas\Scan 7.jpeg</t>
  </si>
  <si>
    <t>C:\Users\Miscelec\Desktop\entregas 23-24\2023\262 entrega a tpi p4 y p6 noviembre 3 2023\p6\selladas\Scan 8.jpeg</t>
  </si>
  <si>
    <t>C:\Users\Miscelec\Desktop\entregas 23-24\2023\262 entrega a tpi p4 y p6 noviembre 3 2023\p6\selladas\Scan 9.jpeg</t>
  </si>
  <si>
    <t>C:\Users\Miscelec\Desktop\entregas 23-24\2023\262 entrega a tpi p4 y p6 noviembre 3 2023\selladas\Scan 2.jpeg</t>
  </si>
  <si>
    <t>C:\Users\Miscelec\Desktop\entregas 23-24\2023\262 entrega a tpi p4 y p6 noviembre 3 2023\selladas\Scan 3.jpeg</t>
  </si>
  <si>
    <t>C:\Users\Miscelec\Desktop\entregas 23-24\2023\262 entrega a tpi p4 y p6 noviembre 3 2023\selladas\Scan 4.jpeg</t>
  </si>
  <si>
    <t>C:\Users\Miscelec\Desktop\entregas 23-24\2023\263 entrega a tpi p4 y p6 noviembre 8 2023\p6\selladas\Scan 1.jpeg</t>
  </si>
  <si>
    <t>C:\Users\Miscelec\Desktop\entregas 23-24\2023\263 entrega a tpi p4 y p6 noviembre 8 2023\p6\selladas\Scan 2.jpeg</t>
  </si>
  <si>
    <t>C:\Users\Miscelec\Desktop\entregas 23-24\2023\239 entrega a tpi p4 y p6 sep 29 2023\p6\selladas\Scan 2.jpeg</t>
  </si>
  <si>
    <t>C:\Users\Miscelec\Desktop\entregas 23-24\2023\263 entrega a tpi p4 y p6 noviembre 8 2023\p6\selladas\Scan 3.jpeg</t>
  </si>
  <si>
    <t>C:\Users\Miscelec\Desktop\entregas 23-24\2023\263 entrega a tpi p4 y p6 noviembre 8 2023\p6\selladas\Scan.jpeg</t>
  </si>
  <si>
    <t>C:\Users\Miscelec\Desktop\entregas 23-24\2023\263 entrega a tpi p4 y p6 noviembre 8 2023\selladas\Scan 1.jpeg</t>
  </si>
  <si>
    <t>C:\Users\Miscelec\Desktop\entregas 23-24\2023\263 entrega a tpi p4 y p6 noviembre 8 2023\selladas\Scan 2.jpeg</t>
  </si>
  <si>
    <t>C:\Users\Miscelec\Desktop\entregas 23-24\2023\263 entrega a tpi p4 y p6 noviembre 8 2023\selladas\Scan 3.jpeg</t>
  </si>
  <si>
    <t>C:\Users\Miscelec\Desktop\entregas 23-24\2023\263 entrega a tpi p4 y p6 noviembre 8 2023\selladas\Scan 4.jpeg</t>
  </si>
  <si>
    <t>C:\Users\Miscelec\Desktop\entregas 23-24\2023\263 entrega a tpi p4 y p6 noviembre 8 2023\selladas\Scan.jpeg</t>
  </si>
  <si>
    <t>C:\Users\Miscelec\Desktop\entregas 23-24\2023\264 entrega a tpi p6 noviembre 9 2023\sellada\Scan.jpeg</t>
  </si>
  <si>
    <t>C:\Users\Miscelec\Desktop\entregas 23-24\2023\265 entrega a tpi p6 noviembre 10 2023\selladas\Scan 1.jpeg</t>
  </si>
  <si>
    <t>C:\Users\Miscelec\Desktop\entregas 23-24\2023\265 entrega a tpi p6 noviembre 10 2023\selladas\Scan 2.jpeg</t>
  </si>
  <si>
    <t>C:\Users\Miscelec\Desktop\entregas 23-24\2023\265 entrega a tpi p6 noviembre 10 2023\selladas\Scan 3.jpeg</t>
  </si>
  <si>
    <t>C:\Users\Miscelec\Desktop\entregas 23-24\2023\265 entrega a tpi p6 noviembre 10 2023\selladas\Scan.jpeg</t>
  </si>
  <si>
    <t>C:\Users\Miscelec\Desktop\entregas 23-24\2023\266 entrega a tpi p6 noviembre 14 2023\selladas\Scan 1.jpeg</t>
  </si>
  <si>
    <t>C:\Users\Miscelec\Desktop\entregas 23-24\2023\266 entrega a tpi p6 noviembre 14 2023\selladas\Scan 2.jpeg</t>
  </si>
  <si>
    <t>C:\Users\Miscelec\Desktop\entregas 23-24\2023\250 entrega a tpi  p4 y p6octubre 16 2023\p6\selladas\4.jpeg</t>
  </si>
  <si>
    <t>C:\Users\Miscelec\Desktop\entregas 23-24\2023\266 entrega a tpi p6 noviembre 14 2023\selladas\Scan 3.jpeg</t>
  </si>
  <si>
    <t>C:\Users\Miscelec\Desktop\entregas 23-24\2023\266 entrega a tpi p6 noviembre 14 2023\selladas\Scan 4.jpeg</t>
  </si>
  <si>
    <t>C:\Users\Miscelec\Desktop\entregas 23-24\2023\266 entrega a tpi p6 noviembre 14 2023\selladas\Scan 5.jpeg</t>
  </si>
  <si>
    <t>C:\Users\Miscelec\Desktop\entregas 23-24\2023\266 entrega a tpi p6 noviembre 14 2023\selladas\Scan.jpeg</t>
  </si>
  <si>
    <t>C:\Users\Miscelec\Desktop\entregas 23-24\2023\267 entrega a tpi noviembre 15 2023 p4\selladas\Scan 1.jpeg</t>
  </si>
  <si>
    <t>C:\Users\Miscelec\Desktop\entregas 23-24\2023\267 entrega a tpi noviembre 15 2023 p4\selladas\Scan 2.jpeg</t>
  </si>
  <si>
    <t>C:\Users\Miscelec\Desktop\entregas 23-24\2023\255 entrega a tpi octubre 20 2023\selladas'\Scan 1.jpeg</t>
  </si>
  <si>
    <t>C:\Users\Miscelec\Desktop\entregas 23-24\2023\255 entrega a tpi octubre 20 2023\selladas'\Scan 5.jpeg</t>
  </si>
  <si>
    <t>C:\Users\Miscelec\Desktop\entregas 23-24\2023\255 entrega a tpi octubre 20 2023\selladas'\Scan 6.jpeg</t>
  </si>
  <si>
    <t>C:\Users\Miscelec\Desktop\entregas 23-24\2023\267 entrega a tpi noviembre 15 2023 p4\selladas\Scan.jpeg</t>
  </si>
  <si>
    <t>C:\Users\Miscelec\Desktop\entregas 23-24\2023\268 entrega a tpi p4 noviembre 16 2023\selladas\Scan 1.jpeg</t>
  </si>
  <si>
    <t>C:\Users\Miscelec\Desktop\entregas 23-24\2023\268 entrega a tpi p4 noviembre 16 2023\selladas\Scan 2.jpeg</t>
  </si>
  <si>
    <t>C:\Users\Miscelec\Desktop\entregas 23-24\2023\268 entrega a tpi p4 noviembre 16 2023\selladas\Scan 3.jpeg</t>
  </si>
  <si>
    <t>C:\Users\Miscelec\Desktop\entregas 23-24\2023\269 entrega tpi p6 noviembre 15 2023\selladas\Scan 1.jpeg</t>
  </si>
  <si>
    <t>C:\Users\Miscelec\Desktop\entregas 23-24\2023\269 entrega tpi p6 noviembre 15 2023\selladas\Scan 2.jpeg</t>
  </si>
  <si>
    <t>C:\Users\Miscelec\Desktop\entregas 23-24\2023\269 entrega tpi p6 noviembre 15 2023\selladas\Scan 3.jpeg</t>
  </si>
  <si>
    <t>C:\Users\Miscelec\Desktop\entregas 23-24\2023\269 entrega tpi p6 noviembre 15 2023\selladas\Scan 4.jpeg</t>
  </si>
  <si>
    <t>C:\Users\Miscelec\Desktop\entregas 23-24\2023\269 entrega tpi p6 noviembre 15 2023\selladas\Scan.jpeg</t>
  </si>
  <si>
    <t>C:\Users\Miscelec\Desktop\entregas 23-24\2023\270 entrega a tpi p6 noviembre 16 2023\selladas\Scan 1.jpeg</t>
  </si>
  <si>
    <t>C:\Users\Miscelec\Desktop\entregas 23-24\2023\270 entrega a tpi p6 noviembre 16 2023\selladas\Scan 2.jpeg</t>
  </si>
  <si>
    <t>C:\Users\Miscelec\Desktop\entregas 23-24\2023\270 entrega a tpi p6 noviembre 16 2023\selladas\Scan 3.jpeg</t>
  </si>
  <si>
    <t>C:\Users\Miscelec\Desktop\entregas 23-24\2023\270 entrega a tpi p6 noviembre 16 2023\selladas\Scan.jpeg</t>
  </si>
  <si>
    <t>C:\Users\Miscelec\Desktop\entregas 23-24\2023\271 entrega a tpi p4 noviembre 17 2023\selladas\Scan 1.jpeg</t>
  </si>
  <si>
    <t>C:\Users\Miscelec\Desktop\entregas 23-24\2023\271 entrega a tpi p4 noviembre 17 2023\selladas\Scan 2.jpeg</t>
  </si>
  <si>
    <t>C:\Users\Miscelec\Desktop\entregas 23-24\2023\271 entrega a tpi p4 noviembre 17 2023\selladas\Scan 3.jpeg</t>
  </si>
  <si>
    <t>C:\Users\Miscelec\Desktop\entregas 23-24\2023\271 entrega a tpi p4 noviembre 17 2023\selladas\Scan 4.jpeg</t>
  </si>
  <si>
    <t>C:\Users\Miscelec\Desktop\entregas 23-24\2023\271 entrega a tpi p4 noviembre 17 2023\selladas\Scan 5.jpeg</t>
  </si>
  <si>
    <t>C:\Users\Miscelec\Desktop\entregas 23-24\2023\271 entrega a tpi p4 noviembre 17 2023\selladas\Scan 6.jpeg</t>
  </si>
  <si>
    <t>C:\Users\Miscelec\Desktop\entregas 23-24\2023\268 entrega a tpi p4 noviembre 16 2023\selladas\Scan.jpeg</t>
  </si>
  <si>
    <t>C:\Users\Miscelec\Desktop\entregas 23-24\2023\271 entrega a tpi p4 noviembre 17 2023\selladas\Scan 7.jpeg</t>
  </si>
  <si>
    <t>C:\Users\Miscelec\Desktop\entregas 23-24\2023\271 entrega a tpi p4 noviembre 17 2023\selladas\Scan.jpeg</t>
  </si>
  <si>
    <t>C:\Users\Miscelec\Desktop\entregas 23-24\2023\272 entrega a tpi p6 y p4 noviembre 17 2023\p4\selladas\Scan 3.jpeg</t>
  </si>
  <si>
    <t>C:\Users\Miscelec\Desktop\entregas 23-24\2023\272 entrega a tpi p6 y p4 noviembre 17 2023\selladas\Scan 1.jpeg</t>
  </si>
  <si>
    <t>C:\Users\Miscelec\Desktop\entregas 23-24\2023\272 entrega a tpi p6 y p4 noviembre 17 2023\selladas\Scan 2.jpeg</t>
  </si>
  <si>
    <t>C:\Users\Miscelec\Desktop\entregas 23-24\2023\273 entrega a tpi p6 noviembre 21 2023\selladas\Scan 1.jpeg</t>
  </si>
  <si>
    <t>C:\Users\Miscelec\Desktop\entregas 23-24\2023\272 entrega a tpi p6 y p4 noviembre 17 2023\selladas\Scan.jpeg</t>
  </si>
  <si>
    <t>C:\Users\Miscelec\Desktop\entregas 23-24\2023\273 entrega a tpi p6 noviembre 21 2023\selladas\Scan 3.jpeg</t>
  </si>
  <si>
    <t>C:\Users\Miscelec\Desktop\entregas 23-24\2023\273 entrega a tpi p6 noviembre 21 2023\selladas\Scan 5.jpeg</t>
  </si>
  <si>
    <t>C:\Users\Miscelec\Desktop\entregas 23-24\2023\273 entrega a tpi p6 noviembre 21 2023\selladas\Scan 2.jpeg</t>
  </si>
  <si>
    <t>C:\Users\Miscelec\Desktop\entregas 23-24\2023\274 entrega a tpi -6 noviembre 22 2023\selladas'\Scan 1.jpeg</t>
  </si>
  <si>
    <t>C:\Users\Miscelec\Desktop\entregas 23-24\2023\274 entrega a tpi -6 noviembre 22 2023\selladas'\Scan 3.jpeg</t>
  </si>
  <si>
    <t>C:\Users\Miscelec\Desktop\entregas 23-24\2023\273 entrega a tpi p6 noviembre 21 2023\selladas\Scan 4.jpeg</t>
  </si>
  <si>
    <t>C:\Users\Miscelec\Desktop\entregas 23-24\2023\275 entrega a tpi noviembre 23 2023\selladas\Scan 1.jpeg</t>
  </si>
  <si>
    <t>C:\Users\Miscelec\Desktop\entregas 23-24\2023\276 entrega a tpi novirmbre 27\selladas\Scan 1.jpeg</t>
  </si>
  <si>
    <t>C:\Users\Miscelec\Desktop\entregas 23-24\2023\273 entrega a tpi p6 noviembre 21 2023\selladas\Scan.jpeg</t>
  </si>
  <si>
    <t>C:\Users\Miscelec\Desktop\entregas 23-24\2023\276 entrega a tpi novirmbre 27\selladas\Scan.jpeg</t>
  </si>
  <si>
    <t>C:\Users\Miscelec\Desktop\entregas 23-24\2023\277 entrega a tpi p4 noviembre 28 2023\selladas\Scan 1.jpeg</t>
  </si>
  <si>
    <t>C:\Users\Miscelec\Desktop\entregas 23-24\2023\274 entrega a tpi -6 noviembre 22 2023\selladas'\Scan 2.jpeg</t>
  </si>
  <si>
    <t>C:\Users\Miscelec\Desktop\entregas 23-24\2023\277 entrega a tpi p4 noviembre 28 2023\selladas\Scan 3.jpeg</t>
  </si>
  <si>
    <t>C:\Users\Miscelec\Desktop\entregas 23-24\2023\277 entrega a tpi p4 noviembre 28 2023\selladas\faltante de sellar, 30 noviembre 2023\Scan.jpeg</t>
  </si>
  <si>
    <t>C:\Users\Miscelec\Desktop\entregas 23-24\2023\274 entrega a tpi -6 noviembre 22 2023\selladas'\Scan.jpeg</t>
  </si>
  <si>
    <t>C:\Users\Miscelec\Desktop\entregas 23-24\2023\278 entrega a tpi p6 noviembre 29 2023\elladas\Scan 2.jpeg</t>
  </si>
  <si>
    <t>C:\Users\Miscelec\Desktop\entregas 23-24\2023\278 entrega a tpi p6 noviembre 29 2023\elladas\Scan.jpeg</t>
  </si>
  <si>
    <t>C:\Users\Miscelec\Desktop\entregas 23-24\2023\279 entrega a tpi p4 noviembre 30 2023\p6\selladas\Scan 5.jpeg</t>
  </si>
  <si>
    <t>C:\Users\Miscelec\Desktop\entregas 23-24\2023\279 entrega a tpi p4 noviembre 30 2023\p6\selladas\Scan.jpeg</t>
  </si>
  <si>
    <t>C:\Users\Miscelec\Desktop\entregas 23-24\2023\279 entrega a tpi p4 noviembre 30 2023\selladas\Scan 1.jpeg</t>
  </si>
  <si>
    <t>C:\Users\Miscelec\Desktop\entregas 23-24\2023\279 entrega a tpi p4 noviembre 30 2023\selladas\Scan 2.jpeg</t>
  </si>
  <si>
    <t>C:\Users\Miscelec\Desktop\entregas 23-24\2023\275 entrega a tpi noviembre 23 2023\selladas\Scan.jpeg</t>
  </si>
  <si>
    <t>C:\Users\Miscelec\Desktop\entregas 23-24\2023\279 entrega a tpi p4 noviembre 30 2023\selladas\Scan 4.jpeg</t>
  </si>
  <si>
    <t>C:\Users\Miscelec\Desktop\entregas 23-24\2023\280 entrega atpi p6 diciembre 1 2023\selladas\Scan 2.jpeg</t>
  </si>
  <si>
    <t>C:\Users\Miscelec\Desktop\entregas 23-24\2023\280 entrega atpi p6 diciembre 1 2023\selladas\Scan.jpeg</t>
  </si>
  <si>
    <t>C:\Users\Miscelec\Desktop\entregas 23-24\2023\281 entrega a tpi diciembre 4 2023\p6\selladas\Scan 1.jpeg</t>
  </si>
  <si>
    <t>C:\Users\Miscelec\Desktop\entregas 23-24\2023\276 entrega a tpi novirmbre 27\selladas\Scan 2.jpeg</t>
  </si>
  <si>
    <t>C:\Users\Miscelec\Desktop\entregas 23-24\2023\281 entrega a tpi diciembre 4 2023\p6\selladas\Scan.jpeg</t>
  </si>
  <si>
    <t>C:\Users\Miscelec\Desktop\entregas 23-24\2023\281 entrega a tpi diciembre 4 2023\selladas\Scan 1.jpeg</t>
  </si>
  <si>
    <t>C:\Users\Miscelec\Desktop\entregas 23-24\2023\281 entrega a tpi diciembre 4 2023\selladas\Scan 3.jpeg</t>
  </si>
  <si>
    <t>C:\Users\Miscelec\Desktop\entregas 23-24\2023\277 entrega a tpi p4 noviembre 28 2023\p6\sellada\Scan.jpeg</t>
  </si>
  <si>
    <t>C:\Users\Miscelec\Desktop\entregas 23-24\2023\282 entrega a tpi diciembre 8 2023\p4\sellada\Scan.jpeg</t>
  </si>
  <si>
    <t>C:\Users\Miscelec\Desktop\entregas 23-24\2023\282 entrega a tpi diciembre 8 2023\p6\selladas\Scan 2.jpeg</t>
  </si>
  <si>
    <t>C:\Users\Miscelec\Desktop\entregas 23-24\2023\282 entrega a tpi diciembre 8 2023\p6\selladas\Scan 3.jpeg</t>
  </si>
  <si>
    <t>C:\Users\Miscelec\Desktop\entregas 23-24\2023\282 entrega a tpi diciembre 8 2023\p6\selladas\Scan 4.jpeg</t>
  </si>
  <si>
    <t>C:\Users\Miscelec\Desktop\entregas 23-24\2023\282 entrrga a tpi diciembre 5 2023\selladas\Scan 1.jpeg</t>
  </si>
  <si>
    <t>C:\Users\Miscelec\Desktop\entregas 23-24\2023\282 entrrga a tpi diciembre 5 2023\selladas\Scan.jpeg</t>
  </si>
  <si>
    <t>C:\Users\Miscelec\Desktop\entregas 23-24\2023\283 entrega a tpi diciembre 11 2023\selladas\Scan 1.jpeg</t>
  </si>
  <si>
    <t>C:\Users\Miscelec\Desktop\entregas 23-24\2023\283 entrega a tpi diciembre 11 2023\selladas\Scan 2.jpeg</t>
  </si>
  <si>
    <t>C:\Users\Miscelec\Desktop\entregas 23-24\2023\277 entrega a tpi p4 noviembre 28 2023\selladas\Scan 2.jpeg</t>
  </si>
  <si>
    <t>C:\Users\Miscelec\Desktop\entregas 23-24\2023\283 entrega a tpi diciembre 11 2023\selladas\Scan 4.jpeg</t>
  </si>
  <si>
    <t>C:\Users\Miscelec\Desktop\entregas 23-24\2023\283 entrega a tpi diciembre 11 2023\selladas\Scan 6.jpeg</t>
  </si>
  <si>
    <t>C:\Users\Miscelec\Desktop\entregas 23-24\2023\277 entrega a tpi p4 noviembre 28 2023\selladas\Scan 4.jpeg</t>
  </si>
  <si>
    <t>C:\Users\Miscelec\Desktop\entregas 23-24\2023\283 entrega a tpi diciembre 11 2023\selladas\Scan.jpeg</t>
  </si>
  <si>
    <t>C:\Users\Miscelec\Desktop\entregas 23-24\2023\283 entrega a tpi diciembre 6 2023\selladas\Scan 1.jpeg</t>
  </si>
  <si>
    <t>C:\Users\Miscelec\Desktop\entregas 23-24\2023\283 entrega a tpi diciembre 6 2023\selladas\Scan 10.jpeg</t>
  </si>
  <si>
    <t>C:\Users\Miscelec\Desktop\entregas 23-24\2023\283 entrega a tpi diciembre 6 2023\selladas\Scan 3.jpeg</t>
  </si>
  <si>
    <t>C:\Users\Miscelec\Desktop\entregas 23-24\2023\283 entrega a tpi diciembre 6 2023\selladas\Scan 4.jpeg</t>
  </si>
  <si>
    <t>C:\Users\Miscelec\Desktop\entregas 23-24\2023\283 entrega a tpi diciembre 6 2023\selladas\Scan 5.jpeg</t>
  </si>
  <si>
    <t>C:\Users\Miscelec\Desktop\entregas 23-24\2023\283 entrega a tpi diciembre 6 2023\selladas\Scan 7.jpeg</t>
  </si>
  <si>
    <t>C:\Users\Miscelec\Desktop\entregas 23-24\2023\278 entrega a tpi p6 noviembre 29 2023\elladas\Scan 3.jpeg</t>
  </si>
  <si>
    <t>C:\Users\Miscelec\Desktop\entregas 23-24\2023\283 entrega a tpi diciembre 6 2023\selladas\Scan.jpeg</t>
  </si>
  <si>
    <t>C:\Users\Miscelec\Desktop\entregas 23-24\2023\284 entrega a tpi diciembre 12 2023\p4\selladas\Scan 2.jpeg</t>
  </si>
  <si>
    <t>C:\Users\Miscelec\Desktop\entregas 23-24\2023\284 entrega a tpi diciembre 12 2023\p4\selladas\Scan 4.jpeg</t>
  </si>
  <si>
    <t>C:\Users\Miscelec\Desktop\entregas 23-24\2023\285 entrega a tpi diciembre 13 2023\selladas\Scan 1.jpeg</t>
  </si>
  <si>
    <t>C:\Users\Miscelec\Desktop\entregas 23-24\2023\279 entrega a tpi p4 noviembre 30 2023\selladas\Scan 3.jpeg</t>
  </si>
  <si>
    <t>C:\Users\Miscelec\Desktop\entregas 23-24\2023\285 entrega a tpi diciembre 13 2023\selladas\Scan.jpeg</t>
  </si>
  <si>
    <t>C:\Users\Miscelec\Desktop\entregas 23-24\2023\286 entrega a tpi diciembre 14 2023\p6\selladas\Scan 2.jpeg</t>
  </si>
  <si>
    <t>C:\Users\Miscelec\Desktop\entregas 23-24\2023\286 entrega a tpi diciembre 14 2023\p6\selladas\Scan 3.jpeg</t>
  </si>
  <si>
    <t>C:\Users\Miscelec\Desktop\entregas 23-24\2023\286 entrega a tpi diciembre 14 2023\p6\selladas\Scan 4.jpeg</t>
  </si>
  <si>
    <t>C:\Users\Miscelec\Desktop\entregas 23-24\2023\280 entrega atpi p6 diciembre 1 2023\selladas\Scan 1.jpeg</t>
  </si>
  <si>
    <t>C:\Users\Miscelec\Desktop\entregas 23-24\2023\286 entrega a tpi diciembre 14 2023\selladas p4\Scan 1.jpeg</t>
  </si>
  <si>
    <t>C:\Users\Miscelec\Desktop\entregas 23-24\2023\286 entrega a tpi diciembre 14 2023\selladas p4\Scan 3.jpeg</t>
  </si>
  <si>
    <t>C:\Users\Miscelec\Desktop\entregas 23-24\2023\286 entrega a tpi diciembre 14 2023\selladas p4\Scan.jpeg</t>
  </si>
  <si>
    <t>C:\Users\Miscelec\Desktop\entregas 23-24\2023\287 entrega a tpi diciembre 16 2023\selladas p4\Scan 2.jpeg</t>
  </si>
  <si>
    <t>C:\Users\Miscelec\Desktop\entregas 23-24\2023\287 entrega a tpi diciembre 16 2023\selladas p4\Scan.jpeg</t>
  </si>
  <si>
    <t>C:\Users\Miscelec\Desktop\entregas 23-24\2023\288 entrega a tpi diciembre 19 2023\selladas\Scan 1.jpeg</t>
  </si>
  <si>
    <t>C:\Users\Miscelec\Desktop\entregas 23-24\2023\281 entrega a tpi diciembre 4 2023\p6\selladas\Scan 2.jpeg</t>
  </si>
  <si>
    <t>C:\Users\Miscelec\Desktop\entregas 23-24\2023\288 entrega a tpi diciembre 19 2023\selladas\Scan 3.jpeg</t>
  </si>
  <si>
    <t>C:\Users\Miscelec\Desktop\entregas 23-24\2023\288 entrega a tpi diciembre 19 2023\selladas\Scan 4.jpeg</t>
  </si>
  <si>
    <t>C:\Users\Miscelec\Desktop\entregas 23-24\2023\288 entrega a tpi diciembre 19 2023\selladas\Scan 5.jpeg</t>
  </si>
  <si>
    <t>C:\Users\Miscelec\Desktop\entregas 23-24\2023\288 entrega a tpi diciembre 19 2023\selladas\Scan.jpeg</t>
  </si>
  <si>
    <t>C:\Users\Miscelec\Desktop\entregas 23-24\2023\289 entrega a tpi diciembre 20 2023\sellada\Scan.jpeg</t>
  </si>
  <si>
    <t>C:\Users\Miscelec\Desktop\entregas 23-24\2023\entrega 229 a tpi p6 septiembre 13 2023\selladas\Scan 2.jpeg</t>
  </si>
  <si>
    <t>C:\Users\Miscelec\Desktop\entregas 23-24\2023\entrega 229 a tpi p6 septiembre 13 2023\selladas\Scan 4.jpeg</t>
  </si>
  <si>
    <t>C:\Users\Miscelec\Desktop\entregas 23-24\2023\entrega 229 a tpi p6 septiembre 13 2023\selladas\Scan 5.jpeg</t>
  </si>
  <si>
    <t>C:\Users\Miscelec\Desktop\entregas 23-24\2023\entrega 229 a tpi p6 septiembre 13 2023\selladas\Scan 6.jpeg</t>
  </si>
  <si>
    <t>C:\Users\Miscelec\Desktop\entregas 23-24\2023\entrega 229 a tpi p6 septiembre 13 2023\selladas\Scan 7.jpeg</t>
  </si>
  <si>
    <t>C:\Users\Miscelec\Desktop\entregas 23-24\2024\290 entrega a tpi enero 3 2024 p6\selladas\Scan 1.jpeg</t>
  </si>
  <si>
    <t>C:\Users\Miscelec\Desktop\entregas 23-24\2024\290 entrega a tpi enero 3 2024 p6\selladas\Scan 2.jpeg</t>
  </si>
  <si>
    <t>C:\Users\Miscelec\Desktop\entregas 23-24\2024\290 entrega a tpi enero 3 2024 p6\selladas\Scan 3.jpeg</t>
  </si>
  <si>
    <t>C:\Users\Miscelec\Desktop\entregas 23-24\2024\290 entrega a tpi enero 3 2024 p6\selladas\Scan 4.jpeg</t>
  </si>
  <si>
    <t>C:\Users\Miscelec\Desktop\entregas 23-24\2024\290 entrega a tpi enero 3 2024 p6\selladas\Scan 5.jpeg</t>
  </si>
  <si>
    <t>C:\Users\Miscelec\Desktop\entregas 23-24\2023\281 entrega a tpi diciembre 4 2023\selladas\Scan 2.jpeg</t>
  </si>
  <si>
    <t>C:\Users\Miscelec\Desktop\entregas 23-24\2024\290 entrega a tpi enero 3 2024 p6\selladas\Scan 7.jpeg</t>
  </si>
  <si>
    <t>C:\Users\Miscelec\Desktop\entregas 23-24\2024\291 entrega a tpi 04 enero 5 2024\selladas\Scan 1.jpeg</t>
  </si>
  <si>
    <t>C:\Users\Miscelec\Desktop\entregas 23-24\2023\281 entrega a tpi diciembre 4 2023\selladas\Scan.jpeg</t>
  </si>
  <si>
    <t>C:\Users\Miscelec\Desktop\entregas 23-24\2024\292 entrega a tpi p4 enero 8 2024\selladas\Scan 2.jpeg</t>
  </si>
  <si>
    <t>C:\Users\Miscelec\Desktop\entregas 23-24\2024\292 entrega a tpi p4 enero 8 2024\selladas\Scan 4.jpeg</t>
  </si>
  <si>
    <t>C:\Users\Miscelec\Desktop\entregas 23-24\2024\292 entrega a tpi p4 enero 8 2024\selladas\Scan.jpeg</t>
  </si>
  <si>
    <t>C:\Users\Miscelec\Desktop\entregas 23-24\2024\293 entrega a tpi p4 y p6 enero 9 2024\p6\sellada'\Scan 1.jpeg</t>
  </si>
  <si>
    <t>C:\Users\Miscelec\Desktop\entregas 23-24\2023\282 entrega a tpi diciembre 8 2023\p6\selladas\Scan 1.jpeg</t>
  </si>
  <si>
    <t>C:\Users\Miscelec\Desktop\entregas 23-24\2024\293 entrega a tpi p4 y p6 enero 9 2024\sellada\Scan 2.jpeg</t>
  </si>
  <si>
    <t>C:\Users\Miscelec\Desktop\entregas 23-24\2024\294 entrega a tpi enero 10 2024\selladas\Scan 2.jpeg</t>
  </si>
  <si>
    <t>C:\Users\Miscelec\Desktop\entregas 23-24\2024\294 entrega a tpi enero 10 2024\selladas\Scan 3.jpeg</t>
  </si>
  <si>
    <t>C:\Users\Miscelec\Desktop\entregas 23-24\2024\294 entrega a tpi enero 10 2024\selladas\Scan 5.jpeg</t>
  </si>
  <si>
    <t>C:\Users\Miscelec\Desktop\entregas 23-24\2024\294 entrega a tpi enero 10 2024\selladas\Scan 6.jpeg</t>
  </si>
  <si>
    <t>C:\Users\Miscelec\Desktop\entregas 23-24\2024\294 entrega a tpi enero 10 2024\selladas\Scan 7.jpeg</t>
  </si>
  <si>
    <t>C:\Users\Miscelec\Desktop\entregas 23-24\2024\294 entrega a tpi enero 10 2024\selladas\Scan 9.jpeg</t>
  </si>
  <si>
    <t>C:\Users\Miscelec\Desktop\entregas 23-24\2024\295 enytrega a tpi p6 enero 12 2024\selladas\Scan 1.jpeg</t>
  </si>
  <si>
    <t>C:\Users\Miscelec\Desktop\entregas 23-24\2024\295 enytrega a tpi p6 enero 12 2024\selladas\Scan 3.jpeg</t>
  </si>
  <si>
    <t>C:\Users\Miscelec\Desktop\entregas 23-24\2024\296 entrega a tpi enero 17 2023\selladas\Scan 1.jpeg</t>
  </si>
  <si>
    <t>C:\Users\Miscelec\Desktop\entregas 23-24\2024\296 entrega a tpi enero 17 2023\selladas\Scan 2.jpeg</t>
  </si>
  <si>
    <t>C:\Users\Miscelec\Desktop\entregas 23-24\2024\296 entrega a tpi enero 17 2023\selladas\Scan 3.jpeg</t>
  </si>
  <si>
    <t>C:\Users\Miscelec\Desktop\entregas 23-24\2024\296 entrega a tpi enero 17 2023\selladas\Scan.jpeg</t>
  </si>
  <si>
    <t>C:\Users\Miscelec\Desktop\entregas 23-24\2024\297 entrega a tpi enero 18 2024\selladas\Scan 10.jpeg</t>
  </si>
  <si>
    <t>C:\Users\Miscelec\Desktop\entregas 23-24\2023\283 entrega a tpi diciembre 11 2023\selladas\Scan 3.jpeg</t>
  </si>
  <si>
    <t>C:\Users\Miscelec\Desktop\entregas 23-24\2024\297 entrega a tpi enero 18 2024\selladas\Scan 3.jpeg</t>
  </si>
  <si>
    <t>C:\Users\Miscelec\Desktop\entregas 23-24\2024\297 entrega a tpi enero 18 2024\selladas\Scan 4.jpeg</t>
  </si>
  <si>
    <t>C:\Users\Miscelec\Desktop\entregas 23-24\2024\297 entrega a tpi enero 18 2024\selladas\Scan 5.jpeg</t>
  </si>
  <si>
    <t>C:\Users\Miscelec\Desktop\entregas 23-24\2024\297 entrega a tpi enero 18 2024\selladas\Scan 7.jpeg</t>
  </si>
  <si>
    <t>C:\Users\Miscelec\Desktop\entregas 23-24\2024\297 entrega a tpi enero 18 2024\selladas\Scan 8.jpeg</t>
  </si>
  <si>
    <t>C:\Users\Miscelec\Desktop\entregas 23-24\2024\297 entrega a tpi enero 18 2024\selladas\Scan 9.jpeg</t>
  </si>
  <si>
    <t>C:\Users\Miscelec\Desktop\entregas 23-24\2023\283 entrega a tpi diciembre 11 2023\selladas\Scan 5.jpeg</t>
  </si>
  <si>
    <t>C:\Users\Miscelec\Desktop\entregas 23-24\2024\299 entrega a tpi p6, enero 19 2024\sellada\SEGISA00004.jpg</t>
  </si>
  <si>
    <t>C:\Users\Miscelec\Desktop\entregas 23-24\2024\300 entrega. tpi  p4 y p6 enero 22 2024\p6\selladas\SEGISA00008.jpg</t>
  </si>
  <si>
    <t>C:\Users\Miscelec\Desktop\entregas 23-24\2024\300 entrega. tpi  p4 y p6 enero 22 2024\p6\selladas\SEGISA00009.jpg</t>
  </si>
  <si>
    <t>C:\Users\Miscelec\Desktop\entregas 23-24\2024\300 entrega. tpi  p4 y p6 enero 22 2024\p6\selladas\SEGISA00010.jpg</t>
  </si>
  <si>
    <t>C:\Users\Miscelec\Desktop\entregas 23-24\2024\300 entrega. tpi  p4 y p6 enero 22 2024\p6\selladas\SEGISA00011.jpg</t>
  </si>
  <si>
    <t>C:\Users\Miscelec\Desktop\entregas 23-24\2024\300 entrega. tpi  p4 y p6 enero 22 2024\p6\selladas\SEGISA00012.jpg</t>
  </si>
  <si>
    <t>C:\Users\Miscelec\Desktop\entregas 23-24\2024\300 entrega. tpi  p4 y p6 enero 22 2024\sellada\SEGISA00005.jpg</t>
  </si>
  <si>
    <t>C:\Users\Miscelec\Desktop\entregas 23-24\2024\301 entrega a tpi p4 enero 23 2024\drllsdas p4\SEGISA00013.jpg</t>
  </si>
  <si>
    <t>C:\Users\Miscelec\Desktop\entregas 23-24\2024\301 entrega a tpi p4 enero 23 2024\p6\selladas\SEGISA00017.jpg</t>
  </si>
  <si>
    <t>C:\Users\Miscelec\Desktop\entregas 23-24\2023\283 entrega a tpi diciembre 11 2023\selladas\Scan 7.jpeg</t>
  </si>
  <si>
    <t>C:\Users\Miscelec\Desktop\entregas 23-24\2024\302 entrega a tpi enero 24 2024\selladas\SEGISA00019.jpg</t>
  </si>
  <si>
    <t>C:\Users\Miscelec\Desktop\entregas 23-24\2024\302 entrega a tpi enero 24 2024\selladas\SEGISA00020.jpg</t>
  </si>
  <si>
    <t>C:\Users\Miscelec\Desktop\entregas 23-24\2024\302 entrega a tpi enero 24 2024\selladas\SEGISA00022.jpg</t>
  </si>
  <si>
    <t>C:\Users\Miscelec\Desktop\entregas 23-24\2024\302 entrega a tpi enero 24 2024\selladas\SEGISA00023.jpg</t>
  </si>
  <si>
    <t>C:\Users\Miscelec\Desktop\entregas 23-24\2024\302 entrega a tpi enero 24 2024\selladas\SEGISA00024.jpg</t>
  </si>
  <si>
    <t>C:\Users\Miscelec\Desktop\entregas 23-24\2024\302 entrega a tpi enero 24 2024\selladas\SEGISA00025.jpg</t>
  </si>
  <si>
    <t>C:\Users\Miscelec\Desktop\entregas 23-24\2024\302 entrega a tpi enero 24 2024\selladas\SEGISA00026.jpg</t>
  </si>
  <si>
    <t>C:\Users\Miscelec\Desktop\entregas 23-24\2024\302 entrega a tpi enero 24 2024\selladas\SEGISA00028.jpg</t>
  </si>
  <si>
    <t>C:\Users\Miscelec\Desktop\entregas 23-24\2024\302 entrega a tpi enero 24 2024\selladas\SEGISA00029.jpg</t>
  </si>
  <si>
    <t>C:\Users\Miscelec\Desktop\entregas 23-24\2024\302 entrega a tpi enero 24 2024\selladas\SEGISA00030.jpg</t>
  </si>
  <si>
    <t>C:\Users\Miscelec\Desktop\entregas 23-24\2024\303 entrega a tpi p6 enero 25 2024\sellada\SEGISA00031.jpg</t>
  </si>
  <si>
    <t>C:\Users\Miscelec\Desktop\entregas 23-24\2024\304 entrega a toi enero 29 2024 p6\selladas\SEGISA00034.jpg</t>
  </si>
  <si>
    <t>C:\Users\Miscelec\Desktop\entregas 23-24\2024\304 entrega a toi enero 29 2024 p6\selladas\SEGISA00036.jpg</t>
  </si>
  <si>
    <t>C:\Users\Miscelec\Desktop\entregas 23-24\2024\305 entrega a tpi enero 30 2024\p6\selladas\SEGISA00039.jpg</t>
  </si>
  <si>
    <t>C:\Users\Miscelec\Desktop\entregas 23-24\2024\305 entrega a tpi enero 30 2024\p6\selladas\SEGISA00040.jpg</t>
  </si>
  <si>
    <t>C:\Users\Miscelec\Desktop\entregas 23-24\2024\305 entrega a tpi enero 30 2024\p6\selladas\SEGISA00041.jpg</t>
  </si>
  <si>
    <t>C:\Users\Miscelec\Desktop\entregas 23-24\2024\305 entrega a tpi enero 30 2024\p6\selladas\SEGISA00042.jpg</t>
  </si>
  <si>
    <t>C:\Users\Miscelec\Desktop\entregas 23-24\2024\305 entrega a tpi enero 30 2024\selladas\SEGISA00037.jpg</t>
  </si>
  <si>
    <t>C:\Users\Miscelec\Desktop\entregas 23-24\2024\305 entrega a tpi enero 30 2024\selladas\SEGISA00038.jpg</t>
  </si>
  <si>
    <t>C:\Users\Miscelec\Desktop\entregas 23-24\2024\306 entrega a tpi p4 febrero 1 2024\selladas\SEGISA00043.jpg</t>
  </si>
  <si>
    <t>C:\Users\Miscelec\Desktop\entregas 23-24\2024\306 entrega a tpi p4 febrero 1 2024\selladas\SEGISA00044.jpg</t>
  </si>
  <si>
    <t>C:\Users\Miscelec\Desktop\entregas 23-24\2023\283 entrega a tpi diciembre 6 2023\selladas\Scan 2.jpeg</t>
  </si>
  <si>
    <t>C:\Users\Miscelec\Desktop\entregas 23-24\2024\306 entrega a tpi p4 febrero 1 2024\selladas\SEGISA00046.jpg</t>
  </si>
  <si>
    <t>C:\Users\Miscelec\Desktop\entregas 23-24\2024\306 entrega a tpi p4 febrero 1 2024\selladas\SEGISA00048.jpg</t>
  </si>
  <si>
    <t>C:\Users\Miscelec\Desktop\entregas 23-24\2024\306 entrega a tpi p4 febrero 1 2024\selladas\SEGISA00050.jpg</t>
  </si>
  <si>
    <t>C:\Users\Miscelec\Desktop\entregas 23-24\2024\306 entrega a tpi p4 febrero 1 2024\selladas\SEGISA00051.jpg</t>
  </si>
  <si>
    <t>C:\Users\Miscelec\Desktop\entregas 23-24\2024\306 entrega a tpi p4 febrero 1 2024\selladas\SEGISA00052.jpg</t>
  </si>
  <si>
    <t>C:\Users\Miscelec\Desktop\entregas 23-24\2024\306 entrega a tpi p4 febrero 1 2024\selladas\SEGISA00053.jpg</t>
  </si>
  <si>
    <t>C:\Users\Miscelec\Desktop\entregas 23-24\2024\306 entrega a tpi p4 febrero 1 2024\selladas\SEGISA00054.jpg</t>
  </si>
  <si>
    <t>C:\Users\Miscelec\Desktop\entregas 23-24\2024\307 entrega atpi febrero 6 2024\selladas\SEGISA00055.jpg</t>
  </si>
  <si>
    <t>C:\Users\Miscelec\Desktop\entregas 23-24\2024\307 entrega atpi febrero 6 2024\selladas\SEGISA00056.jpg</t>
  </si>
  <si>
    <t>C:\Users\Miscelec\Desktop\entregas 23-24\2024\307 entrega atpi febrero 6 2024\selladas\SEGISA00057.jpg</t>
  </si>
  <si>
    <t>C:\Users\Miscelec\Desktop\entregas 23-24\2024\308 entrega a tpi p6 febrero 7 2024\p4\sellada\SEGISA00069.jpg</t>
  </si>
  <si>
    <t>C:\Users\Miscelec\Desktop\entregas 23-24\2024\308 entrega a tpi p6 febrero 7 2024\selladas\SEGISA00064.jpg</t>
  </si>
  <si>
    <t>C:\Users\Miscelec\Desktop\entregas 23-24\2023\283 entrega a tpi diciembre 6 2023\selladas\Scan 6.jpeg</t>
  </si>
  <si>
    <t>C:\Users\Miscelec\Desktop\entregas 23-24\2024\308 entrega a tpi p6 febrero 7 2024\selladas\SEGISA00066.jpg</t>
  </si>
  <si>
    <t>C:\Users\Miscelec\Desktop\entregas 23-24\2024\308 entrega a tpi p6 febrero 7 2024\selladas\SEGISA00068.jpg</t>
  </si>
  <si>
    <t>C:\Users\Miscelec\Desktop\entregas 23-24\2024\309 entrega a tpi p4 febrero 8 2024\p6\selladas\SEGISA00085.jpg</t>
  </si>
  <si>
    <t>C:\Users\Miscelec\Desktop\entregas 23-24\2024\309 entrega a tpi p4 febrero 8 2024\p6\selladas\SEGISA00086.jpg</t>
  </si>
  <si>
    <t>C:\Users\Miscelec\Desktop\entregas 23-24\2023\283 entrega a tpi diciembre 6 2023\selladas\Scan 8.jpeg</t>
  </si>
  <si>
    <t>C:\Users\Miscelec\Desktop\entregas 23-24\2024\309 entrega a tpi p4 febrero 8 2024\selladas\SEGISA00071.jpg</t>
  </si>
  <si>
    <t>C:\Users\Miscelec\Desktop\entregas 23-24\2024\309 entrega a tpi p4 febrero 8 2024\selladas\SEGISA00072.jpg</t>
  </si>
  <si>
    <t>C:\Users\Miscelec\Desktop\entregas 23-24\2024\309 entrega a tpi p4 febrero 8 2024\selladas\SEGISA00073.jpg</t>
  </si>
  <si>
    <t>C:\Users\Miscelec\Desktop\entregas 23-24\2024\309 entrega a tpi p4 febrero 8 2024\selladas\SEGISA00074.jpg</t>
  </si>
  <si>
    <t>C:\Users\Miscelec\Desktop\entregas 23-24\2024\309 entrega a tpi p4 febrero 8 2024\selladas\SEGISA00075.jpg</t>
  </si>
  <si>
    <t>C:\Users\Miscelec\Desktop\entregas 23-24\2024\309 entrega a tpi p4 febrero 8 2024\selladas\SEGISA00076.jpg</t>
  </si>
  <si>
    <t>C:\Users\Miscelec\Desktop\entregas 23-24\2024\309 entrega a tpi p4 febrero 8 2024\selladas\SEGISA00077.jpg</t>
  </si>
  <si>
    <t>C:\Users\Miscelec\Desktop\entregas 23-24\2024\309 entrega a tpi p4 febrero 8 2024\selladas\SEGISA00078.jpg</t>
  </si>
  <si>
    <t>C:\Users\Miscelec\Desktop\entregas 23-24\2024\309 entrega a tpi p4 febrero 8 2024\selladas\SEGISA00079.jpg</t>
  </si>
  <si>
    <t>C:\Users\Miscelec\Desktop\entregas 23-24\2023\283 entrega a tpi diciembre 6 2023\selladas\Scan 9.jpeg</t>
  </si>
  <si>
    <t>C:\Users\Miscelec\Desktop\entregas 23-24\2024\309 entrega a tpi p4 febrero 8 2024\selladas\SEGISA00081.jpg</t>
  </si>
  <si>
    <t>C:\Users\Miscelec\Desktop\entregas 23-24\2024\309 entrega a tpi p4 febrero 8 2024\selladas\SEGISA00082.jpg</t>
  </si>
  <si>
    <t>C:\Users\Miscelec\Desktop\entregas 23-24\2024\309 entrega a tpi p4 febrero 8 2024\selladas\SEGISA00083.jpg</t>
  </si>
  <si>
    <t>C:\Users\Miscelec\Desktop\entregas 23-24\2024\309 entrega a tpi p4 febrero 8 2024\selladas\SEGISA00084.jpg</t>
  </si>
  <si>
    <t>C:\Users\Miscelec\Desktop\entregas 23-24\2024\310 entrega a tgpi p6 febrero 9 2024\selladas\SEGISA00088.jpg</t>
  </si>
  <si>
    <t>C:\Users\Miscelec\Desktop\entregas 23-24\2024\310 entrega a tgpi p6 febrero 9 2024\selladas\SEGISA00089.jpg</t>
  </si>
  <si>
    <t>C:\Users\Miscelec\Desktop\entregas 23-24\2024\310 entrega a tgpi p6 febrero 9 2024\urge te p4\sellada\SEGISA00090.jpg</t>
  </si>
  <si>
    <t>C:\Users\Miscelec\Desktop\entregas 23-24\2024\311 entrega a tpi p6 febrero 10 2024\SEGISA00091.jpg</t>
  </si>
  <si>
    <t>C:\Users\Miscelec\Desktop\entregas 23-24\2024\312 entrega a tpi p6 febrero 12 2024\selladas\SEGISA00092.jpg</t>
  </si>
  <si>
    <t>C:\Users\Miscelec\Desktop\entregas 23-24\2024\312 entrega a tpi p6 febrero 12 2024\selladas\SEGISA00094.jpg</t>
  </si>
  <si>
    <t>C:\Users\Miscelec\Desktop\entregas 23-24\2024\312 entrega a tpi p6 febrero 12 2024\selladas\SEGISA00095.jpg</t>
  </si>
  <si>
    <t>C:\Users\Miscelec\Desktop\entregas 23-24\2023\284 entrega a tpi diciembre 12 2023\p4\selladas\Scan 1.jpeg</t>
  </si>
  <si>
    <t>C:\Users\Miscelec\Desktop\entregas 23-24\2024\312 entrega a tpi p6 febrero 12 2024\selladas\SEGISA00098.jpg</t>
  </si>
  <si>
    <t>C:\Users\Miscelec\Desktop\entregas 23-24\2024\312 entrega a tpi p6 febrero 12 2024\selladas\SEGISA00100.jpg</t>
  </si>
  <si>
    <t>C:\Users\Miscelec\Desktop\entregas 23-24\2023\284 entrega a tpi diciembre 12 2023\p4\selladas\Scan 3.jpeg</t>
  </si>
  <si>
    <t>C:\Users\Miscelec\Desktop\entregas 23-24\2024\312 entrega a tpi p6 febrero 12 2024\selladas\SEGISA00102.jpg</t>
  </si>
  <si>
    <t>C:\Users\Miscelec\Desktop\entregas 23-24\2024\312 entrega a tpi p6 febrero 12 2024\selladas\SEGISA00103.jpg</t>
  </si>
  <si>
    <t>C:\Users\Miscelec\Desktop\entregas 23-24\2024\313 entrega a tpi p4 febrero 14 2024\selladas\SEGISA00110.jpg</t>
  </si>
  <si>
    <t>C:\Users\Miscelec\Desktop\entregas 23-24\2024\313 entrega a tpi p4 febrero 14 2024\selladas\SEGISA00111.jpg</t>
  </si>
  <si>
    <t>C:\Users\Miscelec\Desktop\entregas 23-24\2024\313 entrega a tpi p4 febrero 14 2024\selladas\SEGISA00113.jpg</t>
  </si>
  <si>
    <t>C:\Users\Miscelec\Desktop\entregas 23-24\2024\313 entrega a tpi p4 febrero 14 2024\selladas\SEGISA00114.jpg</t>
  </si>
  <si>
    <t>C:\Users\Miscelec\Desktop\entregas 23-24\2024\313 entrega a tpi p4 febrero 14 2024\selladas\SEGISA00115.jpg</t>
  </si>
  <si>
    <t>C:\Users\Miscelec\Desktop\entregas 23-24\2024\313 entrega a tpi p4 febrero 14 2024\selladas\SEGISA00116.jpg</t>
  </si>
  <si>
    <t>C:\Users\Miscelec\Desktop\entregas 23-24\2024\313 entrega a tpi p4 febrero 14 2024\selladas\SEGISA00117.jpg</t>
  </si>
  <si>
    <t>C:\Users\Miscelec\Desktop\entregas 23-24\2024\313 entrega a tpi p4 febrero 14 2024\selladas\SEGISA00119.jpg</t>
  </si>
  <si>
    <t>C:\Users\Miscelec\Desktop\entregas 23-24\2024\313 entrega a tpi p4 febrero 14 2024\selladas\SEGISA00120.jpg</t>
  </si>
  <si>
    <t>C:\Users\Miscelec\Desktop\entregas 23-24\2024\313 entrega a tpi p4 febrero 14 2024\selladas\SEGISA00121.jpg</t>
  </si>
  <si>
    <t>C:\Users\Miscelec\Desktop\entregas 23-24\2023\284 entrega a tpi diciembre 12 2023\p4\selladas\Scan.jpeg</t>
  </si>
  <si>
    <t>C:\Users\Miscelec\Desktop\entregas 23-24\2024\313 entrega a tpi p4 febrero 14 2024\selladas\SEGISA00123.jpg</t>
  </si>
  <si>
    <t>C:\Users\Miscelec\Desktop\entregas 23-24\2024\314 entrega a tpi febrero 15 2024\p4\selldas\SEGISA00132.jpg</t>
  </si>
  <si>
    <t>C:\Users\Miscelec\Desktop\entregas 23-24\2024\314 entrega a tpi febrero 15 2024\p4\selldas\SEGISA00133.jpg</t>
  </si>
  <si>
    <t>C:\Users\Miscelec\Desktop\entregas 23-24\2024\314 entrega a tpi febrero 15 2024\p6\sellada\SEGISA00126.jpg</t>
  </si>
  <si>
    <t>C:\Users\Miscelec\Desktop\entregas 23-24\2024\314 entrega a tpi febrero 15 2024\p6\sellada\SEGISA00127.jpg</t>
  </si>
  <si>
    <t>C:\Users\Miscelec\Desktop\entregas 23-24\2024\314 entrega a tpi febrero 15 2024\p6\sellada\SEGISA00128.jpg</t>
  </si>
  <si>
    <t>C:\Users\Miscelec\Desktop\entregas 23-24\2024\314 entrega a tpi febrero 15 2024\p6\sellada\SEGISA00129.jpg</t>
  </si>
  <si>
    <t>C:\Users\Miscelec\Desktop\entregas 23-24\2024\314 entrega a tpi febrero 15 2024\p6\sellada\SEGISA00130.jpg</t>
  </si>
  <si>
    <t>C:\Users\Miscelec\Desktop\entregas 23-24\2024\314 entrega a tpi febrero 15 2024\p6\sellada\SEGISA00131.jpg</t>
  </si>
  <si>
    <t>C:\Users\Miscelec\Desktop\entregas 23-24\2024\315 entrega a tpi p4 y p6 febrero 20 2024\p6\selladas\SEGISA00147.jpg</t>
  </si>
  <si>
    <t>C:\Users\Miscelec\Desktop\entregas 23-24\2024\315 entrega a tpi p4 y p6 febrero 20 2024\p6\selladas\SEGISA00148.jpg</t>
  </si>
  <si>
    <t>C:\Users\Miscelec\Desktop\entregas 23-24\2023\285 entrega a tpi diciembre 13 2023\selladas\Scan 2.jpeg</t>
  </si>
  <si>
    <t>C:\Users\Miscelec\Desktop\entregas 23-24\2024\315 entrega a tpi p4 y p6 febrero 20 2024\p6\selladas\SEGISA00150.jpg</t>
  </si>
  <si>
    <t>C:\Users\Miscelec\Desktop\entregas 23-24\2024\315 entrega a tpi p4 y p6 febrero 20 2024\selladas\SEGISA00135.jpg</t>
  </si>
  <si>
    <t>C:\Users\Miscelec\Desktop\entregas 23-24\2024\315 entrega a tpi p4 y p6 febrero 20 2024\selladas\SEGISA00136.jpg</t>
  </si>
  <si>
    <t>C:\Users\Miscelec\Desktop\entregas 23-24\2024\315 entrega a tpi p4 y p6 febrero 20 2024\selladas\SEGISA00137.jpg</t>
  </si>
  <si>
    <t>C:\Users\Miscelec\Desktop\entregas 23-24\2024\315 entrega a tpi p4 y p6 febrero 20 2024\selladas\SEGISA00138.jpg</t>
  </si>
  <si>
    <t>C:\Users\Miscelec\Desktop\entregas 23-24\2024\315 entrega a tpi p4 y p6 febrero 20 2024\selladas\SEGISA00139.jpg</t>
  </si>
  <si>
    <t>C:\Users\Miscelec\Desktop\entregas 23-24\2024\315 entrega a tpi p4 y p6 febrero 20 2024\selladas\SEGISA00140.jpg</t>
  </si>
  <si>
    <t>C:\Users\Miscelec\Desktop\entregas 23-24\2024\315 entrega a tpi p4 y p6 febrero 20 2024\selladas\SEGISA00141.jpg</t>
  </si>
  <si>
    <t>C:\Users\Miscelec\Desktop\entregas 23-24\2024\315 entrega a tpi p4 y p6 febrero 20 2024\selladas\SEGISA00143.jpg</t>
  </si>
  <si>
    <t>C:\Users\Miscelec\Desktop\entregas 23-24\2024\316 entrega a tpi p6 21 febrero 2024\selladas\SEGISA00151.jpg</t>
  </si>
  <si>
    <t>C:\Users\Miscelec\Desktop\entregas 23-24\2024\316 entrega a tpi p6 21 febrero 2024\selladas\SEGISA00152.jpg</t>
  </si>
  <si>
    <t>C:\Users\Miscelec\Desktop\entregas 23-24\2024\316 entrega a tpi p6 21 febrero 2024\selladas\SEGISA00153.jpg</t>
  </si>
  <si>
    <t>C:\Users\Miscelec\Desktop\entregas 23-24\2024\316 entrega a tpi p6 21 febrero 2024\selladas\SEGISA00154.jpg</t>
  </si>
  <si>
    <t>C:\Users\Miscelec\Desktop\entregas 23-24\2024\316 entrega a tpi p6 21 febrero 2024\selladas\SEGISA00155.jpg</t>
  </si>
  <si>
    <t>C:\Users\Miscelec\Desktop\entregas 23-24\2024\316 entrega a tpi p6 21 febrero 2024\selladas\SEGISA00156.jpg</t>
  </si>
  <si>
    <t>C:\Users\Miscelec\Desktop\entregas 23-24\2024\317 entrega a tpi p4 febrero 22 2024\selladas\SEGISA00155.jpg</t>
  </si>
  <si>
    <t>C:\Users\Miscelec\Desktop\entregas 23-24\2024\317 entrega a tpi p4 febrero 22 2024\selladas\SEGISA00156.jpg</t>
  </si>
  <si>
    <t>C:\Users\Miscelec\Desktop\entregas 23-24\2023\286 entrega a tpi diciembre 14 2023\p6\selladas\Scan 1.jpeg</t>
  </si>
  <si>
    <t>C:\Users\Miscelec\Desktop\entregas 23-24\2024\317 entrega a tpi p4 febrero 22 2024\selladas\SEGISA00158.jpg</t>
  </si>
  <si>
    <t>C:\Users\Miscelec\Desktop\entregas 23-24\2024\317 entrega a tpi p4 febrero 22 2024\selladas\SEGISA00160.jpg</t>
  </si>
  <si>
    <t>C:\Users\Miscelec\Desktop\entregas 23-24\2024\CARPETA 20240223 TIEMPO 171434 P6 ENTREGA\SELLADAS\SEGISA00164.jpg</t>
  </si>
  <si>
    <t>C:\Users\Miscelec\Desktop\entregas 23-24\2024\CARPETA 20240223 TIEMPO 171434 P6 ENTREGA\SELLADAS\SEGISA00165.jpg</t>
  </si>
  <si>
    <t>C:\Users\Miscelec\Desktop\entregas 23-24\2024\CARPETA 20240223 TIEMPO 171434 P6 ENTREGA\SELLADAS\SEGISA00166.jpg</t>
  </si>
  <si>
    <t>C:\Users\Miscelec\Desktop\entregas 23-24\2024\CARPETA 20240226 TIEMPO 131652 P4 ENTREGA\SELLADAS\SEGISA00167.jpg</t>
  </si>
  <si>
    <t>C:\Users\Miscelec\Desktop\entregas 23-24\2024\CARPETA 20240226 TIEMPO 131652 P4 ENTREGA\SELLADAS\SEGISA00168.jpg</t>
  </si>
  <si>
    <t>C:\Users\Miscelec\Desktop\entregas 23-24\2024\CARPETA 20240226 TIEMPO 131652 P4 ENTREGA\SELLADAS\SEGISA00169.jpg</t>
  </si>
  <si>
    <t>C:\Users\Miscelec\Desktop\entregas 23-24\2024\CARPETA 20240226 TIEMPO 131652 P4 ENTREGA\SELLADAS\SEGISA00170.jpg</t>
  </si>
  <si>
    <t>C:\Users\Miscelec\Desktop\entregas 23-24\2024\CARPETA 20240227 TIEMPO 095728 P6 ENTREGA\SELLADAS\SEGISA00175.jpg</t>
  </si>
  <si>
    <t>C:\Users\Miscelec\Desktop\entregas 23-24\2023\286 entrega a tpi diciembre 14 2023\p6\selladas\Scan.jpeg</t>
  </si>
  <si>
    <t>C:\Users\Miscelec\Desktop\entregas 23-24\2024\CARPETA 20240227 TIEMPO 095728 P6 ENTREGA\SELLADAS\SEGISA00177.jpg</t>
  </si>
  <si>
    <t>C:\Users\Miscelec\Desktop\entregas 23-24\2024\CARPETA 20240229 TIEMPO 115600 P6 ENTREGA\SELLADAS\SEGISA00179.jpg</t>
  </si>
  <si>
    <t>C:\Users\Miscelec\Desktop\entregas 23-24\2023\286 entrega a tpi diciembre 14 2023\selladas p4\Scan 2.jpeg</t>
  </si>
  <si>
    <t>C:\Users\Miscelec\Desktop\entregas 23-24\2024\CARPETA 20240229 TIEMPO 115600 P6 ENTREGA\SELLADAS\SEGISA00181.jpg</t>
  </si>
  <si>
    <t>C:\Users\Miscelec\Desktop\entregas 23-24\2024\CARPETA 20240301 TIEMPO 075444 P6 ENTREGA\SELLADAS\img20240301_08100281.jpg</t>
  </si>
  <si>
    <t>C:\Users\Miscelec\Desktop\entregas 23-24\2024\CARPETA 20240301 TIEMPO 075444 P6 ENTREGA\SELLADAS\img20240301_08104341.jpg</t>
  </si>
  <si>
    <t>C:\Users\Miscelec\Desktop\entregas 23-24\2024\CARPETA 20240301 TIEMPO 075444 P6 ENTREGA\SELLADAS\img20240301_08112454.jpg</t>
  </si>
  <si>
    <t>C:\Users\Miscelec\Desktop\entregas 23-24\2024\CARPETA 20240301 TIEMPO 075444 P6 ENTREGA\SELLADAS\img20240301_08122796.jpg</t>
  </si>
  <si>
    <t>C:\Users\Miscelec\Desktop\entregas 23-24\2024\CARPETA 20240301 TIEMPO 075444 P6 ENTREGA\SELLADAS\img20240301_08130658.jpg</t>
  </si>
  <si>
    <t>C:\Users\Miscelec\Desktop\entregas 23-24\2023\286 entrega a tpi diciembre 14 2023\selladas p4\Scan 4.jpeg</t>
  </si>
  <si>
    <t>C:\Users\Miscelec\Desktop\entregas 23-24\2024\CARPETA 20240301 TIEMPO 123629 P4 ENTREGA\SELLADAS\img20240301_12384391.jpg</t>
  </si>
  <si>
    <t>C:\Users\Miscelec\Desktop\entregas 23-24\2024\CARPETA 20240301 TIEMPO 123629 P4 ENTREGA\SELLADAS\img20240301_12400704.jpg</t>
  </si>
  <si>
    <t>C:\Users\Miscelec\Desktop\entregas 23-24\2024\CARPETA 20240301 TIEMPO 123629 P4 ENTREGA\SELLADAS\img20240301_12404588.jpg</t>
  </si>
  <si>
    <t>C:\Users\Miscelec\Desktop\entregas 23-24\2024\CARPETA 20240301 TIEMPO 123629 P4 ENTREGA\SELLADAS\img20240301_12412509.jpg</t>
  </si>
  <si>
    <t>C:\Users\Miscelec\Desktop\entregas 23-24\2023\287 entrega a tpi diciembre 16 2023\selladas p4\Scan 1.jpeg</t>
  </si>
  <si>
    <t>C:\Users\Miscelec\Desktop\entregas 23-24\2024\CARPETA 20240301 TIEMPO 123629 P4 ENTREGA\SELLADAS\img20240301_12424069.jpg</t>
  </si>
  <si>
    <t>C:\Users\Miscelec\Desktop\entregas 23-24\2024\CARPETA 20240301 TIEMPO 123629 P4 ENTREGA\SELLADAS\img20240301_12435722.jpg</t>
  </si>
  <si>
    <t>C:\Users\Miscelec\Desktop\entregas 23-24\2023\288 entrega a tpi diciembre 19 2023\selladas\Scan 2.jpeg</t>
  </si>
  <si>
    <t>C:\Users\Miscelec\Desktop\entregas 23-24\2023\288 entrega a tpi diciembre 19 2023\selladas\Scan 6.jpeg</t>
  </si>
  <si>
    <t>C:\Users\Miscelec\Desktop\entregas 23-24\2023\entrega 229 a tpi p6 septiembre 13 2023\selladas\Scan 3.jpeg</t>
  </si>
  <si>
    <t>C:\Users\Miscelec\Desktop\entregas 23-24\2024\290 entrega a tpi enero 3 2024 p6\selladas\Scan 6.jpeg</t>
  </si>
  <si>
    <t>C:\Users\Miscelec\Desktop\entregas 23-24\2024\290 entrega a tpi enero 3 2024 p6\selladas\Scan.jpeg</t>
  </si>
  <si>
    <t>C:\Users\Miscelec\Desktop\entregas 23-24\2024\292 entrega a tpi p4 enero 8 2024\selladas\Scan 1.jpeg</t>
  </si>
  <si>
    <t>C:\Users\Miscelec\Desktop\entregas 23-24\2024\292 entrega a tpi p4 enero 8 2024\selladas\Scan 3.jpeg</t>
  </si>
  <si>
    <t>C:\Users\Miscelec\Desktop\entregas 23-24\2024\293 entrega a tpi p4 y p6 enero 9 2024\p6\sellada'\Scan.jpeg</t>
  </si>
  <si>
    <t>C:\Users\Miscelec\Desktop\entregas 23-24\2024\294 entrega a tpi enero 10 2024\selladas\Scan 1.jpeg</t>
  </si>
  <si>
    <t>C:\Users\Miscelec\Desktop\entregas 23-24\2024\294 entrega a tpi enero 10 2024\selladas\Scan 4.jpeg</t>
  </si>
  <si>
    <t>C:\Users\Miscelec\Desktop\entregas 23-24\2024\294 entrega a tpi enero 10 2024\selladas\Scan 8.jpeg</t>
  </si>
  <si>
    <t>C:\Users\Miscelec\Desktop\entregas 23-24\2024\294 entrega a tpi enero 10 2024\selladas\Scan.jpeg</t>
  </si>
  <si>
    <t>C:\Users\Miscelec\Desktop\entregas 23-24\2024\295 enytrega a tpi p6 enero 12 2024\selladas\Scan 2.jpeg</t>
  </si>
  <si>
    <t>C:\Users\Miscelec\Desktop\entregas 23-24\2024\295 enytrega a tpi p6 enero 12 2024\selladas\Scan.jpeg</t>
  </si>
  <si>
    <t>C:\Users\Miscelec\Desktop\entregas 23-24\2024\297 entrega a tpi enero 18 2024\selladas\Scan 1.jpeg</t>
  </si>
  <si>
    <t>C:\Users\Miscelec\Desktop\entregas 23-24\2024\297 entrega a tpi enero 18 2024\selladas\Scan 2.jpeg</t>
  </si>
  <si>
    <t>C:\Users\Miscelec\Desktop\entregas 23-24\2024\297 entrega a tpi enero 18 2024\selladas\Scan 6.jpeg</t>
  </si>
  <si>
    <t>C:\Users\Miscelec\Desktop\entregas 23-24\2024\297 entrega a tpi enero 18 2024\selladas\Scan.jpeg</t>
  </si>
  <si>
    <t>C:\Users\Miscelec\Desktop\entregas 23-24\2024\301 entrega a tpi p4 enero 23 2024\drllsdas p4\SEGISA00014.jpg</t>
  </si>
  <si>
    <t>C:\Users\Miscelec\Desktop\entregas 23-24\2024\301 entrega a tpi p4 enero 23 2024\p6\selladas\SEGISA00018.jpg</t>
  </si>
  <si>
    <t>C:\Users\Miscelec\Desktop\entregas 23-24\2024\302 entrega a tpi enero 24 2024\selladas\SEGISA00021.jpg</t>
  </si>
  <si>
    <t>C:\Users\Miscelec\Desktop\entregas 23-24\2024\304 entrega a toi enero 29 2024 p6\selladas\SEGISA00033.jpg</t>
  </si>
  <si>
    <t>C:\Users\Miscelec\Desktop\entregas 23-24\2024\304 entrega a toi enero 29 2024 p6\selladas\SEGISA00035.jpg</t>
  </si>
  <si>
    <t>C:\Users\Miscelec\Desktop\entregas 23-24\2024\306 entrega a tpi p4 febrero 1 2024\selladas\SEGISA00045.jpg</t>
  </si>
  <si>
    <t>C:\Users\Miscelec\Desktop\entregas 23-24\2024\306 entrega a tpi p4 febrero 1 2024\selladas\SEGISA00047.jpg</t>
  </si>
  <si>
    <t>C:\Users\Miscelec\Desktop\entregas 23-24\2024\306 entrega a tpi p4 febrero 1 2024\selladas\SEGISA00049.jpg</t>
  </si>
  <si>
    <t>C:\Users\Miscelec\Desktop\entregas 23-24\2024\308 entrega a tpi p6 febrero 7 2024\selladas\SEGISA00063.jpg</t>
  </si>
  <si>
    <t>C:\Users\Miscelec\Desktop\entregas 23-24\2024\308 entrega a tpi p6 febrero 7 2024\selladas\SEGISA00065.jpg</t>
  </si>
  <si>
    <t>C:\Users\Miscelec\Desktop\entregas 23-24\2024\308 entrega a tpi p6 febrero 7 2024\selladas\SEGISA00067.jpg</t>
  </si>
  <si>
    <t>C:\Users\Miscelec\Desktop\entregas 23-24\2024\309 entrega a tpi p4 febrero 8 2024\p6\selladas\SEGISA00087.jpg</t>
  </si>
  <si>
    <t>C:\Users\Miscelec\Desktop\entregas 23-24\2024\309 entrega a tpi p4 febrero 8 2024\selladas\SEGISA00080.jpg</t>
  </si>
  <si>
    <t>C:\Users\Miscelec\Desktop\entregas 23-24\2024\312 entrega a tpi p6 febrero 12 2024\selladas\SEGISA00093.jpg</t>
  </si>
  <si>
    <t>C:\Users\Miscelec\Desktop\entregas 23-24\2024\312 entrega a tpi p6 febrero 12 2024\selladas\SEGISA00096.jpg</t>
  </si>
  <si>
    <t>C:\Users\Miscelec\Desktop\entregas 23-24\2024\312 entrega a tpi p6 febrero 12 2024\selladas\SEGISA00099.jpg</t>
  </si>
  <si>
    <t>C:\Users\Miscelec\Desktop\entregas 23-24\2024\312 entrega a tpi p6 febrero 12 2024\selladas\SEGISA00101.jpg</t>
  </si>
  <si>
    <t>C:\Users\Miscelec\Desktop\entregas 23-24\2024\313 entrega a tpi p4 febrero 14 2024\selladas\SEGISA00118.jpg</t>
  </si>
  <si>
    <t>C:\Users\Miscelec\Desktop\entregas 23-24\2024\313 entrega a tpi p4 febrero 14 2024\selladas\SEGISA00122.jpg</t>
  </si>
  <si>
    <t>C:\Users\Miscelec\Desktop\entregas 23-24\2024\314 entrega a tpi febrero 15 2024\p6\sellada\SEGISA00125.jpg</t>
  </si>
  <si>
    <t>C:\Users\Miscelec\Desktop\entregas 23-24\2024\315 entrega a tpi p4 y p6 febrero 20 2024\p6\selladas\SEGISA00149.jpg</t>
  </si>
  <si>
    <t>C:\Users\Miscelec\Desktop\entregas 23-24\2024\315 entrega a tpi p4 y p6 febrero 20 2024\selladas\SEGISA00142.jpg</t>
  </si>
  <si>
    <t>C:\Users\Miscelec\Desktop\entregas 23-24\2024\317 entrega a tpi p4 febrero 22 2024\selladas\SEGISA00157.jpg</t>
  </si>
  <si>
    <t>C:\Users\Miscelec\Desktop\entregas 23-24\2024\317 entrega a tpi p4 febrero 22 2024\selladas\SEGISA00159.jpg</t>
  </si>
  <si>
    <t>C:\Users\Miscelec\Desktop\entregas 23-24\2024\CARPETA 20240223 TIEMPO 171434 P6 ENTREGA\SELLADAS\SEGISA00163.jpg</t>
  </si>
  <si>
    <t>C:\Users\Miscelec\Desktop\entregas 23-24\2024\CARPETA 20240226 TIEMPO 131652 P4 ENTREGA\SELLADAS\SEGISA00171.jpg</t>
  </si>
  <si>
    <t>C:\Users\Miscelec\Desktop\entregas 23-24\2024\CARPETA 20240227 TIEMPO 095728 P6 ENTREGA\SELLADAS\SEGISA00176.jpg</t>
  </si>
  <si>
    <t>C:\Users\Miscelec\Desktop\entregas 23-24\2024\CARPETA 20240227 TIEMPO 095728 P6 ENTREGA\SELLADAS\SEGISA00178.jpg</t>
  </si>
  <si>
    <t>C:\Users\Miscelec\Desktop\entregas 23-24\2024\CARPETA 20240229 TIEMPO 115600 P6 ENTREGA\SELLADAS\SEGISA00180.jpg</t>
  </si>
  <si>
    <t>C:\Users\Miscelec\Desktop\entregas 23-24\2024\CARPETA 20240229 TIEMPO 115600 P6 ENTREGA\SELLADAS\SEGISA00182.jpg</t>
  </si>
  <si>
    <t>C:\Users\Miscelec\Desktop\entregas 23-24\2024\CARPETA 20240301 TIEMPO 123629 P4 ENTREGA\SELLADAS\img20240301_12380023.jpg</t>
  </si>
  <si>
    <t>C:\Users\Miscelec\Desktop\entregas 23-24\2024\CARPETA 20240301 TIEMPO 123629 P4 ENTREGA\SELLADAS\img20240301_12392513.jpg</t>
  </si>
  <si>
    <t>C:\Users\Miscelec\Desktop\entregas 23-24\2024\CARPETA 20240301 TIEMPO 123629 P4 ENTREGA\SELLADAS\img20240301_12420447.jpg</t>
  </si>
  <si>
    <t>C:\Users\Miscelec\Desktop\entregas 23-24\2024\CARPETA 20240301 TIEMPO 123629 P4 ENTREGA\SELLADAS\img20240301_12431946.jpg</t>
  </si>
  <si>
    <t>C:\Users\Miscelec\Desktop\entregas 23-24\2024\CARPETA 20240301 TIEMPO 123629 P4 ENTREGA\SELLADAS\img20240301_12443465.jpg</t>
  </si>
  <si>
    <t>C:\Users\Miscelec\Desktop\entregas 23-24\2024\CARPETA 20240305 TIEMPO 172126 P6 ENTREGA\SELLADAS\SEGISA20240305_000004.jpg</t>
  </si>
  <si>
    <t>C:\Users\Miscelec\Desktop\entregas 23-24\2024\CARPETA 20240305 TIEMPO 172126 P6 ENTREGA\SELLADAS\SEGISA20240305_000005.jpg</t>
  </si>
  <si>
    <t>C:\Users\Miscelec\Desktop\entregas 23-24\2024\CARPETA 20240305 TIEMPO 172126 P6 ENTREGA\SELLADAS\SEGISA20240305_000006.jpg</t>
  </si>
  <si>
    <t>C:\Users\Miscelec\Desktop\entregas 23-24\2024\CARPETA 20240307 TIEMPO 082204 P6 ENTREGA\SELLADAS\SEGISA20240307_000007.jpg</t>
  </si>
  <si>
    <t>C:\Users\Miscelec\Desktop\entregas 23-24\2024\CARPETA 20240307 TIEMPO 082204 P6 ENTREGA\SELLADAS\SEGISA20240307_000008.jpg</t>
  </si>
  <si>
    <t>C:\Users\Miscelec\Desktop\entregas 23-24\2024\CARPETA 20240307 TIEMPO 082204 P6 ENTREGA\SELLADAS\SEGISA20240307_000009.jpg</t>
  </si>
  <si>
    <t>C:\Users\Miscelec\Desktop\entregas 23-24\2024\CARPETA 20240307 TIEMPO 082204 P6 ENTREGA\SELLADAS\SEGISA20240307_000010.jpg</t>
  </si>
  <si>
    <t>C:\Users\Miscelec\Desktop\entregas 23-24\2024\CARPETA 20240307 TIEMPO 082204 P6 ENTREGA\SELLADAS\SEGISA20240307_000011.jpg</t>
  </si>
  <si>
    <t>C:\Users\Miscelec\Desktop\entregas 23-24\2024\CARPETA 20240307 TIEMPO 121638 P4 ENTREGA\SELLADAS\SEGISA20240307_000012.jpg</t>
  </si>
  <si>
    <t>C:\Users\Miscelec\Desktop\entregas 23-24\2024\CARPETA 20240307 TIEMPO 121638 P4 ENTREGA\SELLADAS\SEGISA20240307_000013.jpg</t>
  </si>
  <si>
    <t>C:\Users\Miscelec\Desktop\entregas 23-24\2024\CARPETA 20240307 TIEMPO 121638 P4 ENTREGA\SELLADAS\SEGISA20240307_000014.jpg</t>
  </si>
  <si>
    <t>C:\Users\Miscelec\Desktop\entregas 23-24\2024\CARPETA 20240307 TIEMPO 121638 P4 ENTREGA\SELLADAS\SEGISA20240307_000015.jpg</t>
  </si>
  <si>
    <t>C:\Users\Miscelec\Desktop\entregas 23-24\2024\CARPETA 20240307 TIEMPO 121638 P4 ENTREGA\SELLADAS\SEGISA20240307_000016.jpg</t>
  </si>
  <si>
    <t>C:\Users\Miscelec\Desktop\entregas 23-24\2024\CARPETA 20240307 TIEMPO 121638 P4 ENTREGA\SELLADAS\SEGISA20240307_000017.jpg</t>
  </si>
  <si>
    <t>C:\Users\Miscelec\Desktop\entregas 23-24\2024\CARPETA 20240307 TIEMPO 121638 P4 ENTREGA\SELLADAS\SEGISA20240307_000018.jpg</t>
  </si>
  <si>
    <t>C:\Users\Miscelec\Desktop\entregas 23-24\2024\CARPETA 20240307 TIEMPO 121638 P4 ENTREGA\SELLADAS\SEGISA20240307_000019.jpg</t>
  </si>
  <si>
    <t>C:\Users\Miscelec\Desktop\entregas 23-24\2024\CARPETA 20240307 TIEMPO 121638 P4 ENTREGA\SELLADAS\SEGISA20240307_000020.jpg</t>
  </si>
  <si>
    <t>C:\Users\Miscelec\Desktop\entregas 23-24\2024\CARPETA 20240307 TIEMPO 121638 P4 ENTREGA\SELLADAS\SEGISA20240307_000021.jpg</t>
  </si>
  <si>
    <t>C:\Users\Miscelec\Desktop\entregas 23-24\2024\CARPETA 20240307 TIEMPO 121638 P4 ENTREGA\SELLADAS\SEGISA20240307_000022.jpg</t>
  </si>
  <si>
    <t>C:\Users\Miscelec\Desktop\entregas 23-24\2024\CARPETA 20240307 TIEMPO 121638 P4 ENTREGA\SELLADAS\SEGISA20240307_000023.jpg</t>
  </si>
  <si>
    <t>C:\Users\Miscelec\Desktop\entregas 23-24\2024\CARPETA 20240307 TIEMPO 181727 P6 ENTREGA\SELLADAS\SEGISA20240308_000024.jpg</t>
  </si>
  <si>
    <t>C:\Users\Miscelec\Desktop\entregas 23-24\2024\CARPETA 20240307 TIEMPO 181727 P6 ENTREGA\SELLADAS\SEGISA20240308_000025.jpg</t>
  </si>
  <si>
    <t>C:\Users\Miscelec\Desktop\entregas 23-24\2024\CARPETA 20240307 TIEMPO 181727 P6 ENTREGA\SELLADAS\SEGISA20240308_000026.jpg</t>
  </si>
  <si>
    <t>C:\Users\Miscelec\Desktop\entregas 23-24\2024\CARPETA 20240307 TIEMPO 181727 P6 ENTREGA\SELLADAS\SEGISA20240308_000027.jpg</t>
  </si>
  <si>
    <t>C:\Users\Miscelec\Desktop\entregas 23-24\2024\CARPETA 20240308 TIEMPO 181204 P6 ENTREGA\SELLADAS\SEGISA20240308_000030.jpg</t>
  </si>
  <si>
    <t>C:\Users\Miscelec\Desktop\entregas 23-24\2024\CARPETA 20240308 TIEMPO 181204 P6 ENTREGA\SELLADAS\SEGISA20240308_000031.jpg</t>
  </si>
  <si>
    <t>C:\Users\Miscelec\Desktop\entregas 23-24\2024\CARPETA 20240308 TIEMPO 181204 P6 ENTREGA\SELLADAS\SEGISA20240308_000032.jpg</t>
  </si>
  <si>
    <t>ENTREGAEN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</si>
</sst>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2"/>
      <name val="Calibri"/>
      <family val="2"/>
      <scheme val="minor"/>
    </font>
    <font>
      <u/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1" xfId="0" applyBorder="1"/>
    <xf numFmtId="0" fontId="0" fillId="2" borderId="1" xfId="0" applyFill="1" applyBorder="1"/>
    <xf numFmtId="1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2" xfId="0" applyBorder="1"/>
    <xf numFmtId="0" fontId="0" fillId="7" borderId="1" xfId="0" applyFill="1" applyBorder="1"/>
    <xf numFmtId="0" fontId="0" fillId="6" borderId="1" xfId="0" applyFill="1" applyBorder="1"/>
    <xf numFmtId="0" fontId="0" fillId="5" borderId="1" xfId="0" applyFill="1" applyBorder="1"/>
    <xf numFmtId="0" fontId="3" fillId="0" borderId="0" xfId="0" applyFont="1"/>
    <xf numFmtId="0" fontId="4" fillId="0" borderId="0" xfId="1" applyFont="1" applyFill="1" applyBorder="1"/>
    <xf numFmtId="0" fontId="0" fillId="0" borderId="3" xfId="0" applyBorder="1"/>
    <xf numFmtId="0" fontId="1" fillId="4" borderId="1" xfId="1" applyFill="1" applyBorder="1" applyAlignment="1">
      <alignment wrapText="1"/>
    </xf>
    <xf numFmtId="1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wrapText="1"/>
    </xf>
    <xf numFmtId="1" fontId="0" fillId="0" borderId="1" xfId="0" applyNumberFormat="1" applyBorder="1" applyAlignment="1">
      <alignment wrapText="1"/>
    </xf>
    <xf numFmtId="0" fontId="0" fillId="0" borderId="1" xfId="0" applyBorder="1" applyAlignment="1">
      <alignment wrapText="1"/>
    </xf>
    <xf numFmtId="2" fontId="0" fillId="0" borderId="1" xfId="0" applyNumberFormat="1" applyBorder="1" applyAlignment="1">
      <alignment wrapText="1"/>
    </xf>
    <xf numFmtId="49" fontId="0" fillId="0" borderId="1" xfId="0" applyNumberFormat="1" applyBorder="1"/>
    <xf numFmtId="1" fontId="0" fillId="0" borderId="1" xfId="0" applyNumberFormat="1" applyBorder="1"/>
    <xf numFmtId="14" fontId="0" fillId="0" borderId="1" xfId="0" applyNumberFormat="1" applyBorder="1"/>
    <xf numFmtId="2" fontId="0" fillId="0" borderId="1" xfId="0" applyNumberFormat="1" applyBorder="1"/>
    <xf numFmtId="22" fontId="0" fillId="0" borderId="1" xfId="0" applyNumberFormat="1" applyBorder="1"/>
    <xf numFmtId="0" fontId="0" fillId="0" borderId="1" xfId="0" quotePrefix="1" applyBorder="1"/>
    <xf numFmtId="0" fontId="0" fillId="9" borderId="1" xfId="0" applyFill="1" applyBorder="1"/>
    <xf numFmtId="0" fontId="0" fillId="6" borderId="0" xfId="0" applyFill="1"/>
    <xf numFmtId="49" fontId="0" fillId="11" borderId="1" xfId="0" applyNumberFormat="1" applyFill="1" applyBorder="1"/>
    <xf numFmtId="1" fontId="0" fillId="12" borderId="1" xfId="0" applyNumberFormat="1" applyFill="1" applyBorder="1"/>
    <xf numFmtId="1" fontId="0" fillId="6" borderId="1" xfId="0" applyNumberFormat="1" applyFill="1" applyBorder="1"/>
    <xf numFmtId="49" fontId="0" fillId="9" borderId="1" xfId="0" applyNumberFormat="1" applyFill="1" applyBorder="1"/>
    <xf numFmtId="1" fontId="0" fillId="9" borderId="1" xfId="0" applyNumberFormat="1" applyFill="1" applyBorder="1"/>
    <xf numFmtId="1" fontId="0" fillId="11" borderId="1" xfId="0" applyNumberFormat="1" applyFill="1" applyBorder="1"/>
    <xf numFmtId="49" fontId="0" fillId="13" borderId="1" xfId="0" applyNumberFormat="1" applyFill="1" applyBorder="1"/>
    <xf numFmtId="0" fontId="0" fillId="9" borderId="1" xfId="0" quotePrefix="1" applyFill="1" applyBorder="1"/>
    <xf numFmtId="0" fontId="0" fillId="9" borderId="0" xfId="0" applyFill="1"/>
    <xf numFmtId="0" fontId="0" fillId="0" borderId="0" xfId="0" quotePrefix="1"/>
    <xf numFmtId="0" fontId="0" fillId="13" borderId="1" xfId="0" applyFill="1" applyBorder="1" applyAlignment="1">
      <alignment wrapText="1"/>
    </xf>
    <xf numFmtId="0" fontId="0" fillId="13" borderId="1" xfId="0" quotePrefix="1" applyFill="1" applyBorder="1"/>
    <xf numFmtId="49" fontId="0" fillId="13" borderId="1" xfId="0" applyNumberFormat="1" applyFill="1" applyBorder="1" applyAlignment="1">
      <alignment wrapText="1"/>
    </xf>
    <xf numFmtId="0" fontId="0" fillId="9" borderId="0" xfId="0" applyFill="1" applyAlignment="1">
      <alignment wrapText="1"/>
    </xf>
    <xf numFmtId="49" fontId="0" fillId="0" borderId="1" xfId="0" quotePrefix="1" applyNumberFormat="1" applyBorder="1"/>
    <xf numFmtId="1" fontId="0" fillId="0" borderId="1" xfId="0" quotePrefix="1" applyNumberFormat="1" applyBorder="1"/>
    <xf numFmtId="1" fontId="0" fillId="10" borderId="1" xfId="0" applyNumberFormat="1" applyFill="1" applyBorder="1" applyAlignment="1">
      <alignment wrapText="1"/>
    </xf>
    <xf numFmtId="1" fontId="0" fillId="6" borderId="1" xfId="0" applyNumberFormat="1" applyFill="1" applyBorder="1" applyAlignment="1">
      <alignment wrapText="1"/>
    </xf>
    <xf numFmtId="1" fontId="5" fillId="6" borderId="1" xfId="0" applyNumberFormat="1" applyFont="1" applyFill="1" applyBorder="1" applyAlignment="1">
      <alignment wrapText="1"/>
    </xf>
    <xf numFmtId="0" fontId="0" fillId="14" borderId="1" xfId="0" applyFill="1" applyBorder="1" applyAlignment="1">
      <alignment wrapText="1"/>
    </xf>
    <xf numFmtId="0" fontId="0" fillId="15" borderId="1" xfId="0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5" borderId="1" xfId="0" applyFill="1" applyBorder="1" applyAlignment="1">
      <alignment wrapText="1"/>
    </xf>
    <xf numFmtId="1" fontId="0" fillId="10" borderId="1" xfId="0" applyNumberFormat="1" applyFill="1" applyBorder="1"/>
    <xf numFmtId="1" fontId="5" fillId="6" borderId="1" xfId="0" applyNumberFormat="1" applyFont="1" applyFill="1" applyBorder="1"/>
    <xf numFmtId="49" fontId="0" fillId="13" borderId="1" xfId="0" quotePrefix="1" applyNumberFormat="1" applyFill="1" applyBorder="1"/>
    <xf numFmtId="1" fontId="0" fillId="10" borderId="1" xfId="0" quotePrefix="1" applyNumberFormat="1" applyFill="1" applyBorder="1"/>
    <xf numFmtId="1" fontId="0" fillId="6" borderId="1" xfId="0" quotePrefix="1" applyNumberFormat="1" applyFill="1" applyBorder="1"/>
    <xf numFmtId="1" fontId="5" fillId="6" borderId="1" xfId="0" quotePrefix="1" applyNumberFormat="1" applyFont="1" applyFill="1" applyBorder="1"/>
    <xf numFmtId="1" fontId="0" fillId="5" borderId="1" xfId="0" applyNumberFormat="1" applyFill="1" applyBorder="1"/>
    <xf numFmtId="0" fontId="0" fillId="11" borderId="1" xfId="0" applyFill="1" applyBorder="1"/>
    <xf numFmtId="49" fontId="0" fillId="6" borderId="1" xfId="0" applyNumberFormat="1" applyFill="1" applyBorder="1"/>
    <xf numFmtId="49" fontId="0" fillId="8" borderId="1" xfId="0" quotePrefix="1" applyNumberFormat="1" applyFill="1" applyBorder="1"/>
    <xf numFmtId="49" fontId="0" fillId="8" borderId="1" xfId="0" applyNumberFormat="1" applyFill="1" applyBorder="1"/>
    <xf numFmtId="1" fontId="0" fillId="8" borderId="1" xfId="0" applyNumberFormat="1" applyFill="1" applyBorder="1"/>
    <xf numFmtId="0" fontId="0" fillId="8" borderId="1" xfId="0" applyFill="1" applyBorder="1"/>
    <xf numFmtId="0" fontId="0" fillId="8" borderId="1" xfId="0" quotePrefix="1" applyFill="1" applyBorder="1"/>
    <xf numFmtId="49" fontId="0" fillId="9" borderId="1" xfId="0" quotePrefix="1" applyNumberFormat="1" applyFill="1" applyBorder="1"/>
    <xf numFmtId="49" fontId="0" fillId="0" borderId="1" xfId="0" quotePrefix="1" applyNumberFormat="1" applyBorder="1" applyAlignment="1">
      <alignment horizontal="right" wrapText="1"/>
    </xf>
    <xf numFmtId="0" fontId="0" fillId="0" borderId="1" xfId="0" quotePrefix="1" applyBorder="1" applyAlignment="1">
      <alignment horizontal="right" wrapText="1"/>
    </xf>
    <xf numFmtId="0" fontId="0" fillId="0" borderId="1" xfId="0" applyBorder="1" applyAlignment="1">
      <alignment horizontal="right" wrapText="1"/>
    </xf>
    <xf numFmtId="0" fontId="0" fillId="0" borderId="1" xfId="0" quotePrefix="1" applyBorder="1" applyAlignment="1">
      <alignment vertical="center"/>
    </xf>
    <xf numFmtId="49" fontId="0" fillId="0" borderId="1" xfId="0" applyNumberFormat="1" applyBorder="1" applyAlignment="1">
      <alignment horizontal="right" wrapText="1"/>
    </xf>
    <xf numFmtId="0" fontId="0" fillId="0" borderId="1" xfId="0" quotePrefix="1" applyBorder="1" applyAlignment="1">
      <alignment wrapText="1"/>
    </xf>
    <xf numFmtId="22" fontId="0" fillId="11" borderId="1" xfId="0" applyNumberFormat="1" applyFill="1" applyBorder="1"/>
    <xf numFmtId="1" fontId="0" fillId="13" borderId="1" xfId="0" applyNumberForma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/>
    </xf>
    <xf numFmtId="1" fontId="5" fillId="13" borderId="1" xfId="0" applyNumberFormat="1" applyFont="1" applyFill="1" applyBorder="1"/>
    <xf numFmtId="0" fontId="0" fillId="6" borderId="4" xfId="0" applyFill="1" applyBorder="1"/>
    <xf numFmtId="0" fontId="6" fillId="9" borderId="1" xfId="0" applyFont="1" applyFill="1" applyBorder="1"/>
    <xf numFmtId="0" fontId="0" fillId="13" borderId="1" xfId="0" applyFill="1" applyBorder="1"/>
    <xf numFmtId="0" fontId="6" fillId="0" borderId="1" xfId="0" applyFont="1" applyBorder="1"/>
    <xf numFmtId="0" fontId="6" fillId="6" borderId="1" xfId="0" applyFont="1" applyFill="1" applyBorder="1"/>
    <xf numFmtId="14" fontId="0" fillId="6" borderId="0" xfId="0" applyNumberFormat="1" applyFill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21AD6-7AB8-4B4D-9ABA-CB4DFCA0282D}">
  <sheetPr codeName="Hoja2"/>
  <dimension ref="A1:AC2338"/>
  <sheetViews>
    <sheetView topLeftCell="A2318" workbookViewId="0">
      <selection activeCell="C2329" sqref="C2329"/>
    </sheetView>
  </sheetViews>
  <sheetFormatPr baseColWidth="10" defaultRowHeight="15" x14ac:dyDescent="0.25"/>
  <cols>
    <col min="1" max="1" width="19.28515625" customWidth="1"/>
    <col min="7" max="7" width="16.42578125" bestFit="1" customWidth="1"/>
    <col min="13" max="28" width="0.42578125" customWidth="1"/>
  </cols>
  <sheetData>
    <row r="1" spans="1:29" x14ac:dyDescent="0.25">
      <c r="A1">
        <v>1</v>
      </c>
      <c r="G1" t="s">
        <v>832</v>
      </c>
    </row>
    <row r="2" spans="1:29" x14ac:dyDescent="0.25">
      <c r="A2" t="s">
        <v>680</v>
      </c>
      <c r="B2">
        <v>170502858</v>
      </c>
      <c r="C2">
        <v>41212496</v>
      </c>
      <c r="D2" t="s">
        <v>833</v>
      </c>
      <c r="E2">
        <v>1000</v>
      </c>
      <c r="I2">
        <v>0.35</v>
      </c>
      <c r="J2">
        <v>350</v>
      </c>
      <c r="K2">
        <v>1000.0000000000001</v>
      </c>
      <c r="L2" t="s">
        <v>834</v>
      </c>
      <c r="AC2" t="s">
        <v>1383</v>
      </c>
    </row>
    <row r="3" spans="1:29" x14ac:dyDescent="0.25">
      <c r="A3" t="s">
        <v>680</v>
      </c>
      <c r="B3">
        <v>170502858</v>
      </c>
      <c r="C3">
        <v>41213816</v>
      </c>
      <c r="D3" t="s">
        <v>835</v>
      </c>
      <c r="E3">
        <v>3000</v>
      </c>
      <c r="I3">
        <v>0.65</v>
      </c>
      <c r="J3">
        <v>1950</v>
      </c>
      <c r="K3">
        <v>3000</v>
      </c>
      <c r="L3" t="s">
        <v>834</v>
      </c>
      <c r="AC3" t="s">
        <v>1384</v>
      </c>
    </row>
    <row r="4" spans="1:29" x14ac:dyDescent="0.25">
      <c r="A4" t="s">
        <v>680</v>
      </c>
      <c r="B4">
        <v>170502858</v>
      </c>
      <c r="C4">
        <v>41213696</v>
      </c>
      <c r="D4" t="s">
        <v>836</v>
      </c>
      <c r="E4">
        <v>2400</v>
      </c>
      <c r="I4">
        <v>0.61</v>
      </c>
      <c r="J4">
        <v>1464</v>
      </c>
      <c r="K4">
        <v>2400</v>
      </c>
      <c r="AC4" t="s">
        <v>1385</v>
      </c>
    </row>
    <row r="5" spans="1:29" x14ac:dyDescent="0.25">
      <c r="A5" t="s">
        <v>837</v>
      </c>
      <c r="B5">
        <v>170502858</v>
      </c>
      <c r="C5">
        <v>41215617</v>
      </c>
      <c r="D5" t="s">
        <v>838</v>
      </c>
      <c r="E5">
        <v>500</v>
      </c>
      <c r="G5" t="s">
        <v>163</v>
      </c>
      <c r="H5">
        <v>32</v>
      </c>
      <c r="I5">
        <v>20.99</v>
      </c>
      <c r="J5">
        <v>10495</v>
      </c>
      <c r="K5">
        <v>500.00000000000006</v>
      </c>
      <c r="L5" t="s">
        <v>834</v>
      </c>
      <c r="AC5" t="s">
        <v>1386</v>
      </c>
    </row>
    <row r="6" spans="1:29" x14ac:dyDescent="0.25">
      <c r="A6" t="s">
        <v>680</v>
      </c>
      <c r="B6">
        <v>6.0124317200000102E+17</v>
      </c>
      <c r="C6" t="s">
        <v>839</v>
      </c>
      <c r="D6" t="s">
        <v>840</v>
      </c>
      <c r="E6">
        <v>200</v>
      </c>
      <c r="I6">
        <v>6.9</v>
      </c>
      <c r="J6">
        <v>1380</v>
      </c>
      <c r="K6">
        <v>200</v>
      </c>
      <c r="AC6" t="s">
        <v>1387</v>
      </c>
    </row>
    <row r="7" spans="1:29" x14ac:dyDescent="0.25">
      <c r="A7" t="s">
        <v>680</v>
      </c>
      <c r="B7">
        <v>170502858</v>
      </c>
      <c r="C7">
        <v>41213816</v>
      </c>
      <c r="D7" t="s">
        <v>841</v>
      </c>
      <c r="E7">
        <v>3000</v>
      </c>
      <c r="I7">
        <v>0.65</v>
      </c>
      <c r="J7">
        <v>1950</v>
      </c>
      <c r="K7">
        <v>3000</v>
      </c>
      <c r="AC7" t="s">
        <v>1388</v>
      </c>
    </row>
    <row r="8" spans="1:29" x14ac:dyDescent="0.25">
      <c r="A8" t="s">
        <v>680</v>
      </c>
      <c r="B8">
        <v>170502858</v>
      </c>
      <c r="C8">
        <v>41213296</v>
      </c>
      <c r="D8" t="s">
        <v>842</v>
      </c>
      <c r="E8">
        <v>2400</v>
      </c>
      <c r="I8">
        <v>0.61</v>
      </c>
      <c r="J8">
        <v>1464</v>
      </c>
      <c r="K8">
        <v>2400</v>
      </c>
      <c r="AC8" t="s">
        <v>1389</v>
      </c>
    </row>
    <row r="9" spans="1:29" x14ac:dyDescent="0.25">
      <c r="A9" t="s">
        <v>837</v>
      </c>
      <c r="B9">
        <v>170502858</v>
      </c>
      <c r="C9">
        <v>41212496</v>
      </c>
      <c r="D9" t="s">
        <v>843</v>
      </c>
      <c r="E9">
        <v>1000</v>
      </c>
      <c r="G9" t="s">
        <v>156</v>
      </c>
      <c r="H9">
        <v>31</v>
      </c>
      <c r="I9">
        <v>0.35</v>
      </c>
      <c r="J9">
        <v>350</v>
      </c>
      <c r="K9">
        <v>1000.0000000000001</v>
      </c>
      <c r="L9" t="s">
        <v>834</v>
      </c>
      <c r="AC9" t="s">
        <v>1390</v>
      </c>
    </row>
    <row r="10" spans="1:29" x14ac:dyDescent="0.25">
      <c r="A10" t="s">
        <v>837</v>
      </c>
      <c r="B10">
        <v>170502858</v>
      </c>
      <c r="C10">
        <v>41214664</v>
      </c>
      <c r="D10" t="s">
        <v>844</v>
      </c>
      <c r="E10">
        <v>20</v>
      </c>
      <c r="G10">
        <v>6800</v>
      </c>
      <c r="H10">
        <v>31</v>
      </c>
      <c r="I10">
        <v>96</v>
      </c>
      <c r="J10">
        <v>1920</v>
      </c>
      <c r="K10">
        <v>20</v>
      </c>
      <c r="AC10" t="s">
        <v>1391</v>
      </c>
    </row>
    <row r="11" spans="1:29" x14ac:dyDescent="0.25">
      <c r="A11" t="s">
        <v>680</v>
      </c>
      <c r="B11">
        <v>170502858</v>
      </c>
      <c r="C11">
        <v>41214239</v>
      </c>
      <c r="D11" t="s">
        <v>845</v>
      </c>
      <c r="E11">
        <v>100</v>
      </c>
      <c r="I11">
        <v>21</v>
      </c>
      <c r="J11">
        <v>2100</v>
      </c>
      <c r="K11">
        <v>100</v>
      </c>
      <c r="AC11" t="s">
        <v>1392</v>
      </c>
    </row>
    <row r="12" spans="1:29" x14ac:dyDescent="0.25">
      <c r="A12" t="s">
        <v>680</v>
      </c>
      <c r="B12">
        <v>170502858</v>
      </c>
      <c r="C12">
        <v>41214882</v>
      </c>
      <c r="D12" t="s">
        <v>846</v>
      </c>
      <c r="E12">
        <v>800</v>
      </c>
      <c r="I12">
        <v>6.9</v>
      </c>
      <c r="J12">
        <v>5520</v>
      </c>
      <c r="K12">
        <v>800</v>
      </c>
      <c r="AC12" t="s">
        <v>1393</v>
      </c>
    </row>
    <row r="13" spans="1:29" x14ac:dyDescent="0.25">
      <c r="A13" t="s">
        <v>680</v>
      </c>
      <c r="B13">
        <v>170502858</v>
      </c>
      <c r="C13">
        <v>41213816</v>
      </c>
      <c r="D13" t="s">
        <v>847</v>
      </c>
      <c r="E13">
        <v>8000</v>
      </c>
      <c r="I13">
        <v>0.65</v>
      </c>
      <c r="J13">
        <v>5200</v>
      </c>
      <c r="K13">
        <v>8000</v>
      </c>
      <c r="AC13" t="s">
        <v>1394</v>
      </c>
    </row>
    <row r="14" spans="1:29" x14ac:dyDescent="0.25">
      <c r="A14" t="s">
        <v>680</v>
      </c>
      <c r="B14">
        <v>170502858</v>
      </c>
      <c r="C14">
        <v>41215642</v>
      </c>
      <c r="D14" t="s">
        <v>848</v>
      </c>
      <c r="E14">
        <v>40</v>
      </c>
      <c r="I14">
        <v>96</v>
      </c>
      <c r="J14">
        <v>3840</v>
      </c>
      <c r="K14">
        <v>40</v>
      </c>
      <c r="AC14" t="s">
        <v>1395</v>
      </c>
    </row>
    <row r="15" spans="1:29" x14ac:dyDescent="0.25">
      <c r="A15" t="s">
        <v>680</v>
      </c>
      <c r="B15">
        <v>170502858</v>
      </c>
      <c r="C15">
        <v>41215617</v>
      </c>
      <c r="D15" t="s">
        <v>849</v>
      </c>
      <c r="E15">
        <v>10</v>
      </c>
      <c r="I15">
        <v>20.99</v>
      </c>
      <c r="J15">
        <v>6297</v>
      </c>
      <c r="K15">
        <v>300</v>
      </c>
      <c r="L15" t="s">
        <v>834</v>
      </c>
      <c r="AC15" t="s">
        <v>1396</v>
      </c>
    </row>
    <row r="16" spans="1:29" x14ac:dyDescent="0.25">
      <c r="A16" t="s">
        <v>680</v>
      </c>
      <c r="B16">
        <v>1.7050285817999999E+20</v>
      </c>
      <c r="C16">
        <v>41214238</v>
      </c>
      <c r="D16" t="s">
        <v>850</v>
      </c>
      <c r="E16">
        <v>6000</v>
      </c>
      <c r="I16">
        <v>0.65</v>
      </c>
      <c r="J16">
        <v>10400</v>
      </c>
      <c r="K16">
        <v>16000</v>
      </c>
      <c r="L16" t="s">
        <v>834</v>
      </c>
      <c r="AC16" t="s">
        <v>1397</v>
      </c>
    </row>
    <row r="17" spans="1:29" x14ac:dyDescent="0.25">
      <c r="A17" t="s">
        <v>680</v>
      </c>
      <c r="B17">
        <v>170502858</v>
      </c>
      <c r="C17">
        <v>41214239</v>
      </c>
      <c r="D17" t="s">
        <v>851</v>
      </c>
      <c r="E17">
        <v>130</v>
      </c>
      <c r="I17">
        <v>21</v>
      </c>
      <c r="J17">
        <v>2730</v>
      </c>
      <c r="K17">
        <v>130</v>
      </c>
      <c r="AC17" t="s">
        <v>1398</v>
      </c>
    </row>
    <row r="18" spans="1:29" x14ac:dyDescent="0.25">
      <c r="A18" t="s">
        <v>837</v>
      </c>
      <c r="B18">
        <v>170502858</v>
      </c>
      <c r="C18">
        <v>41212496</v>
      </c>
      <c r="D18" t="s">
        <v>852</v>
      </c>
      <c r="E18">
        <v>1000</v>
      </c>
      <c r="G18" t="s">
        <v>156</v>
      </c>
      <c r="H18">
        <v>31</v>
      </c>
      <c r="I18">
        <v>0.35</v>
      </c>
      <c r="J18">
        <v>350</v>
      </c>
      <c r="K18">
        <v>1000.0000000000001</v>
      </c>
      <c r="L18" t="s">
        <v>834</v>
      </c>
      <c r="AC18" t="s">
        <v>1399</v>
      </c>
    </row>
    <row r="19" spans="1:29" x14ac:dyDescent="0.25">
      <c r="A19" t="s">
        <v>680</v>
      </c>
      <c r="B19">
        <v>170502858</v>
      </c>
      <c r="C19">
        <v>41214882</v>
      </c>
      <c r="D19" t="s">
        <v>853</v>
      </c>
      <c r="E19">
        <v>1000</v>
      </c>
      <c r="I19">
        <v>6.9</v>
      </c>
      <c r="J19">
        <v>6900</v>
      </c>
      <c r="K19">
        <v>1000</v>
      </c>
      <c r="AC19" t="s">
        <v>1400</v>
      </c>
    </row>
    <row r="20" spans="1:29" x14ac:dyDescent="0.25">
      <c r="A20" t="s">
        <v>837</v>
      </c>
      <c r="B20">
        <v>170502858</v>
      </c>
      <c r="C20">
        <v>41215642</v>
      </c>
      <c r="D20" t="s">
        <v>854</v>
      </c>
      <c r="E20">
        <v>5</v>
      </c>
      <c r="G20">
        <v>6800</v>
      </c>
      <c r="H20">
        <v>45</v>
      </c>
      <c r="I20">
        <v>96</v>
      </c>
      <c r="J20">
        <v>480</v>
      </c>
      <c r="K20">
        <v>5</v>
      </c>
      <c r="AC20" t="s">
        <v>1401</v>
      </c>
    </row>
    <row r="21" spans="1:29" x14ac:dyDescent="0.25">
      <c r="A21" t="s">
        <v>680</v>
      </c>
      <c r="B21">
        <v>170502858</v>
      </c>
      <c r="C21" t="s">
        <v>855</v>
      </c>
      <c r="D21" t="s">
        <v>840</v>
      </c>
      <c r="E21">
        <v>2400</v>
      </c>
      <c r="I21">
        <v>0.61</v>
      </c>
      <c r="J21">
        <v>1464</v>
      </c>
      <c r="K21">
        <v>2400</v>
      </c>
      <c r="AC21" t="s">
        <v>1402</v>
      </c>
    </row>
    <row r="22" spans="1:29" x14ac:dyDescent="0.25">
      <c r="A22" t="s">
        <v>680</v>
      </c>
      <c r="B22">
        <v>170502858</v>
      </c>
      <c r="C22">
        <v>41213296</v>
      </c>
      <c r="D22" t="s">
        <v>856</v>
      </c>
      <c r="E22">
        <v>2400</v>
      </c>
      <c r="I22">
        <v>0.61</v>
      </c>
      <c r="J22">
        <v>1464</v>
      </c>
      <c r="K22">
        <v>2400</v>
      </c>
      <c r="AC22" t="s">
        <v>1403</v>
      </c>
    </row>
    <row r="23" spans="1:29" x14ac:dyDescent="0.25">
      <c r="A23" t="s">
        <v>837</v>
      </c>
      <c r="B23">
        <v>170502858</v>
      </c>
      <c r="C23">
        <v>41215642</v>
      </c>
      <c r="D23" t="s">
        <v>857</v>
      </c>
      <c r="E23">
        <v>5</v>
      </c>
      <c r="G23">
        <v>6800</v>
      </c>
      <c r="H23">
        <v>36</v>
      </c>
      <c r="I23">
        <v>96</v>
      </c>
      <c r="J23">
        <v>480</v>
      </c>
      <c r="K23">
        <v>5</v>
      </c>
      <c r="AC23" t="s">
        <v>1404</v>
      </c>
    </row>
    <row r="24" spans="1:29" x14ac:dyDescent="0.25">
      <c r="A24" t="s">
        <v>837</v>
      </c>
      <c r="B24">
        <v>2170502858</v>
      </c>
      <c r="C24">
        <v>41212496</v>
      </c>
      <c r="D24" t="s">
        <v>858</v>
      </c>
      <c r="E24">
        <v>1000</v>
      </c>
      <c r="G24" t="s">
        <v>156</v>
      </c>
      <c r="H24">
        <v>46</v>
      </c>
      <c r="I24">
        <v>0.35</v>
      </c>
      <c r="J24">
        <v>350</v>
      </c>
      <c r="K24">
        <v>1000.0000000000001</v>
      </c>
      <c r="L24" t="s">
        <v>834</v>
      </c>
      <c r="AC24" t="s">
        <v>1405</v>
      </c>
    </row>
    <row r="25" spans="1:29" x14ac:dyDescent="0.25">
      <c r="A25" t="s">
        <v>837</v>
      </c>
      <c r="B25">
        <v>170502858</v>
      </c>
      <c r="C25">
        <v>41215617</v>
      </c>
      <c r="D25" t="s">
        <v>859</v>
      </c>
      <c r="E25">
        <v>250</v>
      </c>
      <c r="G25" t="s">
        <v>163</v>
      </c>
      <c r="H25">
        <v>52</v>
      </c>
      <c r="I25">
        <v>20.99</v>
      </c>
      <c r="J25">
        <v>5247.5</v>
      </c>
      <c r="K25">
        <v>250.00000000000003</v>
      </c>
      <c r="L25" t="s">
        <v>834</v>
      </c>
      <c r="AC25" t="s">
        <v>1406</v>
      </c>
    </row>
    <row r="26" spans="1:29" x14ac:dyDescent="0.25">
      <c r="A26" t="s">
        <v>680</v>
      </c>
      <c r="B26">
        <v>170502858</v>
      </c>
      <c r="C26">
        <v>41213296</v>
      </c>
      <c r="D26" t="s">
        <v>860</v>
      </c>
      <c r="E26">
        <v>2400</v>
      </c>
      <c r="I26">
        <v>0.61</v>
      </c>
      <c r="J26">
        <v>1464</v>
      </c>
      <c r="K26">
        <v>2400</v>
      </c>
      <c r="AC26" t="s">
        <v>1407</v>
      </c>
    </row>
    <row r="27" spans="1:29" x14ac:dyDescent="0.25">
      <c r="A27" t="s">
        <v>837</v>
      </c>
      <c r="B27">
        <v>170502858</v>
      </c>
      <c r="C27">
        <v>41215642</v>
      </c>
      <c r="D27" t="s">
        <v>861</v>
      </c>
      <c r="E27">
        <v>5</v>
      </c>
      <c r="G27">
        <v>6800</v>
      </c>
      <c r="H27">
        <v>32</v>
      </c>
      <c r="I27">
        <v>96</v>
      </c>
      <c r="J27">
        <v>480</v>
      </c>
      <c r="K27">
        <v>5</v>
      </c>
      <c r="AC27" t="s">
        <v>1408</v>
      </c>
    </row>
    <row r="28" spans="1:29" x14ac:dyDescent="0.25">
      <c r="A28" t="s">
        <v>837</v>
      </c>
      <c r="B28">
        <v>170502858</v>
      </c>
      <c r="C28">
        <v>41212496</v>
      </c>
      <c r="D28" t="s">
        <v>862</v>
      </c>
      <c r="E28">
        <v>1000</v>
      </c>
      <c r="G28" t="s">
        <v>156</v>
      </c>
      <c r="H28">
        <v>32</v>
      </c>
      <c r="I28">
        <v>0.35</v>
      </c>
      <c r="J28">
        <v>350</v>
      </c>
      <c r="K28">
        <v>1000.0000000000001</v>
      </c>
      <c r="L28" t="s">
        <v>834</v>
      </c>
      <c r="AC28" t="s">
        <v>1409</v>
      </c>
    </row>
    <row r="29" spans="1:29" x14ac:dyDescent="0.25">
      <c r="A29" t="s">
        <v>837</v>
      </c>
      <c r="B29">
        <v>170502858</v>
      </c>
      <c r="C29">
        <v>41215617</v>
      </c>
      <c r="D29" t="s">
        <v>863</v>
      </c>
      <c r="E29">
        <v>250</v>
      </c>
      <c r="G29" t="s">
        <v>163</v>
      </c>
      <c r="H29">
        <v>31</v>
      </c>
      <c r="I29">
        <v>20.99</v>
      </c>
      <c r="J29">
        <v>5247.5</v>
      </c>
      <c r="K29">
        <v>250.00000000000003</v>
      </c>
      <c r="L29" t="s">
        <v>834</v>
      </c>
      <c r="AC29" t="s">
        <v>1410</v>
      </c>
    </row>
    <row r="30" spans="1:29" x14ac:dyDescent="0.25">
      <c r="A30" t="s">
        <v>837</v>
      </c>
      <c r="B30">
        <v>170502858</v>
      </c>
      <c r="C30">
        <v>41212496</v>
      </c>
      <c r="D30" t="s">
        <v>864</v>
      </c>
      <c r="E30">
        <v>1000</v>
      </c>
      <c r="G30" t="s">
        <v>156</v>
      </c>
      <c r="H30">
        <v>33</v>
      </c>
      <c r="I30">
        <v>0.35</v>
      </c>
      <c r="J30">
        <v>350</v>
      </c>
      <c r="K30">
        <v>1000.0000000000001</v>
      </c>
      <c r="L30" t="s">
        <v>834</v>
      </c>
      <c r="AC30" t="s">
        <v>1411</v>
      </c>
    </row>
    <row r="31" spans="1:29" x14ac:dyDescent="0.25">
      <c r="A31" t="s">
        <v>837</v>
      </c>
      <c r="B31">
        <v>170502858</v>
      </c>
      <c r="C31">
        <v>41215642</v>
      </c>
      <c r="D31" t="s">
        <v>865</v>
      </c>
      <c r="E31">
        <v>5</v>
      </c>
      <c r="G31">
        <v>6800</v>
      </c>
      <c r="H31">
        <v>44</v>
      </c>
      <c r="I31">
        <v>96</v>
      </c>
      <c r="J31">
        <v>480</v>
      </c>
      <c r="K31">
        <v>5</v>
      </c>
      <c r="AC31" t="s">
        <v>1412</v>
      </c>
    </row>
    <row r="32" spans="1:29" x14ac:dyDescent="0.25">
      <c r="A32" t="s">
        <v>837</v>
      </c>
      <c r="B32">
        <v>170502858</v>
      </c>
      <c r="C32">
        <v>41215617</v>
      </c>
      <c r="D32" t="s">
        <v>866</v>
      </c>
      <c r="E32">
        <v>250</v>
      </c>
      <c r="G32" t="s">
        <v>163</v>
      </c>
      <c r="H32">
        <v>58</v>
      </c>
      <c r="I32">
        <v>20.99</v>
      </c>
      <c r="J32">
        <v>5247.5</v>
      </c>
      <c r="K32">
        <v>250.00000000000003</v>
      </c>
      <c r="L32" t="s">
        <v>834</v>
      </c>
      <c r="AC32" t="s">
        <v>1413</v>
      </c>
    </row>
    <row r="33" spans="1:29" x14ac:dyDescent="0.25">
      <c r="A33" t="s">
        <v>837</v>
      </c>
      <c r="B33">
        <v>170502858</v>
      </c>
      <c r="C33">
        <v>41212496</v>
      </c>
      <c r="D33" t="s">
        <v>867</v>
      </c>
      <c r="E33">
        <v>1000</v>
      </c>
      <c r="G33" t="s">
        <v>156</v>
      </c>
      <c r="H33">
        <v>32</v>
      </c>
      <c r="I33">
        <v>0.35</v>
      </c>
      <c r="J33">
        <v>350</v>
      </c>
      <c r="K33">
        <v>1000.0000000000001</v>
      </c>
      <c r="L33" t="s">
        <v>834</v>
      </c>
      <c r="AC33" t="s">
        <v>1414</v>
      </c>
    </row>
    <row r="34" spans="1:29" x14ac:dyDescent="0.25">
      <c r="A34" t="s">
        <v>837</v>
      </c>
      <c r="B34">
        <v>170502858</v>
      </c>
      <c r="C34">
        <v>41215642</v>
      </c>
      <c r="D34" t="s">
        <v>868</v>
      </c>
      <c r="E34">
        <v>5</v>
      </c>
      <c r="G34">
        <v>6800</v>
      </c>
      <c r="H34">
        <v>54</v>
      </c>
      <c r="I34">
        <v>96</v>
      </c>
      <c r="J34">
        <v>480</v>
      </c>
      <c r="K34">
        <v>5</v>
      </c>
      <c r="AC34" t="s">
        <v>1415</v>
      </c>
    </row>
    <row r="35" spans="1:29" x14ac:dyDescent="0.25">
      <c r="A35" t="s">
        <v>837</v>
      </c>
      <c r="B35">
        <v>170502858</v>
      </c>
      <c r="C35">
        <v>41215617</v>
      </c>
      <c r="D35" t="s">
        <v>869</v>
      </c>
      <c r="E35">
        <v>1000</v>
      </c>
      <c r="G35" t="s">
        <v>163</v>
      </c>
      <c r="H35">
        <v>59</v>
      </c>
      <c r="I35">
        <v>20.99</v>
      </c>
      <c r="AC35" t="s">
        <v>1416</v>
      </c>
    </row>
    <row r="36" spans="1:29" x14ac:dyDescent="0.25">
      <c r="A36" t="s">
        <v>837</v>
      </c>
      <c r="B36">
        <v>170502858</v>
      </c>
      <c r="C36">
        <v>41215642</v>
      </c>
      <c r="D36" t="s">
        <v>870</v>
      </c>
      <c r="E36">
        <v>30</v>
      </c>
      <c r="G36">
        <v>6800</v>
      </c>
      <c r="H36">
        <v>30</v>
      </c>
      <c r="I36">
        <v>96</v>
      </c>
      <c r="J36">
        <v>2880</v>
      </c>
      <c r="K36">
        <v>30</v>
      </c>
      <c r="AC36" t="s">
        <v>1417</v>
      </c>
    </row>
    <row r="37" spans="1:29" x14ac:dyDescent="0.25">
      <c r="A37" t="s">
        <v>680</v>
      </c>
      <c r="B37">
        <v>170502858</v>
      </c>
      <c r="C37">
        <v>41216363</v>
      </c>
      <c r="D37" t="s">
        <v>871</v>
      </c>
      <c r="E37">
        <v>3000</v>
      </c>
      <c r="I37">
        <v>0.65</v>
      </c>
      <c r="J37">
        <v>1950</v>
      </c>
      <c r="K37">
        <v>3000</v>
      </c>
      <c r="AC37" t="s">
        <v>1418</v>
      </c>
    </row>
    <row r="38" spans="1:29" x14ac:dyDescent="0.25">
      <c r="A38" t="s">
        <v>680</v>
      </c>
      <c r="B38">
        <v>170502858</v>
      </c>
      <c r="C38">
        <v>41212496</v>
      </c>
      <c r="D38" t="s">
        <v>872</v>
      </c>
      <c r="E38">
        <v>1000</v>
      </c>
      <c r="I38">
        <v>0.35</v>
      </c>
      <c r="J38">
        <v>350</v>
      </c>
      <c r="K38">
        <v>1000.0000000000001</v>
      </c>
      <c r="L38" t="s">
        <v>834</v>
      </c>
      <c r="AC38" t="s">
        <v>1419</v>
      </c>
    </row>
    <row r="39" spans="1:29" x14ac:dyDescent="0.25">
      <c r="A39" t="s">
        <v>680</v>
      </c>
      <c r="B39">
        <v>170502858</v>
      </c>
      <c r="C39">
        <v>41216349</v>
      </c>
      <c r="D39" t="s">
        <v>873</v>
      </c>
      <c r="E39">
        <v>1350</v>
      </c>
      <c r="I39">
        <v>0.61</v>
      </c>
      <c r="J39">
        <v>823.5</v>
      </c>
      <c r="K39">
        <v>1350</v>
      </c>
      <c r="AC39" t="s">
        <v>1420</v>
      </c>
    </row>
    <row r="40" spans="1:29" x14ac:dyDescent="0.25">
      <c r="A40" t="s">
        <v>837</v>
      </c>
      <c r="B40">
        <v>170502858</v>
      </c>
      <c r="C40">
        <v>41215617</v>
      </c>
      <c r="D40" t="s">
        <v>874</v>
      </c>
      <c r="E40">
        <v>450</v>
      </c>
      <c r="G40" t="s">
        <v>163</v>
      </c>
      <c r="H40">
        <v>59</v>
      </c>
      <c r="I40">
        <v>20.99</v>
      </c>
      <c r="J40">
        <v>9445.5</v>
      </c>
      <c r="K40">
        <v>450.00000000000006</v>
      </c>
      <c r="L40" t="s">
        <v>834</v>
      </c>
      <c r="AC40" t="s">
        <v>1421</v>
      </c>
    </row>
    <row r="41" spans="1:29" x14ac:dyDescent="0.25">
      <c r="A41" t="s">
        <v>837</v>
      </c>
      <c r="B41">
        <v>170502858</v>
      </c>
      <c r="C41">
        <v>41212496</v>
      </c>
      <c r="D41" t="s">
        <v>875</v>
      </c>
      <c r="E41">
        <v>2000</v>
      </c>
      <c r="G41" t="s">
        <v>156</v>
      </c>
      <c r="H41">
        <v>33</v>
      </c>
      <c r="I41">
        <v>0.35</v>
      </c>
      <c r="J41">
        <v>700</v>
      </c>
      <c r="K41">
        <v>2000.0000000000002</v>
      </c>
      <c r="L41" t="s">
        <v>834</v>
      </c>
      <c r="AC41" t="s">
        <v>1422</v>
      </c>
    </row>
    <row r="42" spans="1:29" x14ac:dyDescent="0.25">
      <c r="A42" t="s">
        <v>837</v>
      </c>
      <c r="B42">
        <v>170502858</v>
      </c>
      <c r="C42">
        <v>41216347</v>
      </c>
      <c r="D42" t="s">
        <v>876</v>
      </c>
      <c r="E42">
        <v>5</v>
      </c>
      <c r="G42">
        <v>6800</v>
      </c>
      <c r="H42">
        <v>41</v>
      </c>
      <c r="I42">
        <v>96</v>
      </c>
      <c r="J42">
        <v>480</v>
      </c>
      <c r="K42">
        <v>5</v>
      </c>
      <c r="AC42" t="s">
        <v>1423</v>
      </c>
    </row>
    <row r="43" spans="1:29" x14ac:dyDescent="0.25">
      <c r="A43" t="s">
        <v>837</v>
      </c>
      <c r="B43">
        <v>801006170502858</v>
      </c>
      <c r="C43">
        <v>41215617</v>
      </c>
      <c r="D43" t="s">
        <v>877</v>
      </c>
      <c r="E43">
        <v>500</v>
      </c>
      <c r="G43" t="s">
        <v>163</v>
      </c>
      <c r="H43">
        <v>42</v>
      </c>
      <c r="I43">
        <v>20.99</v>
      </c>
      <c r="J43">
        <v>10495</v>
      </c>
      <c r="K43">
        <v>500.00000000000006</v>
      </c>
      <c r="L43" t="s">
        <v>834</v>
      </c>
      <c r="AC43" t="s">
        <v>1424</v>
      </c>
    </row>
    <row r="44" spans="1:29" x14ac:dyDescent="0.25">
      <c r="A44" t="s">
        <v>680</v>
      </c>
      <c r="B44">
        <v>8010062170502850</v>
      </c>
      <c r="C44">
        <v>41216349</v>
      </c>
      <c r="D44" t="s">
        <v>878</v>
      </c>
      <c r="E44">
        <v>1350</v>
      </c>
      <c r="I44">
        <v>0.61</v>
      </c>
      <c r="J44">
        <v>823.5</v>
      </c>
      <c r="K44">
        <v>1350</v>
      </c>
      <c r="AC44" t="s">
        <v>1425</v>
      </c>
    </row>
    <row r="45" spans="1:29" x14ac:dyDescent="0.25">
      <c r="A45" t="s">
        <v>680</v>
      </c>
      <c r="B45">
        <v>170502858801006</v>
      </c>
      <c r="C45">
        <v>41216363</v>
      </c>
      <c r="D45" s="37" t="s">
        <v>879</v>
      </c>
      <c r="E45">
        <v>3000</v>
      </c>
      <c r="I45">
        <v>0.65</v>
      </c>
      <c r="J45">
        <v>1950</v>
      </c>
      <c r="K45">
        <v>3000</v>
      </c>
      <c r="AC45" t="s">
        <v>1426</v>
      </c>
    </row>
    <row r="46" spans="1:29" x14ac:dyDescent="0.25">
      <c r="A46" t="s">
        <v>680</v>
      </c>
      <c r="B46">
        <v>170502858</v>
      </c>
      <c r="C46">
        <v>41216363</v>
      </c>
      <c r="D46" t="s">
        <v>880</v>
      </c>
      <c r="E46">
        <v>3000</v>
      </c>
      <c r="I46">
        <v>0.65</v>
      </c>
      <c r="J46">
        <v>1950</v>
      </c>
      <c r="K46">
        <v>3000</v>
      </c>
      <c r="AC46" t="s">
        <v>1427</v>
      </c>
    </row>
    <row r="47" spans="1:29" x14ac:dyDescent="0.25">
      <c r="A47" t="s">
        <v>680</v>
      </c>
      <c r="B47">
        <v>170502858</v>
      </c>
      <c r="C47">
        <v>41216349</v>
      </c>
      <c r="D47" t="s">
        <v>881</v>
      </c>
      <c r="E47">
        <v>1350</v>
      </c>
      <c r="I47">
        <v>0.61</v>
      </c>
      <c r="J47">
        <v>823.5</v>
      </c>
      <c r="K47">
        <v>1350</v>
      </c>
      <c r="AC47" t="s">
        <v>1428</v>
      </c>
    </row>
    <row r="48" spans="1:29" x14ac:dyDescent="0.25">
      <c r="A48" t="s">
        <v>837</v>
      </c>
      <c r="B48">
        <v>170502858</v>
      </c>
      <c r="C48">
        <v>41216347</v>
      </c>
      <c r="D48" t="s">
        <v>882</v>
      </c>
      <c r="E48">
        <v>5</v>
      </c>
      <c r="G48">
        <v>6800</v>
      </c>
      <c r="H48">
        <v>33</v>
      </c>
      <c r="I48">
        <v>96</v>
      </c>
      <c r="J48">
        <v>480</v>
      </c>
      <c r="K48">
        <v>5</v>
      </c>
      <c r="AC48" t="s">
        <v>1429</v>
      </c>
    </row>
    <row r="49" spans="1:29" x14ac:dyDescent="0.25">
      <c r="A49" t="s">
        <v>837</v>
      </c>
      <c r="B49">
        <v>170502858</v>
      </c>
      <c r="C49">
        <v>41216347</v>
      </c>
      <c r="D49" t="s">
        <v>883</v>
      </c>
      <c r="E49">
        <v>30</v>
      </c>
      <c r="G49">
        <v>6800</v>
      </c>
      <c r="H49">
        <v>46</v>
      </c>
      <c r="I49">
        <v>96</v>
      </c>
      <c r="J49">
        <v>2880</v>
      </c>
      <c r="K49">
        <v>30</v>
      </c>
      <c r="AC49" t="s">
        <v>1430</v>
      </c>
    </row>
    <row r="50" spans="1:29" x14ac:dyDescent="0.25">
      <c r="A50" t="s">
        <v>680</v>
      </c>
      <c r="C50" t="s">
        <v>884</v>
      </c>
      <c r="D50" t="s">
        <v>840</v>
      </c>
      <c r="E50">
        <v>3000</v>
      </c>
      <c r="I50">
        <v>0.65</v>
      </c>
      <c r="J50">
        <v>1950</v>
      </c>
      <c r="K50">
        <v>3000</v>
      </c>
      <c r="AC50" t="s">
        <v>1431</v>
      </c>
    </row>
    <row r="51" spans="1:29" x14ac:dyDescent="0.25">
      <c r="A51" t="s">
        <v>837</v>
      </c>
      <c r="B51">
        <v>170502858</v>
      </c>
      <c r="C51">
        <v>41217006</v>
      </c>
      <c r="D51" t="s">
        <v>885</v>
      </c>
      <c r="E51">
        <v>900</v>
      </c>
      <c r="G51" t="s">
        <v>163</v>
      </c>
      <c r="H51">
        <v>30</v>
      </c>
      <c r="I51">
        <v>20.99</v>
      </c>
      <c r="J51">
        <v>18891</v>
      </c>
      <c r="K51">
        <v>900.00000000000011</v>
      </c>
      <c r="L51" t="s">
        <v>834</v>
      </c>
      <c r="AC51" t="s">
        <v>1432</v>
      </c>
    </row>
    <row r="52" spans="1:29" x14ac:dyDescent="0.25">
      <c r="A52" t="s">
        <v>837</v>
      </c>
      <c r="B52">
        <v>6.8001170502858394E+17</v>
      </c>
      <c r="C52" t="s">
        <v>886</v>
      </c>
      <c r="D52" t="s">
        <v>840</v>
      </c>
      <c r="E52">
        <v>40</v>
      </c>
      <c r="G52">
        <v>6800</v>
      </c>
      <c r="H52">
        <v>113</v>
      </c>
      <c r="I52">
        <v>96</v>
      </c>
      <c r="J52">
        <v>3840</v>
      </c>
      <c r="K52">
        <v>40</v>
      </c>
      <c r="AC52" t="s">
        <v>1433</v>
      </c>
    </row>
    <row r="53" spans="1:29" x14ac:dyDescent="0.25">
      <c r="A53" t="s">
        <v>680</v>
      </c>
      <c r="B53">
        <v>170502858</v>
      </c>
      <c r="C53">
        <v>41216363</v>
      </c>
      <c r="D53" t="s">
        <v>887</v>
      </c>
      <c r="E53">
        <v>0</v>
      </c>
      <c r="I53">
        <v>0.65</v>
      </c>
      <c r="J53">
        <v>1950</v>
      </c>
      <c r="K53">
        <v>3000</v>
      </c>
      <c r="L53" t="s">
        <v>834</v>
      </c>
      <c r="AC53" t="s">
        <v>1434</v>
      </c>
    </row>
    <row r="54" spans="1:29" x14ac:dyDescent="0.25">
      <c r="A54" t="s">
        <v>680</v>
      </c>
      <c r="B54">
        <v>170502858</v>
      </c>
      <c r="C54">
        <v>41217006</v>
      </c>
      <c r="D54" t="s">
        <v>888</v>
      </c>
      <c r="E54">
        <v>900</v>
      </c>
      <c r="I54">
        <v>20.99</v>
      </c>
      <c r="J54">
        <v>18891</v>
      </c>
      <c r="K54">
        <v>900.00000000000011</v>
      </c>
      <c r="L54" t="s">
        <v>834</v>
      </c>
      <c r="AC54" t="s">
        <v>1435</v>
      </c>
    </row>
    <row r="55" spans="1:29" x14ac:dyDescent="0.25">
      <c r="A55" t="s">
        <v>837</v>
      </c>
      <c r="B55">
        <v>170502858</v>
      </c>
      <c r="C55">
        <v>41217006</v>
      </c>
      <c r="D55" t="s">
        <v>889</v>
      </c>
      <c r="E55">
        <v>900</v>
      </c>
      <c r="G55" t="s">
        <v>163</v>
      </c>
      <c r="H55">
        <v>57</v>
      </c>
      <c r="I55">
        <v>20.99</v>
      </c>
      <c r="J55">
        <v>18891</v>
      </c>
      <c r="K55">
        <v>900.00000000000011</v>
      </c>
      <c r="L55" t="s">
        <v>834</v>
      </c>
      <c r="AC55" t="s">
        <v>1436</v>
      </c>
    </row>
    <row r="56" spans="1:29" x14ac:dyDescent="0.25">
      <c r="A56" t="s">
        <v>837</v>
      </c>
      <c r="B56">
        <v>170502858</v>
      </c>
      <c r="C56">
        <v>41217222</v>
      </c>
      <c r="D56" t="s">
        <v>890</v>
      </c>
      <c r="E56">
        <v>20</v>
      </c>
      <c r="G56">
        <v>6800</v>
      </c>
      <c r="H56">
        <v>49</v>
      </c>
      <c r="I56">
        <v>96</v>
      </c>
      <c r="J56">
        <v>1920</v>
      </c>
      <c r="K56">
        <v>20</v>
      </c>
      <c r="AC56" t="s">
        <v>1437</v>
      </c>
    </row>
    <row r="57" spans="1:29" x14ac:dyDescent="0.25">
      <c r="A57" t="s">
        <v>837</v>
      </c>
      <c r="B57">
        <v>170502858</v>
      </c>
      <c r="C57">
        <v>41217484</v>
      </c>
      <c r="D57" t="s">
        <v>891</v>
      </c>
      <c r="E57">
        <v>400</v>
      </c>
      <c r="G57" t="s">
        <v>125</v>
      </c>
      <c r="H57">
        <v>31</v>
      </c>
      <c r="I57">
        <v>0.67</v>
      </c>
      <c r="J57">
        <v>268</v>
      </c>
      <c r="K57">
        <v>400</v>
      </c>
      <c r="AC57" t="s">
        <v>1438</v>
      </c>
    </row>
    <row r="58" spans="1:29" x14ac:dyDescent="0.25">
      <c r="B58">
        <v>170502858</v>
      </c>
      <c r="C58">
        <v>41217485</v>
      </c>
      <c r="D58" t="s">
        <v>892</v>
      </c>
      <c r="E58">
        <v>250</v>
      </c>
      <c r="G58" t="s">
        <v>161</v>
      </c>
      <c r="H58">
        <v>31</v>
      </c>
      <c r="I58">
        <v>18</v>
      </c>
      <c r="J58">
        <v>4500</v>
      </c>
      <c r="K58">
        <v>250</v>
      </c>
      <c r="AC58" t="s">
        <v>1439</v>
      </c>
    </row>
    <row r="59" spans="1:29" x14ac:dyDescent="0.25">
      <c r="A59" t="s">
        <v>837</v>
      </c>
      <c r="B59">
        <v>170502858</v>
      </c>
      <c r="C59">
        <v>41217312</v>
      </c>
      <c r="D59" t="s">
        <v>893</v>
      </c>
      <c r="E59">
        <v>2000</v>
      </c>
      <c r="G59" t="s">
        <v>156</v>
      </c>
      <c r="H59">
        <v>32</v>
      </c>
      <c r="I59">
        <v>0.33</v>
      </c>
      <c r="J59">
        <v>660</v>
      </c>
      <c r="K59">
        <v>2000</v>
      </c>
      <c r="AC59" t="s">
        <v>1440</v>
      </c>
    </row>
    <row r="60" spans="1:29" x14ac:dyDescent="0.25">
      <c r="B60">
        <v>170502858</v>
      </c>
      <c r="C60">
        <v>41217605</v>
      </c>
      <c r="D60" t="s">
        <v>894</v>
      </c>
      <c r="E60">
        <v>20</v>
      </c>
      <c r="G60" t="s">
        <v>177</v>
      </c>
      <c r="H60">
        <v>29</v>
      </c>
      <c r="I60">
        <v>3.8</v>
      </c>
      <c r="J60">
        <v>76</v>
      </c>
      <c r="K60">
        <v>20</v>
      </c>
      <c r="AC60" t="s">
        <v>1441</v>
      </c>
    </row>
    <row r="61" spans="1:29" x14ac:dyDescent="0.25">
      <c r="A61" t="s">
        <v>837</v>
      </c>
      <c r="B61">
        <v>170502858</v>
      </c>
      <c r="C61">
        <v>41217484</v>
      </c>
      <c r="D61" t="s">
        <v>895</v>
      </c>
      <c r="E61">
        <v>200</v>
      </c>
      <c r="G61" t="s">
        <v>125</v>
      </c>
      <c r="H61">
        <v>30</v>
      </c>
      <c r="I61">
        <v>0.67</v>
      </c>
      <c r="J61">
        <v>134</v>
      </c>
      <c r="K61">
        <v>200</v>
      </c>
      <c r="AC61" t="s">
        <v>1442</v>
      </c>
    </row>
    <row r="62" spans="1:29" x14ac:dyDescent="0.25">
      <c r="A62" t="s">
        <v>680</v>
      </c>
      <c r="B62">
        <v>17050285846900</v>
      </c>
      <c r="C62" t="s">
        <v>896</v>
      </c>
      <c r="D62" t="s">
        <v>840</v>
      </c>
      <c r="E62">
        <v>2</v>
      </c>
      <c r="I62">
        <v>96</v>
      </c>
      <c r="J62">
        <v>1152</v>
      </c>
      <c r="K62">
        <v>12</v>
      </c>
      <c r="L62" t="s">
        <v>834</v>
      </c>
      <c r="AC62" t="s">
        <v>1443</v>
      </c>
    </row>
    <row r="63" spans="1:29" x14ac:dyDescent="0.25">
      <c r="A63" t="s">
        <v>680</v>
      </c>
      <c r="B63">
        <v>12121766</v>
      </c>
      <c r="C63">
        <v>41217180</v>
      </c>
      <c r="D63" t="s">
        <v>897</v>
      </c>
      <c r="E63">
        <v>0</v>
      </c>
      <c r="I63">
        <v>0.25</v>
      </c>
      <c r="J63">
        <v>300</v>
      </c>
      <c r="K63">
        <v>1200</v>
      </c>
      <c r="L63" t="s">
        <v>834</v>
      </c>
      <c r="AC63" t="s">
        <v>1444</v>
      </c>
    </row>
    <row r="64" spans="1:29" x14ac:dyDescent="0.25">
      <c r="A64" t="s">
        <v>680</v>
      </c>
      <c r="B64">
        <v>61212176</v>
      </c>
      <c r="C64">
        <v>41217265</v>
      </c>
      <c r="D64" t="s">
        <v>898</v>
      </c>
      <c r="E64">
        <v>0</v>
      </c>
      <c r="I64">
        <v>0.56000000000000005</v>
      </c>
      <c r="J64">
        <v>268.8</v>
      </c>
      <c r="K64">
        <v>480</v>
      </c>
      <c r="L64" t="s">
        <v>834</v>
      </c>
      <c r="AC64" t="s">
        <v>1445</v>
      </c>
    </row>
    <row r="65" spans="1:29" x14ac:dyDescent="0.25">
      <c r="A65" t="s">
        <v>680</v>
      </c>
      <c r="B65">
        <v>1705028584</v>
      </c>
      <c r="C65">
        <v>41217484</v>
      </c>
      <c r="D65" t="s">
        <v>899</v>
      </c>
      <c r="E65">
        <v>0</v>
      </c>
      <c r="I65">
        <v>0.67</v>
      </c>
      <c r="J65">
        <v>201</v>
      </c>
      <c r="K65">
        <v>300</v>
      </c>
      <c r="L65" t="s">
        <v>834</v>
      </c>
      <c r="AC65" t="s">
        <v>1446</v>
      </c>
    </row>
    <row r="66" spans="1:29" x14ac:dyDescent="0.25">
      <c r="A66" t="s">
        <v>680</v>
      </c>
      <c r="B66">
        <v>170502858</v>
      </c>
      <c r="C66">
        <v>41217312</v>
      </c>
      <c r="D66" t="s">
        <v>900</v>
      </c>
      <c r="E66">
        <v>0</v>
      </c>
      <c r="I66">
        <v>0.33</v>
      </c>
      <c r="J66">
        <v>660</v>
      </c>
      <c r="K66">
        <v>2000</v>
      </c>
      <c r="L66" t="s">
        <v>834</v>
      </c>
      <c r="AC66" t="s">
        <v>1447</v>
      </c>
    </row>
    <row r="67" spans="1:29" x14ac:dyDescent="0.25">
      <c r="A67" t="s">
        <v>837</v>
      </c>
      <c r="B67">
        <v>42000001</v>
      </c>
      <c r="C67" t="s">
        <v>901</v>
      </c>
      <c r="D67" t="s">
        <v>840</v>
      </c>
      <c r="E67">
        <v>0</v>
      </c>
      <c r="G67" t="s">
        <v>177</v>
      </c>
      <c r="H67">
        <v>172</v>
      </c>
      <c r="I67">
        <v>3.8</v>
      </c>
      <c r="J67">
        <v>76</v>
      </c>
      <c r="K67">
        <v>20</v>
      </c>
      <c r="L67" t="s">
        <v>834</v>
      </c>
      <c r="AC67" t="s">
        <v>1448</v>
      </c>
    </row>
    <row r="68" spans="1:29" x14ac:dyDescent="0.25">
      <c r="A68" t="s">
        <v>680</v>
      </c>
      <c r="B68">
        <v>1705028584</v>
      </c>
      <c r="C68">
        <v>41217312</v>
      </c>
      <c r="D68" t="s">
        <v>902</v>
      </c>
      <c r="E68">
        <v>2000</v>
      </c>
      <c r="I68">
        <v>0.33</v>
      </c>
      <c r="J68">
        <v>660</v>
      </c>
      <c r="K68">
        <v>2000</v>
      </c>
      <c r="AC68" t="s">
        <v>1449</v>
      </c>
    </row>
    <row r="69" spans="1:29" x14ac:dyDescent="0.25">
      <c r="A69" t="s">
        <v>680</v>
      </c>
      <c r="B69">
        <v>1705028584</v>
      </c>
      <c r="C69">
        <v>41217484</v>
      </c>
      <c r="D69" t="s">
        <v>903</v>
      </c>
      <c r="E69">
        <v>0</v>
      </c>
      <c r="I69">
        <v>0.67</v>
      </c>
      <c r="J69">
        <v>201</v>
      </c>
      <c r="K69">
        <v>300</v>
      </c>
      <c r="L69" t="s">
        <v>834</v>
      </c>
      <c r="AC69" t="s">
        <v>1450</v>
      </c>
    </row>
    <row r="70" spans="1:29" x14ac:dyDescent="0.25">
      <c r="A70" t="s">
        <v>837</v>
      </c>
      <c r="B70">
        <v>121217866</v>
      </c>
      <c r="C70">
        <v>41217265</v>
      </c>
      <c r="D70" t="s">
        <v>904</v>
      </c>
      <c r="E70">
        <v>12</v>
      </c>
      <c r="G70" t="s">
        <v>212</v>
      </c>
      <c r="H70">
        <v>84</v>
      </c>
      <c r="I70">
        <v>94</v>
      </c>
      <c r="J70">
        <v>1588</v>
      </c>
      <c r="K70">
        <v>16.893617021276597</v>
      </c>
      <c r="L70" t="s">
        <v>834</v>
      </c>
      <c r="AC70" t="s">
        <v>1451</v>
      </c>
    </row>
    <row r="71" spans="1:29" x14ac:dyDescent="0.25">
      <c r="C71">
        <v>41214238</v>
      </c>
      <c r="D71" t="s">
        <v>850</v>
      </c>
      <c r="E71">
        <v>400</v>
      </c>
      <c r="I71">
        <v>3.97</v>
      </c>
      <c r="J71">
        <v>725</v>
      </c>
      <c r="K71">
        <v>182.61964735516372</v>
      </c>
      <c r="L71" t="s">
        <v>834</v>
      </c>
      <c r="AC71" t="s">
        <v>1397</v>
      </c>
    </row>
    <row r="72" spans="1:29" x14ac:dyDescent="0.25">
      <c r="C72">
        <v>41212496</v>
      </c>
      <c r="D72" t="s">
        <v>833</v>
      </c>
      <c r="E72">
        <v>500</v>
      </c>
      <c r="I72">
        <v>1.45</v>
      </c>
      <c r="J72">
        <v>130</v>
      </c>
      <c r="K72">
        <v>89.65517241379311</v>
      </c>
      <c r="L72" t="s">
        <v>834</v>
      </c>
      <c r="AC72" t="s">
        <v>1383</v>
      </c>
    </row>
    <row r="73" spans="1:29" x14ac:dyDescent="0.25">
      <c r="C73">
        <v>41212496</v>
      </c>
      <c r="D73" t="s">
        <v>833</v>
      </c>
      <c r="E73">
        <v>100</v>
      </c>
      <c r="I73">
        <v>1.3</v>
      </c>
      <c r="J73">
        <v>105.84</v>
      </c>
      <c r="K73">
        <v>81.41538461538461</v>
      </c>
      <c r="L73" t="s">
        <v>834</v>
      </c>
      <c r="AC73" t="s">
        <v>1383</v>
      </c>
    </row>
    <row r="74" spans="1:29" x14ac:dyDescent="0.25">
      <c r="C74">
        <v>41214239</v>
      </c>
      <c r="D74" t="s">
        <v>905</v>
      </c>
      <c r="E74">
        <v>240</v>
      </c>
      <c r="I74">
        <v>0.56000000000000005</v>
      </c>
      <c r="AC74" t="s">
        <v>1452</v>
      </c>
    </row>
    <row r="75" spans="1:29" x14ac:dyDescent="0.25">
      <c r="C75">
        <v>41213816</v>
      </c>
      <c r="D75" t="s">
        <v>835</v>
      </c>
      <c r="E75">
        <v>12</v>
      </c>
      <c r="I75">
        <v>8.82</v>
      </c>
      <c r="AC75" t="s">
        <v>1384</v>
      </c>
    </row>
    <row r="76" spans="1:29" x14ac:dyDescent="0.25">
      <c r="A76" t="s">
        <v>680</v>
      </c>
      <c r="B76">
        <v>1705028584</v>
      </c>
      <c r="C76" t="s">
        <v>906</v>
      </c>
      <c r="D76" t="s">
        <v>907</v>
      </c>
      <c r="E76">
        <v>200</v>
      </c>
      <c r="I76">
        <v>0.25</v>
      </c>
      <c r="J76">
        <v>1800</v>
      </c>
      <c r="K76">
        <v>7200</v>
      </c>
      <c r="L76" t="s">
        <v>834</v>
      </c>
      <c r="AC76" t="s">
        <v>1453</v>
      </c>
    </row>
    <row r="77" spans="1:29" x14ac:dyDescent="0.25">
      <c r="A77" t="s">
        <v>837</v>
      </c>
      <c r="B77">
        <v>170502858</v>
      </c>
      <c r="C77">
        <v>41217679</v>
      </c>
      <c r="D77" t="s">
        <v>908</v>
      </c>
      <c r="E77">
        <v>4800</v>
      </c>
      <c r="G77" t="s">
        <v>133</v>
      </c>
      <c r="H77">
        <v>30</v>
      </c>
      <c r="I77">
        <v>0.25</v>
      </c>
      <c r="J77">
        <v>1200</v>
      </c>
      <c r="K77">
        <v>4800</v>
      </c>
      <c r="AC77" t="s">
        <v>1454</v>
      </c>
    </row>
    <row r="78" spans="1:29" x14ac:dyDescent="0.25">
      <c r="B78">
        <v>1705028584</v>
      </c>
      <c r="C78">
        <v>41217698</v>
      </c>
      <c r="D78" t="s">
        <v>909</v>
      </c>
      <c r="E78">
        <v>150</v>
      </c>
      <c r="G78" t="s">
        <v>138</v>
      </c>
      <c r="H78">
        <v>31</v>
      </c>
      <c r="I78">
        <v>3.4</v>
      </c>
      <c r="J78">
        <v>510</v>
      </c>
      <c r="K78">
        <v>150</v>
      </c>
      <c r="AC78" t="s">
        <v>1455</v>
      </c>
    </row>
    <row r="79" spans="1:29" x14ac:dyDescent="0.25">
      <c r="A79" t="s">
        <v>837</v>
      </c>
      <c r="B79">
        <v>1705028584</v>
      </c>
      <c r="C79">
        <v>41217679</v>
      </c>
      <c r="D79" t="s">
        <v>910</v>
      </c>
      <c r="E79">
        <v>4800</v>
      </c>
      <c r="G79" t="s">
        <v>133</v>
      </c>
      <c r="H79">
        <v>30</v>
      </c>
      <c r="I79">
        <v>0.25</v>
      </c>
      <c r="J79">
        <v>1200</v>
      </c>
      <c r="K79">
        <v>4800</v>
      </c>
      <c r="AC79" t="s">
        <v>1456</v>
      </c>
    </row>
    <row r="80" spans="1:29" x14ac:dyDescent="0.25">
      <c r="A80" t="s">
        <v>837</v>
      </c>
      <c r="B80">
        <v>12121765</v>
      </c>
      <c r="C80">
        <v>41217840</v>
      </c>
      <c r="D80" t="s">
        <v>911</v>
      </c>
      <c r="E80">
        <v>600</v>
      </c>
      <c r="G80" t="s">
        <v>129</v>
      </c>
      <c r="H80">
        <v>32</v>
      </c>
      <c r="I80">
        <v>0.25</v>
      </c>
      <c r="J80">
        <v>150</v>
      </c>
      <c r="K80">
        <v>600</v>
      </c>
      <c r="AC80" t="s">
        <v>1457</v>
      </c>
    </row>
    <row r="81" spans="1:29" x14ac:dyDescent="0.25">
      <c r="B81">
        <v>1705028584</v>
      </c>
      <c r="C81">
        <v>41217605</v>
      </c>
      <c r="D81" t="s">
        <v>912</v>
      </c>
      <c r="E81">
        <v>25</v>
      </c>
      <c r="G81" t="s">
        <v>177</v>
      </c>
      <c r="H81">
        <v>48</v>
      </c>
      <c r="I81">
        <v>3.8</v>
      </c>
      <c r="J81">
        <v>95</v>
      </c>
      <c r="K81">
        <v>25</v>
      </c>
      <c r="AC81" t="s">
        <v>1458</v>
      </c>
    </row>
    <row r="82" spans="1:29" x14ac:dyDescent="0.25">
      <c r="A82" t="s">
        <v>837</v>
      </c>
      <c r="B82">
        <v>1705028583</v>
      </c>
      <c r="C82">
        <v>41217312</v>
      </c>
      <c r="D82" t="s">
        <v>913</v>
      </c>
      <c r="E82">
        <v>2500</v>
      </c>
      <c r="G82" t="s">
        <v>156</v>
      </c>
      <c r="H82">
        <v>31</v>
      </c>
      <c r="I82">
        <v>0.33</v>
      </c>
      <c r="J82">
        <v>825</v>
      </c>
      <c r="K82">
        <v>2500</v>
      </c>
      <c r="AC82" t="s">
        <v>1459</v>
      </c>
    </row>
    <row r="83" spans="1:29" x14ac:dyDescent="0.25">
      <c r="A83" t="s">
        <v>837</v>
      </c>
      <c r="B83">
        <v>4</v>
      </c>
      <c r="C83" t="s">
        <v>914</v>
      </c>
      <c r="D83" t="s">
        <v>840</v>
      </c>
      <c r="E83">
        <v>100</v>
      </c>
      <c r="G83" t="s">
        <v>161</v>
      </c>
      <c r="H83">
        <v>30</v>
      </c>
      <c r="I83">
        <v>18</v>
      </c>
      <c r="J83">
        <v>1800</v>
      </c>
      <c r="K83">
        <v>100</v>
      </c>
      <c r="AC83" t="s">
        <v>1460</v>
      </c>
    </row>
    <row r="84" spans="1:29" x14ac:dyDescent="0.25">
      <c r="A84" t="s">
        <v>837</v>
      </c>
      <c r="B84">
        <v>1705028584</v>
      </c>
      <c r="C84">
        <v>41217484</v>
      </c>
      <c r="D84" t="s">
        <v>915</v>
      </c>
      <c r="E84">
        <v>400</v>
      </c>
      <c r="G84" t="s">
        <v>125</v>
      </c>
      <c r="H84">
        <v>32</v>
      </c>
      <c r="J84">
        <v>268</v>
      </c>
      <c r="L84" t="s">
        <v>834</v>
      </c>
      <c r="AC84" t="s">
        <v>1461</v>
      </c>
    </row>
    <row r="85" spans="1:29" x14ac:dyDescent="0.25">
      <c r="A85" t="s">
        <v>837</v>
      </c>
      <c r="B85">
        <v>1705028584</v>
      </c>
      <c r="C85">
        <v>41217222</v>
      </c>
      <c r="D85" t="s">
        <v>916</v>
      </c>
      <c r="E85">
        <v>1920</v>
      </c>
      <c r="G85">
        <v>6800</v>
      </c>
      <c r="H85">
        <v>28</v>
      </c>
      <c r="I85">
        <v>96</v>
      </c>
      <c r="J85">
        <v>1920</v>
      </c>
      <c r="K85">
        <v>20</v>
      </c>
      <c r="L85" t="s">
        <v>834</v>
      </c>
      <c r="AC85" t="s">
        <v>1462</v>
      </c>
    </row>
    <row r="86" spans="1:29" x14ac:dyDescent="0.25">
      <c r="C86">
        <v>41213696</v>
      </c>
      <c r="D86" t="s">
        <v>836</v>
      </c>
      <c r="E86">
        <v>20</v>
      </c>
      <c r="AC86" t="s">
        <v>1385</v>
      </c>
    </row>
    <row r="87" spans="1:29" x14ac:dyDescent="0.25">
      <c r="B87">
        <v>1705028586</v>
      </c>
      <c r="C87">
        <v>41217265</v>
      </c>
      <c r="D87" t="s">
        <v>917</v>
      </c>
      <c r="E87">
        <v>1500</v>
      </c>
      <c r="G87">
        <v>6800</v>
      </c>
      <c r="H87">
        <v>776</v>
      </c>
      <c r="I87">
        <v>0.33</v>
      </c>
      <c r="J87">
        <v>495</v>
      </c>
      <c r="K87">
        <v>1500</v>
      </c>
      <c r="AC87" t="s">
        <v>1463</v>
      </c>
    </row>
    <row r="88" spans="1:29" x14ac:dyDescent="0.25">
      <c r="C88">
        <v>41215617</v>
      </c>
      <c r="D88" t="s">
        <v>838</v>
      </c>
      <c r="E88">
        <v>200</v>
      </c>
      <c r="G88">
        <v>6200</v>
      </c>
      <c r="H88">
        <v>1494</v>
      </c>
      <c r="I88">
        <v>3.97</v>
      </c>
      <c r="J88">
        <v>794</v>
      </c>
      <c r="K88">
        <v>200</v>
      </c>
      <c r="AC88" t="s">
        <v>1386</v>
      </c>
    </row>
    <row r="89" spans="1:29" x14ac:dyDescent="0.25">
      <c r="C89">
        <v>41214882</v>
      </c>
      <c r="D89" t="s">
        <v>918</v>
      </c>
      <c r="E89">
        <v>12</v>
      </c>
      <c r="I89">
        <v>8.82</v>
      </c>
      <c r="J89">
        <v>105.84</v>
      </c>
      <c r="K89">
        <v>12</v>
      </c>
      <c r="AC89" t="s">
        <v>1387</v>
      </c>
    </row>
    <row r="90" spans="1:29" x14ac:dyDescent="0.25">
      <c r="C90">
        <v>41213816</v>
      </c>
      <c r="D90" t="s">
        <v>841</v>
      </c>
      <c r="E90">
        <v>12</v>
      </c>
      <c r="I90">
        <v>94</v>
      </c>
      <c r="J90">
        <v>1128</v>
      </c>
      <c r="K90">
        <v>12</v>
      </c>
      <c r="AC90" t="s">
        <v>1388</v>
      </c>
    </row>
    <row r="91" spans="1:29" x14ac:dyDescent="0.25">
      <c r="B91">
        <v>1705028586</v>
      </c>
      <c r="C91">
        <v>41217180</v>
      </c>
      <c r="D91" t="s">
        <v>919</v>
      </c>
      <c r="E91">
        <v>500</v>
      </c>
      <c r="G91" t="s">
        <v>123</v>
      </c>
      <c r="H91">
        <v>33</v>
      </c>
      <c r="I91">
        <v>0.25</v>
      </c>
      <c r="J91">
        <v>125</v>
      </c>
      <c r="K91">
        <v>500</v>
      </c>
      <c r="AC91" t="s">
        <v>1464</v>
      </c>
    </row>
    <row r="92" spans="1:29" x14ac:dyDescent="0.25">
      <c r="A92" t="s">
        <v>837</v>
      </c>
      <c r="C92">
        <v>41213296</v>
      </c>
      <c r="D92" t="s">
        <v>842</v>
      </c>
      <c r="E92">
        <v>1000</v>
      </c>
      <c r="G92" t="s">
        <v>120</v>
      </c>
      <c r="H92">
        <v>61</v>
      </c>
      <c r="I92">
        <v>0.25</v>
      </c>
      <c r="J92">
        <v>250</v>
      </c>
      <c r="K92">
        <v>1000</v>
      </c>
      <c r="AC92" t="s">
        <v>1389</v>
      </c>
    </row>
    <row r="93" spans="1:29" x14ac:dyDescent="0.25">
      <c r="A93" t="s">
        <v>837</v>
      </c>
      <c r="B93">
        <v>1705028584</v>
      </c>
      <c r="C93">
        <v>41217679</v>
      </c>
      <c r="D93" t="s">
        <v>920</v>
      </c>
      <c r="E93">
        <v>3200</v>
      </c>
      <c r="G93" t="s">
        <v>133</v>
      </c>
      <c r="H93">
        <v>62</v>
      </c>
      <c r="I93">
        <v>0.25</v>
      </c>
      <c r="J93">
        <v>800</v>
      </c>
      <c r="K93">
        <v>3200</v>
      </c>
      <c r="AC93" t="s">
        <v>1465</v>
      </c>
    </row>
    <row r="94" spans="1:29" x14ac:dyDescent="0.25">
      <c r="B94">
        <v>1705028584</v>
      </c>
      <c r="C94">
        <v>41217882</v>
      </c>
      <c r="D94" t="s">
        <v>921</v>
      </c>
      <c r="E94">
        <v>12000</v>
      </c>
      <c r="G94" t="s">
        <v>113</v>
      </c>
      <c r="H94">
        <v>54</v>
      </c>
      <c r="I94">
        <v>0.25</v>
      </c>
      <c r="J94">
        <v>3000</v>
      </c>
      <c r="K94">
        <v>12000</v>
      </c>
      <c r="AC94" t="s">
        <v>1466</v>
      </c>
    </row>
    <row r="95" spans="1:29" x14ac:dyDescent="0.25">
      <c r="B95">
        <v>1705028584</v>
      </c>
      <c r="C95">
        <v>41217605</v>
      </c>
      <c r="D95" t="s">
        <v>922</v>
      </c>
      <c r="E95">
        <v>50</v>
      </c>
      <c r="G95" t="s">
        <v>177</v>
      </c>
      <c r="H95">
        <v>33</v>
      </c>
      <c r="I95">
        <v>3.8</v>
      </c>
      <c r="J95">
        <v>190</v>
      </c>
      <c r="K95">
        <v>50</v>
      </c>
      <c r="AC95" t="s">
        <v>1467</v>
      </c>
    </row>
    <row r="96" spans="1:29" x14ac:dyDescent="0.25">
      <c r="B96">
        <v>1705028584</v>
      </c>
      <c r="C96">
        <v>41217865</v>
      </c>
      <c r="D96" t="s">
        <v>923</v>
      </c>
      <c r="E96">
        <v>14400</v>
      </c>
      <c r="G96" t="s">
        <v>133</v>
      </c>
      <c r="H96">
        <v>40</v>
      </c>
      <c r="J96">
        <v>3600</v>
      </c>
      <c r="L96" t="s">
        <v>834</v>
      </c>
      <c r="AC96" t="s">
        <v>1468</v>
      </c>
    </row>
    <row r="97" spans="1:29" x14ac:dyDescent="0.25">
      <c r="B97">
        <v>1705028584</v>
      </c>
      <c r="C97">
        <v>41217700</v>
      </c>
      <c r="D97" t="s">
        <v>924</v>
      </c>
      <c r="E97">
        <v>500</v>
      </c>
      <c r="G97" t="s">
        <v>135</v>
      </c>
      <c r="H97">
        <v>32</v>
      </c>
      <c r="I97">
        <v>0.25</v>
      </c>
      <c r="J97">
        <v>125</v>
      </c>
      <c r="K97">
        <v>500</v>
      </c>
      <c r="AC97" t="s">
        <v>1469</v>
      </c>
    </row>
    <row r="98" spans="1:29" x14ac:dyDescent="0.25">
      <c r="A98" t="s">
        <v>837</v>
      </c>
      <c r="B98">
        <v>1705028584</v>
      </c>
      <c r="C98">
        <v>41217679</v>
      </c>
      <c r="D98" t="s">
        <v>925</v>
      </c>
      <c r="E98">
        <v>12000</v>
      </c>
      <c r="G98" t="s">
        <v>133</v>
      </c>
      <c r="H98">
        <v>30</v>
      </c>
      <c r="I98">
        <v>0.25</v>
      </c>
      <c r="J98">
        <v>3000</v>
      </c>
      <c r="K98">
        <v>12000</v>
      </c>
      <c r="AC98" t="s">
        <v>1470</v>
      </c>
    </row>
    <row r="99" spans="1:29" x14ac:dyDescent="0.25">
      <c r="C99">
        <v>41212496</v>
      </c>
      <c r="D99" t="s">
        <v>843</v>
      </c>
      <c r="E99">
        <v>3</v>
      </c>
      <c r="AC99" t="s">
        <v>1390</v>
      </c>
    </row>
    <row r="100" spans="1:29" x14ac:dyDescent="0.25">
      <c r="A100" t="s">
        <v>837</v>
      </c>
      <c r="B100">
        <v>11705028584</v>
      </c>
      <c r="C100" t="s">
        <v>926</v>
      </c>
      <c r="D100" t="s">
        <v>840</v>
      </c>
      <c r="E100">
        <v>100</v>
      </c>
      <c r="G100" t="s">
        <v>165</v>
      </c>
      <c r="H100">
        <v>31</v>
      </c>
      <c r="I100">
        <v>0.51</v>
      </c>
      <c r="AC100" t="s">
        <v>1471</v>
      </c>
    </row>
    <row r="101" spans="1:29" x14ac:dyDescent="0.25">
      <c r="B101">
        <v>1705028584</v>
      </c>
      <c r="C101">
        <v>41217700</v>
      </c>
      <c r="D101" t="s">
        <v>927</v>
      </c>
      <c r="E101">
        <v>1000</v>
      </c>
      <c r="G101" t="s">
        <v>135</v>
      </c>
      <c r="H101">
        <v>30</v>
      </c>
      <c r="I101">
        <v>0.25</v>
      </c>
      <c r="J101">
        <v>250</v>
      </c>
      <c r="K101">
        <v>1000</v>
      </c>
      <c r="AC101" t="s">
        <v>1472</v>
      </c>
    </row>
    <row r="102" spans="1:29" x14ac:dyDescent="0.25">
      <c r="A102" t="s">
        <v>837</v>
      </c>
      <c r="B102">
        <v>1705028584</v>
      </c>
      <c r="C102">
        <v>41217312</v>
      </c>
      <c r="D102" t="s">
        <v>928</v>
      </c>
      <c r="E102">
        <v>1500</v>
      </c>
      <c r="G102" t="s">
        <v>156</v>
      </c>
      <c r="H102">
        <v>37</v>
      </c>
      <c r="I102">
        <v>0.33</v>
      </c>
      <c r="J102">
        <v>495</v>
      </c>
      <c r="K102">
        <v>1500</v>
      </c>
      <c r="AC102" t="s">
        <v>1473</v>
      </c>
    </row>
    <row r="103" spans="1:29" x14ac:dyDescent="0.25">
      <c r="B103">
        <v>1705028586</v>
      </c>
      <c r="C103">
        <v>41217180</v>
      </c>
      <c r="D103" t="s">
        <v>929</v>
      </c>
      <c r="E103">
        <v>600</v>
      </c>
      <c r="G103" t="s">
        <v>129</v>
      </c>
      <c r="H103">
        <v>40</v>
      </c>
      <c r="I103">
        <v>0.25</v>
      </c>
      <c r="J103">
        <v>150</v>
      </c>
      <c r="K103">
        <v>600</v>
      </c>
      <c r="AC103" t="s">
        <v>1474</v>
      </c>
    </row>
    <row r="104" spans="1:29" x14ac:dyDescent="0.25">
      <c r="C104">
        <v>41214664</v>
      </c>
      <c r="D104" t="s">
        <v>844</v>
      </c>
      <c r="E104">
        <v>500</v>
      </c>
      <c r="G104" t="s">
        <v>127</v>
      </c>
      <c r="H104">
        <v>112</v>
      </c>
      <c r="I104">
        <v>0.25</v>
      </c>
      <c r="J104">
        <v>125</v>
      </c>
      <c r="K104">
        <v>500</v>
      </c>
      <c r="AC104" t="s">
        <v>1391</v>
      </c>
    </row>
    <row r="105" spans="1:29" x14ac:dyDescent="0.25">
      <c r="A105" t="s">
        <v>837</v>
      </c>
      <c r="C105">
        <v>41214239</v>
      </c>
      <c r="D105" t="s">
        <v>845</v>
      </c>
      <c r="E105">
        <v>1000</v>
      </c>
      <c r="G105" t="s">
        <v>120</v>
      </c>
      <c r="H105">
        <v>147</v>
      </c>
      <c r="I105">
        <v>0.25</v>
      </c>
      <c r="J105">
        <v>250</v>
      </c>
      <c r="K105">
        <v>1000</v>
      </c>
      <c r="AC105" t="s">
        <v>1392</v>
      </c>
    </row>
    <row r="106" spans="1:29" x14ac:dyDescent="0.25">
      <c r="B106">
        <v>1705028586</v>
      </c>
      <c r="C106">
        <v>41217265</v>
      </c>
      <c r="D106" t="s">
        <v>930</v>
      </c>
      <c r="E106">
        <v>150</v>
      </c>
      <c r="G106">
        <v>6200</v>
      </c>
      <c r="H106">
        <v>98</v>
      </c>
      <c r="I106">
        <v>0.56000000000000005</v>
      </c>
      <c r="J106">
        <v>84</v>
      </c>
      <c r="K106">
        <v>149.99999999999997</v>
      </c>
      <c r="L106" t="s">
        <v>834</v>
      </c>
      <c r="AC106" t="s">
        <v>1475</v>
      </c>
    </row>
    <row r="107" spans="1:29" x14ac:dyDescent="0.25">
      <c r="C107">
        <v>41214882</v>
      </c>
      <c r="D107" t="s">
        <v>846</v>
      </c>
      <c r="E107">
        <v>200</v>
      </c>
      <c r="I107">
        <v>1.3</v>
      </c>
      <c r="J107">
        <v>260</v>
      </c>
      <c r="K107">
        <v>200</v>
      </c>
      <c r="AC107" t="s">
        <v>1393</v>
      </c>
    </row>
    <row r="108" spans="1:29" x14ac:dyDescent="0.25">
      <c r="C108">
        <v>41213816</v>
      </c>
      <c r="D108" t="s">
        <v>847</v>
      </c>
      <c r="E108">
        <v>200</v>
      </c>
      <c r="I108">
        <v>1.45</v>
      </c>
      <c r="J108">
        <v>290</v>
      </c>
      <c r="K108">
        <v>200</v>
      </c>
      <c r="AC108" t="s">
        <v>1394</v>
      </c>
    </row>
    <row r="109" spans="1:29" x14ac:dyDescent="0.25">
      <c r="C109">
        <v>41215642</v>
      </c>
      <c r="D109" t="s">
        <v>848</v>
      </c>
      <c r="E109">
        <v>24</v>
      </c>
      <c r="I109">
        <v>8.82</v>
      </c>
      <c r="J109">
        <v>211.68</v>
      </c>
      <c r="K109">
        <v>24</v>
      </c>
      <c r="AC109" t="s">
        <v>1395</v>
      </c>
    </row>
    <row r="110" spans="1:29" x14ac:dyDescent="0.25">
      <c r="B110">
        <v>4170502858</v>
      </c>
      <c r="C110">
        <v>41217695</v>
      </c>
      <c r="D110" t="s">
        <v>931</v>
      </c>
      <c r="E110">
        <v>3</v>
      </c>
      <c r="G110" t="s">
        <v>62</v>
      </c>
      <c r="H110">
        <v>32</v>
      </c>
      <c r="I110">
        <v>13.99</v>
      </c>
      <c r="J110">
        <v>41.97</v>
      </c>
      <c r="K110">
        <v>3</v>
      </c>
      <c r="AC110" t="s">
        <v>1476</v>
      </c>
    </row>
    <row r="111" spans="1:29" x14ac:dyDescent="0.25">
      <c r="C111">
        <v>41212496</v>
      </c>
      <c r="D111" t="s">
        <v>833</v>
      </c>
      <c r="E111">
        <v>3</v>
      </c>
      <c r="G111" t="s">
        <v>64</v>
      </c>
      <c r="H111">
        <v>78</v>
      </c>
      <c r="I111">
        <v>13.99</v>
      </c>
      <c r="J111">
        <v>41.97</v>
      </c>
      <c r="K111">
        <v>3</v>
      </c>
      <c r="AC111" t="s">
        <v>1383</v>
      </c>
    </row>
    <row r="112" spans="1:29" x14ac:dyDescent="0.25">
      <c r="C112">
        <v>41214239</v>
      </c>
      <c r="D112" t="s">
        <v>905</v>
      </c>
      <c r="E112">
        <v>3</v>
      </c>
      <c r="G112" t="s">
        <v>369</v>
      </c>
      <c r="H112">
        <v>122</v>
      </c>
      <c r="I112">
        <v>13.99</v>
      </c>
      <c r="J112">
        <v>41.97</v>
      </c>
      <c r="K112">
        <v>3</v>
      </c>
      <c r="AC112" t="s">
        <v>1452</v>
      </c>
    </row>
    <row r="113" spans="1:29" x14ac:dyDescent="0.25">
      <c r="C113">
        <v>41213816</v>
      </c>
      <c r="D113" t="s">
        <v>835</v>
      </c>
      <c r="E113">
        <v>3</v>
      </c>
      <c r="G113" t="s">
        <v>65</v>
      </c>
      <c r="H113">
        <v>168</v>
      </c>
      <c r="I113">
        <v>13.99</v>
      </c>
      <c r="J113">
        <v>41.97</v>
      </c>
      <c r="K113">
        <v>3</v>
      </c>
      <c r="AC113" t="s">
        <v>1384</v>
      </c>
    </row>
    <row r="114" spans="1:29" x14ac:dyDescent="0.25">
      <c r="C114">
        <v>41213696</v>
      </c>
      <c r="D114" t="s">
        <v>836</v>
      </c>
      <c r="E114">
        <v>3</v>
      </c>
      <c r="G114" t="s">
        <v>227</v>
      </c>
      <c r="H114">
        <v>218</v>
      </c>
      <c r="I114">
        <v>13.99</v>
      </c>
      <c r="AC114" t="s">
        <v>1385</v>
      </c>
    </row>
    <row r="115" spans="1:29" x14ac:dyDescent="0.25">
      <c r="B115">
        <v>1705028584</v>
      </c>
      <c r="C115">
        <v>41217882</v>
      </c>
      <c r="D115" t="s">
        <v>932</v>
      </c>
      <c r="E115">
        <v>12000</v>
      </c>
      <c r="G115" t="s">
        <v>113</v>
      </c>
      <c r="H115">
        <v>41</v>
      </c>
      <c r="I115">
        <v>0.25</v>
      </c>
      <c r="J115">
        <v>3000</v>
      </c>
      <c r="K115">
        <v>12000</v>
      </c>
      <c r="AC115" t="s">
        <v>1477</v>
      </c>
    </row>
    <row r="116" spans="1:29" x14ac:dyDescent="0.25">
      <c r="B116">
        <v>1705028584</v>
      </c>
      <c r="C116">
        <v>41217882</v>
      </c>
      <c r="D116" t="s">
        <v>933</v>
      </c>
      <c r="E116">
        <v>7200</v>
      </c>
      <c r="G116" t="s">
        <v>113</v>
      </c>
      <c r="H116">
        <v>31</v>
      </c>
      <c r="I116">
        <v>0.25</v>
      </c>
      <c r="J116">
        <v>1800</v>
      </c>
      <c r="K116">
        <v>7200</v>
      </c>
      <c r="AC116" t="s">
        <v>1478</v>
      </c>
    </row>
    <row r="117" spans="1:29" x14ac:dyDescent="0.25">
      <c r="C117">
        <v>41215617</v>
      </c>
      <c r="D117" t="s">
        <v>838</v>
      </c>
      <c r="E117">
        <v>1</v>
      </c>
      <c r="AC117" t="s">
        <v>1386</v>
      </c>
    </row>
    <row r="118" spans="1:29" x14ac:dyDescent="0.25">
      <c r="B118">
        <v>1705028586</v>
      </c>
      <c r="C118">
        <v>41217180</v>
      </c>
      <c r="D118" t="s">
        <v>934</v>
      </c>
      <c r="E118">
        <v>1000</v>
      </c>
      <c r="G118" t="s">
        <v>123</v>
      </c>
      <c r="H118">
        <v>30</v>
      </c>
      <c r="I118">
        <v>0.25</v>
      </c>
      <c r="J118">
        <v>250</v>
      </c>
      <c r="K118">
        <v>1000</v>
      </c>
      <c r="AC118" t="s">
        <v>1479</v>
      </c>
    </row>
    <row r="119" spans="1:29" x14ac:dyDescent="0.25">
      <c r="C119">
        <v>41214882</v>
      </c>
      <c r="D119" t="s">
        <v>918</v>
      </c>
      <c r="E119">
        <v>1000</v>
      </c>
      <c r="G119" t="s">
        <v>127</v>
      </c>
      <c r="H119">
        <v>60</v>
      </c>
      <c r="I119">
        <v>0.25</v>
      </c>
      <c r="J119">
        <v>250</v>
      </c>
      <c r="K119">
        <v>1000</v>
      </c>
      <c r="AC119" t="s">
        <v>1387</v>
      </c>
    </row>
    <row r="120" spans="1:29" x14ac:dyDescent="0.25">
      <c r="A120" t="s">
        <v>837</v>
      </c>
      <c r="C120">
        <v>41213816</v>
      </c>
      <c r="D120" t="s">
        <v>841</v>
      </c>
      <c r="E120">
        <v>1000</v>
      </c>
      <c r="G120" t="s">
        <v>120</v>
      </c>
      <c r="H120">
        <v>93</v>
      </c>
      <c r="I120">
        <v>0.25</v>
      </c>
      <c r="AC120" t="s">
        <v>1388</v>
      </c>
    </row>
    <row r="121" spans="1:29" x14ac:dyDescent="0.25">
      <c r="A121" t="s">
        <v>837</v>
      </c>
      <c r="B121">
        <v>1705028586</v>
      </c>
      <c r="C121">
        <v>41217840</v>
      </c>
      <c r="D121" t="s">
        <v>935</v>
      </c>
      <c r="E121">
        <v>600</v>
      </c>
      <c r="G121" t="s">
        <v>129</v>
      </c>
      <c r="H121">
        <v>33</v>
      </c>
      <c r="I121">
        <v>0.25</v>
      </c>
      <c r="J121">
        <v>150</v>
      </c>
      <c r="K121">
        <v>600</v>
      </c>
      <c r="AC121" t="s">
        <v>1480</v>
      </c>
    </row>
    <row r="122" spans="1:29" x14ac:dyDescent="0.25">
      <c r="A122" t="s">
        <v>837</v>
      </c>
      <c r="B122">
        <v>1705028586</v>
      </c>
      <c r="C122">
        <v>41217871</v>
      </c>
      <c r="D122" t="s">
        <v>936</v>
      </c>
      <c r="E122">
        <v>400</v>
      </c>
      <c r="G122" t="s">
        <v>129</v>
      </c>
      <c r="H122">
        <v>31</v>
      </c>
      <c r="I122">
        <v>0.25</v>
      </c>
      <c r="AC122" t="s">
        <v>1481</v>
      </c>
    </row>
    <row r="123" spans="1:29" x14ac:dyDescent="0.25">
      <c r="A123" t="s">
        <v>680</v>
      </c>
      <c r="B123">
        <v>4170502858</v>
      </c>
      <c r="C123">
        <v>41217679</v>
      </c>
      <c r="D123" t="s">
        <v>937</v>
      </c>
      <c r="E123">
        <v>0</v>
      </c>
      <c r="I123">
        <v>0.25</v>
      </c>
      <c r="J123">
        <v>3000</v>
      </c>
      <c r="K123">
        <v>12000</v>
      </c>
      <c r="L123" t="s">
        <v>834</v>
      </c>
      <c r="AC123" t="s">
        <v>1482</v>
      </c>
    </row>
    <row r="124" spans="1:29" x14ac:dyDescent="0.25">
      <c r="A124" t="s">
        <v>680</v>
      </c>
      <c r="B124">
        <v>8.0100617050285802E+29</v>
      </c>
      <c r="C124">
        <v>41217331</v>
      </c>
      <c r="D124" t="s">
        <v>938</v>
      </c>
      <c r="E124">
        <v>100</v>
      </c>
      <c r="G124" t="s">
        <v>165</v>
      </c>
      <c r="H124">
        <v>23</v>
      </c>
      <c r="I124">
        <v>0.51</v>
      </c>
      <c r="J124">
        <v>51</v>
      </c>
      <c r="K124">
        <v>100</v>
      </c>
      <c r="L124" t="s">
        <v>834</v>
      </c>
      <c r="AC124" t="s">
        <v>1483</v>
      </c>
    </row>
    <row r="125" spans="1:29" x14ac:dyDescent="0.25">
      <c r="C125">
        <v>41213296</v>
      </c>
      <c r="D125" t="s">
        <v>842</v>
      </c>
      <c r="E125">
        <v>10</v>
      </c>
      <c r="G125" t="s">
        <v>168</v>
      </c>
      <c r="H125">
        <v>39</v>
      </c>
      <c r="I125">
        <v>1.3</v>
      </c>
      <c r="J125">
        <v>13</v>
      </c>
      <c r="K125">
        <v>10</v>
      </c>
      <c r="AC125" t="s">
        <v>1389</v>
      </c>
    </row>
    <row r="126" spans="1:29" x14ac:dyDescent="0.25">
      <c r="A126" t="s">
        <v>680</v>
      </c>
      <c r="B126">
        <v>1.11180262801006E+30</v>
      </c>
      <c r="C126">
        <v>41217314</v>
      </c>
      <c r="D126" t="s">
        <v>939</v>
      </c>
      <c r="E126">
        <v>720</v>
      </c>
      <c r="G126" t="s">
        <v>165</v>
      </c>
      <c r="H126">
        <v>333</v>
      </c>
      <c r="I126">
        <v>1.7</v>
      </c>
      <c r="J126">
        <v>1224</v>
      </c>
      <c r="K126">
        <v>720</v>
      </c>
      <c r="AC126" t="s">
        <v>1484</v>
      </c>
    </row>
    <row r="127" spans="1:29" x14ac:dyDescent="0.25">
      <c r="B127">
        <v>1.68009007470078E+33</v>
      </c>
      <c r="C127">
        <v>41217222</v>
      </c>
      <c r="D127" t="s">
        <v>940</v>
      </c>
      <c r="E127">
        <v>12</v>
      </c>
      <c r="G127">
        <v>6800</v>
      </c>
      <c r="H127">
        <v>24</v>
      </c>
      <c r="I127">
        <v>96</v>
      </c>
      <c r="J127">
        <v>1152</v>
      </c>
      <c r="K127">
        <v>12</v>
      </c>
      <c r="AC127" t="s">
        <v>1485</v>
      </c>
    </row>
    <row r="128" spans="1:29" x14ac:dyDescent="0.25">
      <c r="A128" t="s">
        <v>837</v>
      </c>
      <c r="B128">
        <v>1.0013461801006099E+27</v>
      </c>
      <c r="C128">
        <v>41217605</v>
      </c>
      <c r="D128" t="s">
        <v>941</v>
      </c>
      <c r="E128">
        <v>50</v>
      </c>
      <c r="G128" t="s">
        <v>177</v>
      </c>
      <c r="H128">
        <v>38</v>
      </c>
      <c r="I128">
        <v>3.8</v>
      </c>
      <c r="J128">
        <v>190</v>
      </c>
      <c r="K128">
        <v>50</v>
      </c>
      <c r="AC128" t="s">
        <v>1486</v>
      </c>
    </row>
    <row r="129" spans="1:29" x14ac:dyDescent="0.25">
      <c r="A129" t="s">
        <v>837</v>
      </c>
      <c r="B129">
        <v>8010061705028580</v>
      </c>
      <c r="C129">
        <v>41217312</v>
      </c>
      <c r="D129" t="s">
        <v>942</v>
      </c>
      <c r="E129">
        <v>1500</v>
      </c>
      <c r="G129" t="s">
        <v>156</v>
      </c>
      <c r="H129">
        <v>39</v>
      </c>
      <c r="I129">
        <v>0.33</v>
      </c>
      <c r="J129">
        <v>495</v>
      </c>
      <c r="K129">
        <v>1500</v>
      </c>
      <c r="AC129" t="s">
        <v>1487</v>
      </c>
    </row>
    <row r="130" spans="1:29" x14ac:dyDescent="0.25">
      <c r="A130" t="s">
        <v>680</v>
      </c>
      <c r="B130">
        <v>8010061705026580</v>
      </c>
      <c r="C130">
        <v>41217703</v>
      </c>
      <c r="D130" t="s">
        <v>943</v>
      </c>
      <c r="E130">
        <v>3000</v>
      </c>
      <c r="I130">
        <v>0.02</v>
      </c>
      <c r="J130">
        <v>0.02</v>
      </c>
      <c r="K130">
        <v>1</v>
      </c>
      <c r="L130" t="s">
        <v>834</v>
      </c>
      <c r="AC130" t="s">
        <v>1488</v>
      </c>
    </row>
    <row r="131" spans="1:29" x14ac:dyDescent="0.25">
      <c r="B131">
        <v>1.1500000332201499E+38</v>
      </c>
      <c r="C131">
        <v>41217700</v>
      </c>
      <c r="D131" t="s">
        <v>944</v>
      </c>
      <c r="E131">
        <v>1500</v>
      </c>
      <c r="G131" t="s">
        <v>131</v>
      </c>
      <c r="H131">
        <v>37</v>
      </c>
      <c r="I131">
        <v>0.25</v>
      </c>
      <c r="J131">
        <v>375</v>
      </c>
      <c r="K131">
        <v>1500</v>
      </c>
      <c r="AC131" t="s">
        <v>1489</v>
      </c>
    </row>
    <row r="132" spans="1:29" x14ac:dyDescent="0.25">
      <c r="B132">
        <v>8.0100617050285803E+24</v>
      </c>
      <c r="C132">
        <v>41217265</v>
      </c>
      <c r="D132" t="s">
        <v>945</v>
      </c>
      <c r="E132">
        <v>12</v>
      </c>
      <c r="G132">
        <v>6800</v>
      </c>
      <c r="H132">
        <v>24</v>
      </c>
      <c r="I132">
        <v>94</v>
      </c>
      <c r="J132">
        <v>1128</v>
      </c>
      <c r="K132">
        <v>12</v>
      </c>
      <c r="AC132" t="s">
        <v>1490</v>
      </c>
    </row>
    <row r="133" spans="1:29" x14ac:dyDescent="0.25">
      <c r="C133">
        <v>41212496</v>
      </c>
      <c r="D133" t="s">
        <v>843</v>
      </c>
      <c r="E133">
        <v>1500</v>
      </c>
      <c r="G133">
        <v>6800</v>
      </c>
      <c r="H133">
        <v>1598</v>
      </c>
      <c r="I133">
        <v>0.33</v>
      </c>
      <c r="J133">
        <v>495</v>
      </c>
      <c r="K133">
        <v>1500</v>
      </c>
      <c r="AC133" t="s">
        <v>1390</v>
      </c>
    </row>
    <row r="134" spans="1:29" x14ac:dyDescent="0.25">
      <c r="B134">
        <v>8010061705028580</v>
      </c>
      <c r="C134">
        <v>41217882</v>
      </c>
      <c r="D134" t="s">
        <v>946</v>
      </c>
      <c r="E134">
        <v>5800</v>
      </c>
      <c r="G134" t="s">
        <v>113</v>
      </c>
      <c r="H134">
        <v>38</v>
      </c>
      <c r="I134">
        <v>0.25</v>
      </c>
      <c r="J134">
        <v>1450</v>
      </c>
      <c r="K134">
        <v>5800</v>
      </c>
      <c r="AC134" t="s">
        <v>1491</v>
      </c>
    </row>
    <row r="135" spans="1:29" x14ac:dyDescent="0.25">
      <c r="B135">
        <v>8.0100611170502797E+17</v>
      </c>
      <c r="C135">
        <v>41217700</v>
      </c>
      <c r="D135" t="s">
        <v>947</v>
      </c>
      <c r="E135">
        <v>1200</v>
      </c>
      <c r="G135" t="s">
        <v>131</v>
      </c>
      <c r="H135">
        <v>39</v>
      </c>
      <c r="I135">
        <v>0.25</v>
      </c>
      <c r="J135">
        <v>300</v>
      </c>
      <c r="K135">
        <v>1200</v>
      </c>
      <c r="AC135" t="s">
        <v>1492</v>
      </c>
    </row>
    <row r="136" spans="1:29" x14ac:dyDescent="0.25">
      <c r="B136">
        <v>8.0100617050285797E+37</v>
      </c>
      <c r="C136">
        <v>41217679</v>
      </c>
      <c r="D136" t="s">
        <v>948</v>
      </c>
      <c r="E136">
        <v>9600</v>
      </c>
      <c r="G136" t="s">
        <v>133</v>
      </c>
      <c r="H136">
        <v>23</v>
      </c>
      <c r="I136">
        <v>0.25</v>
      </c>
      <c r="J136">
        <v>2400</v>
      </c>
      <c r="K136">
        <v>9600</v>
      </c>
      <c r="AC136" t="s">
        <v>1493</v>
      </c>
    </row>
    <row r="137" spans="1:29" x14ac:dyDescent="0.25">
      <c r="A137" t="s">
        <v>837</v>
      </c>
      <c r="B137">
        <v>8.0100617050285798E+26</v>
      </c>
      <c r="C137">
        <v>41217312</v>
      </c>
      <c r="D137" t="s">
        <v>949</v>
      </c>
      <c r="E137">
        <v>3000</v>
      </c>
      <c r="G137" t="s">
        <v>156</v>
      </c>
      <c r="H137">
        <v>31</v>
      </c>
      <c r="I137">
        <v>0.33</v>
      </c>
      <c r="J137">
        <v>0.33</v>
      </c>
      <c r="K137">
        <v>1</v>
      </c>
      <c r="L137" t="s">
        <v>834</v>
      </c>
      <c r="AC137" t="s">
        <v>1494</v>
      </c>
    </row>
    <row r="138" spans="1:29" x14ac:dyDescent="0.25">
      <c r="A138" t="s">
        <v>837</v>
      </c>
      <c r="B138">
        <v>8.0100611705028495E+28</v>
      </c>
      <c r="C138">
        <v>41217698</v>
      </c>
      <c r="D138" t="s">
        <v>950</v>
      </c>
      <c r="E138">
        <v>100</v>
      </c>
      <c r="G138" t="s">
        <v>138</v>
      </c>
      <c r="H138">
        <v>23</v>
      </c>
      <c r="I138">
        <v>3.4</v>
      </c>
      <c r="J138">
        <v>340</v>
      </c>
      <c r="K138">
        <v>100</v>
      </c>
      <c r="AC138" t="s">
        <v>1495</v>
      </c>
    </row>
    <row r="139" spans="1:29" x14ac:dyDescent="0.25">
      <c r="B139">
        <v>8.0100617050285795E+27</v>
      </c>
      <c r="C139">
        <v>41217331</v>
      </c>
      <c r="D139" t="s">
        <v>951</v>
      </c>
      <c r="E139">
        <v>200</v>
      </c>
      <c r="G139" t="s">
        <v>165</v>
      </c>
      <c r="H139">
        <v>23</v>
      </c>
      <c r="I139">
        <v>0.51</v>
      </c>
      <c r="J139">
        <v>0.51</v>
      </c>
      <c r="K139">
        <v>1</v>
      </c>
      <c r="L139" t="s">
        <v>834</v>
      </c>
      <c r="AC139" t="s">
        <v>1496</v>
      </c>
    </row>
    <row r="140" spans="1:29" x14ac:dyDescent="0.25">
      <c r="A140" t="s">
        <v>837</v>
      </c>
      <c r="B140">
        <v>1.10368010061705E+23</v>
      </c>
      <c r="C140">
        <v>41217317</v>
      </c>
      <c r="D140" t="s">
        <v>952</v>
      </c>
      <c r="E140">
        <v>3</v>
      </c>
      <c r="G140" t="s">
        <v>227</v>
      </c>
      <c r="H140">
        <v>23</v>
      </c>
      <c r="I140">
        <v>13.99</v>
      </c>
      <c r="J140">
        <v>41.97</v>
      </c>
      <c r="K140">
        <v>3</v>
      </c>
      <c r="AC140" t="s">
        <v>1497</v>
      </c>
    </row>
    <row r="141" spans="1:29" x14ac:dyDescent="0.25">
      <c r="C141">
        <v>41214664</v>
      </c>
      <c r="D141" t="s">
        <v>844</v>
      </c>
      <c r="E141">
        <v>3</v>
      </c>
      <c r="G141" t="s">
        <v>64</v>
      </c>
      <c r="H141">
        <v>30</v>
      </c>
      <c r="I141">
        <v>13.99</v>
      </c>
      <c r="J141">
        <v>41.97</v>
      </c>
      <c r="K141">
        <v>3</v>
      </c>
      <c r="AC141" t="s">
        <v>1391</v>
      </c>
    </row>
    <row r="142" spans="1:29" x14ac:dyDescent="0.25">
      <c r="C142">
        <v>41214239</v>
      </c>
      <c r="D142" t="s">
        <v>845</v>
      </c>
      <c r="E142">
        <v>1</v>
      </c>
      <c r="G142" t="s">
        <v>369</v>
      </c>
      <c r="H142">
        <v>37</v>
      </c>
      <c r="I142">
        <v>13.99</v>
      </c>
      <c r="J142">
        <v>41.97</v>
      </c>
      <c r="K142">
        <v>3</v>
      </c>
      <c r="L142" t="s">
        <v>834</v>
      </c>
      <c r="AC142" t="s">
        <v>1392</v>
      </c>
    </row>
    <row r="143" spans="1:29" x14ac:dyDescent="0.25">
      <c r="A143" t="s">
        <v>680</v>
      </c>
      <c r="B143">
        <v>8.0100617050285794E+35</v>
      </c>
      <c r="C143">
        <v>41217679</v>
      </c>
      <c r="D143" t="s">
        <v>953</v>
      </c>
      <c r="E143">
        <v>12000</v>
      </c>
      <c r="G143" t="s">
        <v>133</v>
      </c>
      <c r="H143">
        <v>30</v>
      </c>
      <c r="I143">
        <v>0.25</v>
      </c>
      <c r="J143">
        <v>3000</v>
      </c>
      <c r="K143">
        <v>12000</v>
      </c>
      <c r="L143" t="s">
        <v>834</v>
      </c>
      <c r="AC143" t="s">
        <v>1498</v>
      </c>
    </row>
    <row r="144" spans="1:29" x14ac:dyDescent="0.25">
      <c r="A144" t="s">
        <v>837</v>
      </c>
      <c r="B144">
        <v>8.0100617050285804E+31</v>
      </c>
      <c r="C144">
        <v>41217222</v>
      </c>
      <c r="D144" t="s">
        <v>954</v>
      </c>
      <c r="E144">
        <v>24</v>
      </c>
      <c r="G144">
        <v>6800</v>
      </c>
      <c r="H144">
        <v>62</v>
      </c>
      <c r="I144">
        <v>96</v>
      </c>
      <c r="J144">
        <v>96</v>
      </c>
      <c r="K144">
        <v>1</v>
      </c>
      <c r="L144" t="s">
        <v>834</v>
      </c>
      <c r="AC144" t="s">
        <v>1499</v>
      </c>
    </row>
    <row r="145" spans="1:29" x14ac:dyDescent="0.25">
      <c r="A145" t="s">
        <v>837</v>
      </c>
      <c r="B145">
        <v>8010061705028580</v>
      </c>
      <c r="C145">
        <v>41217698</v>
      </c>
      <c r="D145" t="s">
        <v>955</v>
      </c>
      <c r="E145">
        <v>100</v>
      </c>
      <c r="G145" t="s">
        <v>138</v>
      </c>
      <c r="H145">
        <v>82</v>
      </c>
      <c r="I145">
        <v>3.4</v>
      </c>
      <c r="J145">
        <v>3.4</v>
      </c>
      <c r="K145">
        <v>1</v>
      </c>
      <c r="L145" t="s">
        <v>834</v>
      </c>
      <c r="AC145" t="s">
        <v>1500</v>
      </c>
    </row>
    <row r="146" spans="1:29" x14ac:dyDescent="0.25">
      <c r="A146" t="s">
        <v>837</v>
      </c>
      <c r="B146">
        <v>1.00000050523944E+31</v>
      </c>
      <c r="C146">
        <v>41217699</v>
      </c>
      <c r="D146" t="s">
        <v>956</v>
      </c>
      <c r="E146">
        <v>500</v>
      </c>
      <c r="G146" t="s">
        <v>170</v>
      </c>
      <c r="H146">
        <v>74</v>
      </c>
      <c r="I146">
        <v>1.28</v>
      </c>
      <c r="J146">
        <v>1.28</v>
      </c>
      <c r="K146">
        <v>1</v>
      </c>
      <c r="L146" t="s">
        <v>834</v>
      </c>
      <c r="AC146" t="s">
        <v>1501</v>
      </c>
    </row>
    <row r="147" spans="1:29" x14ac:dyDescent="0.25">
      <c r="B147">
        <v>1.00000050523944E+30</v>
      </c>
      <c r="C147">
        <v>41217605</v>
      </c>
      <c r="D147" t="s">
        <v>957</v>
      </c>
      <c r="E147">
        <v>50</v>
      </c>
      <c r="G147" t="s">
        <v>177</v>
      </c>
      <c r="H147">
        <v>90</v>
      </c>
      <c r="J147">
        <v>3.8</v>
      </c>
      <c r="L147" t="s">
        <v>834</v>
      </c>
      <c r="AC147" t="s">
        <v>1502</v>
      </c>
    </row>
    <row r="148" spans="1:29" x14ac:dyDescent="0.25">
      <c r="A148" t="s">
        <v>680</v>
      </c>
      <c r="B148">
        <v>8010061705028580</v>
      </c>
      <c r="C148">
        <v>41217331</v>
      </c>
      <c r="D148" t="s">
        <v>958</v>
      </c>
      <c r="E148">
        <v>300</v>
      </c>
      <c r="I148">
        <v>0.51</v>
      </c>
      <c r="J148">
        <v>0.51</v>
      </c>
      <c r="K148">
        <v>1</v>
      </c>
      <c r="L148" t="s">
        <v>834</v>
      </c>
      <c r="AC148" t="s">
        <v>1503</v>
      </c>
    </row>
    <row r="149" spans="1:29" x14ac:dyDescent="0.25">
      <c r="C149">
        <v>41214882</v>
      </c>
      <c r="D149" t="s">
        <v>846</v>
      </c>
      <c r="E149">
        <v>153</v>
      </c>
      <c r="J149">
        <v>153</v>
      </c>
      <c r="K149">
        <v>1</v>
      </c>
      <c r="L149" t="s">
        <v>834</v>
      </c>
      <c r="AC149" t="s">
        <v>1393</v>
      </c>
    </row>
    <row r="150" spans="1:29" x14ac:dyDescent="0.25">
      <c r="A150" t="s">
        <v>837</v>
      </c>
      <c r="B150">
        <v>1.00000050523944E+30</v>
      </c>
      <c r="C150">
        <v>41217312</v>
      </c>
      <c r="D150" t="s">
        <v>959</v>
      </c>
      <c r="E150">
        <v>3000</v>
      </c>
      <c r="G150" t="s">
        <v>156</v>
      </c>
      <c r="H150">
        <v>87</v>
      </c>
      <c r="J150">
        <v>0.33</v>
      </c>
      <c r="L150" t="s">
        <v>834</v>
      </c>
      <c r="AC150" t="s">
        <v>1504</v>
      </c>
    </row>
    <row r="151" spans="1:29" x14ac:dyDescent="0.25">
      <c r="A151" t="s">
        <v>837</v>
      </c>
      <c r="B151">
        <v>1.00000050523944E+31</v>
      </c>
      <c r="C151">
        <v>41217918</v>
      </c>
      <c r="D151" t="s">
        <v>960</v>
      </c>
      <c r="E151">
        <v>15000</v>
      </c>
      <c r="G151" t="s">
        <v>113</v>
      </c>
      <c r="H151">
        <v>96</v>
      </c>
      <c r="I151">
        <v>0.25</v>
      </c>
      <c r="J151">
        <v>0.25</v>
      </c>
      <c r="K151">
        <v>1</v>
      </c>
      <c r="L151" t="s">
        <v>834</v>
      </c>
      <c r="AC151" t="s">
        <v>1505</v>
      </c>
    </row>
    <row r="152" spans="1:29" x14ac:dyDescent="0.25">
      <c r="B152">
        <v>1.00000050523944E+30</v>
      </c>
      <c r="C152">
        <v>41217265</v>
      </c>
      <c r="D152" t="s">
        <v>961</v>
      </c>
      <c r="E152">
        <v>1500</v>
      </c>
      <c r="G152" t="s">
        <v>156</v>
      </c>
      <c r="H152">
        <v>91</v>
      </c>
      <c r="J152">
        <v>0.33</v>
      </c>
      <c r="L152" t="s">
        <v>834</v>
      </c>
      <c r="AC152" t="s">
        <v>1506</v>
      </c>
    </row>
    <row r="153" spans="1:29" x14ac:dyDescent="0.25">
      <c r="A153" t="s">
        <v>837</v>
      </c>
      <c r="C153">
        <v>41213816</v>
      </c>
      <c r="D153" t="s">
        <v>847</v>
      </c>
      <c r="E153">
        <v>100</v>
      </c>
      <c r="G153">
        <v>6001</v>
      </c>
      <c r="H153">
        <v>195</v>
      </c>
      <c r="J153">
        <v>1.3</v>
      </c>
      <c r="L153" t="s">
        <v>834</v>
      </c>
      <c r="AC153" t="s">
        <v>1394</v>
      </c>
    </row>
    <row r="154" spans="1:29" x14ac:dyDescent="0.25">
      <c r="C154">
        <v>41215642</v>
      </c>
      <c r="D154" t="s">
        <v>848</v>
      </c>
      <c r="E154">
        <v>100</v>
      </c>
      <c r="J154">
        <v>7.94</v>
      </c>
      <c r="L154" t="s">
        <v>834</v>
      </c>
      <c r="AC154" t="s">
        <v>1395</v>
      </c>
    </row>
    <row r="155" spans="1:29" x14ac:dyDescent="0.25">
      <c r="A155" t="s">
        <v>837</v>
      </c>
      <c r="B155">
        <v>8.0100617050285802E+28</v>
      </c>
      <c r="C155">
        <v>41217871</v>
      </c>
      <c r="D155" t="s">
        <v>962</v>
      </c>
      <c r="E155">
        <v>200</v>
      </c>
      <c r="G155" t="s">
        <v>129</v>
      </c>
      <c r="H155">
        <v>40</v>
      </c>
      <c r="I155">
        <v>0.25</v>
      </c>
      <c r="J155">
        <v>0.25</v>
      </c>
      <c r="K155">
        <v>1</v>
      </c>
      <c r="L155" t="s">
        <v>834</v>
      </c>
      <c r="AC155" t="s">
        <v>1507</v>
      </c>
    </row>
    <row r="156" spans="1:29" x14ac:dyDescent="0.25">
      <c r="B156">
        <v>8010061705028580</v>
      </c>
      <c r="C156">
        <v>41217336</v>
      </c>
      <c r="D156" t="s">
        <v>963</v>
      </c>
      <c r="E156">
        <v>1000</v>
      </c>
      <c r="G156" t="s">
        <v>190</v>
      </c>
      <c r="H156">
        <v>61</v>
      </c>
      <c r="I156">
        <v>0.15</v>
      </c>
      <c r="J156">
        <v>0.15</v>
      </c>
      <c r="K156">
        <v>1</v>
      </c>
      <c r="L156" t="s">
        <v>834</v>
      </c>
      <c r="AC156" t="s">
        <v>1508</v>
      </c>
    </row>
    <row r="157" spans="1:29" x14ac:dyDescent="0.25">
      <c r="B157">
        <v>8010061705028580</v>
      </c>
      <c r="C157">
        <v>41217700</v>
      </c>
      <c r="D157" t="s">
        <v>964</v>
      </c>
      <c r="E157">
        <v>1200</v>
      </c>
      <c r="G157" t="s">
        <v>131</v>
      </c>
      <c r="H157">
        <v>49</v>
      </c>
      <c r="I157">
        <v>0.25</v>
      </c>
      <c r="J157">
        <v>0.25</v>
      </c>
      <c r="K157">
        <v>1</v>
      </c>
      <c r="L157" t="s">
        <v>834</v>
      </c>
      <c r="AC157" t="s">
        <v>1509</v>
      </c>
    </row>
    <row r="158" spans="1:29" x14ac:dyDescent="0.25">
      <c r="B158">
        <v>8010061705028580</v>
      </c>
      <c r="C158">
        <v>41217334</v>
      </c>
      <c r="D158" t="s">
        <v>965</v>
      </c>
      <c r="E158">
        <v>200</v>
      </c>
      <c r="G158" t="s">
        <v>174</v>
      </c>
      <c r="H158">
        <v>59</v>
      </c>
      <c r="I158">
        <v>0.56000000000000005</v>
      </c>
      <c r="J158">
        <v>0.56000000000000005</v>
      </c>
      <c r="K158">
        <v>1</v>
      </c>
      <c r="L158" t="s">
        <v>834</v>
      </c>
      <c r="AC158" t="s">
        <v>1510</v>
      </c>
    </row>
    <row r="159" spans="1:29" x14ac:dyDescent="0.25">
      <c r="A159" t="s">
        <v>837</v>
      </c>
      <c r="B159">
        <v>1.00000050543944E+31</v>
      </c>
      <c r="C159">
        <v>41217484</v>
      </c>
      <c r="D159" t="s">
        <v>966</v>
      </c>
      <c r="E159">
        <v>400</v>
      </c>
      <c r="G159" t="s">
        <v>125</v>
      </c>
      <c r="H159">
        <v>58</v>
      </c>
      <c r="AC159" t="s">
        <v>1511</v>
      </c>
    </row>
    <row r="160" spans="1:29" x14ac:dyDescent="0.25">
      <c r="A160" t="s">
        <v>837</v>
      </c>
      <c r="B160">
        <v>8.0100617050285802E+30</v>
      </c>
      <c r="C160">
        <v>41217331</v>
      </c>
      <c r="D160" t="s">
        <v>967</v>
      </c>
      <c r="E160">
        <v>200</v>
      </c>
      <c r="G160" t="s">
        <v>168</v>
      </c>
      <c r="H160">
        <v>104</v>
      </c>
      <c r="I160">
        <v>0.51</v>
      </c>
      <c r="J160">
        <v>102</v>
      </c>
      <c r="K160">
        <v>200</v>
      </c>
      <c r="AC160" t="s">
        <v>1512</v>
      </c>
    </row>
    <row r="161" spans="1:29" x14ac:dyDescent="0.25">
      <c r="C161">
        <v>41215617</v>
      </c>
      <c r="D161" t="s">
        <v>849</v>
      </c>
      <c r="E161">
        <v>102</v>
      </c>
      <c r="I161">
        <v>1.3</v>
      </c>
      <c r="J161">
        <v>1.3</v>
      </c>
      <c r="K161">
        <v>1</v>
      </c>
      <c r="L161" t="s">
        <v>834</v>
      </c>
      <c r="AC161" t="s">
        <v>1396</v>
      </c>
    </row>
    <row r="162" spans="1:29" x14ac:dyDescent="0.25">
      <c r="C162">
        <v>41213816</v>
      </c>
      <c r="D162" t="s">
        <v>968</v>
      </c>
      <c r="E162">
        <v>20</v>
      </c>
      <c r="J162">
        <v>26</v>
      </c>
      <c r="K162">
        <v>1</v>
      </c>
      <c r="L162" t="s">
        <v>834</v>
      </c>
      <c r="AC162" t="s">
        <v>1513</v>
      </c>
    </row>
    <row r="163" spans="1:29" x14ac:dyDescent="0.25">
      <c r="C163">
        <v>41214239</v>
      </c>
      <c r="D163" t="s">
        <v>851</v>
      </c>
      <c r="E163">
        <v>26</v>
      </c>
      <c r="J163">
        <v>0.51</v>
      </c>
      <c r="K163">
        <v>1</v>
      </c>
      <c r="L163" t="s">
        <v>834</v>
      </c>
      <c r="AC163" t="s">
        <v>1398</v>
      </c>
    </row>
    <row r="164" spans="1:29" x14ac:dyDescent="0.25">
      <c r="A164" t="s">
        <v>837</v>
      </c>
      <c r="B164">
        <v>8010061705028580</v>
      </c>
      <c r="C164">
        <v>41217697</v>
      </c>
      <c r="D164" t="s">
        <v>969</v>
      </c>
      <c r="E164">
        <v>140</v>
      </c>
      <c r="G164">
        <v>6001</v>
      </c>
      <c r="H164">
        <v>83</v>
      </c>
      <c r="I164">
        <v>3.97</v>
      </c>
      <c r="J164">
        <v>3.97</v>
      </c>
      <c r="K164">
        <v>1</v>
      </c>
      <c r="L164" t="s">
        <v>834</v>
      </c>
      <c r="AC164" t="s">
        <v>1514</v>
      </c>
    </row>
    <row r="165" spans="1:29" x14ac:dyDescent="0.25">
      <c r="A165" t="s">
        <v>837</v>
      </c>
      <c r="B165">
        <v>8.0100617050285804E+31</v>
      </c>
      <c r="C165">
        <v>41218090</v>
      </c>
      <c r="D165" t="s">
        <v>970</v>
      </c>
      <c r="E165">
        <v>7200</v>
      </c>
      <c r="G165" t="s">
        <v>181</v>
      </c>
      <c r="H165">
        <v>80</v>
      </c>
      <c r="J165">
        <v>0.25</v>
      </c>
      <c r="L165" t="s">
        <v>834</v>
      </c>
      <c r="AC165" t="s">
        <v>1515</v>
      </c>
    </row>
    <row r="166" spans="1:29" x14ac:dyDescent="0.25">
      <c r="B166">
        <v>8.0100617050285799E+39</v>
      </c>
      <c r="C166">
        <v>41217679</v>
      </c>
      <c r="D166" t="s">
        <v>971</v>
      </c>
      <c r="E166">
        <v>12000</v>
      </c>
      <c r="G166" t="s">
        <v>133</v>
      </c>
      <c r="H166">
        <v>59</v>
      </c>
      <c r="I166">
        <v>0.25</v>
      </c>
      <c r="J166">
        <v>5.25</v>
      </c>
      <c r="K166">
        <v>21</v>
      </c>
      <c r="L166" t="s">
        <v>834</v>
      </c>
      <c r="AC166" t="s">
        <v>1516</v>
      </c>
    </row>
    <row r="167" spans="1:29" x14ac:dyDescent="0.25">
      <c r="A167" t="s">
        <v>837</v>
      </c>
      <c r="C167">
        <v>41212496</v>
      </c>
      <c r="D167" t="s">
        <v>852</v>
      </c>
      <c r="E167">
        <v>3000</v>
      </c>
      <c r="G167" t="s">
        <v>133</v>
      </c>
      <c r="H167">
        <v>436</v>
      </c>
      <c r="J167">
        <v>3000</v>
      </c>
      <c r="K167">
        <v>21</v>
      </c>
      <c r="L167" t="s">
        <v>834</v>
      </c>
      <c r="AC167" t="s">
        <v>1399</v>
      </c>
    </row>
    <row r="168" spans="1:29" x14ac:dyDescent="0.25">
      <c r="B168">
        <v>8.0100611705028495E+28</v>
      </c>
      <c r="C168">
        <v>41218145</v>
      </c>
      <c r="D168" t="s">
        <v>972</v>
      </c>
      <c r="E168">
        <v>80</v>
      </c>
      <c r="G168">
        <v>6885</v>
      </c>
      <c r="H168">
        <v>56</v>
      </c>
      <c r="I168">
        <v>1.78</v>
      </c>
      <c r="J168">
        <v>142.4</v>
      </c>
      <c r="K168">
        <v>80</v>
      </c>
      <c r="AC168" t="s">
        <v>1517</v>
      </c>
    </row>
    <row r="169" spans="1:29" x14ac:dyDescent="0.25">
      <c r="A169" t="s">
        <v>837</v>
      </c>
      <c r="B169">
        <v>8.0100617050205801E+23</v>
      </c>
      <c r="C169">
        <v>41217312</v>
      </c>
      <c r="D169" t="s">
        <v>973</v>
      </c>
      <c r="E169">
        <v>990</v>
      </c>
      <c r="G169" t="s">
        <v>156</v>
      </c>
      <c r="H169">
        <v>48</v>
      </c>
      <c r="I169">
        <v>0.33</v>
      </c>
      <c r="J169">
        <v>990</v>
      </c>
      <c r="K169">
        <v>3000</v>
      </c>
      <c r="L169" t="s">
        <v>834</v>
      </c>
      <c r="AC169" t="s">
        <v>1518</v>
      </c>
    </row>
    <row r="170" spans="1:29" x14ac:dyDescent="0.25">
      <c r="C170">
        <v>41214882</v>
      </c>
      <c r="D170" t="s">
        <v>853</v>
      </c>
      <c r="E170">
        <v>3000</v>
      </c>
      <c r="AC170" t="s">
        <v>1400</v>
      </c>
    </row>
    <row r="171" spans="1:29" x14ac:dyDescent="0.25">
      <c r="B171">
        <v>8010061705028580</v>
      </c>
      <c r="C171">
        <v>41217336</v>
      </c>
      <c r="D171" t="s">
        <v>974</v>
      </c>
      <c r="E171">
        <v>1000</v>
      </c>
      <c r="G171" t="s">
        <v>190</v>
      </c>
      <c r="H171">
        <v>91</v>
      </c>
      <c r="I171">
        <v>0.15</v>
      </c>
      <c r="J171">
        <v>150</v>
      </c>
      <c r="K171">
        <v>1000</v>
      </c>
      <c r="AC171" t="s">
        <v>1519</v>
      </c>
    </row>
    <row r="172" spans="1:29" x14ac:dyDescent="0.25">
      <c r="A172" t="s">
        <v>837</v>
      </c>
      <c r="B172">
        <v>8010061705028580</v>
      </c>
      <c r="C172">
        <v>41217006</v>
      </c>
      <c r="D172" t="s">
        <v>975</v>
      </c>
      <c r="E172">
        <v>4198</v>
      </c>
      <c r="G172" t="s">
        <v>163</v>
      </c>
      <c r="H172">
        <v>89</v>
      </c>
      <c r="I172">
        <v>20.99</v>
      </c>
      <c r="J172">
        <v>4198</v>
      </c>
      <c r="K172">
        <v>200.00000000000003</v>
      </c>
      <c r="L172" t="s">
        <v>834</v>
      </c>
      <c r="AC172" t="s">
        <v>1520</v>
      </c>
    </row>
    <row r="173" spans="1:29" x14ac:dyDescent="0.25">
      <c r="C173">
        <v>41215642</v>
      </c>
      <c r="D173" t="s">
        <v>854</v>
      </c>
      <c r="E173">
        <v>200</v>
      </c>
      <c r="AC173" t="s">
        <v>1401</v>
      </c>
    </row>
    <row r="174" spans="1:29" x14ac:dyDescent="0.25">
      <c r="B174">
        <v>8010061705028580</v>
      </c>
      <c r="C174">
        <v>41217334</v>
      </c>
      <c r="D174" t="s">
        <v>976</v>
      </c>
      <c r="E174">
        <v>112</v>
      </c>
      <c r="G174" t="s">
        <v>174</v>
      </c>
      <c r="H174">
        <v>77</v>
      </c>
      <c r="I174">
        <v>0.56000000000000005</v>
      </c>
      <c r="J174">
        <v>112</v>
      </c>
      <c r="K174">
        <v>199.99999999999997</v>
      </c>
      <c r="L174" t="s">
        <v>834</v>
      </c>
      <c r="AC174" t="s">
        <v>1521</v>
      </c>
    </row>
    <row r="175" spans="1:29" x14ac:dyDescent="0.25">
      <c r="C175">
        <v>41213296</v>
      </c>
      <c r="D175" t="s">
        <v>977</v>
      </c>
      <c r="E175">
        <v>200</v>
      </c>
      <c r="AC175" t="s">
        <v>1402</v>
      </c>
    </row>
    <row r="176" spans="1:29" x14ac:dyDescent="0.25">
      <c r="B176">
        <v>8010061705028580</v>
      </c>
      <c r="C176">
        <v>41217698</v>
      </c>
      <c r="D176" t="s">
        <v>978</v>
      </c>
      <c r="E176">
        <v>340</v>
      </c>
      <c r="G176" t="s">
        <v>138</v>
      </c>
      <c r="H176">
        <v>61</v>
      </c>
      <c r="I176">
        <v>3.4</v>
      </c>
      <c r="J176">
        <v>340</v>
      </c>
      <c r="K176">
        <v>100</v>
      </c>
      <c r="L176" t="s">
        <v>834</v>
      </c>
      <c r="AC176" t="s">
        <v>1522</v>
      </c>
    </row>
    <row r="177" spans="1:29" x14ac:dyDescent="0.25">
      <c r="C177">
        <v>41213296</v>
      </c>
      <c r="D177" t="s">
        <v>856</v>
      </c>
      <c r="E177">
        <v>100</v>
      </c>
      <c r="AC177" t="s">
        <v>1403</v>
      </c>
    </row>
    <row r="178" spans="1:29" x14ac:dyDescent="0.25">
      <c r="A178" t="s">
        <v>680</v>
      </c>
      <c r="B178">
        <v>8.0100617050285802E+29</v>
      </c>
      <c r="C178">
        <v>41217331</v>
      </c>
      <c r="D178" t="s">
        <v>979</v>
      </c>
      <c r="E178">
        <v>200</v>
      </c>
      <c r="I178">
        <v>0.51</v>
      </c>
      <c r="J178">
        <v>102</v>
      </c>
      <c r="K178">
        <v>200</v>
      </c>
      <c r="AC178" t="s">
        <v>1523</v>
      </c>
    </row>
    <row r="179" spans="1:29" x14ac:dyDescent="0.25">
      <c r="C179">
        <v>41215642</v>
      </c>
      <c r="D179" t="s">
        <v>857</v>
      </c>
      <c r="E179">
        <v>102</v>
      </c>
      <c r="AC179" t="s">
        <v>1404</v>
      </c>
    </row>
    <row r="180" spans="1:29" x14ac:dyDescent="0.25">
      <c r="B180">
        <v>8010061705028580</v>
      </c>
      <c r="C180">
        <v>41217700</v>
      </c>
      <c r="D180" t="s">
        <v>980</v>
      </c>
      <c r="E180">
        <v>2400</v>
      </c>
      <c r="G180" t="s">
        <v>131</v>
      </c>
      <c r="H180">
        <v>61</v>
      </c>
      <c r="I180">
        <v>0.25</v>
      </c>
      <c r="J180">
        <v>600</v>
      </c>
      <c r="K180">
        <v>2400</v>
      </c>
      <c r="AC180" t="s">
        <v>1524</v>
      </c>
    </row>
    <row r="181" spans="1:29" x14ac:dyDescent="0.25">
      <c r="C181">
        <v>41212496</v>
      </c>
      <c r="D181" t="s">
        <v>858</v>
      </c>
      <c r="E181">
        <v>600</v>
      </c>
      <c r="AC181" t="s">
        <v>1405</v>
      </c>
    </row>
    <row r="182" spans="1:29" x14ac:dyDescent="0.25">
      <c r="A182" t="s">
        <v>837</v>
      </c>
      <c r="B182">
        <v>8010061705028580</v>
      </c>
      <c r="C182">
        <v>41217918</v>
      </c>
      <c r="D182" t="s">
        <v>981</v>
      </c>
      <c r="E182">
        <v>7200</v>
      </c>
      <c r="G182" t="s">
        <v>113</v>
      </c>
      <c r="H182">
        <v>66</v>
      </c>
      <c r="I182">
        <v>0.25</v>
      </c>
      <c r="J182">
        <v>1800</v>
      </c>
      <c r="K182">
        <v>7200</v>
      </c>
      <c r="AC182" t="s">
        <v>1525</v>
      </c>
    </row>
    <row r="183" spans="1:29" x14ac:dyDescent="0.25">
      <c r="B183">
        <v>8010061705028580</v>
      </c>
      <c r="C183">
        <v>41217697</v>
      </c>
      <c r="D183" t="s">
        <v>982</v>
      </c>
      <c r="E183">
        <v>260</v>
      </c>
      <c r="G183">
        <v>501</v>
      </c>
      <c r="H183">
        <v>153</v>
      </c>
      <c r="I183">
        <v>1.3</v>
      </c>
      <c r="J183">
        <v>260</v>
      </c>
      <c r="K183">
        <v>200</v>
      </c>
      <c r="L183" t="s">
        <v>834</v>
      </c>
      <c r="AC183" t="s">
        <v>1526</v>
      </c>
    </row>
    <row r="184" spans="1:29" x14ac:dyDescent="0.25">
      <c r="C184">
        <v>41215617</v>
      </c>
      <c r="D184" t="s">
        <v>859</v>
      </c>
      <c r="E184">
        <v>200</v>
      </c>
      <c r="G184" t="s">
        <v>212</v>
      </c>
      <c r="H184">
        <v>175</v>
      </c>
      <c r="I184">
        <v>1.45</v>
      </c>
      <c r="J184">
        <v>145</v>
      </c>
      <c r="K184">
        <v>100</v>
      </c>
      <c r="L184" t="s">
        <v>834</v>
      </c>
      <c r="AC184" t="s">
        <v>1406</v>
      </c>
    </row>
    <row r="185" spans="1:29" x14ac:dyDescent="0.25">
      <c r="A185" t="s">
        <v>837</v>
      </c>
      <c r="C185">
        <v>41213296</v>
      </c>
      <c r="D185" t="s">
        <v>860</v>
      </c>
      <c r="E185">
        <v>100</v>
      </c>
      <c r="G185">
        <v>6001</v>
      </c>
      <c r="H185">
        <v>198</v>
      </c>
      <c r="I185">
        <v>3.97</v>
      </c>
      <c r="J185">
        <v>397</v>
      </c>
      <c r="K185">
        <v>100</v>
      </c>
      <c r="AC185" t="s">
        <v>1407</v>
      </c>
    </row>
    <row r="186" spans="1:29" x14ac:dyDescent="0.25">
      <c r="C186">
        <v>41215642</v>
      </c>
      <c r="D186" t="s">
        <v>861</v>
      </c>
      <c r="E186">
        <v>145</v>
      </c>
      <c r="AC186" t="s">
        <v>1408</v>
      </c>
    </row>
    <row r="187" spans="1:29" x14ac:dyDescent="0.25">
      <c r="C187">
        <v>41212496</v>
      </c>
      <c r="D187" t="s">
        <v>862</v>
      </c>
      <c r="E187">
        <v>100</v>
      </c>
      <c r="AC187" t="s">
        <v>1409</v>
      </c>
    </row>
    <row r="188" spans="1:29" x14ac:dyDescent="0.25">
      <c r="C188">
        <v>41215617</v>
      </c>
      <c r="D188" t="s">
        <v>863</v>
      </c>
      <c r="E188">
        <v>397</v>
      </c>
      <c r="AC188" t="s">
        <v>1410</v>
      </c>
    </row>
    <row r="189" spans="1:29" x14ac:dyDescent="0.25">
      <c r="A189" t="s">
        <v>837</v>
      </c>
      <c r="B189">
        <v>2.0000801006170498E+28</v>
      </c>
      <c r="C189">
        <v>41217938</v>
      </c>
      <c r="D189" t="s">
        <v>983</v>
      </c>
      <c r="E189">
        <v>200</v>
      </c>
      <c r="G189" t="s">
        <v>174</v>
      </c>
      <c r="H189">
        <v>55</v>
      </c>
      <c r="I189">
        <v>0.56000000000000005</v>
      </c>
      <c r="J189">
        <v>112</v>
      </c>
      <c r="K189">
        <v>199.99999999999997</v>
      </c>
      <c r="L189" t="s">
        <v>834</v>
      </c>
      <c r="AC189" t="s">
        <v>1527</v>
      </c>
    </row>
    <row r="190" spans="1:29" x14ac:dyDescent="0.25">
      <c r="C190">
        <v>41215642</v>
      </c>
      <c r="D190" t="s">
        <v>984</v>
      </c>
      <c r="E190">
        <v>112</v>
      </c>
      <c r="AC190" t="s">
        <v>1528</v>
      </c>
    </row>
    <row r="191" spans="1:29" x14ac:dyDescent="0.25">
      <c r="A191" t="s">
        <v>837</v>
      </c>
      <c r="B191">
        <v>8010061705028580</v>
      </c>
      <c r="C191">
        <v>41217265</v>
      </c>
      <c r="D191" t="s">
        <v>985</v>
      </c>
      <c r="E191">
        <v>30</v>
      </c>
      <c r="G191" t="s">
        <v>138</v>
      </c>
      <c r="H191">
        <v>81</v>
      </c>
      <c r="I191">
        <v>3.4</v>
      </c>
      <c r="J191">
        <v>102</v>
      </c>
      <c r="K191">
        <v>30</v>
      </c>
      <c r="AC191" t="s">
        <v>1529</v>
      </c>
    </row>
    <row r="192" spans="1:29" x14ac:dyDescent="0.25">
      <c r="C192">
        <v>41212496</v>
      </c>
      <c r="D192" t="s">
        <v>864</v>
      </c>
      <c r="E192">
        <v>102</v>
      </c>
      <c r="AC192" t="s">
        <v>1411</v>
      </c>
    </row>
    <row r="193" spans="1:29" x14ac:dyDescent="0.25">
      <c r="B193">
        <v>8010061705028580</v>
      </c>
      <c r="C193">
        <v>41217180</v>
      </c>
      <c r="D193" t="s">
        <v>986</v>
      </c>
      <c r="E193">
        <v>2400</v>
      </c>
      <c r="G193" t="s">
        <v>113</v>
      </c>
      <c r="H193">
        <v>112</v>
      </c>
      <c r="I193">
        <v>0.25</v>
      </c>
      <c r="J193">
        <v>600</v>
      </c>
      <c r="K193">
        <v>2400</v>
      </c>
      <c r="AC193" t="s">
        <v>1530</v>
      </c>
    </row>
    <row r="194" spans="1:29" x14ac:dyDescent="0.25">
      <c r="C194">
        <v>41215642</v>
      </c>
      <c r="D194" t="s">
        <v>865</v>
      </c>
      <c r="E194">
        <v>2400</v>
      </c>
      <c r="I194">
        <v>0.25</v>
      </c>
      <c r="J194">
        <v>600</v>
      </c>
      <c r="K194">
        <v>2400</v>
      </c>
      <c r="AC194" t="s">
        <v>1412</v>
      </c>
    </row>
    <row r="195" spans="1:29" x14ac:dyDescent="0.25">
      <c r="C195">
        <v>41215617</v>
      </c>
      <c r="D195" t="s">
        <v>866</v>
      </c>
      <c r="E195">
        <v>600</v>
      </c>
      <c r="I195">
        <v>0.25</v>
      </c>
      <c r="J195">
        <v>300</v>
      </c>
      <c r="K195">
        <v>1200</v>
      </c>
      <c r="L195" t="s">
        <v>834</v>
      </c>
      <c r="AC195" t="s">
        <v>1413</v>
      </c>
    </row>
    <row r="196" spans="1:29" x14ac:dyDescent="0.25">
      <c r="C196">
        <v>41212496</v>
      </c>
      <c r="D196" t="s">
        <v>867</v>
      </c>
      <c r="E196">
        <v>1200</v>
      </c>
      <c r="AC196" t="s">
        <v>1414</v>
      </c>
    </row>
    <row r="197" spans="1:29" x14ac:dyDescent="0.25">
      <c r="C197">
        <v>41215642</v>
      </c>
      <c r="D197" t="s">
        <v>868</v>
      </c>
      <c r="E197">
        <v>600</v>
      </c>
      <c r="AC197" t="s">
        <v>1415</v>
      </c>
    </row>
    <row r="198" spans="1:29" x14ac:dyDescent="0.25">
      <c r="C198">
        <v>41215617</v>
      </c>
      <c r="D198" t="s">
        <v>869</v>
      </c>
      <c r="E198">
        <v>300</v>
      </c>
      <c r="AC198" t="s">
        <v>1416</v>
      </c>
    </row>
    <row r="199" spans="1:29" x14ac:dyDescent="0.25">
      <c r="A199" t="s">
        <v>837</v>
      </c>
      <c r="B199">
        <v>8010061705028580</v>
      </c>
      <c r="C199">
        <v>41217871</v>
      </c>
      <c r="D199" t="s">
        <v>987</v>
      </c>
      <c r="E199">
        <v>1000</v>
      </c>
      <c r="G199" t="s">
        <v>129</v>
      </c>
      <c r="H199">
        <v>41</v>
      </c>
      <c r="I199">
        <v>0.25</v>
      </c>
      <c r="J199">
        <v>250</v>
      </c>
      <c r="K199">
        <v>1000</v>
      </c>
      <c r="AC199" t="s">
        <v>1531</v>
      </c>
    </row>
    <row r="200" spans="1:29" x14ac:dyDescent="0.25">
      <c r="C200">
        <v>41215642</v>
      </c>
      <c r="D200" t="s">
        <v>870</v>
      </c>
      <c r="E200">
        <v>260</v>
      </c>
      <c r="AC200" t="s">
        <v>1417</v>
      </c>
    </row>
    <row r="201" spans="1:29" x14ac:dyDescent="0.25">
      <c r="B201">
        <v>8.0100617050285799E+39</v>
      </c>
      <c r="C201">
        <v>41217679</v>
      </c>
      <c r="D201" t="s">
        <v>988</v>
      </c>
      <c r="E201">
        <v>3000</v>
      </c>
      <c r="G201" t="s">
        <v>133</v>
      </c>
      <c r="H201">
        <v>46</v>
      </c>
      <c r="I201">
        <v>0.25</v>
      </c>
      <c r="J201">
        <v>3000</v>
      </c>
      <c r="K201">
        <v>12000</v>
      </c>
      <c r="L201" t="s">
        <v>834</v>
      </c>
      <c r="AC201" t="s">
        <v>1532</v>
      </c>
    </row>
    <row r="202" spans="1:29" x14ac:dyDescent="0.25">
      <c r="A202" t="s">
        <v>837</v>
      </c>
      <c r="C202">
        <v>41216363</v>
      </c>
      <c r="D202" t="s">
        <v>871</v>
      </c>
      <c r="E202">
        <v>12000</v>
      </c>
      <c r="G202" t="s">
        <v>133</v>
      </c>
      <c r="H202">
        <v>432</v>
      </c>
      <c r="AC202" t="s">
        <v>1418</v>
      </c>
    </row>
    <row r="203" spans="1:29" x14ac:dyDescent="0.25">
      <c r="A203" t="s">
        <v>837</v>
      </c>
      <c r="B203">
        <v>8.0100617050285802E+29</v>
      </c>
      <c r="C203">
        <v>41217331</v>
      </c>
      <c r="D203" t="s">
        <v>989</v>
      </c>
      <c r="E203">
        <v>102</v>
      </c>
      <c r="G203" t="s">
        <v>165</v>
      </c>
      <c r="H203">
        <v>46</v>
      </c>
      <c r="I203">
        <v>0.51</v>
      </c>
      <c r="J203">
        <v>102</v>
      </c>
      <c r="K203">
        <v>200</v>
      </c>
      <c r="L203" t="s">
        <v>834</v>
      </c>
      <c r="AC203" t="s">
        <v>1533</v>
      </c>
    </row>
    <row r="204" spans="1:29" x14ac:dyDescent="0.25">
      <c r="C204">
        <v>41212496</v>
      </c>
      <c r="D204" t="s">
        <v>872</v>
      </c>
      <c r="E204">
        <v>200</v>
      </c>
      <c r="AC204" t="s">
        <v>1419</v>
      </c>
    </row>
    <row r="205" spans="1:29" x14ac:dyDescent="0.25">
      <c r="A205" t="s">
        <v>837</v>
      </c>
      <c r="B205">
        <v>1.00000050523944E+31</v>
      </c>
      <c r="C205">
        <v>41217918</v>
      </c>
      <c r="D205" t="s">
        <v>990</v>
      </c>
      <c r="E205">
        <v>1800</v>
      </c>
      <c r="G205" t="s">
        <v>113</v>
      </c>
      <c r="H205">
        <v>71</v>
      </c>
      <c r="I205">
        <v>0.25</v>
      </c>
      <c r="J205">
        <v>1800</v>
      </c>
      <c r="K205">
        <v>7200</v>
      </c>
      <c r="L205" t="s">
        <v>834</v>
      </c>
      <c r="AC205" t="s">
        <v>1534</v>
      </c>
    </row>
    <row r="206" spans="1:29" x14ac:dyDescent="0.25">
      <c r="C206">
        <v>41216349</v>
      </c>
      <c r="D206" t="s">
        <v>873</v>
      </c>
      <c r="E206">
        <v>7200</v>
      </c>
      <c r="AC206" t="s">
        <v>1420</v>
      </c>
    </row>
    <row r="207" spans="1:29" x14ac:dyDescent="0.25">
      <c r="B207">
        <v>8010061705028580</v>
      </c>
      <c r="C207">
        <v>41217334</v>
      </c>
      <c r="D207" t="s">
        <v>991</v>
      </c>
      <c r="E207">
        <v>200</v>
      </c>
      <c r="G207" t="s">
        <v>174</v>
      </c>
      <c r="H207">
        <v>51</v>
      </c>
      <c r="I207">
        <v>0.56000000000000005</v>
      </c>
      <c r="J207">
        <v>0.56000000000000005</v>
      </c>
      <c r="K207">
        <v>1</v>
      </c>
      <c r="L207" t="s">
        <v>834</v>
      </c>
      <c r="AC207" t="s">
        <v>1535</v>
      </c>
    </row>
    <row r="208" spans="1:29" x14ac:dyDescent="0.25">
      <c r="C208">
        <v>41215617</v>
      </c>
      <c r="D208" t="s">
        <v>874</v>
      </c>
      <c r="E208">
        <v>112</v>
      </c>
      <c r="AC208" t="s">
        <v>1421</v>
      </c>
    </row>
    <row r="209" spans="1:29" x14ac:dyDescent="0.25">
      <c r="A209" t="s">
        <v>680</v>
      </c>
      <c r="B209">
        <v>1.8010061705028499E+32</v>
      </c>
      <c r="C209">
        <v>41217314</v>
      </c>
      <c r="D209" t="s">
        <v>992</v>
      </c>
      <c r="E209">
        <v>240</v>
      </c>
      <c r="I209">
        <v>1.7</v>
      </c>
      <c r="J209">
        <v>1.7</v>
      </c>
      <c r="K209">
        <v>1</v>
      </c>
      <c r="L209" t="s">
        <v>834</v>
      </c>
      <c r="AC209" t="s">
        <v>1536</v>
      </c>
    </row>
    <row r="210" spans="1:29" x14ac:dyDescent="0.25">
      <c r="C210">
        <v>41212496</v>
      </c>
      <c r="D210" t="s">
        <v>875</v>
      </c>
      <c r="E210">
        <v>408</v>
      </c>
      <c r="J210">
        <v>408</v>
      </c>
      <c r="K210">
        <v>1</v>
      </c>
      <c r="L210" t="s">
        <v>834</v>
      </c>
      <c r="AC210" t="s">
        <v>1422</v>
      </c>
    </row>
    <row r="211" spans="1:29" x14ac:dyDescent="0.25">
      <c r="B211">
        <v>1.8010061705028499E+32</v>
      </c>
      <c r="C211">
        <v>41217699</v>
      </c>
      <c r="D211" t="s">
        <v>993</v>
      </c>
      <c r="E211">
        <v>400</v>
      </c>
      <c r="G211" t="s">
        <v>170</v>
      </c>
      <c r="H211">
        <v>69</v>
      </c>
      <c r="I211">
        <v>1.28</v>
      </c>
      <c r="J211">
        <v>512</v>
      </c>
      <c r="K211">
        <v>400</v>
      </c>
      <c r="AC211" t="s">
        <v>1537</v>
      </c>
    </row>
    <row r="212" spans="1:29" x14ac:dyDescent="0.25">
      <c r="A212" t="s">
        <v>837</v>
      </c>
      <c r="C212">
        <v>41216347</v>
      </c>
      <c r="D212" t="s">
        <v>876</v>
      </c>
      <c r="E212">
        <v>512</v>
      </c>
      <c r="G212" t="s">
        <v>170</v>
      </c>
      <c r="H212">
        <v>423</v>
      </c>
      <c r="AC212" t="s">
        <v>1423</v>
      </c>
    </row>
    <row r="213" spans="1:29" x14ac:dyDescent="0.25">
      <c r="B213">
        <v>8010061705028580</v>
      </c>
      <c r="C213">
        <v>41217605</v>
      </c>
      <c r="D213" t="s">
        <v>994</v>
      </c>
      <c r="E213">
        <v>30</v>
      </c>
      <c r="G213" t="s">
        <v>177</v>
      </c>
      <c r="H213">
        <v>51</v>
      </c>
      <c r="I213">
        <v>3.8</v>
      </c>
      <c r="J213">
        <v>114</v>
      </c>
      <c r="K213">
        <v>30</v>
      </c>
      <c r="AC213" t="s">
        <v>1538</v>
      </c>
    </row>
    <row r="214" spans="1:29" x14ac:dyDescent="0.25">
      <c r="C214">
        <v>41215617</v>
      </c>
      <c r="D214" t="s">
        <v>877</v>
      </c>
      <c r="E214">
        <v>114</v>
      </c>
      <c r="AC214" t="s">
        <v>1424</v>
      </c>
    </row>
    <row r="215" spans="1:29" x14ac:dyDescent="0.25">
      <c r="B215">
        <v>8010061705028580</v>
      </c>
      <c r="C215">
        <v>41217864</v>
      </c>
      <c r="D215" t="s">
        <v>995</v>
      </c>
      <c r="E215">
        <v>200</v>
      </c>
      <c r="G215" t="s">
        <v>135</v>
      </c>
      <c r="H215">
        <v>68</v>
      </c>
      <c r="I215">
        <v>0.25</v>
      </c>
      <c r="J215">
        <v>5.25</v>
      </c>
      <c r="K215">
        <v>21</v>
      </c>
      <c r="L215" t="s">
        <v>834</v>
      </c>
      <c r="AC215" t="s">
        <v>1539</v>
      </c>
    </row>
    <row r="216" spans="1:29" x14ac:dyDescent="0.25">
      <c r="C216">
        <v>41216349</v>
      </c>
      <c r="D216" t="s">
        <v>878</v>
      </c>
      <c r="E216">
        <v>50</v>
      </c>
      <c r="J216">
        <v>50</v>
      </c>
      <c r="K216">
        <v>21</v>
      </c>
      <c r="L216" t="s">
        <v>834</v>
      </c>
      <c r="AC216" t="s">
        <v>1425</v>
      </c>
    </row>
    <row r="217" spans="1:29" x14ac:dyDescent="0.25">
      <c r="B217">
        <v>8.0100617050285797E+37</v>
      </c>
      <c r="C217">
        <v>41218090</v>
      </c>
      <c r="D217" t="s">
        <v>996</v>
      </c>
      <c r="E217">
        <v>1800</v>
      </c>
      <c r="G217" t="s">
        <v>181</v>
      </c>
      <c r="H217">
        <v>46</v>
      </c>
      <c r="I217">
        <v>0.25</v>
      </c>
      <c r="J217">
        <v>1800</v>
      </c>
      <c r="K217">
        <v>7200</v>
      </c>
      <c r="L217" t="s">
        <v>834</v>
      </c>
      <c r="AC217" t="s">
        <v>1540</v>
      </c>
    </row>
    <row r="218" spans="1:29" x14ac:dyDescent="0.25">
      <c r="A218" t="s">
        <v>837</v>
      </c>
      <c r="C218">
        <v>41216363</v>
      </c>
      <c r="D218" t="s">
        <v>879</v>
      </c>
      <c r="E218">
        <v>7200</v>
      </c>
      <c r="G218" t="s">
        <v>181</v>
      </c>
      <c r="H218">
        <v>407</v>
      </c>
      <c r="AC218" t="s">
        <v>1426</v>
      </c>
    </row>
    <row r="219" spans="1:29" x14ac:dyDescent="0.25">
      <c r="A219" t="s">
        <v>837</v>
      </c>
      <c r="B219">
        <v>8.0100617050285797E+36</v>
      </c>
      <c r="C219">
        <v>41217918</v>
      </c>
      <c r="D219" t="s">
        <v>997</v>
      </c>
      <c r="E219">
        <v>9600</v>
      </c>
      <c r="G219" t="s">
        <v>113</v>
      </c>
      <c r="H219">
        <v>434</v>
      </c>
      <c r="I219">
        <v>0.25</v>
      </c>
      <c r="J219">
        <v>0.25</v>
      </c>
      <c r="K219">
        <v>1</v>
      </c>
      <c r="L219" t="s">
        <v>834</v>
      </c>
      <c r="AC219" t="s">
        <v>1541</v>
      </c>
    </row>
    <row r="220" spans="1:29" x14ac:dyDescent="0.25">
      <c r="B220">
        <v>8010061705028580</v>
      </c>
      <c r="C220">
        <v>41217698</v>
      </c>
      <c r="D220" t="s">
        <v>998</v>
      </c>
      <c r="E220">
        <v>150</v>
      </c>
      <c r="G220" t="s">
        <v>138</v>
      </c>
      <c r="H220">
        <v>23</v>
      </c>
      <c r="I220">
        <v>3.4</v>
      </c>
      <c r="J220">
        <v>3.4</v>
      </c>
      <c r="K220">
        <v>1</v>
      </c>
      <c r="L220" t="s">
        <v>834</v>
      </c>
      <c r="AC220" t="s">
        <v>1542</v>
      </c>
    </row>
    <row r="221" spans="1:29" x14ac:dyDescent="0.25">
      <c r="C221">
        <v>41216363</v>
      </c>
      <c r="D221" t="s">
        <v>880</v>
      </c>
      <c r="E221">
        <v>610</v>
      </c>
      <c r="AC221" t="s">
        <v>1427</v>
      </c>
    </row>
    <row r="222" spans="1:29" x14ac:dyDescent="0.25">
      <c r="A222" t="s">
        <v>837</v>
      </c>
      <c r="B222">
        <v>8010061705028580</v>
      </c>
      <c r="C222">
        <v>41217697</v>
      </c>
      <c r="D222" t="s">
        <v>999</v>
      </c>
      <c r="E222">
        <v>50</v>
      </c>
      <c r="G222" t="s">
        <v>212</v>
      </c>
      <c r="H222">
        <v>81</v>
      </c>
      <c r="I222">
        <v>1.45</v>
      </c>
      <c r="J222">
        <v>1.45</v>
      </c>
      <c r="K222">
        <v>1</v>
      </c>
      <c r="L222" t="s">
        <v>834</v>
      </c>
      <c r="AC222" t="s">
        <v>1543</v>
      </c>
    </row>
    <row r="223" spans="1:29" x14ac:dyDescent="0.25">
      <c r="A223" t="s">
        <v>837</v>
      </c>
      <c r="B223">
        <v>8010061705028580</v>
      </c>
      <c r="C223">
        <v>41217679</v>
      </c>
      <c r="D223" t="s">
        <v>1000</v>
      </c>
      <c r="E223">
        <v>12000</v>
      </c>
      <c r="G223" t="s">
        <v>133</v>
      </c>
      <c r="H223">
        <v>60</v>
      </c>
      <c r="I223">
        <v>0.25</v>
      </c>
      <c r="J223">
        <v>0.25</v>
      </c>
      <c r="K223">
        <v>1</v>
      </c>
      <c r="L223" t="s">
        <v>834</v>
      </c>
      <c r="AC223" t="s">
        <v>1544</v>
      </c>
    </row>
    <row r="224" spans="1:29" x14ac:dyDescent="0.25">
      <c r="C224">
        <v>41216349</v>
      </c>
      <c r="D224" t="s">
        <v>881</v>
      </c>
      <c r="E224">
        <v>3000</v>
      </c>
      <c r="AC224" t="s">
        <v>1428</v>
      </c>
    </row>
    <row r="225" spans="1:29" x14ac:dyDescent="0.25">
      <c r="A225" t="s">
        <v>837</v>
      </c>
      <c r="B225">
        <v>8.0100617050285802E+30</v>
      </c>
      <c r="C225">
        <v>41218164</v>
      </c>
      <c r="D225" t="s">
        <v>1001</v>
      </c>
      <c r="E225">
        <v>15</v>
      </c>
      <c r="G225" t="s">
        <v>177</v>
      </c>
      <c r="H225">
        <v>42</v>
      </c>
      <c r="I225">
        <v>3.8</v>
      </c>
      <c r="J225">
        <v>57</v>
      </c>
      <c r="K225">
        <v>15</v>
      </c>
      <c r="AC225" t="s">
        <v>1545</v>
      </c>
    </row>
    <row r="226" spans="1:29" x14ac:dyDescent="0.25">
      <c r="C226">
        <v>41216347</v>
      </c>
      <c r="D226" t="s">
        <v>882</v>
      </c>
      <c r="E226">
        <v>57</v>
      </c>
      <c r="AC226" t="s">
        <v>1429</v>
      </c>
    </row>
    <row r="227" spans="1:29" x14ac:dyDescent="0.25">
      <c r="B227">
        <v>1.80100617050285E+34</v>
      </c>
      <c r="C227">
        <v>41217485</v>
      </c>
      <c r="D227" t="s">
        <v>1002</v>
      </c>
      <c r="E227">
        <v>300</v>
      </c>
      <c r="G227" t="s">
        <v>161</v>
      </c>
      <c r="H227">
        <v>61</v>
      </c>
      <c r="I227">
        <v>18</v>
      </c>
      <c r="J227">
        <v>5400</v>
      </c>
      <c r="K227">
        <v>300</v>
      </c>
      <c r="AC227" t="s">
        <v>1546</v>
      </c>
    </row>
    <row r="228" spans="1:29" x14ac:dyDescent="0.25">
      <c r="A228" t="s">
        <v>837</v>
      </c>
      <c r="B228">
        <v>8010061705028580</v>
      </c>
      <c r="C228">
        <v>41217006</v>
      </c>
      <c r="D228" t="s">
        <v>1003</v>
      </c>
      <c r="E228">
        <v>500</v>
      </c>
      <c r="G228" t="s">
        <v>163</v>
      </c>
      <c r="H228">
        <v>80</v>
      </c>
      <c r="I228">
        <v>20.99</v>
      </c>
      <c r="J228">
        <v>20.99</v>
      </c>
      <c r="K228">
        <v>1</v>
      </c>
      <c r="L228" t="s">
        <v>834</v>
      </c>
      <c r="AC228" t="s">
        <v>1547</v>
      </c>
    </row>
    <row r="229" spans="1:29" x14ac:dyDescent="0.25">
      <c r="A229" t="s">
        <v>680</v>
      </c>
      <c r="B229">
        <v>8010061705028580</v>
      </c>
      <c r="C229">
        <v>41218164</v>
      </c>
      <c r="D229" t="s">
        <v>1004</v>
      </c>
      <c r="E229">
        <v>114</v>
      </c>
      <c r="I229">
        <v>3.8</v>
      </c>
      <c r="J229">
        <v>3.8</v>
      </c>
      <c r="K229">
        <v>1</v>
      </c>
      <c r="L229" t="s">
        <v>834</v>
      </c>
      <c r="AC229" t="s">
        <v>1548</v>
      </c>
    </row>
    <row r="230" spans="1:29" x14ac:dyDescent="0.25">
      <c r="C230">
        <v>41216347</v>
      </c>
      <c r="D230" t="s">
        <v>883</v>
      </c>
      <c r="E230">
        <v>30</v>
      </c>
      <c r="J230">
        <v>114</v>
      </c>
      <c r="K230">
        <v>1</v>
      </c>
      <c r="L230" t="s">
        <v>834</v>
      </c>
      <c r="AC230" t="s">
        <v>1430</v>
      </c>
    </row>
    <row r="231" spans="1:29" x14ac:dyDescent="0.25">
      <c r="A231" t="s">
        <v>680</v>
      </c>
      <c r="B231">
        <v>8.0100611705028494E+32</v>
      </c>
      <c r="C231">
        <v>41217699</v>
      </c>
      <c r="D231" t="s">
        <v>1005</v>
      </c>
      <c r="E231">
        <v>300</v>
      </c>
      <c r="I231">
        <v>1.28</v>
      </c>
      <c r="J231">
        <v>384</v>
      </c>
      <c r="K231">
        <v>300</v>
      </c>
      <c r="AC231" t="s">
        <v>1549</v>
      </c>
    </row>
    <row r="232" spans="1:29" x14ac:dyDescent="0.25">
      <c r="C232">
        <v>41216363</v>
      </c>
      <c r="D232" t="s">
        <v>1006</v>
      </c>
      <c r="E232">
        <v>384</v>
      </c>
      <c r="AC232" t="s">
        <v>1431</v>
      </c>
    </row>
    <row r="233" spans="1:29" x14ac:dyDescent="0.25">
      <c r="A233" t="s">
        <v>837</v>
      </c>
      <c r="B233">
        <v>8010061705028580</v>
      </c>
      <c r="C233">
        <v>41214312</v>
      </c>
      <c r="D233" t="s">
        <v>1007</v>
      </c>
      <c r="E233">
        <v>2500</v>
      </c>
      <c r="G233" t="s">
        <v>156</v>
      </c>
      <c r="H233">
        <v>62</v>
      </c>
      <c r="I233">
        <v>0.33</v>
      </c>
      <c r="J233">
        <v>825</v>
      </c>
      <c r="K233">
        <v>2500</v>
      </c>
      <c r="AC233" t="s">
        <v>1550</v>
      </c>
    </row>
    <row r="234" spans="1:29" x14ac:dyDescent="0.25">
      <c r="C234">
        <v>41217006</v>
      </c>
      <c r="D234" t="s">
        <v>885</v>
      </c>
      <c r="E234">
        <v>825</v>
      </c>
      <c r="AC234" t="s">
        <v>1432</v>
      </c>
    </row>
    <row r="235" spans="1:29" x14ac:dyDescent="0.25">
      <c r="A235" t="s">
        <v>837</v>
      </c>
      <c r="B235">
        <v>8010061705028580</v>
      </c>
      <c r="C235">
        <v>41217222</v>
      </c>
      <c r="D235" t="s">
        <v>1008</v>
      </c>
      <c r="E235">
        <v>6</v>
      </c>
      <c r="G235">
        <v>6800</v>
      </c>
      <c r="H235">
        <v>56</v>
      </c>
      <c r="I235">
        <v>96</v>
      </c>
      <c r="J235">
        <v>576</v>
      </c>
      <c r="K235">
        <v>6</v>
      </c>
      <c r="AC235" t="s">
        <v>1551</v>
      </c>
    </row>
    <row r="236" spans="1:29" x14ac:dyDescent="0.25">
      <c r="C236">
        <v>41216347</v>
      </c>
      <c r="D236" t="s">
        <v>1009</v>
      </c>
      <c r="E236">
        <v>576</v>
      </c>
      <c r="AC236" t="s">
        <v>1433</v>
      </c>
    </row>
    <row r="237" spans="1:29" x14ac:dyDescent="0.25">
      <c r="A237" t="s">
        <v>837</v>
      </c>
      <c r="B237">
        <v>8010061705028580</v>
      </c>
      <c r="C237">
        <v>41217679</v>
      </c>
      <c r="D237" t="s">
        <v>1010</v>
      </c>
      <c r="E237">
        <v>10800</v>
      </c>
      <c r="G237" t="s">
        <v>133</v>
      </c>
      <c r="H237">
        <v>78</v>
      </c>
      <c r="I237">
        <v>0.25</v>
      </c>
      <c r="J237">
        <v>2700</v>
      </c>
      <c r="K237">
        <v>10800</v>
      </c>
      <c r="AC237" t="s">
        <v>1552</v>
      </c>
    </row>
    <row r="238" spans="1:29" x14ac:dyDescent="0.25">
      <c r="C238">
        <v>41216363</v>
      </c>
      <c r="D238" t="s">
        <v>887</v>
      </c>
      <c r="E238">
        <v>2700</v>
      </c>
      <c r="J238">
        <v>0.25</v>
      </c>
      <c r="K238">
        <v>10800</v>
      </c>
      <c r="L238" t="s">
        <v>834</v>
      </c>
      <c r="AC238" t="s">
        <v>1434</v>
      </c>
    </row>
    <row r="239" spans="1:29" x14ac:dyDescent="0.25">
      <c r="A239" t="s">
        <v>680</v>
      </c>
      <c r="B239">
        <v>8010061705028580</v>
      </c>
      <c r="C239">
        <v>41217700</v>
      </c>
      <c r="D239" t="s">
        <v>1011</v>
      </c>
      <c r="E239">
        <v>375</v>
      </c>
      <c r="I239">
        <v>0.25</v>
      </c>
      <c r="J239">
        <v>0.25</v>
      </c>
      <c r="K239">
        <v>1</v>
      </c>
      <c r="L239" t="s">
        <v>834</v>
      </c>
      <c r="AC239" t="s">
        <v>1553</v>
      </c>
    </row>
    <row r="240" spans="1:29" x14ac:dyDescent="0.25">
      <c r="C240">
        <v>41217006</v>
      </c>
      <c r="D240" t="s">
        <v>888</v>
      </c>
      <c r="E240">
        <v>1500</v>
      </c>
      <c r="J240">
        <v>375</v>
      </c>
      <c r="K240">
        <v>1</v>
      </c>
      <c r="L240" t="s">
        <v>834</v>
      </c>
      <c r="AC240" t="s">
        <v>1435</v>
      </c>
    </row>
    <row r="241" spans="1:29" x14ac:dyDescent="0.25">
      <c r="B241">
        <v>8010061705028580</v>
      </c>
      <c r="C241">
        <v>41217698</v>
      </c>
      <c r="D241" t="s">
        <v>1012</v>
      </c>
      <c r="E241">
        <v>510</v>
      </c>
      <c r="G241" t="s">
        <v>138</v>
      </c>
      <c r="H241">
        <v>38</v>
      </c>
      <c r="I241">
        <v>3.4</v>
      </c>
      <c r="J241">
        <v>3.4</v>
      </c>
      <c r="K241">
        <v>1</v>
      </c>
      <c r="L241" t="s">
        <v>834</v>
      </c>
      <c r="AC241" t="s">
        <v>1554</v>
      </c>
    </row>
    <row r="242" spans="1:29" x14ac:dyDescent="0.25">
      <c r="C242">
        <v>41217006</v>
      </c>
      <c r="D242" t="s">
        <v>889</v>
      </c>
      <c r="E242">
        <v>150</v>
      </c>
      <c r="J242">
        <v>510</v>
      </c>
      <c r="K242">
        <v>1</v>
      </c>
      <c r="L242" t="s">
        <v>834</v>
      </c>
      <c r="AC242" t="s">
        <v>1436</v>
      </c>
    </row>
    <row r="243" spans="1:29" x14ac:dyDescent="0.25">
      <c r="B243">
        <v>1.10000501801006E+32</v>
      </c>
      <c r="C243">
        <v>41217697</v>
      </c>
      <c r="D243" t="s">
        <v>1013</v>
      </c>
      <c r="E243">
        <v>397</v>
      </c>
      <c r="G243">
        <v>501</v>
      </c>
      <c r="H243">
        <v>128</v>
      </c>
      <c r="I243">
        <v>1.3</v>
      </c>
      <c r="J243">
        <v>1.3</v>
      </c>
      <c r="K243">
        <v>1</v>
      </c>
      <c r="L243" t="s">
        <v>834</v>
      </c>
      <c r="AC243" t="s">
        <v>1555</v>
      </c>
    </row>
    <row r="244" spans="1:29" x14ac:dyDescent="0.25">
      <c r="C244">
        <v>41217222</v>
      </c>
      <c r="D244" t="s">
        <v>890</v>
      </c>
      <c r="E244">
        <v>100</v>
      </c>
      <c r="G244" t="s">
        <v>212</v>
      </c>
      <c r="H244">
        <v>150</v>
      </c>
      <c r="I244">
        <v>1.45</v>
      </c>
      <c r="J244">
        <v>130</v>
      </c>
      <c r="K244">
        <v>89.65517241379311</v>
      </c>
      <c r="L244" t="s">
        <v>834</v>
      </c>
      <c r="AC244" t="s">
        <v>1437</v>
      </c>
    </row>
    <row r="245" spans="1:29" x14ac:dyDescent="0.25">
      <c r="C245">
        <v>41217484</v>
      </c>
      <c r="D245" t="s">
        <v>891</v>
      </c>
      <c r="E245">
        <v>150</v>
      </c>
      <c r="G245">
        <v>6001</v>
      </c>
      <c r="H245">
        <v>173</v>
      </c>
      <c r="I245">
        <v>3.97</v>
      </c>
      <c r="J245">
        <v>1.45</v>
      </c>
      <c r="K245">
        <v>0.3652392947103274</v>
      </c>
      <c r="L245" t="s">
        <v>834</v>
      </c>
      <c r="AC245" t="s">
        <v>1438</v>
      </c>
    </row>
    <row r="246" spans="1:29" x14ac:dyDescent="0.25">
      <c r="A246" t="s">
        <v>837</v>
      </c>
      <c r="C246">
        <v>41217485</v>
      </c>
      <c r="D246" t="s">
        <v>892</v>
      </c>
      <c r="E246">
        <v>100</v>
      </c>
      <c r="G246">
        <v>501</v>
      </c>
      <c r="H246">
        <v>405</v>
      </c>
      <c r="J246">
        <v>217.5</v>
      </c>
      <c r="K246">
        <v>0.3652392947103274</v>
      </c>
      <c r="L246" t="s">
        <v>834</v>
      </c>
      <c r="AC246" t="s">
        <v>1439</v>
      </c>
    </row>
    <row r="247" spans="1:29" x14ac:dyDescent="0.25">
      <c r="C247">
        <v>41217312</v>
      </c>
      <c r="D247" t="s">
        <v>893</v>
      </c>
      <c r="E247">
        <v>130</v>
      </c>
      <c r="J247">
        <v>3.97</v>
      </c>
      <c r="K247">
        <v>0.3652392947103274</v>
      </c>
      <c r="L247" t="s">
        <v>834</v>
      </c>
      <c r="AC247" t="s">
        <v>1440</v>
      </c>
    </row>
    <row r="248" spans="1:29" x14ac:dyDescent="0.25">
      <c r="B248">
        <v>1.00000050523944E+31</v>
      </c>
      <c r="C248">
        <v>41217698</v>
      </c>
      <c r="D248" t="s">
        <v>1014</v>
      </c>
      <c r="E248">
        <v>510</v>
      </c>
      <c r="G248" t="s">
        <v>138</v>
      </c>
      <c r="H248">
        <v>68</v>
      </c>
      <c r="I248">
        <v>3.4</v>
      </c>
      <c r="J248">
        <v>3.4</v>
      </c>
      <c r="K248">
        <v>1</v>
      </c>
      <c r="L248" t="s">
        <v>834</v>
      </c>
      <c r="AC248" t="s">
        <v>1556</v>
      </c>
    </row>
    <row r="249" spans="1:29" x14ac:dyDescent="0.25">
      <c r="C249">
        <v>41217605</v>
      </c>
      <c r="D249" t="s">
        <v>894</v>
      </c>
      <c r="E249">
        <v>150</v>
      </c>
      <c r="J249">
        <v>510</v>
      </c>
      <c r="K249">
        <v>1</v>
      </c>
      <c r="L249" t="s">
        <v>834</v>
      </c>
      <c r="AC249" t="s">
        <v>1441</v>
      </c>
    </row>
    <row r="250" spans="1:29" x14ac:dyDescent="0.25">
      <c r="B250">
        <v>8010061705028580</v>
      </c>
      <c r="C250">
        <v>41217334</v>
      </c>
      <c r="D250" t="s">
        <v>1015</v>
      </c>
      <c r="E250">
        <v>240</v>
      </c>
      <c r="G250" t="s">
        <v>174</v>
      </c>
      <c r="H250">
        <v>83</v>
      </c>
      <c r="I250">
        <v>0.56000000000000005</v>
      </c>
      <c r="J250">
        <v>0.56000000000000005</v>
      </c>
      <c r="K250">
        <v>1</v>
      </c>
      <c r="L250" t="s">
        <v>834</v>
      </c>
      <c r="AC250" t="s">
        <v>1557</v>
      </c>
    </row>
    <row r="251" spans="1:29" x14ac:dyDescent="0.25">
      <c r="B251">
        <v>1.00000050523944E+31</v>
      </c>
      <c r="C251">
        <v>41218145</v>
      </c>
      <c r="D251" t="s">
        <v>1016</v>
      </c>
      <c r="E251">
        <v>80</v>
      </c>
      <c r="G251">
        <v>6885</v>
      </c>
      <c r="H251">
        <v>85</v>
      </c>
      <c r="I251">
        <v>1.78</v>
      </c>
      <c r="J251">
        <v>142.4</v>
      </c>
      <c r="K251">
        <v>80</v>
      </c>
      <c r="L251" t="s">
        <v>834</v>
      </c>
      <c r="AC251" t="s">
        <v>1558</v>
      </c>
    </row>
    <row r="252" spans="1:29" x14ac:dyDescent="0.25">
      <c r="B252">
        <v>8010061705028580</v>
      </c>
      <c r="C252">
        <v>41217336</v>
      </c>
      <c r="D252" t="s">
        <v>1017</v>
      </c>
      <c r="E252">
        <v>150</v>
      </c>
      <c r="G252" t="s">
        <v>190</v>
      </c>
      <c r="H252">
        <v>90</v>
      </c>
      <c r="I252">
        <v>0.15</v>
      </c>
      <c r="J252">
        <v>0.15</v>
      </c>
      <c r="K252">
        <v>1</v>
      </c>
      <c r="L252" t="s">
        <v>834</v>
      </c>
      <c r="AC252" t="s">
        <v>1559</v>
      </c>
    </row>
    <row r="253" spans="1:29" x14ac:dyDescent="0.25">
      <c r="C253">
        <v>41217484</v>
      </c>
      <c r="D253" t="s">
        <v>895</v>
      </c>
      <c r="E253">
        <v>1000</v>
      </c>
      <c r="J253">
        <v>160</v>
      </c>
      <c r="K253">
        <v>1</v>
      </c>
      <c r="L253" t="s">
        <v>834</v>
      </c>
      <c r="AC253" t="s">
        <v>1442</v>
      </c>
    </row>
    <row r="254" spans="1:29" x14ac:dyDescent="0.25">
      <c r="A254" t="s">
        <v>680</v>
      </c>
      <c r="B254">
        <v>6.0100001000000498E+38</v>
      </c>
      <c r="C254">
        <v>41217314</v>
      </c>
      <c r="D254" t="s">
        <v>1018</v>
      </c>
      <c r="E254">
        <v>240</v>
      </c>
      <c r="I254">
        <v>1.7</v>
      </c>
      <c r="J254">
        <v>1.7</v>
      </c>
      <c r="K254">
        <v>1</v>
      </c>
      <c r="L254" t="s">
        <v>834</v>
      </c>
      <c r="AC254" t="s">
        <v>1560</v>
      </c>
    </row>
    <row r="255" spans="1:29" x14ac:dyDescent="0.25">
      <c r="B255">
        <v>3.0081066801006101E+31</v>
      </c>
      <c r="C255">
        <v>41217696</v>
      </c>
      <c r="D255" t="s">
        <v>1019</v>
      </c>
      <c r="E255">
        <v>3</v>
      </c>
      <c r="G255">
        <v>81066</v>
      </c>
      <c r="H255">
        <v>65</v>
      </c>
      <c r="I255">
        <v>11.75</v>
      </c>
      <c r="J255">
        <v>11.75</v>
      </c>
      <c r="K255">
        <v>1</v>
      </c>
      <c r="L255" t="s">
        <v>834</v>
      </c>
      <c r="AC255" t="s">
        <v>1561</v>
      </c>
    </row>
    <row r="256" spans="1:29" x14ac:dyDescent="0.25">
      <c r="A256" t="s">
        <v>837</v>
      </c>
      <c r="B256">
        <v>8.0100617050285797E+37</v>
      </c>
      <c r="C256">
        <v>41217180</v>
      </c>
      <c r="D256" t="s">
        <v>1020</v>
      </c>
      <c r="E256">
        <v>800</v>
      </c>
      <c r="G256" t="s">
        <v>129</v>
      </c>
      <c r="H256">
        <v>47</v>
      </c>
      <c r="I256">
        <v>0.25</v>
      </c>
      <c r="J256">
        <v>0.25</v>
      </c>
      <c r="K256">
        <v>1</v>
      </c>
      <c r="L256" t="s">
        <v>834</v>
      </c>
      <c r="AC256" t="s">
        <v>1562</v>
      </c>
    </row>
    <row r="257" spans="1:29" x14ac:dyDescent="0.25">
      <c r="C257">
        <v>41217180</v>
      </c>
      <c r="D257" t="s">
        <v>1021</v>
      </c>
      <c r="E257">
        <v>200</v>
      </c>
      <c r="J257">
        <v>200</v>
      </c>
      <c r="K257">
        <v>1</v>
      </c>
      <c r="L257" t="s">
        <v>834</v>
      </c>
      <c r="AC257" t="s">
        <v>1563</v>
      </c>
    </row>
    <row r="258" spans="1:29" x14ac:dyDescent="0.25">
      <c r="A258" t="s">
        <v>837</v>
      </c>
      <c r="B258">
        <v>8010061705028580</v>
      </c>
      <c r="C258">
        <v>41217265</v>
      </c>
      <c r="D258" t="s">
        <v>1022</v>
      </c>
      <c r="E258">
        <v>495</v>
      </c>
      <c r="G258" t="s">
        <v>156</v>
      </c>
      <c r="H258">
        <v>47</v>
      </c>
      <c r="I258">
        <v>0.33</v>
      </c>
      <c r="J258">
        <v>495</v>
      </c>
      <c r="K258">
        <v>1500</v>
      </c>
      <c r="L258" t="s">
        <v>834</v>
      </c>
      <c r="AC258" t="s">
        <v>1564</v>
      </c>
    </row>
    <row r="259" spans="1:29" x14ac:dyDescent="0.25">
      <c r="C259">
        <v>41217265</v>
      </c>
      <c r="D259" t="s">
        <v>1023</v>
      </c>
      <c r="E259">
        <v>1500</v>
      </c>
      <c r="AC259" t="s">
        <v>1565</v>
      </c>
    </row>
    <row r="260" spans="1:29" x14ac:dyDescent="0.25">
      <c r="A260" t="s">
        <v>837</v>
      </c>
      <c r="B260">
        <v>8.0100611705028496E+16</v>
      </c>
      <c r="C260">
        <v>41217265</v>
      </c>
      <c r="D260" t="s">
        <v>1024</v>
      </c>
      <c r="E260">
        <v>290</v>
      </c>
      <c r="G260" t="s">
        <v>212</v>
      </c>
      <c r="H260">
        <v>77</v>
      </c>
      <c r="I260">
        <v>1.45</v>
      </c>
      <c r="J260">
        <v>1.45</v>
      </c>
      <c r="K260">
        <v>1</v>
      </c>
      <c r="L260" t="s">
        <v>834</v>
      </c>
      <c r="AC260" t="s">
        <v>1566</v>
      </c>
    </row>
    <row r="261" spans="1:29" x14ac:dyDescent="0.25">
      <c r="C261">
        <v>41217222</v>
      </c>
      <c r="D261" t="s">
        <v>1025</v>
      </c>
      <c r="E261">
        <v>200</v>
      </c>
      <c r="J261">
        <v>290</v>
      </c>
      <c r="K261">
        <v>1</v>
      </c>
      <c r="L261" t="s">
        <v>834</v>
      </c>
      <c r="AC261" t="s">
        <v>1443</v>
      </c>
    </row>
    <row r="262" spans="1:29" x14ac:dyDescent="0.25">
      <c r="B262">
        <v>8.0100617050285795E+23</v>
      </c>
      <c r="C262">
        <v>41217180</v>
      </c>
      <c r="D262" t="s">
        <v>1026</v>
      </c>
      <c r="E262">
        <v>200</v>
      </c>
      <c r="G262" t="s">
        <v>113</v>
      </c>
      <c r="H262">
        <v>114</v>
      </c>
      <c r="I262">
        <v>0.25</v>
      </c>
      <c r="J262">
        <v>0.25</v>
      </c>
      <c r="K262">
        <v>1</v>
      </c>
      <c r="L262" t="s">
        <v>834</v>
      </c>
      <c r="AC262" t="s">
        <v>1567</v>
      </c>
    </row>
    <row r="263" spans="1:29" x14ac:dyDescent="0.25">
      <c r="C263">
        <v>41217312</v>
      </c>
      <c r="D263" t="s">
        <v>1027</v>
      </c>
      <c r="E263">
        <v>300</v>
      </c>
      <c r="I263">
        <v>0.25</v>
      </c>
      <c r="J263">
        <v>600</v>
      </c>
      <c r="K263">
        <v>2400</v>
      </c>
      <c r="L263" t="s">
        <v>834</v>
      </c>
      <c r="AC263" t="s">
        <v>1568</v>
      </c>
    </row>
    <row r="264" spans="1:29" x14ac:dyDescent="0.25">
      <c r="C264">
        <v>41217605</v>
      </c>
      <c r="D264" t="s">
        <v>1028</v>
      </c>
      <c r="E264">
        <v>2400</v>
      </c>
      <c r="I264">
        <v>0.25</v>
      </c>
      <c r="J264">
        <v>0.25</v>
      </c>
      <c r="K264">
        <v>1</v>
      </c>
      <c r="L264" t="s">
        <v>834</v>
      </c>
      <c r="AC264" t="s">
        <v>1569</v>
      </c>
    </row>
    <row r="265" spans="1:29" x14ac:dyDescent="0.25">
      <c r="C265">
        <v>41217180</v>
      </c>
      <c r="D265" t="s">
        <v>897</v>
      </c>
      <c r="E265">
        <v>800</v>
      </c>
      <c r="J265">
        <v>200</v>
      </c>
      <c r="K265">
        <v>1</v>
      </c>
      <c r="L265" t="s">
        <v>834</v>
      </c>
      <c r="AC265" t="s">
        <v>1444</v>
      </c>
    </row>
    <row r="266" spans="1:29" x14ac:dyDescent="0.25">
      <c r="C266">
        <v>41217265</v>
      </c>
      <c r="D266" t="s">
        <v>898</v>
      </c>
      <c r="E266">
        <v>1200</v>
      </c>
      <c r="J266">
        <v>0.25</v>
      </c>
      <c r="K266">
        <v>1</v>
      </c>
      <c r="L266" t="s">
        <v>834</v>
      </c>
      <c r="AC266" t="s">
        <v>1445</v>
      </c>
    </row>
    <row r="267" spans="1:29" x14ac:dyDescent="0.25">
      <c r="B267">
        <v>8.0100617050285804E+31</v>
      </c>
      <c r="C267">
        <v>41217223</v>
      </c>
      <c r="D267" t="s">
        <v>1029</v>
      </c>
      <c r="E267">
        <v>480</v>
      </c>
      <c r="G267" t="s">
        <v>152</v>
      </c>
      <c r="H267">
        <v>432</v>
      </c>
      <c r="I267">
        <v>2.1</v>
      </c>
      <c r="J267">
        <v>2.1</v>
      </c>
      <c r="K267">
        <v>1</v>
      </c>
      <c r="L267" t="s">
        <v>834</v>
      </c>
      <c r="AC267" t="s">
        <v>1570</v>
      </c>
    </row>
    <row r="268" spans="1:29" x14ac:dyDescent="0.25">
      <c r="C268">
        <v>41217484</v>
      </c>
      <c r="D268" t="s">
        <v>899</v>
      </c>
      <c r="E268">
        <v>1008</v>
      </c>
      <c r="J268">
        <v>1008</v>
      </c>
      <c r="K268">
        <v>1</v>
      </c>
      <c r="L268" t="s">
        <v>834</v>
      </c>
      <c r="AC268" t="s">
        <v>1446</v>
      </c>
    </row>
    <row r="269" spans="1:29" x14ac:dyDescent="0.25">
      <c r="A269" t="s">
        <v>680</v>
      </c>
      <c r="B269">
        <v>8010061705028580</v>
      </c>
      <c r="C269">
        <v>41217698</v>
      </c>
      <c r="D269" t="s">
        <v>1030</v>
      </c>
      <c r="E269">
        <v>150</v>
      </c>
      <c r="G269" t="s">
        <v>138</v>
      </c>
      <c r="H269">
        <v>38</v>
      </c>
      <c r="I269">
        <v>3.4</v>
      </c>
      <c r="J269">
        <v>3.4</v>
      </c>
      <c r="K269">
        <v>1</v>
      </c>
      <c r="L269" t="s">
        <v>834</v>
      </c>
      <c r="AC269" t="s">
        <v>1571</v>
      </c>
    </row>
    <row r="270" spans="1:29" x14ac:dyDescent="0.25">
      <c r="B270">
        <v>1.46181504801006E+32</v>
      </c>
      <c r="C270">
        <v>41217698</v>
      </c>
      <c r="D270" t="s">
        <v>1012</v>
      </c>
      <c r="E270">
        <v>150</v>
      </c>
      <c r="G270" t="s">
        <v>138</v>
      </c>
      <c r="H270">
        <v>46</v>
      </c>
      <c r="J270">
        <v>3.4</v>
      </c>
      <c r="L270" t="s">
        <v>834</v>
      </c>
      <c r="AC270" t="s">
        <v>1572</v>
      </c>
    </row>
    <row r="271" spans="1:29" x14ac:dyDescent="0.25">
      <c r="C271">
        <v>41217312</v>
      </c>
      <c r="D271" t="s">
        <v>900</v>
      </c>
      <c r="E271">
        <v>510</v>
      </c>
      <c r="AC271" t="s">
        <v>1447</v>
      </c>
    </row>
    <row r="272" spans="1:29" x14ac:dyDescent="0.25">
      <c r="A272" t="s">
        <v>837</v>
      </c>
      <c r="B272">
        <v>1.8051880100616999E+39</v>
      </c>
      <c r="C272">
        <v>41217679</v>
      </c>
      <c r="D272" t="s">
        <v>1031</v>
      </c>
      <c r="E272">
        <v>12000</v>
      </c>
      <c r="G272" t="s">
        <v>133</v>
      </c>
      <c r="H272">
        <v>23</v>
      </c>
      <c r="I272">
        <v>0.25</v>
      </c>
      <c r="J272">
        <v>3000</v>
      </c>
      <c r="K272">
        <v>12000</v>
      </c>
      <c r="AC272" t="s">
        <v>1573</v>
      </c>
    </row>
    <row r="273" spans="1:29" x14ac:dyDescent="0.25">
      <c r="B273">
        <v>8.0100617050285799E+39</v>
      </c>
      <c r="C273">
        <v>41217679</v>
      </c>
      <c r="D273" t="s">
        <v>1031</v>
      </c>
      <c r="E273">
        <v>12000</v>
      </c>
      <c r="G273" t="s">
        <v>133</v>
      </c>
      <c r="H273">
        <v>23</v>
      </c>
      <c r="I273">
        <v>0.25</v>
      </c>
      <c r="J273">
        <v>3000</v>
      </c>
      <c r="K273">
        <v>12000</v>
      </c>
      <c r="AC273" t="s">
        <v>1574</v>
      </c>
    </row>
    <row r="274" spans="1:29" x14ac:dyDescent="0.25">
      <c r="A274" t="s">
        <v>837</v>
      </c>
      <c r="B274">
        <v>8010061705028580</v>
      </c>
      <c r="C274">
        <v>41217698</v>
      </c>
      <c r="D274" t="s">
        <v>1032</v>
      </c>
      <c r="E274">
        <v>150</v>
      </c>
      <c r="G274" t="s">
        <v>138</v>
      </c>
      <c r="H274">
        <v>37</v>
      </c>
      <c r="I274">
        <v>3.4</v>
      </c>
      <c r="J274">
        <v>510</v>
      </c>
      <c r="K274">
        <v>150</v>
      </c>
      <c r="AC274" t="s">
        <v>1575</v>
      </c>
    </row>
    <row r="275" spans="1:29" x14ac:dyDescent="0.25">
      <c r="B275">
        <v>8010061705028580</v>
      </c>
      <c r="C275">
        <v>41217698</v>
      </c>
      <c r="D275" t="s">
        <v>1030</v>
      </c>
      <c r="E275">
        <v>150</v>
      </c>
      <c r="G275" t="s">
        <v>138</v>
      </c>
      <c r="H275">
        <v>38</v>
      </c>
      <c r="I275">
        <v>3.4</v>
      </c>
      <c r="J275">
        <v>510</v>
      </c>
      <c r="K275">
        <v>150</v>
      </c>
      <c r="AC275" t="s">
        <v>1576</v>
      </c>
    </row>
    <row r="276" spans="1:29" x14ac:dyDescent="0.25">
      <c r="A276" t="s">
        <v>680</v>
      </c>
      <c r="B276">
        <v>8.0100617050285795E+32</v>
      </c>
      <c r="C276">
        <v>41217702</v>
      </c>
      <c r="D276" t="s">
        <v>1033</v>
      </c>
      <c r="E276">
        <v>88</v>
      </c>
      <c r="I276">
        <v>1.3</v>
      </c>
      <c r="J276">
        <v>114.4</v>
      </c>
      <c r="K276">
        <v>88</v>
      </c>
      <c r="AC276" t="s">
        <v>1577</v>
      </c>
    </row>
    <row r="277" spans="1:29" x14ac:dyDescent="0.25">
      <c r="B277">
        <v>8.0100617050285795E+32</v>
      </c>
      <c r="C277">
        <v>41217866</v>
      </c>
      <c r="D277" t="s">
        <v>1034</v>
      </c>
      <c r="E277">
        <v>1500</v>
      </c>
      <c r="G277" t="s">
        <v>156</v>
      </c>
      <c r="H277">
        <v>39</v>
      </c>
      <c r="I277">
        <v>0.33</v>
      </c>
      <c r="J277">
        <v>495</v>
      </c>
      <c r="K277">
        <v>1500</v>
      </c>
      <c r="AC277" t="s">
        <v>1578</v>
      </c>
    </row>
    <row r="278" spans="1:29" x14ac:dyDescent="0.25">
      <c r="A278" t="s">
        <v>837</v>
      </c>
      <c r="B278">
        <v>8.0100617050285799E+38</v>
      </c>
      <c r="C278">
        <v>41217918</v>
      </c>
      <c r="D278" t="s">
        <v>1035</v>
      </c>
      <c r="E278">
        <v>9000</v>
      </c>
      <c r="G278" t="s">
        <v>113</v>
      </c>
      <c r="H278">
        <v>23</v>
      </c>
      <c r="I278">
        <v>0.25</v>
      </c>
      <c r="J278">
        <v>2250</v>
      </c>
      <c r="K278">
        <v>9000</v>
      </c>
      <c r="AC278" t="s">
        <v>1579</v>
      </c>
    </row>
    <row r="279" spans="1:29" x14ac:dyDescent="0.25">
      <c r="A279" t="s">
        <v>837</v>
      </c>
      <c r="B279">
        <v>8.0100617050285798E+33</v>
      </c>
      <c r="C279">
        <v>41217006</v>
      </c>
      <c r="D279" t="s">
        <v>1036</v>
      </c>
      <c r="E279">
        <v>200</v>
      </c>
      <c r="G279" t="s">
        <v>163</v>
      </c>
      <c r="H279">
        <v>23</v>
      </c>
      <c r="I279">
        <v>20.99</v>
      </c>
      <c r="J279">
        <v>4198</v>
      </c>
      <c r="K279">
        <v>200.00000000000003</v>
      </c>
      <c r="L279" t="s">
        <v>834</v>
      </c>
      <c r="AC279" t="s">
        <v>1580</v>
      </c>
    </row>
    <row r="280" spans="1:29" x14ac:dyDescent="0.25">
      <c r="A280" t="s">
        <v>837</v>
      </c>
      <c r="B280">
        <v>8.0100617050285795E+32</v>
      </c>
      <c r="C280">
        <v>41217485</v>
      </c>
      <c r="D280" t="s">
        <v>1037</v>
      </c>
      <c r="E280">
        <v>120</v>
      </c>
      <c r="G280" t="s">
        <v>161</v>
      </c>
      <c r="H280">
        <v>23</v>
      </c>
      <c r="I280">
        <v>18</v>
      </c>
      <c r="J280">
        <v>2160</v>
      </c>
      <c r="K280">
        <v>120</v>
      </c>
      <c r="AC280" t="s">
        <v>1581</v>
      </c>
    </row>
    <row r="281" spans="1:29" x14ac:dyDescent="0.25">
      <c r="B281">
        <v>1.705028584172E+27</v>
      </c>
      <c r="C281">
        <v>41218064</v>
      </c>
      <c r="D281" t="s">
        <v>1038</v>
      </c>
      <c r="E281">
        <v>7200</v>
      </c>
      <c r="G281" t="s">
        <v>113</v>
      </c>
      <c r="H281">
        <v>27</v>
      </c>
      <c r="I281">
        <v>0.25</v>
      </c>
      <c r="J281">
        <v>0.25</v>
      </c>
      <c r="K281">
        <v>1</v>
      </c>
      <c r="L281" t="s">
        <v>834</v>
      </c>
      <c r="AC281" t="s">
        <v>1582</v>
      </c>
    </row>
    <row r="282" spans="1:29" x14ac:dyDescent="0.25">
      <c r="B282">
        <v>1.2358002280021799E+37</v>
      </c>
      <c r="C282">
        <v>41217331</v>
      </c>
      <c r="D282" t="s">
        <v>1039</v>
      </c>
      <c r="E282">
        <v>250</v>
      </c>
      <c r="G282" t="s">
        <v>165</v>
      </c>
      <c r="H282">
        <v>23</v>
      </c>
      <c r="I282">
        <v>0.51</v>
      </c>
      <c r="J282">
        <v>127.5</v>
      </c>
      <c r="K282">
        <v>250</v>
      </c>
      <c r="AC282" t="s">
        <v>1583</v>
      </c>
    </row>
    <row r="283" spans="1:29" x14ac:dyDescent="0.25">
      <c r="C283">
        <v>41217222</v>
      </c>
      <c r="D283" t="s">
        <v>1040</v>
      </c>
      <c r="E283">
        <v>5</v>
      </c>
      <c r="G283" t="s">
        <v>168</v>
      </c>
      <c r="H283">
        <v>39</v>
      </c>
      <c r="I283">
        <v>1.3</v>
      </c>
      <c r="J283">
        <v>6.5</v>
      </c>
      <c r="K283">
        <v>5</v>
      </c>
      <c r="AC283" t="s">
        <v>1584</v>
      </c>
    </row>
    <row r="284" spans="1:29" x14ac:dyDescent="0.25">
      <c r="A284" t="s">
        <v>837</v>
      </c>
      <c r="B284">
        <v>8010061705028580</v>
      </c>
      <c r="C284">
        <v>41217699</v>
      </c>
      <c r="D284" t="s">
        <v>1041</v>
      </c>
      <c r="E284">
        <v>200</v>
      </c>
      <c r="G284" t="s">
        <v>170</v>
      </c>
      <c r="H284">
        <v>47</v>
      </c>
      <c r="I284">
        <v>1.28</v>
      </c>
      <c r="J284">
        <v>1.28</v>
      </c>
      <c r="K284">
        <v>1</v>
      </c>
      <c r="L284" t="s">
        <v>834</v>
      </c>
      <c r="AC284" t="s">
        <v>1585</v>
      </c>
    </row>
    <row r="285" spans="1:29" x14ac:dyDescent="0.25">
      <c r="B285">
        <v>8.0100617050285798E+33</v>
      </c>
      <c r="C285">
        <v>41217336</v>
      </c>
      <c r="D285" t="s">
        <v>1042</v>
      </c>
      <c r="E285">
        <v>2000</v>
      </c>
      <c r="G285" t="s">
        <v>190</v>
      </c>
      <c r="H285">
        <v>23</v>
      </c>
      <c r="I285">
        <v>0.15</v>
      </c>
      <c r="J285">
        <v>300</v>
      </c>
      <c r="K285">
        <v>2000</v>
      </c>
      <c r="AC285" t="s">
        <v>1586</v>
      </c>
    </row>
    <row r="286" spans="1:29" x14ac:dyDescent="0.25">
      <c r="B286">
        <v>1.7050285848009999E+35</v>
      </c>
      <c r="C286">
        <v>41217697</v>
      </c>
      <c r="D286" t="s">
        <v>1043</v>
      </c>
      <c r="E286">
        <v>180</v>
      </c>
      <c r="G286">
        <v>6001</v>
      </c>
      <c r="H286">
        <v>24</v>
      </c>
      <c r="I286">
        <v>3.97</v>
      </c>
      <c r="J286">
        <v>714.6</v>
      </c>
      <c r="K286">
        <v>180</v>
      </c>
      <c r="AC286" t="s">
        <v>1587</v>
      </c>
    </row>
    <row r="287" spans="1:29" x14ac:dyDescent="0.25">
      <c r="C287">
        <v>41217605</v>
      </c>
      <c r="D287" t="s">
        <v>1044</v>
      </c>
      <c r="E287">
        <v>200</v>
      </c>
      <c r="G287">
        <v>501</v>
      </c>
      <c r="H287">
        <v>31</v>
      </c>
      <c r="I287">
        <v>1.3</v>
      </c>
      <c r="J287">
        <v>260</v>
      </c>
      <c r="K287">
        <v>200</v>
      </c>
      <c r="AC287" t="s">
        <v>1448</v>
      </c>
    </row>
    <row r="288" spans="1:29" x14ac:dyDescent="0.25">
      <c r="C288">
        <v>41217312</v>
      </c>
      <c r="D288" t="s">
        <v>902</v>
      </c>
      <c r="E288">
        <v>200</v>
      </c>
      <c r="G288" t="s">
        <v>212</v>
      </c>
      <c r="H288">
        <v>36</v>
      </c>
      <c r="I288">
        <v>1.45</v>
      </c>
      <c r="J288">
        <v>290</v>
      </c>
      <c r="K288">
        <v>200</v>
      </c>
      <c r="AC288" t="s">
        <v>1449</v>
      </c>
    </row>
    <row r="289" spans="1:29" x14ac:dyDescent="0.25">
      <c r="B289">
        <v>1.9010800801006099E+29</v>
      </c>
      <c r="C289">
        <v>41217866</v>
      </c>
      <c r="D289" t="s">
        <v>1045</v>
      </c>
      <c r="E289">
        <v>4000</v>
      </c>
      <c r="G289" t="s">
        <v>156</v>
      </c>
      <c r="H289">
        <v>24</v>
      </c>
      <c r="I289">
        <v>0.33</v>
      </c>
      <c r="J289">
        <v>1320</v>
      </c>
      <c r="K289">
        <v>4000</v>
      </c>
      <c r="AC289" t="s">
        <v>1588</v>
      </c>
    </row>
    <row r="290" spans="1:29" x14ac:dyDescent="0.25">
      <c r="A290" t="s">
        <v>837</v>
      </c>
      <c r="B290">
        <v>8010061705028580</v>
      </c>
      <c r="C290">
        <v>41217222</v>
      </c>
      <c r="D290" t="s">
        <v>1046</v>
      </c>
      <c r="E290">
        <v>12</v>
      </c>
      <c r="G290">
        <v>6800</v>
      </c>
      <c r="H290">
        <v>40</v>
      </c>
      <c r="I290">
        <v>96</v>
      </c>
      <c r="J290">
        <v>1152</v>
      </c>
      <c r="K290">
        <v>12</v>
      </c>
      <c r="AC290" t="s">
        <v>1589</v>
      </c>
    </row>
    <row r="291" spans="1:29" x14ac:dyDescent="0.25">
      <c r="B291">
        <v>7.0580100617050196E+23</v>
      </c>
      <c r="C291">
        <v>41217698</v>
      </c>
      <c r="D291" t="s">
        <v>1047</v>
      </c>
      <c r="E291">
        <v>300</v>
      </c>
      <c r="G291" t="s">
        <v>138</v>
      </c>
      <c r="H291">
        <v>40</v>
      </c>
      <c r="I291">
        <v>3.4</v>
      </c>
      <c r="J291">
        <v>1020</v>
      </c>
      <c r="K291">
        <v>300</v>
      </c>
      <c r="AC291" t="s">
        <v>1590</v>
      </c>
    </row>
    <row r="292" spans="1:29" x14ac:dyDescent="0.25">
      <c r="B292">
        <v>8010061705028580</v>
      </c>
      <c r="C292">
        <v>41217696</v>
      </c>
      <c r="D292" t="s">
        <v>1048</v>
      </c>
      <c r="E292">
        <v>10</v>
      </c>
      <c r="G292">
        <v>81066</v>
      </c>
      <c r="H292">
        <v>44</v>
      </c>
      <c r="I292">
        <v>11.75</v>
      </c>
      <c r="J292">
        <v>117.5</v>
      </c>
      <c r="K292">
        <v>10</v>
      </c>
      <c r="AC292" t="s">
        <v>1591</v>
      </c>
    </row>
    <row r="293" spans="1:29" x14ac:dyDescent="0.25">
      <c r="A293" t="s">
        <v>837</v>
      </c>
      <c r="B293">
        <v>8.0100617050285803E+24</v>
      </c>
      <c r="C293">
        <v>41217334</v>
      </c>
      <c r="D293" t="s">
        <v>1049</v>
      </c>
      <c r="E293">
        <v>300</v>
      </c>
      <c r="G293" t="s">
        <v>174</v>
      </c>
      <c r="H293">
        <v>40</v>
      </c>
      <c r="I293">
        <v>0.56000000000000005</v>
      </c>
      <c r="J293">
        <v>0.56000000000000005</v>
      </c>
      <c r="K293">
        <v>1</v>
      </c>
      <c r="L293" t="s">
        <v>834</v>
      </c>
      <c r="AC293" t="s">
        <v>1592</v>
      </c>
    </row>
    <row r="294" spans="1:29" x14ac:dyDescent="0.25">
      <c r="B294">
        <v>8010061705028580</v>
      </c>
      <c r="C294">
        <v>41217485</v>
      </c>
      <c r="D294" t="s">
        <v>1050</v>
      </c>
      <c r="E294">
        <v>100</v>
      </c>
      <c r="G294" t="s">
        <v>161</v>
      </c>
      <c r="H294">
        <v>38</v>
      </c>
      <c r="I294">
        <v>18</v>
      </c>
      <c r="J294">
        <v>1800</v>
      </c>
      <c r="K294">
        <v>100</v>
      </c>
      <c r="AC294" t="s">
        <v>1593</v>
      </c>
    </row>
    <row r="295" spans="1:29" x14ac:dyDescent="0.25">
      <c r="A295" t="s">
        <v>680</v>
      </c>
      <c r="B295">
        <v>8.0100617050285801E+20</v>
      </c>
      <c r="C295">
        <v>41217702</v>
      </c>
      <c r="D295" t="s">
        <v>1051</v>
      </c>
      <c r="E295">
        <v>135</v>
      </c>
      <c r="I295">
        <v>1.3</v>
      </c>
      <c r="J295">
        <v>175.5</v>
      </c>
      <c r="K295">
        <v>135</v>
      </c>
      <c r="AC295" t="s">
        <v>1594</v>
      </c>
    </row>
    <row r="296" spans="1:29" x14ac:dyDescent="0.25">
      <c r="A296" t="s">
        <v>837</v>
      </c>
      <c r="B296">
        <v>8010061705028580</v>
      </c>
      <c r="C296">
        <v>41217331</v>
      </c>
      <c r="D296" t="s">
        <v>1052</v>
      </c>
      <c r="E296">
        <v>400</v>
      </c>
      <c r="G296" t="s">
        <v>165</v>
      </c>
      <c r="H296">
        <v>38</v>
      </c>
      <c r="I296">
        <v>0.51</v>
      </c>
      <c r="J296">
        <v>204</v>
      </c>
      <c r="K296">
        <v>400</v>
      </c>
      <c r="AC296" t="s">
        <v>1595</v>
      </c>
    </row>
    <row r="297" spans="1:29" x14ac:dyDescent="0.25">
      <c r="A297" t="s">
        <v>680</v>
      </c>
      <c r="B297">
        <v>8010061705028580</v>
      </c>
      <c r="C297">
        <v>41218164</v>
      </c>
      <c r="D297" t="s">
        <v>1053</v>
      </c>
      <c r="E297">
        <v>30</v>
      </c>
      <c r="I297">
        <v>3.8</v>
      </c>
      <c r="AC297" t="s">
        <v>1596</v>
      </c>
    </row>
    <row r="298" spans="1:29" x14ac:dyDescent="0.25">
      <c r="B298">
        <v>1.2013580100617E+26</v>
      </c>
      <c r="C298">
        <v>41217223</v>
      </c>
      <c r="D298" t="s">
        <v>1054</v>
      </c>
      <c r="E298">
        <v>480</v>
      </c>
      <c r="G298" t="s">
        <v>152</v>
      </c>
      <c r="H298">
        <v>27</v>
      </c>
      <c r="I298">
        <v>2.1</v>
      </c>
      <c r="J298">
        <v>2.1</v>
      </c>
      <c r="K298">
        <v>1</v>
      </c>
      <c r="L298" t="s">
        <v>834</v>
      </c>
      <c r="AC298" t="s">
        <v>1597</v>
      </c>
    </row>
    <row r="299" spans="1:29" x14ac:dyDescent="0.25">
      <c r="B299">
        <v>8010061705028580</v>
      </c>
      <c r="C299">
        <v>41217265</v>
      </c>
      <c r="D299" t="s">
        <v>1055</v>
      </c>
      <c r="E299">
        <v>12</v>
      </c>
      <c r="G299">
        <v>6800</v>
      </c>
      <c r="H299">
        <v>38</v>
      </c>
      <c r="I299">
        <v>94</v>
      </c>
      <c r="J299">
        <v>1128</v>
      </c>
      <c r="K299">
        <v>12</v>
      </c>
      <c r="L299" t="s">
        <v>834</v>
      </c>
      <c r="AC299" t="s">
        <v>1598</v>
      </c>
    </row>
    <row r="300" spans="1:29" x14ac:dyDescent="0.25">
      <c r="C300">
        <v>41217484</v>
      </c>
      <c r="D300" t="s">
        <v>903</v>
      </c>
      <c r="E300">
        <v>30</v>
      </c>
      <c r="I300">
        <v>3.4</v>
      </c>
      <c r="J300">
        <v>102</v>
      </c>
      <c r="K300">
        <v>30</v>
      </c>
      <c r="AC300" t="s">
        <v>1450</v>
      </c>
    </row>
    <row r="301" spans="1:29" x14ac:dyDescent="0.25">
      <c r="C301">
        <v>41217265</v>
      </c>
      <c r="D301" t="s">
        <v>904</v>
      </c>
      <c r="E301">
        <v>3000</v>
      </c>
      <c r="I301">
        <v>0.33</v>
      </c>
      <c r="AC301" t="s">
        <v>1451</v>
      </c>
    </row>
    <row r="302" spans="1:29" x14ac:dyDescent="0.25">
      <c r="B302">
        <v>8.0100617050285804E+31</v>
      </c>
      <c r="C302">
        <v>41217180</v>
      </c>
      <c r="D302" t="s">
        <v>1056</v>
      </c>
      <c r="E302">
        <v>900</v>
      </c>
      <c r="G302" t="s">
        <v>123</v>
      </c>
      <c r="H302">
        <v>40</v>
      </c>
      <c r="I302">
        <v>0.25</v>
      </c>
      <c r="J302">
        <v>0.25</v>
      </c>
      <c r="K302">
        <v>1</v>
      </c>
      <c r="L302" t="s">
        <v>834</v>
      </c>
      <c r="AC302" t="s">
        <v>1599</v>
      </c>
    </row>
    <row r="303" spans="1:29" x14ac:dyDescent="0.25">
      <c r="C303" t="s">
        <v>906</v>
      </c>
      <c r="D303" t="s">
        <v>907</v>
      </c>
      <c r="E303">
        <v>500</v>
      </c>
      <c r="G303" t="s">
        <v>127</v>
      </c>
      <c r="H303">
        <v>57</v>
      </c>
      <c r="I303">
        <v>0.25</v>
      </c>
      <c r="J303">
        <v>0.25</v>
      </c>
      <c r="K303">
        <v>1</v>
      </c>
      <c r="L303" t="s">
        <v>834</v>
      </c>
      <c r="AC303" t="s">
        <v>1453</v>
      </c>
    </row>
    <row r="304" spans="1:29" x14ac:dyDescent="0.25">
      <c r="C304">
        <v>41217679</v>
      </c>
      <c r="D304" t="s">
        <v>908</v>
      </c>
      <c r="E304">
        <v>1200</v>
      </c>
      <c r="G304" t="s">
        <v>131</v>
      </c>
      <c r="H304">
        <v>74</v>
      </c>
      <c r="I304">
        <v>0.25</v>
      </c>
      <c r="J304">
        <v>0.25</v>
      </c>
      <c r="K304">
        <v>1</v>
      </c>
      <c r="L304" t="s">
        <v>834</v>
      </c>
      <c r="AC304" t="s">
        <v>1454</v>
      </c>
    </row>
    <row r="305" spans="1:29" x14ac:dyDescent="0.25">
      <c r="A305" t="s">
        <v>837</v>
      </c>
      <c r="B305">
        <v>8.0124801010100002E+33</v>
      </c>
      <c r="C305" t="s">
        <v>1057</v>
      </c>
      <c r="D305" t="s">
        <v>1058</v>
      </c>
      <c r="E305">
        <v>2000</v>
      </c>
      <c r="G305" t="s">
        <v>152</v>
      </c>
      <c r="H305">
        <v>24</v>
      </c>
      <c r="I305">
        <v>2.1</v>
      </c>
      <c r="J305">
        <v>4200</v>
      </c>
      <c r="K305">
        <v>2000</v>
      </c>
      <c r="AC305" t="s">
        <v>1600</v>
      </c>
    </row>
    <row r="306" spans="1:29" x14ac:dyDescent="0.25">
      <c r="A306" t="s">
        <v>837</v>
      </c>
      <c r="B306">
        <v>1.2801380100617E+26</v>
      </c>
      <c r="C306">
        <v>41218362</v>
      </c>
      <c r="D306" t="s">
        <v>1059</v>
      </c>
      <c r="E306">
        <v>500</v>
      </c>
      <c r="G306" t="s">
        <v>163</v>
      </c>
      <c r="H306">
        <v>39</v>
      </c>
      <c r="I306">
        <v>20.99</v>
      </c>
      <c r="J306">
        <v>10495</v>
      </c>
      <c r="K306">
        <v>500.00000000000006</v>
      </c>
      <c r="L306" t="s">
        <v>834</v>
      </c>
      <c r="AC306" t="s">
        <v>1601</v>
      </c>
    </row>
    <row r="307" spans="1:29" x14ac:dyDescent="0.25">
      <c r="C307">
        <v>41217698</v>
      </c>
      <c r="D307" t="s">
        <v>909</v>
      </c>
      <c r="E307">
        <v>5</v>
      </c>
      <c r="G307">
        <v>6800</v>
      </c>
      <c r="H307">
        <v>47</v>
      </c>
      <c r="I307">
        <v>96</v>
      </c>
      <c r="J307">
        <v>480</v>
      </c>
      <c r="K307">
        <v>5</v>
      </c>
      <c r="AC307" t="s">
        <v>1455</v>
      </c>
    </row>
    <row r="308" spans="1:29" x14ac:dyDescent="0.25">
      <c r="C308">
        <v>41217679</v>
      </c>
      <c r="D308" t="s">
        <v>910</v>
      </c>
      <c r="E308">
        <v>150</v>
      </c>
      <c r="G308" t="s">
        <v>138</v>
      </c>
      <c r="H308">
        <v>54</v>
      </c>
      <c r="I308">
        <v>3.4</v>
      </c>
      <c r="J308">
        <v>510</v>
      </c>
      <c r="K308">
        <v>150</v>
      </c>
      <c r="AC308" t="s">
        <v>1456</v>
      </c>
    </row>
    <row r="309" spans="1:29" x14ac:dyDescent="0.25">
      <c r="A309" t="s">
        <v>837</v>
      </c>
      <c r="B309">
        <v>8010061705028580</v>
      </c>
      <c r="C309">
        <v>41217699</v>
      </c>
      <c r="D309" t="s">
        <v>1060</v>
      </c>
      <c r="E309">
        <v>150</v>
      </c>
      <c r="G309" t="s">
        <v>170</v>
      </c>
      <c r="H309">
        <v>40</v>
      </c>
      <c r="I309">
        <v>1.28</v>
      </c>
      <c r="AC309" t="s">
        <v>1602</v>
      </c>
    </row>
    <row r="310" spans="1:29" x14ac:dyDescent="0.25">
      <c r="B310">
        <v>8.0100617050285797E+37</v>
      </c>
      <c r="C310">
        <v>41217864</v>
      </c>
      <c r="D310" t="s">
        <v>1061</v>
      </c>
      <c r="E310">
        <v>700</v>
      </c>
      <c r="G310" t="s">
        <v>135</v>
      </c>
      <c r="H310">
        <v>23</v>
      </c>
      <c r="I310">
        <v>0.25</v>
      </c>
      <c r="J310">
        <v>175</v>
      </c>
      <c r="K310">
        <v>700</v>
      </c>
      <c r="AC310" t="s">
        <v>1603</v>
      </c>
    </row>
    <row r="311" spans="1:29" x14ac:dyDescent="0.25">
      <c r="B311">
        <v>8010061705028580</v>
      </c>
      <c r="C311">
        <v>41217865</v>
      </c>
      <c r="D311" t="s">
        <v>1062</v>
      </c>
      <c r="E311">
        <v>14000</v>
      </c>
      <c r="G311" t="s">
        <v>133</v>
      </c>
      <c r="H311">
        <v>37</v>
      </c>
      <c r="I311">
        <v>0.25</v>
      </c>
      <c r="J311">
        <v>3500</v>
      </c>
      <c r="K311">
        <v>14000</v>
      </c>
      <c r="AC311" t="s">
        <v>1604</v>
      </c>
    </row>
    <row r="312" spans="1:29" x14ac:dyDescent="0.25">
      <c r="A312" t="s">
        <v>680</v>
      </c>
      <c r="B312">
        <v>8010061705028580</v>
      </c>
      <c r="C312">
        <v>41217679</v>
      </c>
      <c r="D312" t="s">
        <v>1063</v>
      </c>
      <c r="E312">
        <v>10000</v>
      </c>
      <c r="I312">
        <v>0.25</v>
      </c>
      <c r="J312">
        <v>2500</v>
      </c>
      <c r="K312">
        <v>10000</v>
      </c>
      <c r="AC312" t="s">
        <v>1605</v>
      </c>
    </row>
    <row r="313" spans="1:29" x14ac:dyDescent="0.25">
      <c r="B313">
        <v>8.0100617050285799E+39</v>
      </c>
      <c r="C313">
        <v>41218064</v>
      </c>
      <c r="D313" t="s">
        <v>1064</v>
      </c>
      <c r="E313">
        <v>28000</v>
      </c>
      <c r="G313" t="s">
        <v>113</v>
      </c>
      <c r="H313">
        <v>23</v>
      </c>
      <c r="I313">
        <v>0.25</v>
      </c>
      <c r="J313">
        <v>7000</v>
      </c>
      <c r="K313">
        <v>28000</v>
      </c>
      <c r="AC313" t="s">
        <v>1606</v>
      </c>
    </row>
    <row r="314" spans="1:29" x14ac:dyDescent="0.25">
      <c r="B314">
        <v>8010061705028580</v>
      </c>
      <c r="C314">
        <v>41217698</v>
      </c>
      <c r="D314" t="s">
        <v>1065</v>
      </c>
      <c r="E314">
        <v>50</v>
      </c>
      <c r="G314" t="s">
        <v>138</v>
      </c>
      <c r="H314">
        <v>37</v>
      </c>
      <c r="I314">
        <v>3.4</v>
      </c>
      <c r="J314">
        <v>170</v>
      </c>
      <c r="K314">
        <v>50</v>
      </c>
      <c r="AC314" t="s">
        <v>1607</v>
      </c>
    </row>
    <row r="315" spans="1:29" x14ac:dyDescent="0.25">
      <c r="B315">
        <v>8.0100617050285802E+28</v>
      </c>
      <c r="C315">
        <v>41218164</v>
      </c>
      <c r="D315" t="s">
        <v>1066</v>
      </c>
      <c r="E315">
        <v>30</v>
      </c>
      <c r="G315" t="s">
        <v>177</v>
      </c>
      <c r="H315">
        <v>36</v>
      </c>
      <c r="I315">
        <v>3.8</v>
      </c>
      <c r="J315">
        <v>114</v>
      </c>
      <c r="K315">
        <v>30</v>
      </c>
      <c r="AC315" t="s">
        <v>1608</v>
      </c>
    </row>
    <row r="316" spans="1:29" x14ac:dyDescent="0.25">
      <c r="A316" t="s">
        <v>837</v>
      </c>
      <c r="B316">
        <v>8.0100617050285802E+29</v>
      </c>
      <c r="C316">
        <v>41217697</v>
      </c>
      <c r="D316" t="s">
        <v>1067</v>
      </c>
      <c r="E316">
        <v>200</v>
      </c>
      <c r="G316">
        <v>6001</v>
      </c>
      <c r="H316">
        <v>24</v>
      </c>
      <c r="I316">
        <v>3.97</v>
      </c>
      <c r="J316">
        <v>794</v>
      </c>
      <c r="K316">
        <v>200</v>
      </c>
      <c r="AC316" t="s">
        <v>1609</v>
      </c>
    </row>
    <row r="317" spans="1:29" x14ac:dyDescent="0.25">
      <c r="A317" t="s">
        <v>837</v>
      </c>
      <c r="B317">
        <v>8.0100617050285805E+22</v>
      </c>
      <c r="C317">
        <v>41217222</v>
      </c>
      <c r="D317" t="s">
        <v>1068</v>
      </c>
      <c r="E317">
        <v>2</v>
      </c>
      <c r="G317">
        <v>6800</v>
      </c>
      <c r="H317">
        <v>40</v>
      </c>
      <c r="I317">
        <v>96</v>
      </c>
      <c r="J317">
        <v>192</v>
      </c>
      <c r="K317">
        <v>2</v>
      </c>
      <c r="AC317" t="s">
        <v>1610</v>
      </c>
    </row>
    <row r="318" spans="1:29" x14ac:dyDescent="0.25">
      <c r="B318">
        <v>8.0100617050285801E+20</v>
      </c>
      <c r="C318">
        <v>41217793</v>
      </c>
      <c r="D318" t="s">
        <v>1069</v>
      </c>
      <c r="E318">
        <v>100</v>
      </c>
      <c r="G318" t="s">
        <v>125</v>
      </c>
      <c r="H318">
        <v>38</v>
      </c>
      <c r="I318">
        <v>0.67</v>
      </c>
      <c r="AC318" t="s">
        <v>1611</v>
      </c>
    </row>
    <row r="319" spans="1:29" x14ac:dyDescent="0.25">
      <c r="A319" t="s">
        <v>837</v>
      </c>
      <c r="B319">
        <v>8010061705028580</v>
      </c>
      <c r="C319">
        <v>41217484</v>
      </c>
      <c r="D319" t="s">
        <v>1070</v>
      </c>
      <c r="E319">
        <v>600</v>
      </c>
      <c r="G319" t="s">
        <v>125</v>
      </c>
      <c r="H319">
        <v>39</v>
      </c>
      <c r="I319">
        <v>0.67</v>
      </c>
      <c r="J319">
        <v>0.67</v>
      </c>
      <c r="K319">
        <v>1</v>
      </c>
      <c r="L319" t="s">
        <v>834</v>
      </c>
      <c r="AC319" t="s">
        <v>1612</v>
      </c>
    </row>
    <row r="320" spans="1:29" x14ac:dyDescent="0.25">
      <c r="A320" t="s">
        <v>837</v>
      </c>
      <c r="B320">
        <v>8010061705028580</v>
      </c>
      <c r="C320">
        <v>41217331</v>
      </c>
      <c r="D320" t="s">
        <v>1071</v>
      </c>
      <c r="E320">
        <v>250</v>
      </c>
      <c r="G320" t="s">
        <v>165</v>
      </c>
      <c r="H320">
        <v>38</v>
      </c>
      <c r="I320">
        <v>0.51</v>
      </c>
      <c r="J320">
        <v>127.5</v>
      </c>
      <c r="K320">
        <v>250</v>
      </c>
      <c r="AC320" t="s">
        <v>1613</v>
      </c>
    </row>
    <row r="321" spans="1:29" x14ac:dyDescent="0.25">
      <c r="A321" t="s">
        <v>837</v>
      </c>
      <c r="B321">
        <v>1.705028584801E+29</v>
      </c>
      <c r="C321">
        <v>41217697</v>
      </c>
      <c r="D321" t="s">
        <v>1072</v>
      </c>
      <c r="E321">
        <v>4</v>
      </c>
      <c r="G321" t="s">
        <v>193</v>
      </c>
      <c r="H321">
        <v>39</v>
      </c>
      <c r="I321">
        <v>0.87</v>
      </c>
      <c r="J321">
        <v>3.48</v>
      </c>
      <c r="K321">
        <v>4</v>
      </c>
      <c r="AC321" t="s">
        <v>1614</v>
      </c>
    </row>
    <row r="322" spans="1:29" x14ac:dyDescent="0.25">
      <c r="B322">
        <v>8010061705028580</v>
      </c>
      <c r="C322">
        <v>41217485</v>
      </c>
      <c r="D322" t="s">
        <v>1073</v>
      </c>
      <c r="E322">
        <v>200</v>
      </c>
      <c r="G322" t="s">
        <v>161</v>
      </c>
      <c r="H322">
        <v>38</v>
      </c>
      <c r="I322">
        <v>18</v>
      </c>
      <c r="J322">
        <v>3600</v>
      </c>
      <c r="K322">
        <v>200</v>
      </c>
      <c r="AC322" t="s">
        <v>1615</v>
      </c>
    </row>
    <row r="323" spans="1:29" x14ac:dyDescent="0.25">
      <c r="B323">
        <v>8.0100617050285802E+29</v>
      </c>
      <c r="C323">
        <v>41218362</v>
      </c>
      <c r="D323" t="s">
        <v>1059</v>
      </c>
      <c r="E323">
        <v>500</v>
      </c>
      <c r="G323" t="s">
        <v>163</v>
      </c>
      <c r="H323">
        <v>23</v>
      </c>
      <c r="I323">
        <v>20.99</v>
      </c>
      <c r="J323">
        <v>10495</v>
      </c>
      <c r="K323">
        <v>500.00000000000006</v>
      </c>
      <c r="L323" t="s">
        <v>834</v>
      </c>
      <c r="AC323" t="s">
        <v>1616</v>
      </c>
    </row>
    <row r="324" spans="1:29" x14ac:dyDescent="0.25">
      <c r="C324">
        <v>41217840</v>
      </c>
      <c r="D324" t="s">
        <v>911</v>
      </c>
      <c r="E324">
        <v>5</v>
      </c>
      <c r="G324">
        <v>6800</v>
      </c>
      <c r="H324">
        <v>31</v>
      </c>
      <c r="I324">
        <v>96</v>
      </c>
      <c r="J324">
        <v>480</v>
      </c>
      <c r="K324">
        <v>5</v>
      </c>
      <c r="AC324" t="s">
        <v>1457</v>
      </c>
    </row>
    <row r="325" spans="1:29" x14ac:dyDescent="0.25">
      <c r="C325">
        <v>41217605</v>
      </c>
      <c r="D325" t="s">
        <v>912</v>
      </c>
      <c r="E325">
        <v>150</v>
      </c>
      <c r="G325" t="s">
        <v>138</v>
      </c>
      <c r="H325">
        <v>38</v>
      </c>
      <c r="I325">
        <v>3.4</v>
      </c>
      <c r="J325">
        <v>510</v>
      </c>
      <c r="K325">
        <v>150</v>
      </c>
      <c r="AC325" t="s">
        <v>1458</v>
      </c>
    </row>
    <row r="326" spans="1:29" x14ac:dyDescent="0.25">
      <c r="A326" t="s">
        <v>837</v>
      </c>
      <c r="B326">
        <v>8010061705028580</v>
      </c>
      <c r="C326">
        <v>41217871</v>
      </c>
      <c r="D326" t="s">
        <v>1074</v>
      </c>
      <c r="E326">
        <v>600</v>
      </c>
      <c r="G326" t="s">
        <v>129</v>
      </c>
      <c r="H326">
        <v>39</v>
      </c>
      <c r="I326">
        <v>0.25</v>
      </c>
      <c r="J326">
        <v>150</v>
      </c>
      <c r="K326">
        <v>600</v>
      </c>
      <c r="AC326" t="s">
        <v>1617</v>
      </c>
    </row>
    <row r="327" spans="1:29" x14ac:dyDescent="0.25">
      <c r="B327">
        <v>8.0100617050285805E+25</v>
      </c>
      <c r="C327">
        <v>41218301</v>
      </c>
      <c r="D327" t="s">
        <v>1075</v>
      </c>
      <c r="E327">
        <v>200</v>
      </c>
      <c r="G327">
        <v>6001</v>
      </c>
      <c r="H327">
        <v>34</v>
      </c>
      <c r="I327">
        <v>3.97</v>
      </c>
      <c r="J327">
        <v>3.97</v>
      </c>
      <c r="K327">
        <v>1</v>
      </c>
      <c r="L327" t="s">
        <v>834</v>
      </c>
      <c r="AC327" t="s">
        <v>1618</v>
      </c>
    </row>
    <row r="328" spans="1:29" x14ac:dyDescent="0.25">
      <c r="A328" t="s">
        <v>837</v>
      </c>
      <c r="B328">
        <v>8010061705028580</v>
      </c>
      <c r="C328">
        <v>41217871</v>
      </c>
      <c r="D328" t="s">
        <v>1076</v>
      </c>
      <c r="E328">
        <v>200</v>
      </c>
      <c r="G328" t="s">
        <v>129</v>
      </c>
      <c r="H328">
        <v>23</v>
      </c>
      <c r="J328">
        <v>0.25</v>
      </c>
      <c r="L328" t="s">
        <v>834</v>
      </c>
      <c r="AC328" t="s">
        <v>1619</v>
      </c>
    </row>
    <row r="329" spans="1:29" x14ac:dyDescent="0.25">
      <c r="A329" t="s">
        <v>837</v>
      </c>
      <c r="B329">
        <v>8010061705028580</v>
      </c>
      <c r="C329">
        <v>41218301</v>
      </c>
      <c r="D329" t="s">
        <v>1077</v>
      </c>
      <c r="E329">
        <v>400</v>
      </c>
      <c r="G329">
        <v>6001</v>
      </c>
      <c r="H329">
        <v>40</v>
      </c>
      <c r="I329">
        <v>3.7</v>
      </c>
      <c r="J329">
        <v>3.7</v>
      </c>
      <c r="K329">
        <v>1</v>
      </c>
      <c r="L329" t="s">
        <v>834</v>
      </c>
      <c r="AC329" t="s">
        <v>1620</v>
      </c>
    </row>
    <row r="330" spans="1:29" x14ac:dyDescent="0.25">
      <c r="A330" t="s">
        <v>837</v>
      </c>
      <c r="B330">
        <v>8.0100617050285798E+17</v>
      </c>
      <c r="C330">
        <v>41217180</v>
      </c>
      <c r="D330" t="s">
        <v>1078</v>
      </c>
      <c r="E330">
        <v>200</v>
      </c>
      <c r="G330" t="s">
        <v>129</v>
      </c>
      <c r="H330">
        <v>39</v>
      </c>
      <c r="I330">
        <v>0.25</v>
      </c>
      <c r="J330">
        <v>50</v>
      </c>
      <c r="K330">
        <v>200</v>
      </c>
      <c r="AC330" t="s">
        <v>1621</v>
      </c>
    </row>
    <row r="331" spans="1:29" x14ac:dyDescent="0.25">
      <c r="B331">
        <v>8010061705028580</v>
      </c>
      <c r="C331">
        <v>41218407</v>
      </c>
      <c r="D331" t="s">
        <v>1079</v>
      </c>
      <c r="E331">
        <v>2000</v>
      </c>
      <c r="G331" t="s">
        <v>113</v>
      </c>
      <c r="H331">
        <v>38</v>
      </c>
      <c r="J331">
        <v>0.25</v>
      </c>
      <c r="L331" t="s">
        <v>834</v>
      </c>
      <c r="AC331" t="s">
        <v>1622</v>
      </c>
    </row>
    <row r="332" spans="1:29" x14ac:dyDescent="0.25">
      <c r="B332">
        <v>8010061705028580</v>
      </c>
      <c r="C332">
        <v>41217331</v>
      </c>
      <c r="D332" t="s">
        <v>1080</v>
      </c>
      <c r="E332">
        <v>350</v>
      </c>
      <c r="G332" t="s">
        <v>165</v>
      </c>
      <c r="H332">
        <v>74</v>
      </c>
      <c r="I332">
        <v>0.51</v>
      </c>
      <c r="J332">
        <v>0.51</v>
      </c>
      <c r="K332">
        <v>1</v>
      </c>
      <c r="L332" t="s">
        <v>834</v>
      </c>
      <c r="AC332" t="s">
        <v>1623</v>
      </c>
    </row>
    <row r="333" spans="1:29" x14ac:dyDescent="0.25">
      <c r="A333" t="s">
        <v>837</v>
      </c>
      <c r="C333">
        <v>41217312</v>
      </c>
      <c r="D333" t="s">
        <v>913</v>
      </c>
      <c r="E333">
        <v>8</v>
      </c>
      <c r="G333" t="s">
        <v>168</v>
      </c>
      <c r="H333">
        <v>119</v>
      </c>
      <c r="I333">
        <v>1.3</v>
      </c>
      <c r="J333">
        <v>1.3</v>
      </c>
      <c r="K333">
        <v>1</v>
      </c>
      <c r="L333" t="s">
        <v>834</v>
      </c>
      <c r="AC333" t="s">
        <v>1459</v>
      </c>
    </row>
    <row r="334" spans="1:29" x14ac:dyDescent="0.25">
      <c r="B334">
        <v>8010061705028580</v>
      </c>
      <c r="C334">
        <v>41217331</v>
      </c>
      <c r="D334" t="s">
        <v>1081</v>
      </c>
      <c r="E334">
        <v>30</v>
      </c>
      <c r="G334" t="s">
        <v>165</v>
      </c>
      <c r="H334">
        <v>59</v>
      </c>
      <c r="J334">
        <v>0.51</v>
      </c>
      <c r="L334" t="s">
        <v>834</v>
      </c>
      <c r="AC334" t="s">
        <v>1624</v>
      </c>
    </row>
    <row r="335" spans="1:29" x14ac:dyDescent="0.25">
      <c r="A335" t="s">
        <v>837</v>
      </c>
      <c r="C335">
        <v>41217485</v>
      </c>
      <c r="D335" t="s">
        <v>1082</v>
      </c>
      <c r="E335">
        <v>157</v>
      </c>
      <c r="G335" t="s">
        <v>168</v>
      </c>
      <c r="H335">
        <v>124</v>
      </c>
      <c r="J335">
        <v>1.3</v>
      </c>
      <c r="L335" t="s">
        <v>834</v>
      </c>
      <c r="AC335" t="s">
        <v>1460</v>
      </c>
    </row>
    <row r="336" spans="1:29" x14ac:dyDescent="0.25">
      <c r="A336" t="s">
        <v>837</v>
      </c>
      <c r="B336">
        <v>8010061705028580</v>
      </c>
      <c r="C336">
        <v>41217699</v>
      </c>
      <c r="D336" t="s">
        <v>1083</v>
      </c>
      <c r="E336">
        <v>210</v>
      </c>
      <c r="G336" t="s">
        <v>170</v>
      </c>
      <c r="H336">
        <v>85</v>
      </c>
      <c r="J336">
        <v>1.28</v>
      </c>
      <c r="L336" t="s">
        <v>834</v>
      </c>
      <c r="AC336" t="s">
        <v>1625</v>
      </c>
    </row>
    <row r="337" spans="1:29" x14ac:dyDescent="0.25">
      <c r="A337" t="s">
        <v>837</v>
      </c>
      <c r="B337">
        <v>7.0001010100047995E+18</v>
      </c>
      <c r="C337" t="s">
        <v>1057</v>
      </c>
      <c r="D337" t="s">
        <v>1084</v>
      </c>
      <c r="E337">
        <v>4200</v>
      </c>
      <c r="G337" t="s">
        <v>152</v>
      </c>
      <c r="H337">
        <v>42</v>
      </c>
      <c r="I337">
        <v>2.1</v>
      </c>
      <c r="J337">
        <v>2.1</v>
      </c>
      <c r="K337">
        <v>1</v>
      </c>
      <c r="L337" t="s">
        <v>834</v>
      </c>
      <c r="AC337" t="s">
        <v>1626</v>
      </c>
    </row>
    <row r="338" spans="1:29" x14ac:dyDescent="0.25">
      <c r="C338">
        <v>41217484</v>
      </c>
      <c r="D338" t="s">
        <v>915</v>
      </c>
      <c r="E338">
        <v>2000</v>
      </c>
      <c r="J338">
        <v>4200</v>
      </c>
      <c r="K338">
        <v>1</v>
      </c>
      <c r="L338" t="s">
        <v>834</v>
      </c>
      <c r="AC338" t="s">
        <v>1461</v>
      </c>
    </row>
    <row r="339" spans="1:29" x14ac:dyDescent="0.25">
      <c r="A339" t="s">
        <v>837</v>
      </c>
      <c r="B339">
        <v>8010061705028580</v>
      </c>
      <c r="C339">
        <v>41217697</v>
      </c>
      <c r="D339" t="s">
        <v>1085</v>
      </c>
      <c r="E339">
        <v>10</v>
      </c>
      <c r="G339" t="s">
        <v>193</v>
      </c>
      <c r="H339">
        <v>44</v>
      </c>
      <c r="I339">
        <v>0.87</v>
      </c>
      <c r="J339">
        <v>0.87</v>
      </c>
      <c r="K339">
        <v>1</v>
      </c>
      <c r="L339" t="s">
        <v>834</v>
      </c>
      <c r="AC339" t="s">
        <v>1627</v>
      </c>
    </row>
    <row r="340" spans="1:29" x14ac:dyDescent="0.25">
      <c r="B340">
        <v>8010061705028580</v>
      </c>
      <c r="C340">
        <v>41217865</v>
      </c>
      <c r="D340" t="s">
        <v>1086</v>
      </c>
      <c r="E340">
        <v>5125</v>
      </c>
      <c r="G340" t="s">
        <v>133</v>
      </c>
      <c r="H340">
        <v>57</v>
      </c>
      <c r="I340">
        <v>0.25</v>
      </c>
      <c r="J340">
        <v>0.25</v>
      </c>
      <c r="K340">
        <v>1</v>
      </c>
      <c r="L340" t="s">
        <v>834</v>
      </c>
      <c r="AC340" t="s">
        <v>1628</v>
      </c>
    </row>
    <row r="341" spans="1:29" x14ac:dyDescent="0.25">
      <c r="C341">
        <v>41217222</v>
      </c>
      <c r="D341" t="s">
        <v>916</v>
      </c>
      <c r="E341">
        <v>20500</v>
      </c>
      <c r="AC341" t="s">
        <v>1462</v>
      </c>
    </row>
    <row r="342" spans="1:29" x14ac:dyDescent="0.25">
      <c r="B342">
        <v>8010061705028580</v>
      </c>
      <c r="C342">
        <v>41218064</v>
      </c>
      <c r="D342" t="s">
        <v>1087</v>
      </c>
      <c r="E342">
        <v>25000</v>
      </c>
      <c r="G342" t="s">
        <v>113</v>
      </c>
      <c r="H342">
        <v>64</v>
      </c>
      <c r="I342">
        <v>0.25</v>
      </c>
      <c r="J342">
        <v>0.25</v>
      </c>
      <c r="K342">
        <v>1</v>
      </c>
      <c r="L342" t="s">
        <v>834</v>
      </c>
      <c r="AC342" t="s">
        <v>1629</v>
      </c>
    </row>
    <row r="343" spans="1:29" x14ac:dyDescent="0.25">
      <c r="A343" t="s">
        <v>837</v>
      </c>
      <c r="B343">
        <v>8.0100617050285802E+30</v>
      </c>
      <c r="C343">
        <v>41217697</v>
      </c>
      <c r="D343" t="s">
        <v>1088</v>
      </c>
      <c r="E343">
        <v>3</v>
      </c>
      <c r="G343" t="s">
        <v>193</v>
      </c>
      <c r="H343">
        <v>30</v>
      </c>
      <c r="I343">
        <v>0.87</v>
      </c>
      <c r="J343">
        <v>0.87</v>
      </c>
      <c r="K343">
        <v>1</v>
      </c>
      <c r="L343" t="s">
        <v>834</v>
      </c>
      <c r="AC343" t="s">
        <v>1630</v>
      </c>
    </row>
    <row r="344" spans="1:29" x14ac:dyDescent="0.25">
      <c r="A344" t="s">
        <v>837</v>
      </c>
      <c r="B344">
        <v>8010061705028580</v>
      </c>
      <c r="C344">
        <v>41218164</v>
      </c>
      <c r="D344" t="s">
        <v>1089</v>
      </c>
      <c r="E344">
        <v>228</v>
      </c>
      <c r="G344" t="s">
        <v>177</v>
      </c>
      <c r="H344">
        <v>85</v>
      </c>
      <c r="I344">
        <v>3.8</v>
      </c>
      <c r="J344">
        <v>228</v>
      </c>
      <c r="K344">
        <v>60</v>
      </c>
      <c r="L344" t="s">
        <v>834</v>
      </c>
      <c r="AC344" t="s">
        <v>1631</v>
      </c>
    </row>
    <row r="345" spans="1:29" x14ac:dyDescent="0.25">
      <c r="C345">
        <v>41217265</v>
      </c>
      <c r="D345" t="s">
        <v>917</v>
      </c>
      <c r="E345">
        <v>60</v>
      </c>
      <c r="J345">
        <v>3.8</v>
      </c>
      <c r="K345">
        <v>60</v>
      </c>
      <c r="AC345" t="s">
        <v>1463</v>
      </c>
    </row>
    <row r="346" spans="1:29" x14ac:dyDescent="0.25">
      <c r="A346" t="s">
        <v>837</v>
      </c>
      <c r="B346">
        <v>8010061705028580</v>
      </c>
      <c r="C346">
        <v>41217265</v>
      </c>
      <c r="D346" t="s">
        <v>1090</v>
      </c>
      <c r="E346">
        <v>240</v>
      </c>
      <c r="G346" t="s">
        <v>174</v>
      </c>
      <c r="H346">
        <v>95</v>
      </c>
      <c r="J346">
        <v>0.56000000000000005</v>
      </c>
      <c r="L346" t="s">
        <v>834</v>
      </c>
      <c r="AC346" t="s">
        <v>1632</v>
      </c>
    </row>
    <row r="347" spans="1:29" x14ac:dyDescent="0.25">
      <c r="C347">
        <v>41217180</v>
      </c>
      <c r="D347" t="s">
        <v>919</v>
      </c>
      <c r="E347">
        <v>300</v>
      </c>
      <c r="J347">
        <v>1.7</v>
      </c>
      <c r="L347" t="s">
        <v>834</v>
      </c>
      <c r="AC347" t="s">
        <v>1464</v>
      </c>
    </row>
    <row r="348" spans="1:29" x14ac:dyDescent="0.25">
      <c r="C348">
        <v>41217679</v>
      </c>
      <c r="D348" t="s">
        <v>920</v>
      </c>
      <c r="E348">
        <v>240</v>
      </c>
      <c r="J348">
        <v>1.7</v>
      </c>
      <c r="L348" t="s">
        <v>834</v>
      </c>
      <c r="AC348" t="s">
        <v>1465</v>
      </c>
    </row>
    <row r="349" spans="1:29" x14ac:dyDescent="0.25">
      <c r="C349">
        <v>41217882</v>
      </c>
      <c r="D349" t="s">
        <v>921</v>
      </c>
      <c r="E349">
        <v>510</v>
      </c>
      <c r="AC349" t="s">
        <v>1466</v>
      </c>
    </row>
    <row r="350" spans="1:29" x14ac:dyDescent="0.25">
      <c r="C350">
        <v>41217605</v>
      </c>
      <c r="D350" t="s">
        <v>922</v>
      </c>
      <c r="E350">
        <v>408</v>
      </c>
      <c r="AC350" t="s">
        <v>1467</v>
      </c>
    </row>
    <row r="351" spans="1:29" x14ac:dyDescent="0.25">
      <c r="B351">
        <v>8010061705028580</v>
      </c>
      <c r="C351">
        <v>41218301</v>
      </c>
      <c r="D351" t="s">
        <v>1091</v>
      </c>
      <c r="E351">
        <v>200</v>
      </c>
      <c r="G351">
        <v>6001</v>
      </c>
      <c r="H351">
        <v>101</v>
      </c>
      <c r="J351">
        <v>3.97</v>
      </c>
      <c r="L351" t="s">
        <v>834</v>
      </c>
      <c r="AC351" t="s">
        <v>1633</v>
      </c>
    </row>
    <row r="352" spans="1:29" x14ac:dyDescent="0.25">
      <c r="A352" t="s">
        <v>837</v>
      </c>
      <c r="C352">
        <v>41217865</v>
      </c>
      <c r="D352" t="s">
        <v>923</v>
      </c>
      <c r="E352">
        <v>15</v>
      </c>
      <c r="G352">
        <v>6800</v>
      </c>
      <c r="H352">
        <v>124</v>
      </c>
      <c r="J352">
        <v>94</v>
      </c>
      <c r="L352" t="s">
        <v>834</v>
      </c>
      <c r="AC352" t="s">
        <v>1468</v>
      </c>
    </row>
    <row r="353" spans="1:29" x14ac:dyDescent="0.25">
      <c r="B353">
        <v>8010061705028580</v>
      </c>
      <c r="C353">
        <v>41218407</v>
      </c>
      <c r="D353" t="s">
        <v>1092</v>
      </c>
      <c r="E353">
        <v>2000</v>
      </c>
      <c r="G353" t="s">
        <v>113</v>
      </c>
      <c r="H353">
        <v>68</v>
      </c>
      <c r="J353">
        <v>0.25</v>
      </c>
      <c r="L353" t="s">
        <v>834</v>
      </c>
      <c r="AC353" t="s">
        <v>1634</v>
      </c>
    </row>
    <row r="354" spans="1:29" x14ac:dyDescent="0.25">
      <c r="A354" t="s">
        <v>837</v>
      </c>
      <c r="B354">
        <v>8.0124870001010104E+18</v>
      </c>
      <c r="C354" t="s">
        <v>1057</v>
      </c>
      <c r="D354" t="s">
        <v>1093</v>
      </c>
      <c r="E354">
        <v>2000</v>
      </c>
      <c r="G354" t="s">
        <v>152</v>
      </c>
      <c r="H354">
        <v>89</v>
      </c>
      <c r="I354">
        <v>2.1</v>
      </c>
      <c r="J354">
        <v>2.1</v>
      </c>
      <c r="K354">
        <v>1</v>
      </c>
      <c r="L354" t="s">
        <v>834</v>
      </c>
      <c r="AC354" t="s">
        <v>1635</v>
      </c>
    </row>
    <row r="355" spans="1:29" x14ac:dyDescent="0.25">
      <c r="A355" t="s">
        <v>837</v>
      </c>
      <c r="B355">
        <v>8010061705028580</v>
      </c>
      <c r="C355">
        <v>41217265</v>
      </c>
      <c r="D355" t="s">
        <v>1094</v>
      </c>
      <c r="E355">
        <v>200</v>
      </c>
      <c r="G355" t="s">
        <v>174</v>
      </c>
      <c r="H355">
        <v>91</v>
      </c>
      <c r="I355">
        <v>0.56000000000000005</v>
      </c>
      <c r="J355">
        <v>0.56000000000000005</v>
      </c>
      <c r="K355">
        <v>1</v>
      </c>
      <c r="L355" t="s">
        <v>834</v>
      </c>
      <c r="AC355" t="s">
        <v>1636</v>
      </c>
    </row>
    <row r="356" spans="1:29" x14ac:dyDescent="0.25">
      <c r="C356">
        <v>41217700</v>
      </c>
      <c r="D356" t="s">
        <v>924</v>
      </c>
      <c r="E356">
        <v>180</v>
      </c>
      <c r="I356">
        <v>1.7</v>
      </c>
      <c r="J356">
        <v>1.7</v>
      </c>
      <c r="K356">
        <v>1</v>
      </c>
      <c r="L356" t="s">
        <v>834</v>
      </c>
      <c r="AC356" t="s">
        <v>1469</v>
      </c>
    </row>
    <row r="357" spans="1:29" x14ac:dyDescent="0.25">
      <c r="A357" t="s">
        <v>837</v>
      </c>
      <c r="B357">
        <v>8010061705028580</v>
      </c>
      <c r="C357">
        <v>41217938</v>
      </c>
      <c r="D357" t="s">
        <v>1095</v>
      </c>
      <c r="E357">
        <v>100</v>
      </c>
      <c r="G357" t="s">
        <v>174</v>
      </c>
      <c r="H357">
        <v>80</v>
      </c>
      <c r="J357">
        <v>0.56000000000000005</v>
      </c>
      <c r="L357" t="s">
        <v>834</v>
      </c>
      <c r="AC357" t="s">
        <v>1637</v>
      </c>
    </row>
    <row r="358" spans="1:29" x14ac:dyDescent="0.25">
      <c r="A358" t="s">
        <v>837</v>
      </c>
      <c r="B358">
        <v>8010061705028580</v>
      </c>
      <c r="C358">
        <v>41218301</v>
      </c>
      <c r="D358" t="s">
        <v>1096</v>
      </c>
      <c r="E358">
        <v>15</v>
      </c>
      <c r="G358">
        <v>6800</v>
      </c>
      <c r="H358">
        <v>81</v>
      </c>
      <c r="I358">
        <v>94</v>
      </c>
      <c r="J358">
        <v>94</v>
      </c>
      <c r="K358">
        <v>1</v>
      </c>
      <c r="L358" t="s">
        <v>834</v>
      </c>
      <c r="AC358" t="s">
        <v>1638</v>
      </c>
    </row>
    <row r="359" spans="1:29" x14ac:dyDescent="0.25">
      <c r="C359">
        <v>41217679</v>
      </c>
      <c r="D359" t="s">
        <v>925</v>
      </c>
      <c r="E359">
        <v>1410</v>
      </c>
      <c r="J359">
        <v>1410</v>
      </c>
      <c r="K359">
        <v>1</v>
      </c>
      <c r="L359" t="s">
        <v>834</v>
      </c>
      <c r="AC359" t="s">
        <v>1470</v>
      </c>
    </row>
    <row r="360" spans="1:29" x14ac:dyDescent="0.25">
      <c r="B360">
        <v>8010061705028580</v>
      </c>
      <c r="C360">
        <v>41217180</v>
      </c>
      <c r="D360" t="s">
        <v>1097</v>
      </c>
      <c r="E360">
        <v>4000</v>
      </c>
      <c r="G360" t="s">
        <v>113</v>
      </c>
      <c r="H360">
        <v>60</v>
      </c>
      <c r="I360">
        <v>0.25</v>
      </c>
      <c r="J360">
        <v>0.25</v>
      </c>
      <c r="K360">
        <v>1</v>
      </c>
      <c r="L360" t="s">
        <v>834</v>
      </c>
      <c r="AC360" t="s">
        <v>1639</v>
      </c>
    </row>
    <row r="361" spans="1:29" x14ac:dyDescent="0.25">
      <c r="C361">
        <v>41217331</v>
      </c>
      <c r="D361" t="s">
        <v>1098</v>
      </c>
      <c r="E361">
        <v>1000</v>
      </c>
      <c r="J361">
        <v>1000</v>
      </c>
      <c r="K361">
        <v>1</v>
      </c>
      <c r="L361" t="s">
        <v>834</v>
      </c>
      <c r="AC361" t="s">
        <v>1471</v>
      </c>
    </row>
    <row r="362" spans="1:29" x14ac:dyDescent="0.25">
      <c r="B362">
        <v>8010061705028580</v>
      </c>
      <c r="C362">
        <v>41218407</v>
      </c>
      <c r="D362" t="s">
        <v>1099</v>
      </c>
      <c r="E362">
        <v>2700</v>
      </c>
      <c r="G362">
        <v>6200</v>
      </c>
      <c r="H362">
        <v>86</v>
      </c>
      <c r="I362">
        <v>8.82</v>
      </c>
      <c r="J362">
        <v>8.82</v>
      </c>
      <c r="K362">
        <v>1</v>
      </c>
      <c r="L362" t="s">
        <v>834</v>
      </c>
      <c r="AC362" t="s">
        <v>1640</v>
      </c>
    </row>
    <row r="363" spans="1:29" x14ac:dyDescent="0.25">
      <c r="A363" t="s">
        <v>837</v>
      </c>
      <c r="C363">
        <v>41217700</v>
      </c>
      <c r="D363" t="s">
        <v>927</v>
      </c>
      <c r="E363">
        <v>20</v>
      </c>
      <c r="G363" t="s">
        <v>161</v>
      </c>
      <c r="H363">
        <v>109</v>
      </c>
      <c r="I363">
        <v>18</v>
      </c>
      <c r="J363">
        <v>18</v>
      </c>
      <c r="K363">
        <v>1</v>
      </c>
      <c r="L363" t="s">
        <v>834</v>
      </c>
      <c r="AC363" t="s">
        <v>1472</v>
      </c>
    </row>
    <row r="364" spans="1:29" x14ac:dyDescent="0.25">
      <c r="C364">
        <v>41217312</v>
      </c>
      <c r="D364" t="s">
        <v>928</v>
      </c>
      <c r="E364">
        <v>150</v>
      </c>
      <c r="AC364" t="s">
        <v>1473</v>
      </c>
    </row>
    <row r="365" spans="1:29" x14ac:dyDescent="0.25">
      <c r="A365" t="s">
        <v>837</v>
      </c>
      <c r="B365">
        <v>8010061705028580</v>
      </c>
      <c r="C365">
        <v>41217697</v>
      </c>
      <c r="D365" t="s">
        <v>1100</v>
      </c>
      <c r="E365">
        <v>150</v>
      </c>
      <c r="G365" t="s">
        <v>212</v>
      </c>
      <c r="H365">
        <v>81</v>
      </c>
      <c r="J365">
        <v>1.45</v>
      </c>
      <c r="L365" t="s">
        <v>834</v>
      </c>
      <c r="AC365" t="s">
        <v>1641</v>
      </c>
    </row>
    <row r="366" spans="1:29" x14ac:dyDescent="0.25">
      <c r="B366">
        <v>6.0100001000000499E+36</v>
      </c>
      <c r="C366">
        <v>41218405</v>
      </c>
      <c r="D366" t="s">
        <v>1101</v>
      </c>
      <c r="E366">
        <v>18</v>
      </c>
      <c r="G366">
        <v>6800</v>
      </c>
      <c r="H366">
        <v>109</v>
      </c>
      <c r="I366">
        <v>94</v>
      </c>
      <c r="J366">
        <v>94</v>
      </c>
      <c r="K366">
        <v>1</v>
      </c>
      <c r="L366" t="s">
        <v>834</v>
      </c>
      <c r="AC366" t="s">
        <v>1642</v>
      </c>
    </row>
    <row r="367" spans="1:29" x14ac:dyDescent="0.25">
      <c r="B367">
        <v>8010061705028580</v>
      </c>
      <c r="C367">
        <v>41217793</v>
      </c>
      <c r="D367" t="s">
        <v>1102</v>
      </c>
      <c r="E367">
        <v>350</v>
      </c>
      <c r="G367" t="s">
        <v>125</v>
      </c>
      <c r="H367">
        <v>38</v>
      </c>
      <c r="I367">
        <v>0.67</v>
      </c>
      <c r="J367">
        <v>0.67</v>
      </c>
      <c r="K367">
        <v>1</v>
      </c>
      <c r="L367" t="s">
        <v>834</v>
      </c>
      <c r="AC367" t="s">
        <v>1643</v>
      </c>
    </row>
    <row r="368" spans="1:29" x14ac:dyDescent="0.25">
      <c r="A368" t="s">
        <v>837</v>
      </c>
      <c r="B368">
        <v>8010061705028580</v>
      </c>
      <c r="C368">
        <v>41218407</v>
      </c>
      <c r="D368" t="s">
        <v>1103</v>
      </c>
      <c r="E368">
        <v>60</v>
      </c>
      <c r="G368">
        <v>6885</v>
      </c>
      <c r="H368">
        <v>82</v>
      </c>
      <c r="J368">
        <v>1.78</v>
      </c>
      <c r="L368" t="s">
        <v>834</v>
      </c>
      <c r="AC368" t="s">
        <v>1644</v>
      </c>
    </row>
    <row r="369" spans="1:29" x14ac:dyDescent="0.25">
      <c r="B369">
        <v>8.0100617050285792E+16</v>
      </c>
      <c r="C369">
        <v>41217223</v>
      </c>
      <c r="D369" t="s">
        <v>1104</v>
      </c>
      <c r="E369">
        <v>100</v>
      </c>
      <c r="G369" t="s">
        <v>186</v>
      </c>
      <c r="H369">
        <v>80</v>
      </c>
      <c r="J369">
        <v>2.86</v>
      </c>
      <c r="L369" t="s">
        <v>834</v>
      </c>
      <c r="AC369" t="s">
        <v>1645</v>
      </c>
    </row>
    <row r="370" spans="1:29" x14ac:dyDescent="0.25">
      <c r="A370" t="s">
        <v>837</v>
      </c>
      <c r="B370">
        <v>8.0100617050285802E+29</v>
      </c>
      <c r="C370">
        <v>41217697</v>
      </c>
      <c r="D370" t="s">
        <v>1105</v>
      </c>
      <c r="E370">
        <v>140</v>
      </c>
      <c r="G370">
        <v>501</v>
      </c>
      <c r="H370">
        <v>65</v>
      </c>
      <c r="J370">
        <v>1.3</v>
      </c>
      <c r="L370" t="s">
        <v>834</v>
      </c>
      <c r="AC370" t="s">
        <v>1646</v>
      </c>
    </row>
    <row r="371" spans="1:29" x14ac:dyDescent="0.25">
      <c r="B371">
        <v>8010061705028580</v>
      </c>
      <c r="C371">
        <v>41217334</v>
      </c>
      <c r="D371" t="s">
        <v>1106</v>
      </c>
      <c r="E371">
        <v>500</v>
      </c>
      <c r="G371" t="s">
        <v>174</v>
      </c>
      <c r="H371">
        <v>76</v>
      </c>
      <c r="I371">
        <v>0.56000000000000005</v>
      </c>
      <c r="J371">
        <v>0.56000000000000005</v>
      </c>
      <c r="K371">
        <v>1</v>
      </c>
      <c r="L371" t="s">
        <v>834</v>
      </c>
      <c r="AC371" t="s">
        <v>1647</v>
      </c>
    </row>
    <row r="372" spans="1:29" x14ac:dyDescent="0.25">
      <c r="C372">
        <v>41217180</v>
      </c>
      <c r="D372" t="s">
        <v>929</v>
      </c>
      <c r="E372">
        <v>280</v>
      </c>
      <c r="AC372" t="s">
        <v>1474</v>
      </c>
    </row>
    <row r="373" spans="1:29" x14ac:dyDescent="0.25">
      <c r="A373" t="s">
        <v>837</v>
      </c>
      <c r="B373">
        <v>8010061705028580</v>
      </c>
      <c r="C373">
        <v>41218164</v>
      </c>
      <c r="D373" t="s">
        <v>1107</v>
      </c>
      <c r="E373">
        <v>50</v>
      </c>
      <c r="G373" t="s">
        <v>177</v>
      </c>
      <c r="H373">
        <v>85</v>
      </c>
      <c r="I373">
        <v>3.8</v>
      </c>
      <c r="J373">
        <v>3.8</v>
      </c>
      <c r="K373">
        <v>1</v>
      </c>
      <c r="L373" t="s">
        <v>834</v>
      </c>
      <c r="AC373" t="s">
        <v>1648</v>
      </c>
    </row>
    <row r="374" spans="1:29" x14ac:dyDescent="0.25">
      <c r="C374">
        <v>41217265</v>
      </c>
      <c r="D374" t="s">
        <v>930</v>
      </c>
      <c r="E374">
        <v>190</v>
      </c>
      <c r="J374">
        <v>190</v>
      </c>
      <c r="K374">
        <v>1</v>
      </c>
      <c r="L374" t="s">
        <v>834</v>
      </c>
      <c r="AC374" t="s">
        <v>1475</v>
      </c>
    </row>
    <row r="375" spans="1:29" x14ac:dyDescent="0.25">
      <c r="B375">
        <v>6.0000801006170496E+28</v>
      </c>
      <c r="C375">
        <v>41218405</v>
      </c>
      <c r="D375" t="s">
        <v>1108</v>
      </c>
      <c r="E375">
        <v>500</v>
      </c>
      <c r="G375" t="s">
        <v>170</v>
      </c>
      <c r="H375">
        <v>134</v>
      </c>
      <c r="J375">
        <v>0.51</v>
      </c>
      <c r="L375" t="s">
        <v>834</v>
      </c>
      <c r="AC375" t="s">
        <v>1649</v>
      </c>
    </row>
    <row r="376" spans="1:29" x14ac:dyDescent="0.25">
      <c r="C376">
        <v>41217695</v>
      </c>
      <c r="D376" t="s">
        <v>931</v>
      </c>
      <c r="E376">
        <v>400</v>
      </c>
      <c r="G376" t="s">
        <v>138</v>
      </c>
      <c r="H376">
        <v>158</v>
      </c>
      <c r="J376">
        <v>1.28</v>
      </c>
      <c r="L376" t="s">
        <v>834</v>
      </c>
      <c r="AC376" t="s">
        <v>1476</v>
      </c>
    </row>
    <row r="377" spans="1:29" x14ac:dyDescent="0.25">
      <c r="C377">
        <v>41217882</v>
      </c>
      <c r="D377" t="s">
        <v>932</v>
      </c>
      <c r="E377">
        <v>300</v>
      </c>
      <c r="J377">
        <v>3.4</v>
      </c>
      <c r="L377" t="s">
        <v>834</v>
      </c>
      <c r="AC377" t="s">
        <v>1477</v>
      </c>
    </row>
    <row r="378" spans="1:29" x14ac:dyDescent="0.25">
      <c r="B378">
        <v>8010061705028580</v>
      </c>
      <c r="C378">
        <v>41217336</v>
      </c>
      <c r="D378" t="s">
        <v>1109</v>
      </c>
      <c r="E378">
        <v>1600</v>
      </c>
      <c r="G378" t="s">
        <v>190</v>
      </c>
      <c r="H378">
        <v>81</v>
      </c>
      <c r="I378">
        <v>0.15</v>
      </c>
      <c r="J378">
        <v>0.15</v>
      </c>
      <c r="K378">
        <v>1</v>
      </c>
      <c r="L378" t="s">
        <v>834</v>
      </c>
      <c r="AC378" t="s">
        <v>1650</v>
      </c>
    </row>
    <row r="379" spans="1:29" x14ac:dyDescent="0.25">
      <c r="C379">
        <v>41217882</v>
      </c>
      <c r="D379" t="s">
        <v>933</v>
      </c>
      <c r="E379">
        <v>240</v>
      </c>
      <c r="J379">
        <v>240</v>
      </c>
      <c r="K379">
        <v>1</v>
      </c>
      <c r="L379" t="s">
        <v>834</v>
      </c>
      <c r="AC379" t="s">
        <v>1478</v>
      </c>
    </row>
    <row r="380" spans="1:29" x14ac:dyDescent="0.25">
      <c r="B380">
        <v>1.00000050023944E+31</v>
      </c>
      <c r="C380">
        <v>41217265</v>
      </c>
      <c r="D380" t="s">
        <v>1110</v>
      </c>
      <c r="E380">
        <v>240</v>
      </c>
      <c r="G380" t="s">
        <v>174</v>
      </c>
      <c r="H380">
        <v>106</v>
      </c>
      <c r="I380">
        <v>0.56000000000000005</v>
      </c>
      <c r="J380">
        <v>0.56000000000000005</v>
      </c>
      <c r="K380">
        <v>1</v>
      </c>
      <c r="L380" t="s">
        <v>834</v>
      </c>
      <c r="AC380" t="s">
        <v>1651</v>
      </c>
    </row>
    <row r="381" spans="1:29" x14ac:dyDescent="0.25">
      <c r="A381" t="s">
        <v>837</v>
      </c>
      <c r="C381">
        <v>41217180</v>
      </c>
      <c r="D381" t="s">
        <v>934</v>
      </c>
      <c r="E381">
        <v>50</v>
      </c>
      <c r="G381" t="s">
        <v>141</v>
      </c>
      <c r="H381">
        <v>129</v>
      </c>
      <c r="I381">
        <v>3.4</v>
      </c>
      <c r="J381">
        <v>134.4</v>
      </c>
      <c r="K381">
        <v>39.529411764705884</v>
      </c>
      <c r="L381" t="s">
        <v>834</v>
      </c>
      <c r="AC381" t="s">
        <v>1479</v>
      </c>
    </row>
    <row r="382" spans="1:29" x14ac:dyDescent="0.25">
      <c r="C382">
        <v>41217840</v>
      </c>
      <c r="D382" t="s">
        <v>935</v>
      </c>
      <c r="E382">
        <v>170</v>
      </c>
      <c r="J382">
        <v>3.4</v>
      </c>
      <c r="K382">
        <v>39.529411764705884</v>
      </c>
      <c r="L382" t="s">
        <v>834</v>
      </c>
      <c r="AC382" t="s">
        <v>1480</v>
      </c>
    </row>
    <row r="383" spans="1:29" x14ac:dyDescent="0.25">
      <c r="B383">
        <v>8010061705028580</v>
      </c>
      <c r="C383">
        <v>41218301</v>
      </c>
      <c r="D383" t="s">
        <v>1111</v>
      </c>
      <c r="E383">
        <v>250</v>
      </c>
      <c r="G383">
        <v>501</v>
      </c>
      <c r="H383">
        <v>146</v>
      </c>
      <c r="I383">
        <v>1.3</v>
      </c>
      <c r="J383">
        <v>325</v>
      </c>
      <c r="K383">
        <v>250</v>
      </c>
      <c r="L383" t="s">
        <v>834</v>
      </c>
      <c r="AC383" t="s">
        <v>1652</v>
      </c>
    </row>
    <row r="384" spans="1:29" x14ac:dyDescent="0.25">
      <c r="C384">
        <v>41217871</v>
      </c>
      <c r="D384" t="s">
        <v>936</v>
      </c>
      <c r="E384">
        <v>325</v>
      </c>
      <c r="G384" t="s">
        <v>212</v>
      </c>
      <c r="H384">
        <v>160</v>
      </c>
      <c r="I384">
        <v>1.45</v>
      </c>
      <c r="J384">
        <v>217.5</v>
      </c>
      <c r="K384">
        <v>150</v>
      </c>
      <c r="L384" t="s">
        <v>834</v>
      </c>
      <c r="AC384" t="s">
        <v>1481</v>
      </c>
    </row>
    <row r="385" spans="1:29" x14ac:dyDescent="0.25">
      <c r="C385">
        <v>41217679</v>
      </c>
      <c r="D385" t="s">
        <v>937</v>
      </c>
      <c r="E385">
        <v>150</v>
      </c>
      <c r="I385">
        <v>94</v>
      </c>
      <c r="J385">
        <v>1410</v>
      </c>
      <c r="K385">
        <v>15</v>
      </c>
      <c r="L385" t="s">
        <v>834</v>
      </c>
      <c r="AC385" t="s">
        <v>1482</v>
      </c>
    </row>
    <row r="386" spans="1:29" x14ac:dyDescent="0.25">
      <c r="C386">
        <v>41217336</v>
      </c>
      <c r="D386" t="s">
        <v>1112</v>
      </c>
      <c r="E386">
        <v>15</v>
      </c>
      <c r="AC386" t="s">
        <v>1653</v>
      </c>
    </row>
    <row r="387" spans="1:29" x14ac:dyDescent="0.25">
      <c r="C387">
        <v>41217331</v>
      </c>
      <c r="D387" t="s">
        <v>938</v>
      </c>
      <c r="E387">
        <v>1410</v>
      </c>
      <c r="AC387" t="s">
        <v>1483</v>
      </c>
    </row>
    <row r="388" spans="1:29" x14ac:dyDescent="0.25">
      <c r="B388">
        <v>8010061705028580</v>
      </c>
      <c r="C388">
        <v>41217223</v>
      </c>
      <c r="D388" t="s">
        <v>1113</v>
      </c>
      <c r="E388">
        <v>50</v>
      </c>
      <c r="G388" t="s">
        <v>186</v>
      </c>
      <c r="H388">
        <v>112</v>
      </c>
      <c r="I388">
        <v>0.52</v>
      </c>
      <c r="J388">
        <v>26</v>
      </c>
      <c r="K388">
        <v>50</v>
      </c>
      <c r="AC388" t="s">
        <v>1654</v>
      </c>
    </row>
    <row r="389" spans="1:29" x14ac:dyDescent="0.25">
      <c r="C389">
        <v>41217314</v>
      </c>
      <c r="D389" t="s">
        <v>939</v>
      </c>
      <c r="E389">
        <v>26</v>
      </c>
      <c r="I389">
        <v>2.86</v>
      </c>
      <c r="J389">
        <v>286</v>
      </c>
      <c r="K389">
        <v>100</v>
      </c>
      <c r="L389" t="s">
        <v>834</v>
      </c>
      <c r="AC389" t="s">
        <v>1484</v>
      </c>
    </row>
    <row r="390" spans="1:29" x14ac:dyDescent="0.25">
      <c r="C390">
        <v>41217222</v>
      </c>
      <c r="D390" t="s">
        <v>940</v>
      </c>
      <c r="E390">
        <v>100</v>
      </c>
      <c r="I390">
        <v>3.8</v>
      </c>
      <c r="J390">
        <v>418</v>
      </c>
      <c r="K390">
        <v>110</v>
      </c>
      <c r="L390" t="s">
        <v>834</v>
      </c>
      <c r="AC390" t="s">
        <v>1485</v>
      </c>
    </row>
    <row r="391" spans="1:29" x14ac:dyDescent="0.25">
      <c r="C391">
        <v>41217605</v>
      </c>
      <c r="D391" t="s">
        <v>941</v>
      </c>
      <c r="E391">
        <v>286</v>
      </c>
      <c r="AC391" t="s">
        <v>1486</v>
      </c>
    </row>
    <row r="392" spans="1:29" x14ac:dyDescent="0.25">
      <c r="C392">
        <v>41217312</v>
      </c>
      <c r="D392" t="s">
        <v>942</v>
      </c>
      <c r="E392">
        <v>110</v>
      </c>
      <c r="AC392" t="s">
        <v>1487</v>
      </c>
    </row>
    <row r="393" spans="1:29" x14ac:dyDescent="0.25">
      <c r="C393">
        <v>41217703</v>
      </c>
      <c r="D393" t="s">
        <v>943</v>
      </c>
      <c r="E393">
        <v>418</v>
      </c>
      <c r="AC393" t="s">
        <v>1488</v>
      </c>
    </row>
    <row r="394" spans="1:29" x14ac:dyDescent="0.25">
      <c r="B394">
        <v>8010061705028580</v>
      </c>
      <c r="C394">
        <v>41217180</v>
      </c>
      <c r="D394" t="s">
        <v>1114</v>
      </c>
      <c r="E394">
        <v>300</v>
      </c>
      <c r="G394" t="s">
        <v>113</v>
      </c>
      <c r="H394">
        <v>60</v>
      </c>
      <c r="I394">
        <v>0.25</v>
      </c>
      <c r="J394">
        <v>75</v>
      </c>
      <c r="K394">
        <v>300</v>
      </c>
      <c r="AC394" t="s">
        <v>1655</v>
      </c>
    </row>
    <row r="395" spans="1:29" x14ac:dyDescent="0.25">
      <c r="C395">
        <v>41217700</v>
      </c>
      <c r="D395" t="s">
        <v>944</v>
      </c>
      <c r="E395">
        <v>75</v>
      </c>
      <c r="AC395" t="s">
        <v>1489</v>
      </c>
    </row>
    <row r="396" spans="1:29" x14ac:dyDescent="0.25">
      <c r="A396" t="s">
        <v>837</v>
      </c>
      <c r="B396">
        <v>8010061705028580</v>
      </c>
      <c r="C396">
        <v>41218407</v>
      </c>
      <c r="D396" t="s">
        <v>1115</v>
      </c>
      <c r="E396">
        <v>20</v>
      </c>
      <c r="G396">
        <v>6200</v>
      </c>
      <c r="H396">
        <v>66</v>
      </c>
      <c r="I396">
        <v>8.82</v>
      </c>
      <c r="J396">
        <v>8.82</v>
      </c>
      <c r="K396">
        <v>1</v>
      </c>
      <c r="L396" t="s">
        <v>834</v>
      </c>
      <c r="AC396" t="s">
        <v>1656</v>
      </c>
    </row>
    <row r="397" spans="1:29" x14ac:dyDescent="0.25">
      <c r="B397">
        <v>8010061705028580</v>
      </c>
      <c r="C397">
        <v>41218407</v>
      </c>
      <c r="D397" t="s">
        <v>1116</v>
      </c>
      <c r="E397">
        <v>60</v>
      </c>
      <c r="G397">
        <v>6885</v>
      </c>
      <c r="H397">
        <v>72</v>
      </c>
      <c r="I397">
        <v>1.78</v>
      </c>
      <c r="J397">
        <v>1.78</v>
      </c>
      <c r="K397">
        <v>1</v>
      </c>
      <c r="L397" t="s">
        <v>834</v>
      </c>
      <c r="AC397" t="s">
        <v>1657</v>
      </c>
    </row>
    <row r="398" spans="1:29" x14ac:dyDescent="0.25">
      <c r="A398" t="s">
        <v>837</v>
      </c>
      <c r="C398">
        <v>41217265</v>
      </c>
      <c r="D398" t="s">
        <v>945</v>
      </c>
      <c r="E398">
        <v>20</v>
      </c>
      <c r="G398">
        <v>6200</v>
      </c>
      <c r="H398">
        <v>95</v>
      </c>
      <c r="I398">
        <v>8.82</v>
      </c>
      <c r="J398">
        <v>106.8</v>
      </c>
      <c r="K398">
        <v>12.108843537414966</v>
      </c>
      <c r="L398" t="s">
        <v>834</v>
      </c>
      <c r="AC398" t="s">
        <v>1490</v>
      </c>
    </row>
    <row r="399" spans="1:29" x14ac:dyDescent="0.25">
      <c r="B399">
        <v>8010061705028580</v>
      </c>
      <c r="C399">
        <v>41218301</v>
      </c>
      <c r="D399" t="s">
        <v>1117</v>
      </c>
      <c r="E399">
        <v>240</v>
      </c>
      <c r="G399" t="s">
        <v>174</v>
      </c>
      <c r="H399">
        <v>106</v>
      </c>
      <c r="I399">
        <v>0.56000000000000005</v>
      </c>
      <c r="J399">
        <v>134.4</v>
      </c>
      <c r="K399">
        <v>240</v>
      </c>
      <c r="L399" t="s">
        <v>834</v>
      </c>
      <c r="AC399" t="s">
        <v>1658</v>
      </c>
    </row>
    <row r="400" spans="1:29" x14ac:dyDescent="0.25">
      <c r="A400" t="s">
        <v>837</v>
      </c>
      <c r="C400">
        <v>41217882</v>
      </c>
      <c r="D400" t="s">
        <v>946</v>
      </c>
      <c r="E400">
        <v>15</v>
      </c>
      <c r="G400">
        <v>6800</v>
      </c>
      <c r="H400">
        <v>129</v>
      </c>
      <c r="J400">
        <v>1410</v>
      </c>
      <c r="K400">
        <v>240</v>
      </c>
      <c r="L400" t="s">
        <v>834</v>
      </c>
      <c r="AC400" t="s">
        <v>1491</v>
      </c>
    </row>
    <row r="401" spans="1:29" x14ac:dyDescent="0.25">
      <c r="C401">
        <v>41217700</v>
      </c>
      <c r="D401" t="s">
        <v>947</v>
      </c>
      <c r="E401">
        <v>1410</v>
      </c>
      <c r="AC401" t="s">
        <v>1492</v>
      </c>
    </row>
    <row r="402" spans="1:29" x14ac:dyDescent="0.25">
      <c r="B402">
        <v>8010061705028580</v>
      </c>
      <c r="C402">
        <v>41217223</v>
      </c>
      <c r="D402" t="s">
        <v>1118</v>
      </c>
      <c r="E402">
        <v>50</v>
      </c>
      <c r="G402" t="s">
        <v>186</v>
      </c>
      <c r="H402">
        <v>114</v>
      </c>
      <c r="I402">
        <v>1.52</v>
      </c>
      <c r="J402">
        <v>2.86</v>
      </c>
      <c r="K402">
        <v>1.881578947368421</v>
      </c>
      <c r="L402" t="s">
        <v>834</v>
      </c>
      <c r="AC402" t="s">
        <v>1659</v>
      </c>
    </row>
    <row r="403" spans="1:29" x14ac:dyDescent="0.25">
      <c r="C403">
        <v>41217679</v>
      </c>
      <c r="D403" t="s">
        <v>948</v>
      </c>
      <c r="E403">
        <v>26</v>
      </c>
      <c r="I403">
        <v>2.86</v>
      </c>
      <c r="AC403" t="s">
        <v>1493</v>
      </c>
    </row>
    <row r="404" spans="1:29" x14ac:dyDescent="0.25">
      <c r="C404">
        <v>41217312</v>
      </c>
      <c r="D404" t="s">
        <v>949</v>
      </c>
      <c r="E404">
        <v>160</v>
      </c>
      <c r="AC404" t="s">
        <v>1494</v>
      </c>
    </row>
    <row r="405" spans="1:29" x14ac:dyDescent="0.25">
      <c r="B405">
        <v>8010061705028580</v>
      </c>
      <c r="C405">
        <v>41217180</v>
      </c>
      <c r="D405" t="s">
        <v>1119</v>
      </c>
      <c r="E405">
        <v>6000</v>
      </c>
      <c r="G405" t="s">
        <v>113</v>
      </c>
      <c r="H405">
        <v>41</v>
      </c>
      <c r="I405">
        <v>0.25</v>
      </c>
      <c r="J405">
        <v>0.25</v>
      </c>
      <c r="K405">
        <v>1</v>
      </c>
      <c r="L405" t="s">
        <v>834</v>
      </c>
      <c r="AC405" t="s">
        <v>1660</v>
      </c>
    </row>
    <row r="406" spans="1:29" x14ac:dyDescent="0.25">
      <c r="C406">
        <v>41217698</v>
      </c>
      <c r="D406" t="s">
        <v>950</v>
      </c>
      <c r="E406">
        <v>1500</v>
      </c>
      <c r="AC406" t="s">
        <v>1495</v>
      </c>
    </row>
    <row r="407" spans="1:29" x14ac:dyDescent="0.25">
      <c r="A407" t="s">
        <v>837</v>
      </c>
      <c r="B407">
        <v>8010061705028580</v>
      </c>
      <c r="C407">
        <v>41217265</v>
      </c>
      <c r="D407" t="s">
        <v>1120</v>
      </c>
      <c r="E407">
        <v>240</v>
      </c>
      <c r="G407" t="s">
        <v>141</v>
      </c>
      <c r="H407">
        <v>42</v>
      </c>
      <c r="I407">
        <v>3.4</v>
      </c>
      <c r="J407">
        <v>3.4</v>
      </c>
      <c r="K407">
        <v>1</v>
      </c>
      <c r="L407" t="s">
        <v>834</v>
      </c>
      <c r="AC407" t="s">
        <v>1661</v>
      </c>
    </row>
    <row r="408" spans="1:29" x14ac:dyDescent="0.25">
      <c r="C408">
        <v>41217331</v>
      </c>
      <c r="D408" t="s">
        <v>951</v>
      </c>
      <c r="E408">
        <v>816</v>
      </c>
      <c r="AC408" t="s">
        <v>1496</v>
      </c>
    </row>
    <row r="409" spans="1:29" x14ac:dyDescent="0.25">
      <c r="A409" t="s">
        <v>680</v>
      </c>
      <c r="B409">
        <v>8010061705028580</v>
      </c>
      <c r="C409">
        <v>41217265</v>
      </c>
      <c r="D409" t="s">
        <v>1121</v>
      </c>
      <c r="E409">
        <v>240</v>
      </c>
      <c r="I409">
        <v>1.7</v>
      </c>
      <c r="J409">
        <v>1.7</v>
      </c>
      <c r="K409">
        <v>1</v>
      </c>
      <c r="L409" t="s">
        <v>834</v>
      </c>
      <c r="AC409" t="s">
        <v>1662</v>
      </c>
    </row>
    <row r="410" spans="1:29" x14ac:dyDescent="0.25">
      <c r="C410">
        <v>41217317</v>
      </c>
      <c r="D410" t="s">
        <v>952</v>
      </c>
      <c r="E410">
        <v>408</v>
      </c>
      <c r="I410">
        <v>1.7</v>
      </c>
      <c r="J410">
        <v>408</v>
      </c>
      <c r="K410">
        <v>240</v>
      </c>
      <c r="L410" t="s">
        <v>834</v>
      </c>
      <c r="AC410" t="s">
        <v>1497</v>
      </c>
    </row>
    <row r="411" spans="1:29" x14ac:dyDescent="0.25">
      <c r="C411">
        <v>41217180</v>
      </c>
      <c r="D411" t="s">
        <v>1122</v>
      </c>
      <c r="E411">
        <v>120</v>
      </c>
      <c r="J411">
        <v>1.7</v>
      </c>
      <c r="K411">
        <v>240</v>
      </c>
      <c r="L411" t="s">
        <v>834</v>
      </c>
      <c r="AC411" t="s">
        <v>1663</v>
      </c>
    </row>
    <row r="412" spans="1:29" x14ac:dyDescent="0.25">
      <c r="C412">
        <v>41217265</v>
      </c>
      <c r="D412" t="s">
        <v>1123</v>
      </c>
      <c r="E412">
        <v>204</v>
      </c>
      <c r="J412">
        <v>204</v>
      </c>
      <c r="K412">
        <v>240</v>
      </c>
      <c r="L412" t="s">
        <v>834</v>
      </c>
      <c r="AC412" t="s">
        <v>1664</v>
      </c>
    </row>
    <row r="413" spans="1:29" x14ac:dyDescent="0.25">
      <c r="B413">
        <v>8010061705028580</v>
      </c>
      <c r="C413">
        <v>41217700</v>
      </c>
      <c r="D413" t="s">
        <v>1124</v>
      </c>
      <c r="E413">
        <v>1800</v>
      </c>
      <c r="G413" t="s">
        <v>131</v>
      </c>
      <c r="H413">
        <v>89</v>
      </c>
      <c r="J413">
        <v>0.25</v>
      </c>
      <c r="L413" t="s">
        <v>834</v>
      </c>
      <c r="AC413" t="s">
        <v>1665</v>
      </c>
    </row>
    <row r="414" spans="1:29" x14ac:dyDescent="0.25">
      <c r="A414" t="s">
        <v>837</v>
      </c>
      <c r="B414">
        <v>8010061705028580</v>
      </c>
      <c r="C414">
        <v>41217866</v>
      </c>
      <c r="D414" t="s">
        <v>1125</v>
      </c>
      <c r="E414">
        <v>2000</v>
      </c>
      <c r="G414" t="s">
        <v>156</v>
      </c>
      <c r="H414">
        <v>74</v>
      </c>
      <c r="J414">
        <v>0.33</v>
      </c>
      <c r="L414" t="s">
        <v>834</v>
      </c>
      <c r="AC414" t="s">
        <v>1666</v>
      </c>
    </row>
    <row r="415" spans="1:29" x14ac:dyDescent="0.25">
      <c r="B415">
        <v>1.00000050523944E+30</v>
      </c>
      <c r="C415">
        <v>41217793</v>
      </c>
      <c r="D415" t="s">
        <v>1126</v>
      </c>
      <c r="E415">
        <v>300</v>
      </c>
      <c r="G415" t="s">
        <v>125</v>
      </c>
      <c r="H415">
        <v>100</v>
      </c>
      <c r="J415">
        <v>0.67</v>
      </c>
      <c r="L415" t="s">
        <v>834</v>
      </c>
      <c r="AC415" t="s">
        <v>1667</v>
      </c>
    </row>
    <row r="416" spans="1:29" x14ac:dyDescent="0.25">
      <c r="A416" t="s">
        <v>837</v>
      </c>
      <c r="B416">
        <v>8010061705028580</v>
      </c>
      <c r="C416">
        <v>41218405</v>
      </c>
      <c r="D416" t="s">
        <v>1127</v>
      </c>
      <c r="E416">
        <v>300</v>
      </c>
      <c r="G416" t="s">
        <v>163</v>
      </c>
      <c r="H416">
        <v>90</v>
      </c>
      <c r="J416">
        <v>20.99</v>
      </c>
      <c r="L416" t="s">
        <v>834</v>
      </c>
      <c r="AC416" t="s">
        <v>1668</v>
      </c>
    </row>
    <row r="417" spans="1:29" x14ac:dyDescent="0.25">
      <c r="B417">
        <v>8010061705028580</v>
      </c>
      <c r="C417">
        <v>41218064</v>
      </c>
      <c r="D417" t="s">
        <v>1128</v>
      </c>
      <c r="E417">
        <v>20000</v>
      </c>
      <c r="G417" t="s">
        <v>113</v>
      </c>
      <c r="H417">
        <v>66</v>
      </c>
      <c r="I417">
        <v>0.25</v>
      </c>
      <c r="J417">
        <v>0.25</v>
      </c>
      <c r="K417">
        <v>1</v>
      </c>
      <c r="L417" t="s">
        <v>834</v>
      </c>
      <c r="AC417" t="s">
        <v>1669</v>
      </c>
    </row>
    <row r="418" spans="1:29" x14ac:dyDescent="0.25">
      <c r="C418">
        <v>41217679</v>
      </c>
      <c r="D418" t="s">
        <v>953</v>
      </c>
      <c r="E418">
        <v>5</v>
      </c>
      <c r="AC418" t="s">
        <v>1498</v>
      </c>
    </row>
    <row r="419" spans="1:29" x14ac:dyDescent="0.25">
      <c r="A419" t="s">
        <v>837</v>
      </c>
      <c r="B419">
        <v>8010061705028580</v>
      </c>
      <c r="C419">
        <v>41217696</v>
      </c>
      <c r="D419" t="s">
        <v>1129</v>
      </c>
      <c r="E419">
        <v>10</v>
      </c>
      <c r="G419">
        <v>81066</v>
      </c>
      <c r="H419">
        <v>90</v>
      </c>
      <c r="J419">
        <v>11.75</v>
      </c>
      <c r="L419" t="s">
        <v>834</v>
      </c>
      <c r="AC419" t="s">
        <v>1670</v>
      </c>
    </row>
    <row r="420" spans="1:29" x14ac:dyDescent="0.25">
      <c r="B420">
        <v>8010061705028580</v>
      </c>
      <c r="C420">
        <v>41217865</v>
      </c>
      <c r="D420" t="s">
        <v>1130</v>
      </c>
      <c r="E420">
        <v>20000</v>
      </c>
      <c r="G420" t="s">
        <v>133</v>
      </c>
      <c r="H420">
        <v>65</v>
      </c>
      <c r="I420">
        <v>0.25</v>
      </c>
      <c r="J420">
        <v>0.25</v>
      </c>
      <c r="K420">
        <v>1</v>
      </c>
      <c r="L420" t="s">
        <v>834</v>
      </c>
      <c r="AC420" t="s">
        <v>1671</v>
      </c>
    </row>
    <row r="421" spans="1:29" x14ac:dyDescent="0.25">
      <c r="A421" t="s">
        <v>837</v>
      </c>
      <c r="B421">
        <v>8.0124870001010104E+18</v>
      </c>
      <c r="C421" t="s">
        <v>1057</v>
      </c>
      <c r="D421" t="s">
        <v>1131</v>
      </c>
      <c r="E421">
        <v>4200</v>
      </c>
      <c r="G421" t="s">
        <v>152</v>
      </c>
      <c r="H421">
        <v>87</v>
      </c>
      <c r="I421">
        <v>2.1</v>
      </c>
      <c r="J421">
        <v>2.1</v>
      </c>
      <c r="K421">
        <v>1</v>
      </c>
      <c r="L421" t="s">
        <v>834</v>
      </c>
      <c r="AC421" t="s">
        <v>1672</v>
      </c>
    </row>
    <row r="422" spans="1:29" x14ac:dyDescent="0.25">
      <c r="C422">
        <v>41217222</v>
      </c>
      <c r="D422" t="s">
        <v>954</v>
      </c>
      <c r="E422">
        <v>2000</v>
      </c>
      <c r="J422">
        <v>4200</v>
      </c>
      <c r="K422">
        <v>1</v>
      </c>
      <c r="L422" t="s">
        <v>834</v>
      </c>
      <c r="AC422" t="s">
        <v>1499</v>
      </c>
    </row>
    <row r="423" spans="1:29" x14ac:dyDescent="0.25">
      <c r="B423">
        <v>8010061705028580</v>
      </c>
      <c r="C423">
        <v>41218145</v>
      </c>
      <c r="D423" t="s">
        <v>1132</v>
      </c>
      <c r="E423">
        <v>50</v>
      </c>
      <c r="G423">
        <v>6885</v>
      </c>
      <c r="H423">
        <v>78</v>
      </c>
      <c r="J423">
        <v>1.78</v>
      </c>
      <c r="L423" t="s">
        <v>834</v>
      </c>
      <c r="AC423" t="s">
        <v>1673</v>
      </c>
    </row>
    <row r="424" spans="1:29" x14ac:dyDescent="0.25">
      <c r="B424">
        <v>8010061705028580</v>
      </c>
      <c r="C424">
        <v>41217336</v>
      </c>
      <c r="D424" t="s">
        <v>1133</v>
      </c>
      <c r="E424">
        <v>1200</v>
      </c>
      <c r="G424" t="s">
        <v>190</v>
      </c>
      <c r="H424">
        <v>80</v>
      </c>
      <c r="I424">
        <v>0.15</v>
      </c>
      <c r="J424">
        <v>0.15</v>
      </c>
      <c r="K424">
        <v>1</v>
      </c>
      <c r="L424" t="s">
        <v>834</v>
      </c>
      <c r="AC424" t="s">
        <v>1674</v>
      </c>
    </row>
    <row r="425" spans="1:29" x14ac:dyDescent="0.25">
      <c r="C425">
        <v>41217698</v>
      </c>
      <c r="D425" t="s">
        <v>955</v>
      </c>
      <c r="E425">
        <v>180</v>
      </c>
      <c r="AC425" t="s">
        <v>1500</v>
      </c>
    </row>
    <row r="426" spans="1:29" x14ac:dyDescent="0.25">
      <c r="B426">
        <v>8010061705028580</v>
      </c>
      <c r="C426">
        <v>41217865</v>
      </c>
      <c r="D426" t="s">
        <v>1134</v>
      </c>
      <c r="E426">
        <v>25000</v>
      </c>
      <c r="G426" t="s">
        <v>133</v>
      </c>
      <c r="H426">
        <v>66</v>
      </c>
      <c r="J426">
        <v>0.25</v>
      </c>
      <c r="L426" t="s">
        <v>834</v>
      </c>
      <c r="AC426" t="s">
        <v>1675</v>
      </c>
    </row>
    <row r="427" spans="1:29" x14ac:dyDescent="0.25">
      <c r="B427">
        <v>8010061705028580</v>
      </c>
      <c r="C427">
        <v>41218405</v>
      </c>
      <c r="D427" t="s">
        <v>1135</v>
      </c>
      <c r="E427">
        <v>15</v>
      </c>
      <c r="G427">
        <v>6800</v>
      </c>
      <c r="H427">
        <v>85</v>
      </c>
      <c r="J427">
        <v>96</v>
      </c>
      <c r="L427" t="s">
        <v>834</v>
      </c>
      <c r="AC427" t="s">
        <v>1676</v>
      </c>
    </row>
    <row r="428" spans="1:29" x14ac:dyDescent="0.25">
      <c r="B428">
        <v>8.0100617050285804E+31</v>
      </c>
      <c r="C428">
        <v>41217866</v>
      </c>
      <c r="D428" t="s">
        <v>1136</v>
      </c>
      <c r="E428">
        <v>16500</v>
      </c>
      <c r="G428" t="s">
        <v>156</v>
      </c>
      <c r="H428">
        <v>24</v>
      </c>
      <c r="I428">
        <v>0.33</v>
      </c>
      <c r="J428">
        <v>5445</v>
      </c>
      <c r="K428">
        <v>16500</v>
      </c>
      <c r="AC428" t="s">
        <v>1677</v>
      </c>
    </row>
    <row r="429" spans="1:29" x14ac:dyDescent="0.25">
      <c r="A429" t="s">
        <v>837</v>
      </c>
      <c r="B429">
        <v>8.0100617050285803E+24</v>
      </c>
      <c r="C429">
        <v>41217223</v>
      </c>
      <c r="D429" t="s">
        <v>1137</v>
      </c>
      <c r="E429">
        <v>100</v>
      </c>
      <c r="G429" t="s">
        <v>165</v>
      </c>
      <c r="H429">
        <v>23</v>
      </c>
      <c r="I429">
        <v>0.52</v>
      </c>
      <c r="J429">
        <v>52</v>
      </c>
      <c r="K429">
        <v>100</v>
      </c>
      <c r="AC429" t="s">
        <v>1678</v>
      </c>
    </row>
    <row r="430" spans="1:29" x14ac:dyDescent="0.25">
      <c r="A430" t="s">
        <v>837</v>
      </c>
      <c r="B430">
        <v>8.0100617050285803E+24</v>
      </c>
      <c r="C430">
        <v>41217265</v>
      </c>
      <c r="D430" t="s">
        <v>1138</v>
      </c>
      <c r="E430">
        <v>20</v>
      </c>
      <c r="G430">
        <v>6800</v>
      </c>
      <c r="H430">
        <v>23</v>
      </c>
      <c r="I430">
        <v>94</v>
      </c>
      <c r="J430">
        <v>1880</v>
      </c>
      <c r="K430">
        <v>20</v>
      </c>
      <c r="AC430" t="s">
        <v>1679</v>
      </c>
    </row>
    <row r="431" spans="1:29" x14ac:dyDescent="0.25">
      <c r="C431">
        <v>41217699</v>
      </c>
      <c r="D431" t="s">
        <v>956</v>
      </c>
      <c r="E431">
        <v>240</v>
      </c>
      <c r="G431">
        <v>6200</v>
      </c>
      <c r="H431">
        <v>45</v>
      </c>
      <c r="I431">
        <v>1.7</v>
      </c>
      <c r="J431">
        <v>408</v>
      </c>
      <c r="K431">
        <v>240</v>
      </c>
      <c r="AC431" t="s">
        <v>1501</v>
      </c>
    </row>
    <row r="432" spans="1:29" x14ac:dyDescent="0.25">
      <c r="C432">
        <v>41217605</v>
      </c>
      <c r="D432" t="s">
        <v>957</v>
      </c>
      <c r="E432">
        <v>240</v>
      </c>
      <c r="G432">
        <v>6800</v>
      </c>
      <c r="H432">
        <v>1874</v>
      </c>
      <c r="I432">
        <v>0.56000000000000005</v>
      </c>
      <c r="J432">
        <v>134.4</v>
      </c>
      <c r="K432">
        <v>240</v>
      </c>
      <c r="AC432" t="s">
        <v>1502</v>
      </c>
    </row>
    <row r="433" spans="1:29" x14ac:dyDescent="0.25">
      <c r="C433">
        <v>41217331</v>
      </c>
      <c r="D433" t="s">
        <v>958</v>
      </c>
      <c r="E433">
        <v>25</v>
      </c>
      <c r="I433">
        <v>8.82</v>
      </c>
      <c r="J433">
        <v>220.5</v>
      </c>
      <c r="K433">
        <v>25</v>
      </c>
      <c r="AC433" t="s">
        <v>1503</v>
      </c>
    </row>
    <row r="434" spans="1:29" x14ac:dyDescent="0.25">
      <c r="C434">
        <v>41217312</v>
      </c>
      <c r="D434" t="s">
        <v>959</v>
      </c>
      <c r="E434">
        <v>120</v>
      </c>
      <c r="I434">
        <v>1.7</v>
      </c>
      <c r="J434">
        <v>204</v>
      </c>
      <c r="K434">
        <v>120</v>
      </c>
      <c r="AC434" t="s">
        <v>1504</v>
      </c>
    </row>
    <row r="435" spans="1:29" x14ac:dyDescent="0.25">
      <c r="C435">
        <v>41217918</v>
      </c>
      <c r="D435" t="s">
        <v>960</v>
      </c>
      <c r="E435">
        <v>150</v>
      </c>
      <c r="I435">
        <v>1.45</v>
      </c>
      <c r="J435">
        <v>217.5</v>
      </c>
      <c r="K435">
        <v>150</v>
      </c>
      <c r="AC435" t="s">
        <v>1505</v>
      </c>
    </row>
    <row r="436" spans="1:29" x14ac:dyDescent="0.25">
      <c r="C436">
        <v>41217265</v>
      </c>
      <c r="D436" t="s">
        <v>961</v>
      </c>
      <c r="E436">
        <v>3000</v>
      </c>
      <c r="I436">
        <v>0.33</v>
      </c>
      <c r="J436">
        <v>990</v>
      </c>
      <c r="K436">
        <v>3000</v>
      </c>
      <c r="AC436" t="s">
        <v>1506</v>
      </c>
    </row>
    <row r="437" spans="1:29" x14ac:dyDescent="0.25">
      <c r="C437">
        <v>41217871</v>
      </c>
      <c r="D437" t="s">
        <v>962</v>
      </c>
      <c r="E437">
        <v>30</v>
      </c>
      <c r="I437">
        <v>3.4</v>
      </c>
      <c r="J437">
        <v>102</v>
      </c>
      <c r="K437">
        <v>30</v>
      </c>
      <c r="AC437" t="s">
        <v>1507</v>
      </c>
    </row>
    <row r="438" spans="1:29" x14ac:dyDescent="0.25">
      <c r="B438">
        <v>8.0100617050285798E+33</v>
      </c>
      <c r="C438">
        <v>41217180</v>
      </c>
      <c r="D438" t="s">
        <v>1139</v>
      </c>
      <c r="E438">
        <v>3500</v>
      </c>
      <c r="G438" t="s">
        <v>113</v>
      </c>
      <c r="H438">
        <v>31</v>
      </c>
      <c r="I438">
        <v>0.25</v>
      </c>
      <c r="J438">
        <v>0.25</v>
      </c>
      <c r="K438">
        <v>1</v>
      </c>
      <c r="L438" t="s">
        <v>834</v>
      </c>
      <c r="AC438" t="s">
        <v>1680</v>
      </c>
    </row>
    <row r="439" spans="1:29" x14ac:dyDescent="0.25">
      <c r="C439">
        <v>41217336</v>
      </c>
      <c r="D439" t="s">
        <v>963</v>
      </c>
      <c r="E439">
        <v>500</v>
      </c>
      <c r="G439" t="s">
        <v>113</v>
      </c>
      <c r="H439">
        <v>437</v>
      </c>
      <c r="I439">
        <v>0.25</v>
      </c>
      <c r="J439">
        <v>0.25</v>
      </c>
      <c r="K439">
        <v>1</v>
      </c>
      <c r="L439" t="s">
        <v>834</v>
      </c>
      <c r="AC439" t="s">
        <v>1508</v>
      </c>
    </row>
    <row r="440" spans="1:29" x14ac:dyDescent="0.25">
      <c r="C440">
        <v>41217700</v>
      </c>
      <c r="D440" t="s">
        <v>964</v>
      </c>
      <c r="E440">
        <v>900</v>
      </c>
      <c r="I440">
        <v>0.25</v>
      </c>
      <c r="J440">
        <v>0.25</v>
      </c>
      <c r="K440">
        <v>1</v>
      </c>
      <c r="L440" t="s">
        <v>834</v>
      </c>
      <c r="AC440" t="s">
        <v>1509</v>
      </c>
    </row>
    <row r="441" spans="1:29" x14ac:dyDescent="0.25">
      <c r="A441" t="s">
        <v>680</v>
      </c>
      <c r="B441">
        <v>8010061705028580</v>
      </c>
      <c r="C441">
        <v>41217697</v>
      </c>
      <c r="D441" t="s">
        <v>1140</v>
      </c>
      <c r="E441">
        <v>150</v>
      </c>
      <c r="I441">
        <v>1.45</v>
      </c>
      <c r="AC441" t="s">
        <v>1681</v>
      </c>
    </row>
    <row r="442" spans="1:29" x14ac:dyDescent="0.25">
      <c r="B442">
        <v>8.0100617050285795E+32</v>
      </c>
      <c r="C442">
        <v>41217793</v>
      </c>
      <c r="D442" t="s">
        <v>1141</v>
      </c>
      <c r="E442">
        <v>300</v>
      </c>
      <c r="G442" t="s">
        <v>125</v>
      </c>
      <c r="H442">
        <v>23</v>
      </c>
      <c r="I442">
        <v>0.67</v>
      </c>
      <c r="J442">
        <v>201</v>
      </c>
      <c r="K442">
        <v>300</v>
      </c>
      <c r="AC442" t="s">
        <v>1682</v>
      </c>
    </row>
    <row r="443" spans="1:29" x14ac:dyDescent="0.25">
      <c r="B443">
        <v>8.0100617050285802E+29</v>
      </c>
      <c r="C443">
        <v>41218405</v>
      </c>
      <c r="D443" t="s">
        <v>1142</v>
      </c>
      <c r="E443">
        <v>700</v>
      </c>
      <c r="G443" t="s">
        <v>165</v>
      </c>
      <c r="H443">
        <v>23</v>
      </c>
      <c r="I443">
        <v>0.51</v>
      </c>
      <c r="J443">
        <v>357</v>
      </c>
      <c r="K443">
        <v>700</v>
      </c>
      <c r="AC443" t="s">
        <v>1683</v>
      </c>
    </row>
    <row r="444" spans="1:29" x14ac:dyDescent="0.25">
      <c r="C444">
        <v>41217334</v>
      </c>
      <c r="D444" t="s">
        <v>965</v>
      </c>
      <c r="E444">
        <v>350</v>
      </c>
      <c r="G444" t="s">
        <v>138</v>
      </c>
      <c r="H444">
        <v>39</v>
      </c>
      <c r="I444">
        <v>3.4</v>
      </c>
      <c r="J444">
        <v>1190</v>
      </c>
      <c r="K444">
        <v>350</v>
      </c>
      <c r="AC444" t="s">
        <v>1510</v>
      </c>
    </row>
    <row r="445" spans="1:29" x14ac:dyDescent="0.25">
      <c r="C445">
        <v>41217484</v>
      </c>
      <c r="D445" t="s">
        <v>966</v>
      </c>
      <c r="E445">
        <v>400</v>
      </c>
      <c r="G445" t="s">
        <v>170</v>
      </c>
      <c r="H445">
        <v>49</v>
      </c>
      <c r="I445">
        <v>1.28</v>
      </c>
      <c r="J445">
        <v>512</v>
      </c>
      <c r="K445">
        <v>400</v>
      </c>
      <c r="AC445" t="s">
        <v>1511</v>
      </c>
    </row>
    <row r="446" spans="1:29" x14ac:dyDescent="0.25">
      <c r="A446" t="s">
        <v>837</v>
      </c>
      <c r="B446">
        <v>8.0124870001010104E+18</v>
      </c>
      <c r="C446" t="s">
        <v>1057</v>
      </c>
      <c r="D446" t="s">
        <v>1143</v>
      </c>
      <c r="E446">
        <v>2000</v>
      </c>
      <c r="G446" t="s">
        <v>152</v>
      </c>
      <c r="H446">
        <v>37</v>
      </c>
      <c r="J446">
        <v>2.1</v>
      </c>
      <c r="L446" t="s">
        <v>834</v>
      </c>
      <c r="AC446" t="s">
        <v>1684</v>
      </c>
    </row>
    <row r="447" spans="1:29" x14ac:dyDescent="0.25">
      <c r="A447" t="s">
        <v>680</v>
      </c>
      <c r="B447">
        <v>8.0100611705028498E+23</v>
      </c>
      <c r="C447">
        <v>41217223</v>
      </c>
      <c r="D447" t="s">
        <v>1144</v>
      </c>
      <c r="E447">
        <v>30</v>
      </c>
      <c r="I447">
        <v>3.8</v>
      </c>
      <c r="AC447" t="s">
        <v>1685</v>
      </c>
    </row>
    <row r="448" spans="1:29" x14ac:dyDescent="0.25">
      <c r="B448">
        <v>8010061705028580</v>
      </c>
      <c r="C448">
        <v>41217180</v>
      </c>
      <c r="D448" t="s">
        <v>1145</v>
      </c>
      <c r="E448">
        <v>8000</v>
      </c>
      <c r="G448" t="s">
        <v>133</v>
      </c>
      <c r="H448">
        <v>45</v>
      </c>
      <c r="I448">
        <v>0.25</v>
      </c>
      <c r="J448">
        <v>0.25</v>
      </c>
      <c r="K448">
        <v>1</v>
      </c>
      <c r="L448" t="s">
        <v>834</v>
      </c>
      <c r="AC448" t="s">
        <v>1686</v>
      </c>
    </row>
    <row r="449" spans="1:29" x14ac:dyDescent="0.25">
      <c r="A449" t="s">
        <v>837</v>
      </c>
      <c r="C449">
        <v>41217331</v>
      </c>
      <c r="D449" t="s">
        <v>967</v>
      </c>
      <c r="E449">
        <v>8000</v>
      </c>
      <c r="G449" t="s">
        <v>131</v>
      </c>
      <c r="H449">
        <v>62</v>
      </c>
      <c r="I449">
        <v>0.25</v>
      </c>
      <c r="J449">
        <v>0.25</v>
      </c>
      <c r="K449">
        <v>1</v>
      </c>
      <c r="L449" t="s">
        <v>834</v>
      </c>
      <c r="AC449" t="s">
        <v>1512</v>
      </c>
    </row>
    <row r="450" spans="1:29" x14ac:dyDescent="0.25">
      <c r="B450">
        <v>8010061705028580</v>
      </c>
      <c r="C450">
        <v>41217265</v>
      </c>
      <c r="D450" t="s">
        <v>1146</v>
      </c>
      <c r="E450">
        <v>250</v>
      </c>
      <c r="G450" t="s">
        <v>212</v>
      </c>
      <c r="H450">
        <v>50</v>
      </c>
      <c r="J450">
        <v>1.45</v>
      </c>
      <c r="L450" t="s">
        <v>834</v>
      </c>
      <c r="AC450" t="s">
        <v>1687</v>
      </c>
    </row>
    <row r="451" spans="1:29" x14ac:dyDescent="0.25">
      <c r="A451" t="s">
        <v>837</v>
      </c>
      <c r="C451">
        <v>41217697</v>
      </c>
      <c r="D451" t="s">
        <v>969</v>
      </c>
      <c r="E451">
        <v>200</v>
      </c>
      <c r="G451">
        <v>501</v>
      </c>
      <c r="H451">
        <v>57</v>
      </c>
      <c r="J451">
        <v>1.3</v>
      </c>
      <c r="L451" t="s">
        <v>834</v>
      </c>
      <c r="AC451" t="s">
        <v>1514</v>
      </c>
    </row>
    <row r="452" spans="1:29" x14ac:dyDescent="0.25">
      <c r="B452">
        <v>8.0100617050285795E+27</v>
      </c>
      <c r="C452">
        <v>41217223</v>
      </c>
      <c r="D452" t="s">
        <v>1147</v>
      </c>
      <c r="E452">
        <v>100</v>
      </c>
      <c r="G452" t="s">
        <v>152</v>
      </c>
      <c r="H452">
        <v>33</v>
      </c>
      <c r="I452">
        <v>3.8</v>
      </c>
      <c r="J452">
        <v>3.8</v>
      </c>
      <c r="K452">
        <v>1</v>
      </c>
      <c r="L452" t="s">
        <v>834</v>
      </c>
      <c r="AC452" t="s">
        <v>1688</v>
      </c>
    </row>
    <row r="453" spans="1:29" x14ac:dyDescent="0.25">
      <c r="C453">
        <v>41218090</v>
      </c>
      <c r="D453" t="s">
        <v>970</v>
      </c>
      <c r="E453">
        <v>800</v>
      </c>
      <c r="I453">
        <v>2.1</v>
      </c>
      <c r="J453">
        <v>2.1</v>
      </c>
      <c r="K453">
        <v>1</v>
      </c>
      <c r="L453" t="s">
        <v>834</v>
      </c>
      <c r="AC453" t="s">
        <v>1515</v>
      </c>
    </row>
    <row r="454" spans="1:29" x14ac:dyDescent="0.25">
      <c r="B454">
        <v>1.0018010061705001E+25</v>
      </c>
      <c r="C454">
        <v>41218164</v>
      </c>
      <c r="D454" t="s">
        <v>1148</v>
      </c>
      <c r="E454">
        <v>50</v>
      </c>
      <c r="G454" t="s">
        <v>177</v>
      </c>
      <c r="H454">
        <v>23</v>
      </c>
      <c r="I454">
        <v>3.8</v>
      </c>
      <c r="J454">
        <v>3.8</v>
      </c>
      <c r="K454">
        <v>1</v>
      </c>
      <c r="L454" t="s">
        <v>834</v>
      </c>
      <c r="AC454" t="s">
        <v>1689</v>
      </c>
    </row>
    <row r="455" spans="1:29" x14ac:dyDescent="0.25">
      <c r="A455" t="s">
        <v>837</v>
      </c>
      <c r="B455">
        <v>8.0100617050285798E+152</v>
      </c>
      <c r="C455">
        <v>41217865</v>
      </c>
      <c r="D455" t="s">
        <v>1134</v>
      </c>
      <c r="E455">
        <v>25000</v>
      </c>
      <c r="G455" t="s">
        <v>133</v>
      </c>
      <c r="H455">
        <v>66</v>
      </c>
      <c r="J455">
        <v>0.25</v>
      </c>
      <c r="L455" t="s">
        <v>834</v>
      </c>
      <c r="AC455" t="s">
        <v>1675</v>
      </c>
    </row>
    <row r="456" spans="1:29" x14ac:dyDescent="0.25">
      <c r="B456">
        <v>8.0100617050285804E+145</v>
      </c>
      <c r="C456">
        <v>41218405</v>
      </c>
      <c r="D456" t="s">
        <v>1135</v>
      </c>
      <c r="E456">
        <v>15</v>
      </c>
      <c r="G456">
        <v>6800</v>
      </c>
      <c r="H456">
        <v>85</v>
      </c>
      <c r="J456">
        <v>96</v>
      </c>
      <c r="L456" t="s">
        <v>834</v>
      </c>
      <c r="AC456" t="s">
        <v>1676</v>
      </c>
    </row>
    <row r="457" spans="1:29" x14ac:dyDescent="0.25">
      <c r="B457">
        <v>8.0100617050285796E+125</v>
      </c>
      <c r="C457">
        <v>41217866</v>
      </c>
      <c r="D457" t="s">
        <v>1136</v>
      </c>
      <c r="E457">
        <v>16500</v>
      </c>
      <c r="G457" t="s">
        <v>156</v>
      </c>
      <c r="H457">
        <v>24</v>
      </c>
      <c r="I457">
        <v>0.33</v>
      </c>
      <c r="J457">
        <v>5445</v>
      </c>
      <c r="K457">
        <v>16500</v>
      </c>
      <c r="AC457" t="s">
        <v>1677</v>
      </c>
    </row>
    <row r="458" spans="1:29" x14ac:dyDescent="0.25">
      <c r="B458">
        <v>8.0100617050285796E+101</v>
      </c>
      <c r="C458">
        <v>41217223</v>
      </c>
      <c r="D458" t="s">
        <v>1137</v>
      </c>
      <c r="E458">
        <v>100</v>
      </c>
      <c r="G458" t="s">
        <v>165</v>
      </c>
      <c r="H458">
        <v>23</v>
      </c>
      <c r="I458">
        <v>0.52</v>
      </c>
      <c r="J458">
        <v>52</v>
      </c>
      <c r="K458">
        <v>100</v>
      </c>
      <c r="AC458" t="s">
        <v>1678</v>
      </c>
    </row>
    <row r="459" spans="1:29" x14ac:dyDescent="0.25">
      <c r="B459" t="s">
        <v>1149</v>
      </c>
      <c r="C459">
        <v>41217265</v>
      </c>
      <c r="D459" t="s">
        <v>1138</v>
      </c>
      <c r="E459">
        <v>20</v>
      </c>
      <c r="G459">
        <v>6800</v>
      </c>
      <c r="H459">
        <v>23</v>
      </c>
      <c r="I459">
        <v>94</v>
      </c>
      <c r="J459">
        <v>1880</v>
      </c>
      <c r="K459">
        <v>20</v>
      </c>
      <c r="AC459" t="s">
        <v>1679</v>
      </c>
    </row>
    <row r="460" spans="1:29" x14ac:dyDescent="0.25">
      <c r="C460">
        <v>41217679</v>
      </c>
      <c r="D460" t="s">
        <v>971</v>
      </c>
      <c r="E460">
        <v>240</v>
      </c>
      <c r="G460">
        <v>6200</v>
      </c>
      <c r="H460">
        <v>45</v>
      </c>
      <c r="I460">
        <v>1.7</v>
      </c>
      <c r="J460">
        <v>408</v>
      </c>
      <c r="K460">
        <v>240</v>
      </c>
      <c r="AC460" t="s">
        <v>1516</v>
      </c>
    </row>
    <row r="461" spans="1:29" x14ac:dyDescent="0.25">
      <c r="A461" t="s">
        <v>837</v>
      </c>
      <c r="C461">
        <v>41218145</v>
      </c>
      <c r="D461" t="s">
        <v>972</v>
      </c>
      <c r="E461">
        <v>240</v>
      </c>
      <c r="G461">
        <v>6800</v>
      </c>
      <c r="H461">
        <v>1874</v>
      </c>
      <c r="I461">
        <v>0.56000000000000005</v>
      </c>
      <c r="J461">
        <v>134.4</v>
      </c>
      <c r="K461">
        <v>240</v>
      </c>
      <c r="AC461" t="s">
        <v>1517</v>
      </c>
    </row>
    <row r="462" spans="1:29" x14ac:dyDescent="0.25">
      <c r="A462" t="s">
        <v>837</v>
      </c>
      <c r="C462">
        <v>41217312</v>
      </c>
      <c r="D462" t="s">
        <v>973</v>
      </c>
      <c r="E462">
        <v>25</v>
      </c>
      <c r="G462">
        <v>6800</v>
      </c>
      <c r="H462">
        <v>2750</v>
      </c>
      <c r="I462">
        <v>8.82</v>
      </c>
      <c r="J462">
        <v>220.5</v>
      </c>
      <c r="K462">
        <v>25</v>
      </c>
      <c r="AC462" t="s">
        <v>1518</v>
      </c>
    </row>
    <row r="463" spans="1:29" x14ac:dyDescent="0.25">
      <c r="C463">
        <v>41217336</v>
      </c>
      <c r="D463" t="s">
        <v>974</v>
      </c>
      <c r="E463">
        <v>120</v>
      </c>
      <c r="G463">
        <v>6200</v>
      </c>
      <c r="H463">
        <v>5497</v>
      </c>
      <c r="I463">
        <v>1.7</v>
      </c>
      <c r="J463">
        <v>204</v>
      </c>
      <c r="K463">
        <v>120</v>
      </c>
      <c r="AC463" t="s">
        <v>1519</v>
      </c>
    </row>
    <row r="464" spans="1:29" x14ac:dyDescent="0.25">
      <c r="C464">
        <v>41217006</v>
      </c>
      <c r="D464" t="s">
        <v>975</v>
      </c>
      <c r="E464">
        <v>150</v>
      </c>
      <c r="G464">
        <v>6800</v>
      </c>
      <c r="H464">
        <v>5941</v>
      </c>
      <c r="I464">
        <v>1.45</v>
      </c>
      <c r="J464">
        <v>217.5</v>
      </c>
      <c r="K464">
        <v>150</v>
      </c>
      <c r="AC464" t="s">
        <v>1520</v>
      </c>
    </row>
    <row r="465" spans="1:29" x14ac:dyDescent="0.25">
      <c r="C465">
        <v>41217334</v>
      </c>
      <c r="D465" t="s">
        <v>976</v>
      </c>
      <c r="E465">
        <v>3000</v>
      </c>
      <c r="G465">
        <v>6800</v>
      </c>
      <c r="H465">
        <v>10896</v>
      </c>
      <c r="I465">
        <v>0.33</v>
      </c>
      <c r="J465">
        <v>990</v>
      </c>
      <c r="K465">
        <v>3000</v>
      </c>
      <c r="AC465" t="s">
        <v>1521</v>
      </c>
    </row>
    <row r="466" spans="1:29" x14ac:dyDescent="0.25">
      <c r="C466">
        <v>41217698</v>
      </c>
      <c r="D466" t="s">
        <v>978</v>
      </c>
      <c r="E466">
        <v>30</v>
      </c>
      <c r="G466">
        <v>6200</v>
      </c>
      <c r="H466">
        <v>11649</v>
      </c>
      <c r="I466">
        <v>3.4</v>
      </c>
      <c r="J466">
        <v>102</v>
      </c>
      <c r="K466">
        <v>30</v>
      </c>
      <c r="AC466" t="s">
        <v>1522</v>
      </c>
    </row>
    <row r="467" spans="1:29" x14ac:dyDescent="0.25">
      <c r="B467">
        <v>8.0100617050285799E+213</v>
      </c>
      <c r="C467">
        <v>41217180</v>
      </c>
      <c r="D467" t="s">
        <v>1139</v>
      </c>
      <c r="E467">
        <v>3500</v>
      </c>
      <c r="G467" t="s">
        <v>113</v>
      </c>
      <c r="H467">
        <v>31</v>
      </c>
      <c r="I467">
        <v>0.25</v>
      </c>
      <c r="J467">
        <v>0.25</v>
      </c>
      <c r="K467">
        <v>1</v>
      </c>
      <c r="L467" t="s">
        <v>834</v>
      </c>
      <c r="AC467" t="s">
        <v>1680</v>
      </c>
    </row>
    <row r="468" spans="1:29" x14ac:dyDescent="0.25">
      <c r="C468">
        <v>41217331</v>
      </c>
      <c r="D468" t="s">
        <v>979</v>
      </c>
      <c r="E468">
        <v>500</v>
      </c>
      <c r="G468" t="s">
        <v>113</v>
      </c>
      <c r="H468">
        <v>437</v>
      </c>
      <c r="I468">
        <v>0.25</v>
      </c>
      <c r="J468">
        <v>0.25</v>
      </c>
      <c r="K468">
        <v>1</v>
      </c>
      <c r="L468" t="s">
        <v>834</v>
      </c>
      <c r="AC468" t="s">
        <v>1523</v>
      </c>
    </row>
    <row r="469" spans="1:29" x14ac:dyDescent="0.25">
      <c r="C469">
        <v>41217700</v>
      </c>
      <c r="D469" t="s">
        <v>980</v>
      </c>
      <c r="E469">
        <v>900</v>
      </c>
      <c r="G469" t="s">
        <v>113</v>
      </c>
      <c r="H469">
        <v>718</v>
      </c>
      <c r="I469">
        <v>0.25</v>
      </c>
      <c r="J469">
        <v>0.25</v>
      </c>
      <c r="K469">
        <v>1</v>
      </c>
      <c r="L469" t="s">
        <v>834</v>
      </c>
      <c r="AC469" t="s">
        <v>1524</v>
      </c>
    </row>
    <row r="470" spans="1:29" x14ac:dyDescent="0.25">
      <c r="A470" t="s">
        <v>837</v>
      </c>
      <c r="B470">
        <v>8.0100617050285796E+81</v>
      </c>
      <c r="C470">
        <v>41217697</v>
      </c>
      <c r="D470" t="s">
        <v>1140</v>
      </c>
      <c r="E470">
        <v>150</v>
      </c>
      <c r="G470" t="s">
        <v>212</v>
      </c>
      <c r="H470">
        <v>437</v>
      </c>
      <c r="I470">
        <v>1.45</v>
      </c>
      <c r="AC470" t="s">
        <v>1681</v>
      </c>
    </row>
    <row r="471" spans="1:29" x14ac:dyDescent="0.25">
      <c r="B471">
        <v>8.0100617050285796E+125</v>
      </c>
      <c r="C471">
        <v>41217793</v>
      </c>
      <c r="D471" t="s">
        <v>1141</v>
      </c>
      <c r="E471">
        <v>300</v>
      </c>
      <c r="G471" t="s">
        <v>125</v>
      </c>
      <c r="H471">
        <v>23</v>
      </c>
      <c r="I471">
        <v>0.67</v>
      </c>
      <c r="J471">
        <v>201</v>
      </c>
      <c r="K471">
        <v>300</v>
      </c>
      <c r="AC471" t="s">
        <v>1682</v>
      </c>
    </row>
    <row r="472" spans="1:29" x14ac:dyDescent="0.25">
      <c r="B472">
        <v>8.0100617050285799E+163</v>
      </c>
      <c r="C472">
        <v>41218405</v>
      </c>
      <c r="D472" t="s">
        <v>1142</v>
      </c>
      <c r="E472">
        <v>700</v>
      </c>
      <c r="G472" t="s">
        <v>165</v>
      </c>
      <c r="H472">
        <v>23</v>
      </c>
      <c r="I472">
        <v>0.51</v>
      </c>
      <c r="J472">
        <v>357</v>
      </c>
      <c r="K472">
        <v>700</v>
      </c>
      <c r="AC472" t="s">
        <v>1683</v>
      </c>
    </row>
    <row r="473" spans="1:29" x14ac:dyDescent="0.25">
      <c r="C473">
        <v>41217918</v>
      </c>
      <c r="D473" t="s">
        <v>981</v>
      </c>
      <c r="E473">
        <v>350</v>
      </c>
      <c r="G473" t="s">
        <v>138</v>
      </c>
      <c r="H473">
        <v>39</v>
      </c>
      <c r="I473">
        <v>3.4</v>
      </c>
      <c r="J473">
        <v>1190</v>
      </c>
      <c r="K473">
        <v>350</v>
      </c>
      <c r="AC473" t="s">
        <v>1525</v>
      </c>
    </row>
    <row r="474" spans="1:29" x14ac:dyDescent="0.25">
      <c r="C474">
        <v>41217697</v>
      </c>
      <c r="D474" t="s">
        <v>982</v>
      </c>
      <c r="E474">
        <v>400</v>
      </c>
      <c r="G474" t="s">
        <v>170</v>
      </c>
      <c r="H474">
        <v>49</v>
      </c>
      <c r="I474">
        <v>1.28</v>
      </c>
      <c r="J474">
        <v>512</v>
      </c>
      <c r="K474">
        <v>400</v>
      </c>
      <c r="AC474" t="s">
        <v>1526</v>
      </c>
    </row>
    <row r="475" spans="1:29" x14ac:dyDescent="0.25">
      <c r="B475">
        <v>8.0124870001010095E+104</v>
      </c>
      <c r="C475" t="s">
        <v>1057</v>
      </c>
      <c r="D475" t="s">
        <v>1143</v>
      </c>
      <c r="E475">
        <v>2000</v>
      </c>
      <c r="G475" t="s">
        <v>152</v>
      </c>
      <c r="H475">
        <v>37</v>
      </c>
      <c r="J475">
        <v>2.1</v>
      </c>
      <c r="L475" t="s">
        <v>834</v>
      </c>
      <c r="AC475" t="s">
        <v>1684</v>
      </c>
    </row>
    <row r="476" spans="1:29" x14ac:dyDescent="0.25">
      <c r="A476" t="s">
        <v>837</v>
      </c>
      <c r="B476">
        <v>8.0100611705028498E+93</v>
      </c>
      <c r="C476">
        <v>41217223</v>
      </c>
      <c r="D476" t="s">
        <v>1144</v>
      </c>
      <c r="E476">
        <v>30</v>
      </c>
      <c r="G476" t="s">
        <v>177</v>
      </c>
      <c r="H476">
        <v>473</v>
      </c>
      <c r="I476">
        <v>3.8</v>
      </c>
      <c r="AC476" t="s">
        <v>1685</v>
      </c>
    </row>
    <row r="477" spans="1:29" x14ac:dyDescent="0.25">
      <c r="A477" t="s">
        <v>837</v>
      </c>
      <c r="B477">
        <v>8.0100617050285798E+152</v>
      </c>
      <c r="C477">
        <v>41217180</v>
      </c>
      <c r="D477" t="s">
        <v>1145</v>
      </c>
      <c r="E477">
        <v>8000</v>
      </c>
      <c r="G477" t="s">
        <v>133</v>
      </c>
      <c r="H477">
        <v>45</v>
      </c>
      <c r="I477">
        <v>0.25</v>
      </c>
      <c r="J477">
        <v>0.25</v>
      </c>
      <c r="K477">
        <v>1</v>
      </c>
      <c r="L477" t="s">
        <v>834</v>
      </c>
      <c r="AC477" t="s">
        <v>1686</v>
      </c>
    </row>
    <row r="478" spans="1:29" x14ac:dyDescent="0.25">
      <c r="C478">
        <v>41217938</v>
      </c>
      <c r="D478" t="s">
        <v>983</v>
      </c>
      <c r="E478">
        <v>8000</v>
      </c>
      <c r="G478" t="s">
        <v>131</v>
      </c>
      <c r="H478">
        <v>62</v>
      </c>
      <c r="I478">
        <v>0.25</v>
      </c>
      <c r="J478">
        <v>0.25</v>
      </c>
      <c r="K478">
        <v>1</v>
      </c>
      <c r="L478" t="s">
        <v>834</v>
      </c>
      <c r="AC478" t="s">
        <v>1527</v>
      </c>
    </row>
    <row r="479" spans="1:29" x14ac:dyDescent="0.25">
      <c r="B479">
        <v>8.01006170502858E+129</v>
      </c>
      <c r="C479">
        <v>41217265</v>
      </c>
      <c r="D479" t="s">
        <v>1146</v>
      </c>
      <c r="E479">
        <v>250</v>
      </c>
      <c r="G479" t="s">
        <v>212</v>
      </c>
      <c r="H479">
        <v>50</v>
      </c>
      <c r="J479">
        <v>1.45</v>
      </c>
      <c r="L479" t="s">
        <v>834</v>
      </c>
      <c r="AC479" t="s">
        <v>1687</v>
      </c>
    </row>
    <row r="480" spans="1:29" x14ac:dyDescent="0.25">
      <c r="C480">
        <v>41217265</v>
      </c>
      <c r="D480" t="s">
        <v>985</v>
      </c>
      <c r="E480">
        <v>200</v>
      </c>
      <c r="G480">
        <v>501</v>
      </c>
      <c r="H480">
        <v>57</v>
      </c>
      <c r="J480">
        <v>1.3</v>
      </c>
      <c r="L480" t="s">
        <v>834</v>
      </c>
      <c r="AC480" t="s">
        <v>1529</v>
      </c>
    </row>
    <row r="481" spans="1:29" x14ac:dyDescent="0.25">
      <c r="B481">
        <v>8.0100617050285807E+150</v>
      </c>
      <c r="C481">
        <v>41217223</v>
      </c>
      <c r="D481" t="s">
        <v>1147</v>
      </c>
      <c r="E481">
        <v>100</v>
      </c>
      <c r="G481" t="s">
        <v>152</v>
      </c>
      <c r="H481">
        <v>33</v>
      </c>
      <c r="I481">
        <v>3.8</v>
      </c>
      <c r="J481">
        <v>3.8</v>
      </c>
      <c r="K481">
        <v>1</v>
      </c>
      <c r="L481" t="s">
        <v>834</v>
      </c>
      <c r="AC481" t="s">
        <v>1688</v>
      </c>
    </row>
    <row r="482" spans="1:29" x14ac:dyDescent="0.25">
      <c r="A482" t="s">
        <v>837</v>
      </c>
      <c r="C482">
        <v>41217180</v>
      </c>
      <c r="D482" t="s">
        <v>986</v>
      </c>
      <c r="E482">
        <v>800</v>
      </c>
      <c r="G482" t="s">
        <v>152</v>
      </c>
      <c r="H482">
        <v>610</v>
      </c>
      <c r="I482">
        <v>2.1</v>
      </c>
      <c r="J482">
        <v>2.1</v>
      </c>
      <c r="K482">
        <v>1</v>
      </c>
      <c r="L482" t="s">
        <v>834</v>
      </c>
      <c r="AC482" t="s">
        <v>1530</v>
      </c>
    </row>
    <row r="483" spans="1:29" x14ac:dyDescent="0.25">
      <c r="B483">
        <v>1.0018010061705001E+108</v>
      </c>
      <c r="C483">
        <v>41218164</v>
      </c>
      <c r="D483" t="s">
        <v>1148</v>
      </c>
      <c r="E483">
        <v>50</v>
      </c>
      <c r="G483" t="s">
        <v>177</v>
      </c>
      <c r="H483">
        <v>23</v>
      </c>
      <c r="I483">
        <v>3.8</v>
      </c>
      <c r="J483">
        <v>3.8</v>
      </c>
      <c r="K483">
        <v>1</v>
      </c>
      <c r="L483" t="s">
        <v>834</v>
      </c>
      <c r="AC483" t="s">
        <v>1689</v>
      </c>
    </row>
    <row r="484" spans="1:29" x14ac:dyDescent="0.25">
      <c r="B484">
        <v>8.0100617050285803E+24</v>
      </c>
      <c r="C484">
        <v>41218405</v>
      </c>
      <c r="D484" t="s">
        <v>1150</v>
      </c>
      <c r="E484">
        <v>26</v>
      </c>
      <c r="G484" t="s">
        <v>119</v>
      </c>
      <c r="H484">
        <v>40</v>
      </c>
      <c r="I484">
        <v>0.65</v>
      </c>
      <c r="J484">
        <v>16.899999999999999</v>
      </c>
      <c r="K484">
        <v>25.999999999999996</v>
      </c>
      <c r="L484" t="s">
        <v>834</v>
      </c>
      <c r="AC484" t="s">
        <v>831</v>
      </c>
    </row>
    <row r="485" spans="1:29" x14ac:dyDescent="0.25">
      <c r="B485">
        <v>1.20000080100617E+35</v>
      </c>
      <c r="C485">
        <v>41217700</v>
      </c>
      <c r="D485" t="s">
        <v>1151</v>
      </c>
      <c r="E485">
        <v>2000</v>
      </c>
      <c r="G485" t="s">
        <v>131</v>
      </c>
      <c r="H485">
        <v>29</v>
      </c>
      <c r="I485">
        <v>0.25</v>
      </c>
      <c r="J485">
        <v>500</v>
      </c>
      <c r="K485">
        <v>2000</v>
      </c>
      <c r="L485" t="s">
        <v>834</v>
      </c>
      <c r="AC485" t="s">
        <v>1690</v>
      </c>
    </row>
    <row r="486" spans="1:29" x14ac:dyDescent="0.25">
      <c r="B486">
        <v>8.0100617050285802E+28</v>
      </c>
      <c r="C486">
        <v>41217793</v>
      </c>
      <c r="D486" t="s">
        <v>1152</v>
      </c>
      <c r="E486">
        <v>300</v>
      </c>
      <c r="G486" t="s">
        <v>125</v>
      </c>
      <c r="H486">
        <v>23</v>
      </c>
      <c r="I486">
        <v>0.67</v>
      </c>
      <c r="J486">
        <v>0.67</v>
      </c>
      <c r="K486">
        <v>1</v>
      </c>
      <c r="L486" t="s">
        <v>834</v>
      </c>
      <c r="AC486" t="s">
        <v>1691</v>
      </c>
    </row>
    <row r="487" spans="1:29" x14ac:dyDescent="0.25">
      <c r="A487" t="s">
        <v>837</v>
      </c>
      <c r="C487">
        <v>41217679</v>
      </c>
      <c r="D487" t="s">
        <v>988</v>
      </c>
      <c r="E487">
        <v>300</v>
      </c>
      <c r="G487" t="s">
        <v>177</v>
      </c>
      <c r="H487">
        <v>684</v>
      </c>
      <c r="AC487" t="s">
        <v>1532</v>
      </c>
    </row>
    <row r="488" spans="1:29" x14ac:dyDescent="0.25">
      <c r="B488">
        <v>8.0100617050285795E+32</v>
      </c>
      <c r="C488">
        <v>41217336</v>
      </c>
      <c r="D488" t="s">
        <v>1153</v>
      </c>
      <c r="E488">
        <v>2000</v>
      </c>
      <c r="G488" t="s">
        <v>190</v>
      </c>
      <c r="H488">
        <v>39</v>
      </c>
      <c r="I488">
        <v>0.15</v>
      </c>
      <c r="J488">
        <v>300</v>
      </c>
      <c r="K488">
        <v>2000</v>
      </c>
      <c r="AC488" t="s">
        <v>1692</v>
      </c>
    </row>
    <row r="489" spans="1:29" x14ac:dyDescent="0.25">
      <c r="C489">
        <v>41217918</v>
      </c>
      <c r="D489" t="s">
        <v>990</v>
      </c>
      <c r="E489">
        <v>2000</v>
      </c>
      <c r="AC489" t="s">
        <v>1534</v>
      </c>
    </row>
    <row r="490" spans="1:29" x14ac:dyDescent="0.25">
      <c r="B490">
        <v>8.0100617050285798E+33</v>
      </c>
      <c r="C490">
        <v>41218064</v>
      </c>
      <c r="D490" t="s">
        <v>1154</v>
      </c>
      <c r="E490">
        <v>25000</v>
      </c>
      <c r="G490" t="s">
        <v>113</v>
      </c>
      <c r="H490">
        <v>40</v>
      </c>
      <c r="I490">
        <v>0.25</v>
      </c>
      <c r="J490">
        <v>6250</v>
      </c>
      <c r="K490">
        <v>25000</v>
      </c>
      <c r="AC490" t="s">
        <v>1693</v>
      </c>
    </row>
    <row r="491" spans="1:29" x14ac:dyDescent="0.25">
      <c r="C491">
        <v>41217314</v>
      </c>
      <c r="D491" t="s">
        <v>992</v>
      </c>
      <c r="E491">
        <v>25000</v>
      </c>
      <c r="AC491" t="s">
        <v>1536</v>
      </c>
    </row>
    <row r="492" spans="1:29" x14ac:dyDescent="0.25">
      <c r="B492">
        <v>8010061705028580</v>
      </c>
      <c r="C492">
        <v>41217223</v>
      </c>
      <c r="D492" t="s">
        <v>1155</v>
      </c>
      <c r="E492">
        <v>50</v>
      </c>
      <c r="G492" t="s">
        <v>152</v>
      </c>
      <c r="H492">
        <v>53</v>
      </c>
      <c r="I492">
        <v>0.52</v>
      </c>
      <c r="J492">
        <v>26</v>
      </c>
      <c r="K492">
        <v>50</v>
      </c>
      <c r="AC492" t="s">
        <v>1694</v>
      </c>
    </row>
    <row r="493" spans="1:29" x14ac:dyDescent="0.25">
      <c r="C493">
        <v>41217605</v>
      </c>
      <c r="D493" t="s">
        <v>994</v>
      </c>
      <c r="E493">
        <v>700</v>
      </c>
      <c r="I493">
        <v>2.1</v>
      </c>
      <c r="J493">
        <v>1470</v>
      </c>
      <c r="K493">
        <v>700</v>
      </c>
      <c r="AC493" t="s">
        <v>1538</v>
      </c>
    </row>
    <row r="494" spans="1:29" x14ac:dyDescent="0.25">
      <c r="C494">
        <v>41217864</v>
      </c>
      <c r="D494" t="s">
        <v>995</v>
      </c>
      <c r="E494">
        <v>30</v>
      </c>
      <c r="I494">
        <v>3.8</v>
      </c>
      <c r="J494">
        <v>114</v>
      </c>
      <c r="K494">
        <v>30</v>
      </c>
      <c r="AC494" t="s">
        <v>1539</v>
      </c>
    </row>
    <row r="495" spans="1:29" x14ac:dyDescent="0.25">
      <c r="C495">
        <v>41218090</v>
      </c>
      <c r="D495" t="s">
        <v>996</v>
      </c>
      <c r="E495">
        <v>50</v>
      </c>
      <c r="AC495" t="s">
        <v>1540</v>
      </c>
    </row>
    <row r="496" spans="1:29" x14ac:dyDescent="0.25">
      <c r="C496">
        <v>41217918</v>
      </c>
      <c r="D496" t="s">
        <v>997</v>
      </c>
      <c r="E496">
        <v>700</v>
      </c>
      <c r="AC496" t="s">
        <v>1541</v>
      </c>
    </row>
    <row r="497" spans="2:29" x14ac:dyDescent="0.25">
      <c r="C497">
        <v>41217698</v>
      </c>
      <c r="D497" t="s">
        <v>998</v>
      </c>
      <c r="E497">
        <v>30</v>
      </c>
      <c r="AC497" t="s">
        <v>1542</v>
      </c>
    </row>
    <row r="498" spans="2:29" x14ac:dyDescent="0.25">
      <c r="B498">
        <v>8.0100617050285803E+24</v>
      </c>
      <c r="C498">
        <v>41218301</v>
      </c>
      <c r="D498" t="s">
        <v>1156</v>
      </c>
      <c r="E498">
        <v>20</v>
      </c>
      <c r="G498" t="s">
        <v>212</v>
      </c>
      <c r="H498">
        <v>33</v>
      </c>
      <c r="I498">
        <v>94</v>
      </c>
      <c r="J498">
        <v>1880</v>
      </c>
      <c r="K498">
        <v>20</v>
      </c>
      <c r="AC498" t="s">
        <v>1695</v>
      </c>
    </row>
    <row r="499" spans="2:29" x14ac:dyDescent="0.25">
      <c r="C499">
        <v>41217679</v>
      </c>
      <c r="D499" t="s">
        <v>1000</v>
      </c>
      <c r="E499">
        <v>240</v>
      </c>
      <c r="G499" t="s">
        <v>156</v>
      </c>
      <c r="H499">
        <v>39</v>
      </c>
      <c r="I499">
        <v>0.56000000000000005</v>
      </c>
      <c r="J499">
        <v>134.4</v>
      </c>
      <c r="K499">
        <v>240</v>
      </c>
      <c r="AC499" t="s">
        <v>1544</v>
      </c>
    </row>
    <row r="500" spans="2:29" x14ac:dyDescent="0.25">
      <c r="C500">
        <v>41218164</v>
      </c>
      <c r="D500" t="s">
        <v>1001</v>
      </c>
      <c r="E500">
        <v>150</v>
      </c>
      <c r="I500">
        <v>1.45</v>
      </c>
      <c r="J500">
        <v>217.5</v>
      </c>
      <c r="K500">
        <v>150</v>
      </c>
      <c r="AC500" t="s">
        <v>1545</v>
      </c>
    </row>
    <row r="501" spans="2:29" x14ac:dyDescent="0.25">
      <c r="C501">
        <v>41217485</v>
      </c>
      <c r="D501" t="s">
        <v>1002</v>
      </c>
      <c r="E501">
        <v>3000</v>
      </c>
      <c r="I501">
        <v>0.33</v>
      </c>
      <c r="J501">
        <v>990</v>
      </c>
      <c r="K501">
        <v>3000</v>
      </c>
      <c r="AC501" t="s">
        <v>1546</v>
      </c>
    </row>
    <row r="502" spans="2:29" x14ac:dyDescent="0.25">
      <c r="C502">
        <v>41217006</v>
      </c>
      <c r="D502" t="s">
        <v>1003</v>
      </c>
      <c r="E502">
        <v>20</v>
      </c>
      <c r="AC502" t="s">
        <v>1547</v>
      </c>
    </row>
    <row r="503" spans="2:29" x14ac:dyDescent="0.25">
      <c r="C503">
        <v>41218164</v>
      </c>
      <c r="D503" t="s">
        <v>1004</v>
      </c>
      <c r="E503">
        <v>240</v>
      </c>
      <c r="AC503" t="s">
        <v>1548</v>
      </c>
    </row>
    <row r="504" spans="2:29" x14ac:dyDescent="0.25">
      <c r="C504">
        <v>41217699</v>
      </c>
      <c r="D504" t="s">
        <v>1005</v>
      </c>
      <c r="E504">
        <v>150</v>
      </c>
      <c r="AC504" t="s">
        <v>1549</v>
      </c>
    </row>
    <row r="505" spans="2:29" x14ac:dyDescent="0.25">
      <c r="C505">
        <v>41214312</v>
      </c>
      <c r="D505" t="s">
        <v>1007</v>
      </c>
      <c r="E505">
        <v>3000</v>
      </c>
      <c r="AC505" t="s">
        <v>1550</v>
      </c>
    </row>
    <row r="506" spans="2:29" x14ac:dyDescent="0.25">
      <c r="B506">
        <v>8.0100617050285803E+24</v>
      </c>
      <c r="C506">
        <v>41217265</v>
      </c>
      <c r="D506" t="s">
        <v>1157</v>
      </c>
      <c r="E506">
        <v>240</v>
      </c>
      <c r="G506">
        <v>6200</v>
      </c>
      <c r="H506">
        <v>51</v>
      </c>
      <c r="I506">
        <v>1.7</v>
      </c>
      <c r="J506">
        <v>1.7</v>
      </c>
      <c r="K506">
        <v>1</v>
      </c>
      <c r="L506" t="s">
        <v>834</v>
      </c>
      <c r="AC506" t="s">
        <v>1696</v>
      </c>
    </row>
    <row r="507" spans="2:29" x14ac:dyDescent="0.25">
      <c r="C507">
        <v>41217679</v>
      </c>
      <c r="D507" t="s">
        <v>1010</v>
      </c>
      <c r="E507">
        <v>25</v>
      </c>
      <c r="I507">
        <v>8.82</v>
      </c>
      <c r="J507">
        <v>8.82</v>
      </c>
      <c r="K507">
        <v>1</v>
      </c>
      <c r="L507" t="s">
        <v>834</v>
      </c>
      <c r="AC507" t="s">
        <v>1552</v>
      </c>
    </row>
    <row r="508" spans="2:29" x14ac:dyDescent="0.25">
      <c r="C508">
        <v>41217700</v>
      </c>
      <c r="D508" t="s">
        <v>1011</v>
      </c>
      <c r="E508">
        <v>120</v>
      </c>
      <c r="I508">
        <v>1.7</v>
      </c>
      <c r="J508">
        <v>1.7</v>
      </c>
      <c r="K508">
        <v>1</v>
      </c>
      <c r="L508" t="s">
        <v>834</v>
      </c>
      <c r="AC508" t="s">
        <v>1553</v>
      </c>
    </row>
    <row r="509" spans="2:29" x14ac:dyDescent="0.25">
      <c r="C509">
        <v>41217698</v>
      </c>
      <c r="D509" t="s">
        <v>1012</v>
      </c>
      <c r="E509">
        <v>600</v>
      </c>
      <c r="I509">
        <v>1.7</v>
      </c>
      <c r="J509">
        <v>1.7</v>
      </c>
      <c r="K509">
        <v>1</v>
      </c>
      <c r="L509" t="s">
        <v>834</v>
      </c>
      <c r="AC509" t="s">
        <v>1554</v>
      </c>
    </row>
    <row r="510" spans="2:29" x14ac:dyDescent="0.25">
      <c r="C510">
        <v>41217697</v>
      </c>
      <c r="D510" t="s">
        <v>1013</v>
      </c>
      <c r="E510">
        <v>30</v>
      </c>
      <c r="I510">
        <v>3.4</v>
      </c>
      <c r="J510">
        <v>3.4</v>
      </c>
      <c r="K510">
        <v>1</v>
      </c>
      <c r="L510" t="s">
        <v>834</v>
      </c>
      <c r="AC510" t="s">
        <v>1555</v>
      </c>
    </row>
    <row r="511" spans="2:29" x14ac:dyDescent="0.25">
      <c r="C511">
        <v>41217698</v>
      </c>
      <c r="D511" t="s">
        <v>1014</v>
      </c>
      <c r="E511">
        <v>240</v>
      </c>
      <c r="AC511" t="s">
        <v>1556</v>
      </c>
    </row>
    <row r="512" spans="2:29" x14ac:dyDescent="0.25">
      <c r="C512">
        <v>41217334</v>
      </c>
      <c r="D512" t="s">
        <v>1015</v>
      </c>
      <c r="E512">
        <v>25</v>
      </c>
      <c r="AC512" t="s">
        <v>1557</v>
      </c>
    </row>
    <row r="513" spans="2:29" x14ac:dyDescent="0.25">
      <c r="C513">
        <v>41218145</v>
      </c>
      <c r="D513" t="s">
        <v>1016</v>
      </c>
      <c r="E513">
        <v>120</v>
      </c>
      <c r="AC513" t="s">
        <v>1558</v>
      </c>
    </row>
    <row r="514" spans="2:29" x14ac:dyDescent="0.25">
      <c r="C514">
        <v>41217336</v>
      </c>
      <c r="D514" t="s">
        <v>1017</v>
      </c>
      <c r="E514">
        <v>600</v>
      </c>
      <c r="AC514" t="s">
        <v>1559</v>
      </c>
    </row>
    <row r="515" spans="2:29" x14ac:dyDescent="0.25">
      <c r="C515">
        <v>41217314</v>
      </c>
      <c r="D515" t="s">
        <v>1018</v>
      </c>
      <c r="E515">
        <v>30</v>
      </c>
      <c r="AC515" t="s">
        <v>1560</v>
      </c>
    </row>
    <row r="516" spans="2:29" x14ac:dyDescent="0.25">
      <c r="B516">
        <v>8.0100617050285795E+32</v>
      </c>
      <c r="C516">
        <v>41217180</v>
      </c>
      <c r="D516" t="s">
        <v>1158</v>
      </c>
      <c r="E516">
        <v>3500</v>
      </c>
      <c r="G516" t="s">
        <v>113</v>
      </c>
      <c r="H516">
        <v>45</v>
      </c>
      <c r="I516">
        <v>0.25</v>
      </c>
      <c r="J516">
        <v>0.25</v>
      </c>
      <c r="K516">
        <v>1</v>
      </c>
      <c r="L516" t="s">
        <v>834</v>
      </c>
      <c r="AC516" t="s">
        <v>1697</v>
      </c>
    </row>
    <row r="517" spans="2:29" x14ac:dyDescent="0.25">
      <c r="C517">
        <v>41217180</v>
      </c>
      <c r="D517" t="s">
        <v>1020</v>
      </c>
      <c r="E517">
        <v>4500</v>
      </c>
      <c r="G517" t="s">
        <v>113</v>
      </c>
      <c r="H517">
        <v>554</v>
      </c>
      <c r="I517">
        <v>0.25</v>
      </c>
      <c r="J517">
        <v>0.25</v>
      </c>
      <c r="K517">
        <v>1</v>
      </c>
      <c r="L517" t="s">
        <v>834</v>
      </c>
      <c r="AC517" t="s">
        <v>1562</v>
      </c>
    </row>
    <row r="518" spans="2:29" x14ac:dyDescent="0.25">
      <c r="C518">
        <v>41217265</v>
      </c>
      <c r="D518" t="s">
        <v>1022</v>
      </c>
      <c r="E518">
        <v>2400</v>
      </c>
      <c r="I518">
        <v>0.25</v>
      </c>
      <c r="J518">
        <v>0.25</v>
      </c>
      <c r="K518">
        <v>1</v>
      </c>
      <c r="L518" t="s">
        <v>834</v>
      </c>
      <c r="AC518" t="s">
        <v>1564</v>
      </c>
    </row>
    <row r="519" spans="2:29" x14ac:dyDescent="0.25">
      <c r="C519">
        <v>41217265</v>
      </c>
      <c r="D519" t="s">
        <v>1024</v>
      </c>
      <c r="E519">
        <v>500</v>
      </c>
      <c r="I519">
        <v>0.25</v>
      </c>
      <c r="J519">
        <v>0.25</v>
      </c>
      <c r="K519">
        <v>1</v>
      </c>
      <c r="L519" t="s">
        <v>834</v>
      </c>
      <c r="AC519" t="s">
        <v>1566</v>
      </c>
    </row>
    <row r="520" spans="2:29" x14ac:dyDescent="0.25">
      <c r="C520">
        <v>41217180</v>
      </c>
      <c r="D520" t="s">
        <v>1026</v>
      </c>
      <c r="E520">
        <v>700</v>
      </c>
      <c r="I520">
        <v>0.25</v>
      </c>
      <c r="J520">
        <v>0.25</v>
      </c>
      <c r="K520">
        <v>1</v>
      </c>
      <c r="L520" t="s">
        <v>834</v>
      </c>
      <c r="AC520" t="s">
        <v>1567</v>
      </c>
    </row>
    <row r="521" spans="2:29" x14ac:dyDescent="0.25">
      <c r="C521">
        <v>41217223</v>
      </c>
      <c r="D521" t="s">
        <v>1029</v>
      </c>
      <c r="E521">
        <v>3500</v>
      </c>
      <c r="AC521" t="s">
        <v>1570</v>
      </c>
    </row>
    <row r="522" spans="2:29" x14ac:dyDescent="0.25">
      <c r="C522">
        <v>41218064</v>
      </c>
      <c r="D522" t="s">
        <v>1038</v>
      </c>
      <c r="E522">
        <v>4500</v>
      </c>
      <c r="AC522" t="s">
        <v>1698</v>
      </c>
    </row>
    <row r="523" spans="2:29" x14ac:dyDescent="0.25">
      <c r="C523">
        <v>41217698</v>
      </c>
      <c r="D523" t="s">
        <v>1030</v>
      </c>
      <c r="E523">
        <v>2400</v>
      </c>
      <c r="AC523" t="s">
        <v>1571</v>
      </c>
    </row>
    <row r="524" spans="2:29" x14ac:dyDescent="0.25">
      <c r="C524">
        <v>41217698</v>
      </c>
      <c r="D524" t="s">
        <v>1012</v>
      </c>
      <c r="E524">
        <v>500</v>
      </c>
      <c r="AC524" t="s">
        <v>1572</v>
      </c>
    </row>
    <row r="525" spans="2:29" x14ac:dyDescent="0.25">
      <c r="C525">
        <v>41217679</v>
      </c>
      <c r="D525" t="s">
        <v>1031</v>
      </c>
      <c r="E525">
        <v>700</v>
      </c>
      <c r="AC525" t="s">
        <v>1573</v>
      </c>
    </row>
    <row r="526" spans="2:29" x14ac:dyDescent="0.25">
      <c r="B526">
        <v>8.0100617050285795E+23</v>
      </c>
      <c r="C526">
        <v>41217223</v>
      </c>
      <c r="D526" t="s">
        <v>1159</v>
      </c>
      <c r="E526">
        <v>60</v>
      </c>
      <c r="G526" t="s">
        <v>152</v>
      </c>
      <c r="H526">
        <v>43</v>
      </c>
      <c r="I526">
        <v>0.52</v>
      </c>
      <c r="J526">
        <v>31.2</v>
      </c>
      <c r="K526">
        <v>60</v>
      </c>
      <c r="AC526" t="s">
        <v>1699</v>
      </c>
    </row>
    <row r="527" spans="2:29" x14ac:dyDescent="0.25">
      <c r="C527">
        <v>41217698</v>
      </c>
      <c r="D527" t="s">
        <v>1032</v>
      </c>
      <c r="E527">
        <v>400</v>
      </c>
      <c r="I527">
        <v>2.1</v>
      </c>
      <c r="J527">
        <v>840</v>
      </c>
      <c r="K527">
        <v>400</v>
      </c>
      <c r="AC527" t="s">
        <v>1575</v>
      </c>
    </row>
    <row r="528" spans="2:29" x14ac:dyDescent="0.25">
      <c r="C528">
        <v>41217698</v>
      </c>
      <c r="D528" t="s">
        <v>1030</v>
      </c>
      <c r="E528">
        <v>60</v>
      </c>
      <c r="AC528" t="s">
        <v>1576</v>
      </c>
    </row>
    <row r="529" spans="2:29" x14ac:dyDescent="0.25">
      <c r="C529">
        <v>41217702</v>
      </c>
      <c r="D529" t="s">
        <v>1033</v>
      </c>
      <c r="E529">
        <v>400</v>
      </c>
      <c r="AC529" t="s">
        <v>1577</v>
      </c>
    </row>
    <row r="530" spans="2:29" x14ac:dyDescent="0.25">
      <c r="B530">
        <v>8.0100617050285803E+24</v>
      </c>
      <c r="C530">
        <v>41217265</v>
      </c>
      <c r="D530" t="s">
        <v>1160</v>
      </c>
      <c r="E530">
        <v>20</v>
      </c>
      <c r="G530">
        <v>6800</v>
      </c>
      <c r="H530">
        <v>33</v>
      </c>
      <c r="I530">
        <v>94</v>
      </c>
      <c r="J530">
        <v>3.82</v>
      </c>
      <c r="K530">
        <v>4.0638297872340426E-2</v>
      </c>
      <c r="L530" t="s">
        <v>834</v>
      </c>
      <c r="AC530" t="s">
        <v>1700</v>
      </c>
    </row>
    <row r="531" spans="2:29" x14ac:dyDescent="0.25">
      <c r="C531">
        <v>41217918</v>
      </c>
      <c r="D531" t="s">
        <v>1035</v>
      </c>
      <c r="E531">
        <v>10</v>
      </c>
      <c r="G531">
        <v>6200</v>
      </c>
      <c r="H531">
        <v>39</v>
      </c>
      <c r="I531">
        <v>8.82</v>
      </c>
      <c r="J531">
        <v>8.4</v>
      </c>
      <c r="K531">
        <v>0.95238095238095244</v>
      </c>
      <c r="L531" t="s">
        <v>834</v>
      </c>
      <c r="AC531" t="s">
        <v>1579</v>
      </c>
    </row>
    <row r="532" spans="2:29" x14ac:dyDescent="0.25">
      <c r="C532">
        <v>41217006</v>
      </c>
      <c r="D532" t="s">
        <v>1036</v>
      </c>
      <c r="E532">
        <v>2000</v>
      </c>
      <c r="G532">
        <v>6800</v>
      </c>
      <c r="H532">
        <v>1777</v>
      </c>
      <c r="I532">
        <v>0.33</v>
      </c>
      <c r="J532">
        <v>1.45</v>
      </c>
      <c r="K532">
        <v>4.3939393939393936</v>
      </c>
      <c r="L532" t="s">
        <v>834</v>
      </c>
      <c r="AC532" t="s">
        <v>1580</v>
      </c>
    </row>
    <row r="533" spans="2:29" x14ac:dyDescent="0.25">
      <c r="C533">
        <v>41217485</v>
      </c>
      <c r="D533" t="s">
        <v>1037</v>
      </c>
      <c r="E533">
        <v>350</v>
      </c>
      <c r="I533">
        <v>0.56000000000000005</v>
      </c>
      <c r="J533">
        <v>1880</v>
      </c>
      <c r="K533">
        <v>3357.1428571428569</v>
      </c>
      <c r="L533" t="s">
        <v>834</v>
      </c>
      <c r="AC533" t="s">
        <v>1581</v>
      </c>
    </row>
    <row r="534" spans="2:29" x14ac:dyDescent="0.25">
      <c r="C534">
        <v>41218064</v>
      </c>
      <c r="D534" t="s">
        <v>1038</v>
      </c>
      <c r="E534">
        <v>300</v>
      </c>
      <c r="I534">
        <v>3.4</v>
      </c>
      <c r="J534">
        <v>88.2</v>
      </c>
      <c r="K534">
        <v>25.941176470588236</v>
      </c>
      <c r="L534" t="s">
        <v>834</v>
      </c>
      <c r="AC534" t="s">
        <v>1582</v>
      </c>
    </row>
    <row r="535" spans="2:29" x14ac:dyDescent="0.25">
      <c r="C535">
        <v>41217331</v>
      </c>
      <c r="D535" t="s">
        <v>1039</v>
      </c>
      <c r="E535">
        <v>180</v>
      </c>
      <c r="I535">
        <v>1.45</v>
      </c>
      <c r="J535">
        <v>660</v>
      </c>
      <c r="K535">
        <v>455.17241379310349</v>
      </c>
      <c r="L535" t="s">
        <v>834</v>
      </c>
      <c r="AC535" t="s">
        <v>1583</v>
      </c>
    </row>
    <row r="536" spans="2:29" x14ac:dyDescent="0.25">
      <c r="C536">
        <v>41217699</v>
      </c>
      <c r="D536" t="s">
        <v>1041</v>
      </c>
      <c r="E536">
        <v>20</v>
      </c>
      <c r="AC536" t="s">
        <v>1585</v>
      </c>
    </row>
    <row r="537" spans="2:29" x14ac:dyDescent="0.25">
      <c r="C537">
        <v>41217336</v>
      </c>
      <c r="D537" t="s">
        <v>1042</v>
      </c>
      <c r="E537">
        <v>10</v>
      </c>
      <c r="AC537" t="s">
        <v>1586</v>
      </c>
    </row>
    <row r="538" spans="2:29" x14ac:dyDescent="0.25">
      <c r="C538">
        <v>41217697</v>
      </c>
      <c r="D538" t="s">
        <v>1043</v>
      </c>
      <c r="E538">
        <v>2000</v>
      </c>
      <c r="AC538" t="s">
        <v>1587</v>
      </c>
    </row>
    <row r="539" spans="2:29" x14ac:dyDescent="0.25">
      <c r="C539">
        <v>41217866</v>
      </c>
      <c r="D539" t="s">
        <v>1045</v>
      </c>
      <c r="E539">
        <v>350</v>
      </c>
      <c r="AC539" t="s">
        <v>1588</v>
      </c>
    </row>
    <row r="540" spans="2:29" x14ac:dyDescent="0.25">
      <c r="B540">
        <v>1.80100617050285E+33</v>
      </c>
      <c r="C540">
        <v>41217180</v>
      </c>
      <c r="D540" t="s">
        <v>1161</v>
      </c>
      <c r="E540">
        <v>3500</v>
      </c>
      <c r="G540" t="s">
        <v>113</v>
      </c>
      <c r="H540">
        <v>417</v>
      </c>
      <c r="I540">
        <v>0.25</v>
      </c>
      <c r="J540">
        <v>875</v>
      </c>
      <c r="K540">
        <v>3500</v>
      </c>
      <c r="AC540" t="s">
        <v>1701</v>
      </c>
    </row>
    <row r="541" spans="2:29" x14ac:dyDescent="0.25">
      <c r="C541">
        <v>41217698</v>
      </c>
      <c r="D541" t="s">
        <v>1047</v>
      </c>
      <c r="E541">
        <v>5000</v>
      </c>
      <c r="I541">
        <v>0.25</v>
      </c>
      <c r="J541">
        <v>1250</v>
      </c>
      <c r="K541">
        <v>5000</v>
      </c>
      <c r="AC541" t="s">
        <v>1590</v>
      </c>
    </row>
    <row r="542" spans="2:29" x14ac:dyDescent="0.25">
      <c r="C542">
        <v>41217696</v>
      </c>
      <c r="D542" t="s">
        <v>1048</v>
      </c>
      <c r="E542">
        <v>1000</v>
      </c>
      <c r="I542">
        <v>0.25</v>
      </c>
      <c r="J542">
        <v>250</v>
      </c>
      <c r="K542">
        <v>1000</v>
      </c>
      <c r="AC542" t="s">
        <v>1591</v>
      </c>
    </row>
    <row r="543" spans="2:29" x14ac:dyDescent="0.25">
      <c r="C543">
        <v>41217334</v>
      </c>
      <c r="D543" t="s">
        <v>1049</v>
      </c>
      <c r="E543">
        <v>3500</v>
      </c>
      <c r="AC543" t="s">
        <v>1592</v>
      </c>
    </row>
    <row r="544" spans="2:29" x14ac:dyDescent="0.25">
      <c r="C544">
        <v>41217485</v>
      </c>
      <c r="D544" t="s">
        <v>1050</v>
      </c>
      <c r="E544">
        <v>5000</v>
      </c>
      <c r="AC544" t="s">
        <v>1593</v>
      </c>
    </row>
    <row r="545" spans="1:29" x14ac:dyDescent="0.25">
      <c r="C545">
        <v>41217702</v>
      </c>
      <c r="D545" t="s">
        <v>1051</v>
      </c>
      <c r="E545">
        <v>1000</v>
      </c>
      <c r="AC545" t="s">
        <v>1594</v>
      </c>
    </row>
    <row r="546" spans="1:29" x14ac:dyDescent="0.25">
      <c r="B546">
        <v>8.0100617050285802E+43</v>
      </c>
      <c r="C546">
        <v>41218405</v>
      </c>
      <c r="D546" t="s">
        <v>1162</v>
      </c>
      <c r="E546">
        <v>1000</v>
      </c>
      <c r="G546" t="s">
        <v>165</v>
      </c>
      <c r="H546">
        <v>23</v>
      </c>
      <c r="I546">
        <v>0.51</v>
      </c>
      <c r="J546">
        <v>0.51</v>
      </c>
      <c r="K546">
        <v>1</v>
      </c>
      <c r="L546" t="s">
        <v>834</v>
      </c>
      <c r="AC546" t="s">
        <v>1702</v>
      </c>
    </row>
    <row r="547" spans="1:29" x14ac:dyDescent="0.25">
      <c r="C547">
        <v>41218164</v>
      </c>
      <c r="D547" t="s">
        <v>1053</v>
      </c>
      <c r="E547">
        <v>400</v>
      </c>
      <c r="G547" t="s">
        <v>161</v>
      </c>
      <c r="H547">
        <v>39</v>
      </c>
      <c r="I547">
        <v>18</v>
      </c>
      <c r="J547">
        <v>8</v>
      </c>
      <c r="K547">
        <v>0.44444444444444442</v>
      </c>
      <c r="L547" t="s">
        <v>834</v>
      </c>
      <c r="AC547" t="s">
        <v>1596</v>
      </c>
    </row>
    <row r="548" spans="1:29" x14ac:dyDescent="0.25">
      <c r="C548">
        <v>41217223</v>
      </c>
      <c r="D548" t="s">
        <v>1054</v>
      </c>
      <c r="E548">
        <v>500</v>
      </c>
      <c r="G548" t="s">
        <v>138</v>
      </c>
      <c r="H548">
        <v>50</v>
      </c>
      <c r="I548">
        <v>3.4</v>
      </c>
      <c r="J548">
        <v>3.4</v>
      </c>
      <c r="K548">
        <v>1</v>
      </c>
      <c r="L548" t="s">
        <v>834</v>
      </c>
      <c r="AC548" t="s">
        <v>1597</v>
      </c>
    </row>
    <row r="549" spans="1:29" x14ac:dyDescent="0.25">
      <c r="C549">
        <v>41217265</v>
      </c>
      <c r="D549" t="s">
        <v>1055</v>
      </c>
      <c r="E549">
        <v>1000</v>
      </c>
      <c r="G549" t="s">
        <v>165</v>
      </c>
      <c r="H549">
        <v>440</v>
      </c>
      <c r="AC549" t="s">
        <v>1598</v>
      </c>
    </row>
    <row r="550" spans="1:29" x14ac:dyDescent="0.25">
      <c r="C550">
        <v>41217180</v>
      </c>
      <c r="D550" t="s">
        <v>1056</v>
      </c>
      <c r="E550">
        <v>400</v>
      </c>
      <c r="G550" t="s">
        <v>161</v>
      </c>
      <c r="H550">
        <v>455</v>
      </c>
      <c r="AC550" t="s">
        <v>1599</v>
      </c>
    </row>
    <row r="551" spans="1:29" x14ac:dyDescent="0.25">
      <c r="C551" t="s">
        <v>1057</v>
      </c>
      <c r="D551" t="s">
        <v>1058</v>
      </c>
      <c r="E551">
        <v>500</v>
      </c>
      <c r="AC551" t="s">
        <v>1600</v>
      </c>
    </row>
    <row r="552" spans="1:29" x14ac:dyDescent="0.25">
      <c r="B552">
        <v>8.0100617050285803E+24</v>
      </c>
      <c r="C552">
        <v>41217334</v>
      </c>
      <c r="D552" t="s">
        <v>1163</v>
      </c>
      <c r="E552">
        <v>400</v>
      </c>
      <c r="G552" t="s">
        <v>174</v>
      </c>
      <c r="H552">
        <v>23</v>
      </c>
      <c r="I552">
        <v>0.56000000000000005</v>
      </c>
      <c r="J552">
        <v>224</v>
      </c>
      <c r="K552">
        <v>399.99999999999994</v>
      </c>
      <c r="L552" t="s">
        <v>834</v>
      </c>
      <c r="AC552" t="s">
        <v>1703</v>
      </c>
    </row>
    <row r="553" spans="1:29" x14ac:dyDescent="0.25">
      <c r="C553">
        <v>41217699</v>
      </c>
      <c r="D553" t="s">
        <v>1060</v>
      </c>
      <c r="E553">
        <v>400</v>
      </c>
      <c r="G553" t="s">
        <v>174</v>
      </c>
      <c r="H553">
        <v>302</v>
      </c>
      <c r="AC553" t="s">
        <v>1602</v>
      </c>
    </row>
    <row r="554" spans="1:29" x14ac:dyDescent="0.25">
      <c r="B554">
        <v>8.0100617050285802E+30</v>
      </c>
      <c r="C554">
        <v>41217793</v>
      </c>
      <c r="D554" t="s">
        <v>1164</v>
      </c>
      <c r="E554">
        <v>500</v>
      </c>
      <c r="G554" t="s">
        <v>125</v>
      </c>
      <c r="H554">
        <v>23</v>
      </c>
      <c r="I554">
        <v>0.67</v>
      </c>
      <c r="J554">
        <v>335</v>
      </c>
      <c r="K554">
        <v>499.99999999999994</v>
      </c>
      <c r="L554" t="s">
        <v>834</v>
      </c>
      <c r="AC554" t="s">
        <v>1704</v>
      </c>
    </row>
    <row r="555" spans="1:29" x14ac:dyDescent="0.25">
      <c r="C555">
        <v>41217865</v>
      </c>
      <c r="D555" t="s">
        <v>1062</v>
      </c>
      <c r="E555">
        <v>500</v>
      </c>
      <c r="G555" t="s">
        <v>125</v>
      </c>
      <c r="H555">
        <v>320</v>
      </c>
      <c r="AC555" t="s">
        <v>1604</v>
      </c>
    </row>
    <row r="556" spans="1:29" x14ac:dyDescent="0.25">
      <c r="B556">
        <v>1.8010061705028501E+25</v>
      </c>
      <c r="C556">
        <v>41217697</v>
      </c>
      <c r="D556" t="s">
        <v>1165</v>
      </c>
      <c r="E556">
        <v>120</v>
      </c>
      <c r="G556">
        <v>6001</v>
      </c>
      <c r="H556">
        <v>38</v>
      </c>
      <c r="I556">
        <v>3.97</v>
      </c>
      <c r="J556">
        <v>3.97</v>
      </c>
      <c r="K556">
        <v>1</v>
      </c>
      <c r="L556" t="s">
        <v>834</v>
      </c>
      <c r="AC556" t="s">
        <v>1705</v>
      </c>
    </row>
    <row r="557" spans="1:29" x14ac:dyDescent="0.25">
      <c r="C557">
        <v>41218064</v>
      </c>
      <c r="D557" t="s">
        <v>1064</v>
      </c>
      <c r="E557">
        <v>200</v>
      </c>
      <c r="G557">
        <v>501</v>
      </c>
      <c r="H557">
        <v>45</v>
      </c>
      <c r="I557">
        <v>1.3</v>
      </c>
      <c r="J557">
        <v>1.3</v>
      </c>
      <c r="K557">
        <v>1</v>
      </c>
      <c r="L557" t="s">
        <v>834</v>
      </c>
      <c r="AC557" t="s">
        <v>1606</v>
      </c>
    </row>
    <row r="558" spans="1:29" x14ac:dyDescent="0.25">
      <c r="C558">
        <v>41217698</v>
      </c>
      <c r="D558" t="s">
        <v>1065</v>
      </c>
      <c r="E558">
        <v>120</v>
      </c>
      <c r="G558" t="s">
        <v>212</v>
      </c>
      <c r="H558">
        <v>74</v>
      </c>
      <c r="AC558" t="s">
        <v>1607</v>
      </c>
    </row>
    <row r="559" spans="1:29" x14ac:dyDescent="0.25">
      <c r="A559" t="s">
        <v>837</v>
      </c>
      <c r="C559">
        <v>41218164</v>
      </c>
      <c r="D559" t="s">
        <v>1066</v>
      </c>
      <c r="E559">
        <v>200</v>
      </c>
      <c r="G559">
        <v>6001</v>
      </c>
      <c r="H559">
        <v>379</v>
      </c>
      <c r="AC559" t="s">
        <v>1608</v>
      </c>
    </row>
    <row r="560" spans="1:29" x14ac:dyDescent="0.25">
      <c r="B560">
        <v>1.1000000334001501E+38</v>
      </c>
      <c r="C560">
        <v>41217864</v>
      </c>
      <c r="D560" t="s">
        <v>1166</v>
      </c>
      <c r="E560">
        <v>1000</v>
      </c>
      <c r="G560" t="s">
        <v>135</v>
      </c>
      <c r="H560">
        <v>23</v>
      </c>
      <c r="I560">
        <v>0.25</v>
      </c>
      <c r="J560">
        <v>250</v>
      </c>
      <c r="K560">
        <v>1000</v>
      </c>
      <c r="AC560" t="s">
        <v>1706</v>
      </c>
    </row>
    <row r="561" spans="1:29" x14ac:dyDescent="0.25">
      <c r="C561">
        <v>41217222</v>
      </c>
      <c r="D561" t="s">
        <v>1068</v>
      </c>
      <c r="E561">
        <v>1000</v>
      </c>
      <c r="G561" t="s">
        <v>135</v>
      </c>
      <c r="H561">
        <v>165</v>
      </c>
      <c r="AC561" t="s">
        <v>1610</v>
      </c>
    </row>
    <row r="562" spans="1:29" x14ac:dyDescent="0.25">
      <c r="A562" t="s">
        <v>837</v>
      </c>
      <c r="B562">
        <v>8.0124870001010105E+23</v>
      </c>
      <c r="C562" t="s">
        <v>1167</v>
      </c>
      <c r="D562" t="s">
        <v>1168</v>
      </c>
      <c r="E562">
        <v>2000</v>
      </c>
      <c r="G562" t="s">
        <v>152</v>
      </c>
      <c r="H562">
        <v>37</v>
      </c>
      <c r="I562">
        <v>2.1</v>
      </c>
      <c r="J562">
        <v>4200</v>
      </c>
      <c r="K562">
        <v>2000</v>
      </c>
      <c r="AC562" t="s">
        <v>1707</v>
      </c>
    </row>
    <row r="563" spans="1:29" x14ac:dyDescent="0.25">
      <c r="C563">
        <v>41217484</v>
      </c>
      <c r="D563" t="s">
        <v>1070</v>
      </c>
      <c r="E563">
        <v>2000</v>
      </c>
      <c r="AC563" t="s">
        <v>1612</v>
      </c>
    </row>
    <row r="564" spans="1:29" x14ac:dyDescent="0.25">
      <c r="A564" t="s">
        <v>837</v>
      </c>
      <c r="B564">
        <v>8.0100617050285803E+24</v>
      </c>
      <c r="C564">
        <v>41217265</v>
      </c>
      <c r="D564" t="s">
        <v>1169</v>
      </c>
      <c r="E564">
        <v>120</v>
      </c>
      <c r="G564">
        <v>501</v>
      </c>
      <c r="H564">
        <v>36</v>
      </c>
      <c r="I564">
        <v>1.7</v>
      </c>
      <c r="J564">
        <v>163.19999999999999</v>
      </c>
      <c r="K564">
        <v>96</v>
      </c>
      <c r="L564" t="s">
        <v>834</v>
      </c>
      <c r="AC564" t="s">
        <v>1708</v>
      </c>
    </row>
    <row r="565" spans="1:29" x14ac:dyDescent="0.25">
      <c r="C565">
        <v>41217697</v>
      </c>
      <c r="D565" t="s">
        <v>1072</v>
      </c>
      <c r="E565">
        <v>120</v>
      </c>
      <c r="I565">
        <v>1.3</v>
      </c>
      <c r="J565">
        <v>156</v>
      </c>
      <c r="K565">
        <v>120</v>
      </c>
      <c r="AC565" t="s">
        <v>1614</v>
      </c>
    </row>
    <row r="566" spans="1:29" x14ac:dyDescent="0.25">
      <c r="A566" t="s">
        <v>837</v>
      </c>
      <c r="B566">
        <v>8.0100617050285803E+24</v>
      </c>
      <c r="C566">
        <v>41218656</v>
      </c>
      <c r="D566" t="s">
        <v>1170</v>
      </c>
      <c r="E566">
        <v>20</v>
      </c>
      <c r="G566" t="s">
        <v>119</v>
      </c>
      <c r="H566">
        <v>25</v>
      </c>
      <c r="I566">
        <v>1.3</v>
      </c>
      <c r="J566">
        <v>26</v>
      </c>
      <c r="K566">
        <v>20</v>
      </c>
      <c r="L566" t="s">
        <v>834</v>
      </c>
      <c r="AC566" t="s">
        <v>1709</v>
      </c>
    </row>
    <row r="567" spans="1:29" x14ac:dyDescent="0.25">
      <c r="C567">
        <v>41218362</v>
      </c>
      <c r="D567" t="s">
        <v>1059</v>
      </c>
      <c r="E567">
        <v>20</v>
      </c>
      <c r="G567" t="s">
        <v>119</v>
      </c>
      <c r="H567">
        <v>302</v>
      </c>
      <c r="I567">
        <v>0.25</v>
      </c>
      <c r="J567">
        <v>375</v>
      </c>
      <c r="K567">
        <v>1500</v>
      </c>
      <c r="L567" t="s">
        <v>834</v>
      </c>
      <c r="AC567" t="s">
        <v>1616</v>
      </c>
    </row>
    <row r="568" spans="1:29" x14ac:dyDescent="0.25">
      <c r="B568">
        <v>8.0100617050285798E+26</v>
      </c>
      <c r="C568">
        <v>41217265</v>
      </c>
      <c r="D568" t="s">
        <v>1171</v>
      </c>
      <c r="E568">
        <v>2000</v>
      </c>
      <c r="G568" t="s">
        <v>156</v>
      </c>
      <c r="H568">
        <v>31</v>
      </c>
      <c r="I568">
        <v>0.33</v>
      </c>
      <c r="J568">
        <v>0.33</v>
      </c>
      <c r="K568">
        <v>1</v>
      </c>
      <c r="L568" t="s">
        <v>834</v>
      </c>
      <c r="AC568" t="s">
        <v>1710</v>
      </c>
    </row>
    <row r="569" spans="1:29" x14ac:dyDescent="0.25">
      <c r="C569">
        <v>41218301</v>
      </c>
      <c r="D569" t="s">
        <v>1075</v>
      </c>
      <c r="E569">
        <v>290</v>
      </c>
      <c r="G569">
        <v>501</v>
      </c>
      <c r="H569">
        <v>41</v>
      </c>
      <c r="I569">
        <v>1.3</v>
      </c>
      <c r="J569">
        <v>1.3</v>
      </c>
      <c r="K569">
        <v>1</v>
      </c>
      <c r="L569" t="s">
        <v>834</v>
      </c>
      <c r="AC569" t="s">
        <v>1618</v>
      </c>
    </row>
    <row r="570" spans="1:29" x14ac:dyDescent="0.25">
      <c r="A570" t="s">
        <v>837</v>
      </c>
      <c r="C570">
        <v>41217871</v>
      </c>
      <c r="D570" t="s">
        <v>1076</v>
      </c>
      <c r="E570">
        <v>2000</v>
      </c>
      <c r="G570" t="s">
        <v>156</v>
      </c>
      <c r="H570">
        <v>382</v>
      </c>
      <c r="AC570" t="s">
        <v>1619</v>
      </c>
    </row>
    <row r="571" spans="1:29" x14ac:dyDescent="0.25">
      <c r="C571">
        <v>41218301</v>
      </c>
      <c r="D571" t="s">
        <v>1077</v>
      </c>
      <c r="E571">
        <v>290</v>
      </c>
      <c r="AC571" t="s">
        <v>1620</v>
      </c>
    </row>
    <row r="572" spans="1:29" x14ac:dyDescent="0.25">
      <c r="B572">
        <v>8.0100617050285794E+35</v>
      </c>
      <c r="C572">
        <v>41218064</v>
      </c>
      <c r="D572" t="s">
        <v>1172</v>
      </c>
      <c r="E572">
        <v>20000</v>
      </c>
      <c r="G572" t="s">
        <v>113</v>
      </c>
      <c r="H572">
        <v>30</v>
      </c>
      <c r="I572">
        <v>0.25</v>
      </c>
      <c r="J572">
        <v>0.25</v>
      </c>
      <c r="K572">
        <v>1</v>
      </c>
      <c r="L572" t="s">
        <v>834</v>
      </c>
      <c r="AC572" t="s">
        <v>1711</v>
      </c>
    </row>
    <row r="573" spans="1:29" x14ac:dyDescent="0.25">
      <c r="C573">
        <v>41218407</v>
      </c>
      <c r="D573" t="s">
        <v>1079</v>
      </c>
      <c r="E573">
        <v>20000</v>
      </c>
      <c r="G573" t="s">
        <v>113</v>
      </c>
      <c r="H573">
        <v>335</v>
      </c>
      <c r="AC573" t="s">
        <v>1622</v>
      </c>
    </row>
    <row r="574" spans="1:29" x14ac:dyDescent="0.25">
      <c r="C574">
        <v>41217331</v>
      </c>
      <c r="D574" t="s">
        <v>1080</v>
      </c>
      <c r="E574">
        <v>560</v>
      </c>
      <c r="AC574" t="s">
        <v>1623</v>
      </c>
    </row>
    <row r="575" spans="1:29" x14ac:dyDescent="0.25">
      <c r="B575">
        <v>8.0100617050285795E+27</v>
      </c>
      <c r="C575">
        <v>41218405</v>
      </c>
      <c r="D575" t="s">
        <v>1173</v>
      </c>
      <c r="E575">
        <v>600</v>
      </c>
      <c r="G575">
        <v>6800</v>
      </c>
      <c r="H575">
        <v>30</v>
      </c>
      <c r="I575">
        <v>20.99</v>
      </c>
      <c r="J575">
        <v>0.99</v>
      </c>
      <c r="K575">
        <v>4.7165316817532159E-2</v>
      </c>
      <c r="L575" t="s">
        <v>834</v>
      </c>
      <c r="AC575" t="s">
        <v>1712</v>
      </c>
    </row>
    <row r="576" spans="1:29" x14ac:dyDescent="0.25">
      <c r="C576">
        <v>41217699</v>
      </c>
      <c r="D576" t="s">
        <v>1083</v>
      </c>
      <c r="E576">
        <v>20</v>
      </c>
      <c r="G576" t="s">
        <v>161</v>
      </c>
      <c r="H576">
        <v>36</v>
      </c>
      <c r="I576">
        <v>96</v>
      </c>
      <c r="J576">
        <v>6</v>
      </c>
      <c r="K576">
        <v>6.25E-2</v>
      </c>
      <c r="L576" t="s">
        <v>834</v>
      </c>
      <c r="AC576" t="s">
        <v>1625</v>
      </c>
    </row>
    <row r="577" spans="1:29" x14ac:dyDescent="0.25">
      <c r="C577" t="s">
        <v>1057</v>
      </c>
      <c r="D577" t="s">
        <v>1084</v>
      </c>
      <c r="E577">
        <v>200</v>
      </c>
      <c r="G577" t="s">
        <v>170</v>
      </c>
      <c r="H577">
        <v>47</v>
      </c>
      <c r="I577">
        <v>18</v>
      </c>
      <c r="J577">
        <v>8</v>
      </c>
      <c r="K577">
        <v>0.44444444444444442</v>
      </c>
      <c r="L577" t="s">
        <v>834</v>
      </c>
      <c r="AC577" t="s">
        <v>1626</v>
      </c>
    </row>
    <row r="578" spans="1:29" x14ac:dyDescent="0.25">
      <c r="C578">
        <v>41217697</v>
      </c>
      <c r="D578" t="s">
        <v>1085</v>
      </c>
      <c r="E578">
        <v>500</v>
      </c>
      <c r="I578">
        <v>1.28</v>
      </c>
      <c r="J578">
        <v>1.28</v>
      </c>
      <c r="K578">
        <v>1</v>
      </c>
      <c r="L578" t="s">
        <v>834</v>
      </c>
      <c r="AC578" t="s">
        <v>1627</v>
      </c>
    </row>
    <row r="579" spans="1:29" x14ac:dyDescent="0.25">
      <c r="C579">
        <v>41217865</v>
      </c>
      <c r="D579" t="s">
        <v>1086</v>
      </c>
      <c r="E579">
        <v>600</v>
      </c>
      <c r="AC579" t="s">
        <v>1628</v>
      </c>
    </row>
    <row r="580" spans="1:29" x14ac:dyDescent="0.25">
      <c r="C580">
        <v>41218064</v>
      </c>
      <c r="D580" t="s">
        <v>1087</v>
      </c>
      <c r="E580">
        <v>20</v>
      </c>
      <c r="AC580" t="s">
        <v>1629</v>
      </c>
    </row>
    <row r="581" spans="1:29" x14ac:dyDescent="0.25">
      <c r="C581">
        <v>41217697</v>
      </c>
      <c r="D581" t="s">
        <v>1088</v>
      </c>
      <c r="E581">
        <v>200</v>
      </c>
      <c r="AC581" t="s">
        <v>1630</v>
      </c>
    </row>
    <row r="582" spans="1:29" x14ac:dyDescent="0.25">
      <c r="C582">
        <v>41218164</v>
      </c>
      <c r="D582" t="s">
        <v>1089</v>
      </c>
      <c r="E582">
        <v>500</v>
      </c>
      <c r="AC582" t="s">
        <v>1631</v>
      </c>
    </row>
    <row r="583" spans="1:29" x14ac:dyDescent="0.25">
      <c r="A583" t="s">
        <v>837</v>
      </c>
      <c r="B583">
        <v>61705028584</v>
      </c>
      <c r="C583">
        <v>41218164</v>
      </c>
      <c r="D583" t="s">
        <v>1174</v>
      </c>
      <c r="E583">
        <v>266</v>
      </c>
      <c r="G583" t="s">
        <v>177</v>
      </c>
      <c r="H583">
        <v>83</v>
      </c>
      <c r="I583">
        <v>3.8</v>
      </c>
      <c r="J583">
        <v>3.8</v>
      </c>
      <c r="K583">
        <v>1</v>
      </c>
      <c r="L583" t="s">
        <v>834</v>
      </c>
      <c r="AC583" t="s">
        <v>1713</v>
      </c>
    </row>
    <row r="584" spans="1:29" x14ac:dyDescent="0.25">
      <c r="C584">
        <v>41218301</v>
      </c>
      <c r="D584" t="s">
        <v>1091</v>
      </c>
      <c r="E584">
        <v>70</v>
      </c>
      <c r="AC584" t="s">
        <v>1633</v>
      </c>
    </row>
    <row r="585" spans="1:29" x14ac:dyDescent="0.25">
      <c r="C585">
        <v>41218407</v>
      </c>
      <c r="D585" t="s">
        <v>1092</v>
      </c>
      <c r="E585">
        <v>70</v>
      </c>
      <c r="AC585" t="s">
        <v>1634</v>
      </c>
    </row>
    <row r="586" spans="1:29" x14ac:dyDescent="0.25">
      <c r="B586">
        <v>8010061705028580</v>
      </c>
      <c r="C586">
        <v>41217793</v>
      </c>
      <c r="D586" t="s">
        <v>1175</v>
      </c>
      <c r="E586">
        <v>200</v>
      </c>
      <c r="G586" t="s">
        <v>125</v>
      </c>
      <c r="H586">
        <v>64</v>
      </c>
      <c r="I586">
        <v>0.67</v>
      </c>
      <c r="J586">
        <v>0.67</v>
      </c>
      <c r="K586">
        <v>1</v>
      </c>
      <c r="L586" t="s">
        <v>834</v>
      </c>
      <c r="AC586" t="s">
        <v>1714</v>
      </c>
    </row>
    <row r="587" spans="1:29" x14ac:dyDescent="0.25">
      <c r="C587">
        <v>41217265</v>
      </c>
      <c r="D587" t="s">
        <v>1094</v>
      </c>
      <c r="E587">
        <v>200</v>
      </c>
      <c r="J587">
        <v>134</v>
      </c>
      <c r="K587">
        <v>1</v>
      </c>
      <c r="L587" t="s">
        <v>834</v>
      </c>
      <c r="AC587" t="s">
        <v>1636</v>
      </c>
    </row>
    <row r="588" spans="1:29" x14ac:dyDescent="0.25">
      <c r="B588">
        <v>8010061705028580</v>
      </c>
      <c r="C588">
        <v>41217336</v>
      </c>
      <c r="D588" t="s">
        <v>1176</v>
      </c>
      <c r="E588">
        <v>1600</v>
      </c>
      <c r="G588" t="s">
        <v>190</v>
      </c>
      <c r="H588">
        <v>82</v>
      </c>
      <c r="I588">
        <v>0.15</v>
      </c>
      <c r="J588">
        <v>0.15</v>
      </c>
      <c r="K588">
        <v>1</v>
      </c>
      <c r="L588" t="s">
        <v>834</v>
      </c>
      <c r="AC588" t="s">
        <v>1715</v>
      </c>
    </row>
    <row r="589" spans="1:29" x14ac:dyDescent="0.25">
      <c r="C589">
        <v>41218301</v>
      </c>
      <c r="D589" t="s">
        <v>1096</v>
      </c>
      <c r="E589">
        <v>1600</v>
      </c>
      <c r="AC589" t="s">
        <v>1638</v>
      </c>
    </row>
    <row r="590" spans="1:29" x14ac:dyDescent="0.25">
      <c r="B590">
        <v>8010061705028580</v>
      </c>
      <c r="C590">
        <v>41217180</v>
      </c>
      <c r="D590" t="s">
        <v>1177</v>
      </c>
      <c r="E590">
        <v>2500</v>
      </c>
      <c r="G590" t="s">
        <v>133</v>
      </c>
      <c r="H590">
        <v>71</v>
      </c>
      <c r="J590">
        <v>0.25</v>
      </c>
      <c r="L590" t="s">
        <v>834</v>
      </c>
      <c r="AC590" t="s">
        <v>1716</v>
      </c>
    </row>
    <row r="591" spans="1:29" x14ac:dyDescent="0.25">
      <c r="C591">
        <v>41218407</v>
      </c>
      <c r="D591" t="s">
        <v>1099</v>
      </c>
      <c r="E591">
        <v>500</v>
      </c>
      <c r="G591" t="s">
        <v>120</v>
      </c>
      <c r="H591">
        <v>162</v>
      </c>
      <c r="J591">
        <v>0.25</v>
      </c>
      <c r="L591" t="s">
        <v>834</v>
      </c>
      <c r="AC591" t="s">
        <v>1640</v>
      </c>
    </row>
    <row r="592" spans="1:29" x14ac:dyDescent="0.25">
      <c r="A592" t="s">
        <v>837</v>
      </c>
      <c r="C592">
        <v>41217697</v>
      </c>
      <c r="D592" t="s">
        <v>1100</v>
      </c>
      <c r="E592">
        <v>400</v>
      </c>
      <c r="G592" t="s">
        <v>127</v>
      </c>
      <c r="H592">
        <v>177</v>
      </c>
      <c r="J592">
        <v>0.25</v>
      </c>
      <c r="L592" t="s">
        <v>834</v>
      </c>
      <c r="AC592" t="s">
        <v>1641</v>
      </c>
    </row>
    <row r="593" spans="1:29" x14ac:dyDescent="0.25">
      <c r="C593">
        <v>41218405</v>
      </c>
      <c r="D593" t="s">
        <v>1101</v>
      </c>
      <c r="E593">
        <v>2500</v>
      </c>
      <c r="AC593" t="s">
        <v>1642</v>
      </c>
    </row>
    <row r="594" spans="1:29" x14ac:dyDescent="0.25">
      <c r="C594">
        <v>41217793</v>
      </c>
      <c r="D594" t="s">
        <v>1102</v>
      </c>
      <c r="E594">
        <v>500</v>
      </c>
      <c r="AC594" t="s">
        <v>1643</v>
      </c>
    </row>
    <row r="595" spans="1:29" x14ac:dyDescent="0.25">
      <c r="C595">
        <v>41218407</v>
      </c>
      <c r="D595" t="s">
        <v>1103</v>
      </c>
      <c r="E595">
        <v>400</v>
      </c>
      <c r="AC595" t="s">
        <v>1644</v>
      </c>
    </row>
    <row r="596" spans="1:29" x14ac:dyDescent="0.25">
      <c r="B596">
        <v>8010061705028580</v>
      </c>
      <c r="C596">
        <v>41218301</v>
      </c>
      <c r="D596" t="s">
        <v>1178</v>
      </c>
      <c r="E596">
        <v>1500</v>
      </c>
      <c r="G596" t="s">
        <v>156</v>
      </c>
      <c r="H596">
        <v>68</v>
      </c>
      <c r="J596">
        <v>0.33</v>
      </c>
      <c r="L596" t="s">
        <v>834</v>
      </c>
      <c r="AC596" t="s">
        <v>1717</v>
      </c>
    </row>
    <row r="597" spans="1:29" x14ac:dyDescent="0.25">
      <c r="C597">
        <v>41217697</v>
      </c>
      <c r="D597" t="s">
        <v>1105</v>
      </c>
      <c r="E597">
        <v>1500</v>
      </c>
      <c r="AC597" t="s">
        <v>1646</v>
      </c>
    </row>
    <row r="598" spans="1:29" x14ac:dyDescent="0.25">
      <c r="B598">
        <v>8010061705028580</v>
      </c>
      <c r="C598">
        <v>41217265</v>
      </c>
      <c r="D598" t="s">
        <v>1179</v>
      </c>
      <c r="E598">
        <v>200</v>
      </c>
      <c r="G598" t="s">
        <v>138</v>
      </c>
      <c r="H598">
        <v>113</v>
      </c>
      <c r="I598">
        <v>3.4</v>
      </c>
      <c r="J598">
        <v>3.4</v>
      </c>
      <c r="K598">
        <v>1</v>
      </c>
      <c r="L598" t="s">
        <v>834</v>
      </c>
      <c r="AC598" t="s">
        <v>1718</v>
      </c>
    </row>
    <row r="599" spans="1:29" x14ac:dyDescent="0.25">
      <c r="A599" t="s">
        <v>837</v>
      </c>
      <c r="C599">
        <v>41218164</v>
      </c>
      <c r="D599" t="s">
        <v>1107</v>
      </c>
      <c r="E599">
        <v>360</v>
      </c>
      <c r="G599" t="s">
        <v>141</v>
      </c>
      <c r="H599">
        <v>137</v>
      </c>
      <c r="I599">
        <v>3.4</v>
      </c>
      <c r="J599">
        <v>3.4</v>
      </c>
      <c r="K599">
        <v>1</v>
      </c>
      <c r="L599" t="s">
        <v>834</v>
      </c>
      <c r="AC599" t="s">
        <v>1648</v>
      </c>
    </row>
    <row r="600" spans="1:29" x14ac:dyDescent="0.25">
      <c r="C600">
        <v>41218405</v>
      </c>
      <c r="D600" t="s">
        <v>1108</v>
      </c>
      <c r="E600">
        <v>200</v>
      </c>
      <c r="AC600" t="s">
        <v>1649</v>
      </c>
    </row>
    <row r="601" spans="1:29" x14ac:dyDescent="0.25">
      <c r="C601">
        <v>41217336</v>
      </c>
      <c r="D601" t="s">
        <v>1109</v>
      </c>
      <c r="E601">
        <v>360</v>
      </c>
      <c r="AC601" t="s">
        <v>1650</v>
      </c>
    </row>
    <row r="602" spans="1:29" x14ac:dyDescent="0.25">
      <c r="A602" t="s">
        <v>837</v>
      </c>
      <c r="B602">
        <v>8010061705028580</v>
      </c>
      <c r="C602">
        <v>41217223</v>
      </c>
      <c r="D602" t="s">
        <v>1180</v>
      </c>
      <c r="E602">
        <v>570</v>
      </c>
      <c r="G602" t="s">
        <v>177</v>
      </c>
      <c r="H602">
        <v>77</v>
      </c>
      <c r="I602">
        <v>3.8</v>
      </c>
      <c r="J602">
        <v>3.8</v>
      </c>
      <c r="K602">
        <v>1</v>
      </c>
      <c r="L602" t="s">
        <v>834</v>
      </c>
      <c r="AC602" t="s">
        <v>1719</v>
      </c>
    </row>
    <row r="603" spans="1:29" x14ac:dyDescent="0.25">
      <c r="C603">
        <v>41218301</v>
      </c>
      <c r="D603" t="s">
        <v>1111</v>
      </c>
      <c r="E603">
        <v>570</v>
      </c>
      <c r="J603">
        <v>570</v>
      </c>
      <c r="K603">
        <v>1</v>
      </c>
      <c r="L603" t="s">
        <v>834</v>
      </c>
      <c r="AC603" t="s">
        <v>1652</v>
      </c>
    </row>
    <row r="604" spans="1:29" x14ac:dyDescent="0.25">
      <c r="C604">
        <v>41217223</v>
      </c>
      <c r="D604" t="s">
        <v>1113</v>
      </c>
      <c r="E604">
        <v>150</v>
      </c>
      <c r="AC604" t="s">
        <v>1654</v>
      </c>
    </row>
    <row r="605" spans="1:29" x14ac:dyDescent="0.25">
      <c r="C605">
        <v>41217180</v>
      </c>
      <c r="D605" t="s">
        <v>1114</v>
      </c>
      <c r="E605">
        <v>150</v>
      </c>
      <c r="AC605" t="s">
        <v>1655</v>
      </c>
    </row>
    <row r="606" spans="1:29" x14ac:dyDescent="0.25">
      <c r="B606">
        <v>1.00000050523944E+31</v>
      </c>
      <c r="C606">
        <v>41218656</v>
      </c>
      <c r="D606" t="s">
        <v>1181</v>
      </c>
      <c r="E606">
        <v>20</v>
      </c>
      <c r="G606" t="s">
        <v>119</v>
      </c>
      <c r="H606">
        <v>79</v>
      </c>
      <c r="I606">
        <v>1.3</v>
      </c>
      <c r="AC606" t="s">
        <v>1720</v>
      </c>
    </row>
    <row r="607" spans="1:29" x14ac:dyDescent="0.25">
      <c r="C607">
        <v>41218407</v>
      </c>
      <c r="D607" t="s">
        <v>1116</v>
      </c>
      <c r="E607">
        <v>26</v>
      </c>
      <c r="AC607" t="s">
        <v>1657</v>
      </c>
    </row>
    <row r="608" spans="1:29" x14ac:dyDescent="0.25">
      <c r="C608">
        <v>41218301</v>
      </c>
      <c r="D608" t="s">
        <v>1117</v>
      </c>
      <c r="E608">
        <v>20</v>
      </c>
      <c r="AC608" t="s">
        <v>1658</v>
      </c>
    </row>
    <row r="609" spans="1:29" x14ac:dyDescent="0.25">
      <c r="C609">
        <v>41217223</v>
      </c>
      <c r="D609" t="s">
        <v>1118</v>
      </c>
      <c r="E609">
        <v>26</v>
      </c>
      <c r="AC609" t="s">
        <v>1659</v>
      </c>
    </row>
    <row r="610" spans="1:29" x14ac:dyDescent="0.25">
      <c r="A610" t="s">
        <v>837</v>
      </c>
      <c r="B610">
        <v>8.0100617050285798E+26</v>
      </c>
      <c r="C610">
        <v>41217265</v>
      </c>
      <c r="D610" t="s">
        <v>1182</v>
      </c>
      <c r="E610">
        <v>300</v>
      </c>
      <c r="G610" t="s">
        <v>156</v>
      </c>
      <c r="H610">
        <v>45</v>
      </c>
      <c r="I610">
        <v>0.33</v>
      </c>
      <c r="J610">
        <v>0.33</v>
      </c>
      <c r="K610">
        <v>1</v>
      </c>
      <c r="L610" t="s">
        <v>834</v>
      </c>
      <c r="AC610" t="s">
        <v>1721</v>
      </c>
    </row>
    <row r="611" spans="1:29" x14ac:dyDescent="0.25">
      <c r="C611">
        <v>41217265</v>
      </c>
      <c r="D611" t="s">
        <v>1120</v>
      </c>
      <c r="E611">
        <v>99</v>
      </c>
      <c r="J611">
        <v>99</v>
      </c>
      <c r="K611">
        <v>1</v>
      </c>
      <c r="L611" t="s">
        <v>834</v>
      </c>
      <c r="AC611" t="s">
        <v>1661</v>
      </c>
    </row>
    <row r="612" spans="1:29" x14ac:dyDescent="0.25">
      <c r="C612">
        <v>41217265</v>
      </c>
      <c r="D612" t="s">
        <v>1121</v>
      </c>
      <c r="E612">
        <v>300</v>
      </c>
      <c r="AC612" t="s">
        <v>1662</v>
      </c>
    </row>
    <row r="613" spans="1:29" x14ac:dyDescent="0.25">
      <c r="C613">
        <v>41217700</v>
      </c>
      <c r="D613" t="s">
        <v>1124</v>
      </c>
      <c r="E613">
        <v>99</v>
      </c>
      <c r="AC613" t="s">
        <v>1665</v>
      </c>
    </row>
    <row r="614" spans="1:29" x14ac:dyDescent="0.25">
      <c r="A614" t="s">
        <v>837</v>
      </c>
      <c r="B614">
        <v>8.0124870001010104E+18</v>
      </c>
      <c r="C614" t="s">
        <v>1057</v>
      </c>
      <c r="D614" t="s">
        <v>1183</v>
      </c>
      <c r="E614">
        <v>2000</v>
      </c>
      <c r="G614" t="s">
        <v>152</v>
      </c>
      <c r="H614">
        <v>68</v>
      </c>
      <c r="I614">
        <v>2.1</v>
      </c>
      <c r="J614">
        <v>2.1</v>
      </c>
      <c r="K614">
        <v>1</v>
      </c>
      <c r="L614" t="s">
        <v>834</v>
      </c>
      <c r="AC614" t="s">
        <v>1722</v>
      </c>
    </row>
    <row r="615" spans="1:29" x14ac:dyDescent="0.25">
      <c r="C615">
        <v>41217793</v>
      </c>
      <c r="D615" t="s">
        <v>1126</v>
      </c>
      <c r="E615">
        <v>2000</v>
      </c>
      <c r="AC615" t="s">
        <v>1667</v>
      </c>
    </row>
    <row r="616" spans="1:29" x14ac:dyDescent="0.25">
      <c r="A616" t="s">
        <v>680</v>
      </c>
      <c r="B616">
        <v>8010061705028580</v>
      </c>
      <c r="C616">
        <v>41217265</v>
      </c>
      <c r="D616" t="s">
        <v>1184</v>
      </c>
      <c r="E616">
        <v>612</v>
      </c>
      <c r="I616">
        <v>1.7</v>
      </c>
      <c r="J616">
        <v>1.7</v>
      </c>
      <c r="K616">
        <v>1</v>
      </c>
      <c r="L616" t="s">
        <v>834</v>
      </c>
      <c r="AC616" t="s">
        <v>1723</v>
      </c>
    </row>
    <row r="617" spans="1:29" x14ac:dyDescent="0.25">
      <c r="C617">
        <v>41218064</v>
      </c>
      <c r="D617" t="s">
        <v>1128</v>
      </c>
      <c r="E617">
        <v>612</v>
      </c>
      <c r="AC617" t="s">
        <v>1669</v>
      </c>
    </row>
    <row r="618" spans="1:29" x14ac:dyDescent="0.25">
      <c r="C618">
        <v>41217696</v>
      </c>
      <c r="D618" t="s">
        <v>1129</v>
      </c>
      <c r="E618">
        <v>360</v>
      </c>
      <c r="AC618" t="s">
        <v>1670</v>
      </c>
    </row>
    <row r="619" spans="1:29" x14ac:dyDescent="0.25">
      <c r="C619">
        <v>41217865</v>
      </c>
      <c r="D619" t="s">
        <v>1130</v>
      </c>
      <c r="E619">
        <v>360</v>
      </c>
      <c r="AC619" t="s">
        <v>1671</v>
      </c>
    </row>
    <row r="620" spans="1:29" x14ac:dyDescent="0.25">
      <c r="A620" t="s">
        <v>837</v>
      </c>
      <c r="B620">
        <v>8010061705028580</v>
      </c>
      <c r="C620">
        <v>41218407</v>
      </c>
      <c r="D620" t="s">
        <v>1185</v>
      </c>
      <c r="E620">
        <v>45</v>
      </c>
      <c r="G620">
        <v>6885</v>
      </c>
      <c r="H620">
        <v>80</v>
      </c>
      <c r="J620">
        <v>1.78</v>
      </c>
      <c r="L620" t="s">
        <v>834</v>
      </c>
      <c r="AC620" t="s">
        <v>1724</v>
      </c>
    </row>
    <row r="621" spans="1:29" x14ac:dyDescent="0.25">
      <c r="B621">
        <v>8.0100617050285804E+40</v>
      </c>
      <c r="C621">
        <v>41217180</v>
      </c>
      <c r="D621" t="s">
        <v>1186</v>
      </c>
      <c r="E621">
        <v>3500</v>
      </c>
      <c r="G621" t="s">
        <v>133</v>
      </c>
      <c r="H621">
        <v>45</v>
      </c>
      <c r="I621">
        <v>0.25</v>
      </c>
      <c r="J621">
        <v>0.25</v>
      </c>
      <c r="K621">
        <v>1</v>
      </c>
      <c r="L621" t="s">
        <v>834</v>
      </c>
      <c r="AC621" t="s">
        <v>1725</v>
      </c>
    </row>
    <row r="622" spans="1:29" x14ac:dyDescent="0.25">
      <c r="C622">
        <v>41217336</v>
      </c>
      <c r="D622" t="s">
        <v>1133</v>
      </c>
      <c r="E622">
        <v>875</v>
      </c>
      <c r="G622" t="s">
        <v>131</v>
      </c>
      <c r="H622">
        <v>113</v>
      </c>
      <c r="I622">
        <v>0.25</v>
      </c>
      <c r="J622">
        <v>875</v>
      </c>
      <c r="K622">
        <v>3500</v>
      </c>
      <c r="L622" t="s">
        <v>834</v>
      </c>
      <c r="AC622" t="s">
        <v>1674</v>
      </c>
    </row>
    <row r="623" spans="1:29" x14ac:dyDescent="0.25">
      <c r="A623" t="s">
        <v>837</v>
      </c>
      <c r="C623">
        <v>41217865</v>
      </c>
      <c r="D623" t="s">
        <v>1134</v>
      </c>
      <c r="E623">
        <v>750</v>
      </c>
      <c r="G623" t="s">
        <v>123</v>
      </c>
      <c r="H623">
        <v>172</v>
      </c>
      <c r="I623">
        <v>0.25</v>
      </c>
      <c r="J623">
        <v>0.25</v>
      </c>
      <c r="K623">
        <v>1</v>
      </c>
      <c r="L623" t="s">
        <v>834</v>
      </c>
      <c r="AC623" t="s">
        <v>1675</v>
      </c>
    </row>
    <row r="624" spans="1:29" x14ac:dyDescent="0.25">
      <c r="C624">
        <v>41218405</v>
      </c>
      <c r="D624" t="s">
        <v>1135</v>
      </c>
      <c r="E624">
        <v>500</v>
      </c>
      <c r="J624">
        <v>750</v>
      </c>
      <c r="K624">
        <v>1</v>
      </c>
      <c r="L624" t="s">
        <v>834</v>
      </c>
      <c r="AC624" t="s">
        <v>1676</v>
      </c>
    </row>
    <row r="625" spans="2:29" x14ac:dyDescent="0.25">
      <c r="C625">
        <v>41217866</v>
      </c>
      <c r="D625" t="s">
        <v>1136</v>
      </c>
      <c r="E625">
        <v>875</v>
      </c>
      <c r="J625">
        <v>500</v>
      </c>
      <c r="K625">
        <v>1</v>
      </c>
      <c r="L625" t="s">
        <v>834</v>
      </c>
      <c r="AC625" t="s">
        <v>1677</v>
      </c>
    </row>
    <row r="626" spans="2:29" x14ac:dyDescent="0.25">
      <c r="C626">
        <v>41217223</v>
      </c>
      <c r="D626" t="s">
        <v>1137</v>
      </c>
      <c r="E626">
        <v>750</v>
      </c>
      <c r="J626">
        <v>0.25</v>
      </c>
      <c r="K626">
        <v>1</v>
      </c>
      <c r="L626" t="s">
        <v>834</v>
      </c>
      <c r="AC626" t="s">
        <v>1678</v>
      </c>
    </row>
    <row r="627" spans="2:29" x14ac:dyDescent="0.25">
      <c r="C627">
        <v>41217265</v>
      </c>
      <c r="D627" t="s">
        <v>1138</v>
      </c>
      <c r="E627">
        <v>500</v>
      </c>
      <c r="AC627" t="s">
        <v>1679</v>
      </c>
    </row>
    <row r="628" spans="2:29" x14ac:dyDescent="0.25">
      <c r="B628">
        <v>8010061705028580</v>
      </c>
      <c r="C628">
        <v>41217265</v>
      </c>
      <c r="D628" t="s">
        <v>1187</v>
      </c>
      <c r="E628">
        <v>1360</v>
      </c>
      <c r="G628">
        <v>6200</v>
      </c>
      <c r="H628">
        <v>971</v>
      </c>
      <c r="I628">
        <v>0.33</v>
      </c>
      <c r="J628">
        <v>0.33</v>
      </c>
      <c r="K628">
        <v>1</v>
      </c>
      <c r="L628" t="s">
        <v>834</v>
      </c>
      <c r="AC628" t="s">
        <v>1726</v>
      </c>
    </row>
    <row r="629" spans="2:29" x14ac:dyDescent="0.25">
      <c r="C629">
        <v>41217697</v>
      </c>
      <c r="D629" t="s">
        <v>1140</v>
      </c>
      <c r="E629">
        <v>1360</v>
      </c>
      <c r="I629">
        <v>3.4</v>
      </c>
      <c r="J629">
        <v>825</v>
      </c>
      <c r="K629">
        <v>242.64705882352942</v>
      </c>
      <c r="L629" t="s">
        <v>834</v>
      </c>
      <c r="AC629" t="s">
        <v>1681</v>
      </c>
    </row>
    <row r="630" spans="2:29" x14ac:dyDescent="0.25">
      <c r="C630">
        <v>41217793</v>
      </c>
      <c r="D630" t="s">
        <v>1141</v>
      </c>
      <c r="E630">
        <v>2500</v>
      </c>
      <c r="I630">
        <v>3.4</v>
      </c>
      <c r="J630">
        <v>3.4</v>
      </c>
      <c r="K630">
        <v>1</v>
      </c>
      <c r="L630" t="s">
        <v>834</v>
      </c>
      <c r="AC630" t="s">
        <v>1682</v>
      </c>
    </row>
    <row r="631" spans="2:29" x14ac:dyDescent="0.25">
      <c r="C631">
        <v>41218405</v>
      </c>
      <c r="D631" t="s">
        <v>1142</v>
      </c>
      <c r="E631">
        <v>825</v>
      </c>
      <c r="I631">
        <v>8.82</v>
      </c>
      <c r="J631">
        <v>1360</v>
      </c>
      <c r="K631">
        <v>154.19501133786846</v>
      </c>
      <c r="L631" t="s">
        <v>834</v>
      </c>
      <c r="AC631" t="s">
        <v>1683</v>
      </c>
    </row>
    <row r="632" spans="2:29" x14ac:dyDescent="0.25">
      <c r="C632" t="s">
        <v>1057</v>
      </c>
      <c r="D632" t="s">
        <v>1143</v>
      </c>
      <c r="E632">
        <v>400</v>
      </c>
      <c r="J632">
        <v>3.4</v>
      </c>
      <c r="K632">
        <v>154.19501133786846</v>
      </c>
      <c r="L632" t="s">
        <v>834</v>
      </c>
      <c r="AC632" t="s">
        <v>1684</v>
      </c>
    </row>
    <row r="633" spans="2:29" x14ac:dyDescent="0.25">
      <c r="C633">
        <v>41217223</v>
      </c>
      <c r="D633" t="s">
        <v>1144</v>
      </c>
      <c r="E633">
        <v>50</v>
      </c>
      <c r="J633">
        <v>170</v>
      </c>
      <c r="K633">
        <v>154.19501133786846</v>
      </c>
      <c r="L633" t="s">
        <v>834</v>
      </c>
      <c r="AC633" t="s">
        <v>1685</v>
      </c>
    </row>
    <row r="634" spans="2:29" x14ac:dyDescent="0.25">
      <c r="C634">
        <v>41217180</v>
      </c>
      <c r="D634" t="s">
        <v>1145</v>
      </c>
      <c r="E634">
        <v>170</v>
      </c>
      <c r="J634">
        <v>8.82</v>
      </c>
      <c r="K634">
        <v>154.19501133786846</v>
      </c>
      <c r="L634" t="s">
        <v>834</v>
      </c>
      <c r="AC634" t="s">
        <v>1686</v>
      </c>
    </row>
    <row r="635" spans="2:29" x14ac:dyDescent="0.25">
      <c r="C635">
        <v>41217265</v>
      </c>
      <c r="D635" t="s">
        <v>1146</v>
      </c>
      <c r="E635">
        <v>10</v>
      </c>
      <c r="J635">
        <v>88.2</v>
      </c>
      <c r="K635">
        <v>154.19501133786846</v>
      </c>
      <c r="L635" t="s">
        <v>834</v>
      </c>
      <c r="AC635" t="s">
        <v>1687</v>
      </c>
    </row>
    <row r="636" spans="2:29" x14ac:dyDescent="0.25">
      <c r="C636">
        <v>41217223</v>
      </c>
      <c r="D636" t="s">
        <v>1147</v>
      </c>
      <c r="E636">
        <v>2500</v>
      </c>
      <c r="AC636" t="s">
        <v>1688</v>
      </c>
    </row>
    <row r="637" spans="2:29" x14ac:dyDescent="0.25">
      <c r="C637">
        <v>41218164</v>
      </c>
      <c r="D637" t="s">
        <v>1148</v>
      </c>
      <c r="E637">
        <v>825</v>
      </c>
      <c r="AC637" t="s">
        <v>1689</v>
      </c>
    </row>
    <row r="638" spans="2:29" x14ac:dyDescent="0.25">
      <c r="B638">
        <v>8010061705028580</v>
      </c>
      <c r="C638">
        <v>41218405</v>
      </c>
      <c r="D638" t="s">
        <v>736</v>
      </c>
      <c r="E638">
        <v>1360</v>
      </c>
      <c r="G638" t="s">
        <v>119</v>
      </c>
      <c r="H638">
        <v>140</v>
      </c>
      <c r="I638">
        <v>0.65</v>
      </c>
      <c r="J638">
        <v>0.65</v>
      </c>
      <c r="K638">
        <v>1</v>
      </c>
      <c r="L638" t="s">
        <v>834</v>
      </c>
      <c r="AC638" t="s">
        <v>1727</v>
      </c>
    </row>
    <row r="639" spans="2:29" x14ac:dyDescent="0.25">
      <c r="C639">
        <v>41212496</v>
      </c>
      <c r="D639" t="s">
        <v>833</v>
      </c>
      <c r="E639">
        <v>1360</v>
      </c>
      <c r="G639" t="s">
        <v>138</v>
      </c>
      <c r="H639">
        <v>164</v>
      </c>
      <c r="I639">
        <v>3.4</v>
      </c>
      <c r="J639">
        <v>13</v>
      </c>
      <c r="K639">
        <v>3.8235294117647061</v>
      </c>
      <c r="L639" t="s">
        <v>834</v>
      </c>
      <c r="AC639" t="s">
        <v>1383</v>
      </c>
    </row>
    <row r="640" spans="2:29" x14ac:dyDescent="0.25">
      <c r="C640">
        <v>41214239</v>
      </c>
      <c r="D640" t="s">
        <v>905</v>
      </c>
      <c r="E640">
        <v>20</v>
      </c>
      <c r="I640">
        <v>20.99</v>
      </c>
      <c r="J640">
        <v>3.4</v>
      </c>
      <c r="K640">
        <v>0.16198189614101954</v>
      </c>
      <c r="L640" t="s">
        <v>834</v>
      </c>
      <c r="AC640" t="s">
        <v>1452</v>
      </c>
    </row>
    <row r="641" spans="1:29" x14ac:dyDescent="0.25">
      <c r="C641">
        <v>41213816</v>
      </c>
      <c r="D641" t="s">
        <v>835</v>
      </c>
      <c r="E641">
        <v>13</v>
      </c>
      <c r="J641">
        <v>1360</v>
      </c>
      <c r="K641">
        <v>0.16198189614101954</v>
      </c>
      <c r="L641" t="s">
        <v>834</v>
      </c>
      <c r="AC641" t="s">
        <v>1384</v>
      </c>
    </row>
    <row r="642" spans="1:29" x14ac:dyDescent="0.25">
      <c r="C642">
        <v>41213696</v>
      </c>
      <c r="D642" t="s">
        <v>836</v>
      </c>
      <c r="E642">
        <v>400</v>
      </c>
      <c r="J642">
        <v>0.99</v>
      </c>
      <c r="K642">
        <v>0.16198189614101954</v>
      </c>
      <c r="L642" t="s">
        <v>834</v>
      </c>
      <c r="AC642" t="s">
        <v>1385</v>
      </c>
    </row>
    <row r="643" spans="1:29" x14ac:dyDescent="0.25">
      <c r="C643">
        <v>41215617</v>
      </c>
      <c r="D643" t="s">
        <v>838</v>
      </c>
      <c r="E643">
        <v>350</v>
      </c>
      <c r="J643">
        <v>7346.5</v>
      </c>
      <c r="K643">
        <v>0.16198189614101954</v>
      </c>
      <c r="L643" t="s">
        <v>834</v>
      </c>
      <c r="AC643" t="s">
        <v>1386</v>
      </c>
    </row>
    <row r="644" spans="1:29" x14ac:dyDescent="0.25">
      <c r="C644">
        <v>41214882</v>
      </c>
      <c r="D644" t="s">
        <v>918</v>
      </c>
      <c r="E644">
        <v>20</v>
      </c>
      <c r="AC644" t="s">
        <v>1387</v>
      </c>
    </row>
    <row r="645" spans="1:29" x14ac:dyDescent="0.25">
      <c r="C645">
        <v>41213816</v>
      </c>
      <c r="D645" t="s">
        <v>841</v>
      </c>
      <c r="E645">
        <v>13</v>
      </c>
      <c r="AC645" t="s">
        <v>1388</v>
      </c>
    </row>
    <row r="646" spans="1:29" x14ac:dyDescent="0.25">
      <c r="C646">
        <v>41213296</v>
      </c>
      <c r="D646" t="s">
        <v>842</v>
      </c>
      <c r="E646">
        <v>400</v>
      </c>
      <c r="AC646" t="s">
        <v>1389</v>
      </c>
    </row>
    <row r="647" spans="1:29" x14ac:dyDescent="0.25">
      <c r="C647">
        <v>41212496</v>
      </c>
      <c r="D647" t="s">
        <v>843</v>
      </c>
      <c r="E647">
        <v>350</v>
      </c>
      <c r="AC647" t="s">
        <v>1390</v>
      </c>
    </row>
    <row r="648" spans="1:29" x14ac:dyDescent="0.25">
      <c r="B648">
        <v>8010061705028580</v>
      </c>
      <c r="C648">
        <v>41217865</v>
      </c>
      <c r="D648" t="s">
        <v>1188</v>
      </c>
      <c r="E648">
        <v>25000</v>
      </c>
      <c r="G648" t="s">
        <v>133</v>
      </c>
      <c r="H648">
        <v>62</v>
      </c>
      <c r="I648">
        <v>0.25</v>
      </c>
      <c r="J648">
        <v>0.25</v>
      </c>
      <c r="K648">
        <v>1</v>
      </c>
      <c r="L648" t="s">
        <v>834</v>
      </c>
      <c r="AC648" t="s">
        <v>1728</v>
      </c>
    </row>
    <row r="649" spans="1:29" x14ac:dyDescent="0.25">
      <c r="C649">
        <v>41214239</v>
      </c>
      <c r="D649" t="s">
        <v>845</v>
      </c>
      <c r="E649">
        <v>25000</v>
      </c>
      <c r="J649">
        <v>6250</v>
      </c>
      <c r="K649">
        <v>1</v>
      </c>
      <c r="L649" t="s">
        <v>834</v>
      </c>
      <c r="AC649" t="s">
        <v>1392</v>
      </c>
    </row>
    <row r="650" spans="1:29" x14ac:dyDescent="0.25">
      <c r="C650">
        <v>41214882</v>
      </c>
      <c r="D650" t="s">
        <v>846</v>
      </c>
      <c r="E650">
        <v>6250</v>
      </c>
      <c r="AC650" t="s">
        <v>1393</v>
      </c>
    </row>
    <row r="651" spans="1:29" x14ac:dyDescent="0.25">
      <c r="A651" t="s">
        <v>837</v>
      </c>
      <c r="B651">
        <v>8010061705028580</v>
      </c>
      <c r="C651">
        <v>41218405</v>
      </c>
      <c r="D651" t="s">
        <v>1189</v>
      </c>
      <c r="E651">
        <v>46</v>
      </c>
      <c r="G651">
        <v>6001</v>
      </c>
      <c r="H651">
        <v>82</v>
      </c>
      <c r="I651">
        <v>3.97</v>
      </c>
      <c r="J651">
        <v>3.97</v>
      </c>
      <c r="K651">
        <v>1</v>
      </c>
      <c r="L651" t="s">
        <v>834</v>
      </c>
      <c r="AC651" t="s">
        <v>1729</v>
      </c>
    </row>
    <row r="652" spans="1:29" x14ac:dyDescent="0.25">
      <c r="C652">
        <v>41215642</v>
      </c>
      <c r="D652" t="s">
        <v>848</v>
      </c>
      <c r="E652">
        <v>46</v>
      </c>
      <c r="J652">
        <v>182.62</v>
      </c>
      <c r="K652">
        <v>1</v>
      </c>
      <c r="L652" t="s">
        <v>834</v>
      </c>
      <c r="AC652" t="s">
        <v>1395</v>
      </c>
    </row>
    <row r="653" spans="1:29" x14ac:dyDescent="0.25">
      <c r="B653">
        <v>8010061705028580</v>
      </c>
      <c r="C653">
        <v>41217334</v>
      </c>
      <c r="D653" t="s">
        <v>1190</v>
      </c>
      <c r="E653">
        <v>250</v>
      </c>
      <c r="G653" t="s">
        <v>174</v>
      </c>
      <c r="H653">
        <v>74</v>
      </c>
      <c r="I653">
        <v>0.56000000000000005</v>
      </c>
      <c r="J653">
        <v>0.56000000000000005</v>
      </c>
      <c r="K653">
        <v>1</v>
      </c>
      <c r="L653" t="s">
        <v>834</v>
      </c>
      <c r="AC653" t="s">
        <v>1730</v>
      </c>
    </row>
    <row r="654" spans="1:29" x14ac:dyDescent="0.25">
      <c r="C654">
        <v>41213816</v>
      </c>
      <c r="D654" t="s">
        <v>968</v>
      </c>
      <c r="E654">
        <v>140</v>
      </c>
      <c r="J654">
        <v>140</v>
      </c>
      <c r="K654">
        <v>1</v>
      </c>
      <c r="L654" t="s">
        <v>834</v>
      </c>
      <c r="AC654" t="s">
        <v>1513</v>
      </c>
    </row>
    <row r="655" spans="1:29" x14ac:dyDescent="0.25">
      <c r="C655">
        <v>41214239</v>
      </c>
      <c r="D655" t="s">
        <v>851</v>
      </c>
      <c r="E655">
        <v>250</v>
      </c>
      <c r="AC655" t="s">
        <v>1398</v>
      </c>
    </row>
    <row r="656" spans="1:29" x14ac:dyDescent="0.25">
      <c r="C656">
        <v>41212496</v>
      </c>
      <c r="D656" t="s">
        <v>852</v>
      </c>
      <c r="E656">
        <v>140</v>
      </c>
      <c r="AC656" t="s">
        <v>1399</v>
      </c>
    </row>
    <row r="657" spans="2:29" x14ac:dyDescent="0.25">
      <c r="B657">
        <v>8010061705028580</v>
      </c>
      <c r="C657">
        <v>41217700</v>
      </c>
      <c r="D657" t="s">
        <v>1191</v>
      </c>
      <c r="E657">
        <v>2200</v>
      </c>
      <c r="G657" t="s">
        <v>131</v>
      </c>
      <c r="H657">
        <v>55</v>
      </c>
      <c r="I657">
        <v>0.25</v>
      </c>
      <c r="J657">
        <v>0.25</v>
      </c>
      <c r="K657">
        <v>1</v>
      </c>
      <c r="L657" t="s">
        <v>834</v>
      </c>
      <c r="AC657" t="s">
        <v>1731</v>
      </c>
    </row>
    <row r="658" spans="2:29" x14ac:dyDescent="0.25">
      <c r="C658">
        <v>41215642</v>
      </c>
      <c r="D658" t="s">
        <v>854</v>
      </c>
      <c r="E658">
        <v>550</v>
      </c>
      <c r="J658">
        <v>550</v>
      </c>
      <c r="K658">
        <v>1</v>
      </c>
      <c r="L658" t="s">
        <v>834</v>
      </c>
      <c r="AC658" t="s">
        <v>1401</v>
      </c>
    </row>
    <row r="659" spans="2:29" x14ac:dyDescent="0.25">
      <c r="C659">
        <v>41213296</v>
      </c>
      <c r="D659" t="s">
        <v>977</v>
      </c>
      <c r="E659">
        <v>2200</v>
      </c>
      <c r="AC659" t="s">
        <v>1402</v>
      </c>
    </row>
    <row r="660" spans="2:29" x14ac:dyDescent="0.25">
      <c r="C660">
        <v>41213296</v>
      </c>
      <c r="D660" t="s">
        <v>856</v>
      </c>
      <c r="E660">
        <v>550</v>
      </c>
      <c r="AC660" t="s">
        <v>1403</v>
      </c>
    </row>
    <row r="661" spans="2:29" x14ac:dyDescent="0.25">
      <c r="B661">
        <v>8010061705028580</v>
      </c>
      <c r="C661">
        <v>41217793</v>
      </c>
      <c r="D661" t="s">
        <v>1192</v>
      </c>
      <c r="E661">
        <v>500</v>
      </c>
      <c r="G661" t="s">
        <v>125</v>
      </c>
      <c r="H661">
        <v>47</v>
      </c>
      <c r="I661">
        <v>0.67</v>
      </c>
      <c r="J661">
        <v>0.67</v>
      </c>
      <c r="K661">
        <v>1</v>
      </c>
      <c r="L661" t="s">
        <v>834</v>
      </c>
      <c r="AC661" t="s">
        <v>1732</v>
      </c>
    </row>
    <row r="662" spans="2:29" x14ac:dyDescent="0.25">
      <c r="C662">
        <v>41212496</v>
      </c>
      <c r="D662" t="s">
        <v>858</v>
      </c>
      <c r="E662">
        <v>500</v>
      </c>
      <c r="AC662" t="s">
        <v>1405</v>
      </c>
    </row>
    <row r="663" spans="2:29" x14ac:dyDescent="0.25">
      <c r="B663">
        <v>8010061705028580</v>
      </c>
      <c r="C663">
        <v>41217265</v>
      </c>
      <c r="D663" t="s">
        <v>1193</v>
      </c>
      <c r="E663">
        <v>15</v>
      </c>
      <c r="G663">
        <v>6200</v>
      </c>
      <c r="H663">
        <v>72</v>
      </c>
      <c r="J663">
        <v>8.82</v>
      </c>
      <c r="L663" t="s">
        <v>834</v>
      </c>
      <c r="AC663" t="s">
        <v>1733</v>
      </c>
    </row>
    <row r="664" spans="2:29" x14ac:dyDescent="0.25">
      <c r="B664">
        <v>8010061705028580</v>
      </c>
      <c r="C664">
        <v>41218656</v>
      </c>
      <c r="D664" t="s">
        <v>1194</v>
      </c>
      <c r="E664">
        <v>90</v>
      </c>
      <c r="G664">
        <v>6885</v>
      </c>
      <c r="H664">
        <v>64</v>
      </c>
      <c r="I664">
        <v>1.78</v>
      </c>
      <c r="J664">
        <v>1.78</v>
      </c>
      <c r="K664">
        <v>1</v>
      </c>
      <c r="L664" t="s">
        <v>834</v>
      </c>
      <c r="AC664" t="s">
        <v>1734</v>
      </c>
    </row>
    <row r="665" spans="2:29" x14ac:dyDescent="0.25">
      <c r="C665">
        <v>41215642</v>
      </c>
      <c r="D665" t="s">
        <v>861</v>
      </c>
      <c r="E665">
        <v>90</v>
      </c>
      <c r="AC665" t="s">
        <v>1408</v>
      </c>
    </row>
    <row r="666" spans="2:29" x14ac:dyDescent="0.25">
      <c r="B666">
        <v>8010061705028580</v>
      </c>
      <c r="C666">
        <v>41217265</v>
      </c>
      <c r="D666" t="s">
        <v>1195</v>
      </c>
      <c r="E666">
        <v>15</v>
      </c>
      <c r="G666">
        <v>6200</v>
      </c>
      <c r="H666">
        <v>53</v>
      </c>
      <c r="J666">
        <v>8.82</v>
      </c>
      <c r="L666" t="s">
        <v>834</v>
      </c>
      <c r="AC666" t="s">
        <v>1735</v>
      </c>
    </row>
    <row r="667" spans="2:29" x14ac:dyDescent="0.25">
      <c r="C667">
        <v>41215617</v>
      </c>
      <c r="D667" t="s">
        <v>863</v>
      </c>
      <c r="E667">
        <v>16</v>
      </c>
      <c r="G667">
        <v>6800</v>
      </c>
      <c r="H667">
        <v>99</v>
      </c>
      <c r="J667">
        <v>94</v>
      </c>
      <c r="L667" t="s">
        <v>834</v>
      </c>
      <c r="AC667" t="s">
        <v>1410</v>
      </c>
    </row>
    <row r="668" spans="2:29" x14ac:dyDescent="0.25">
      <c r="C668">
        <v>41215642</v>
      </c>
      <c r="D668" t="s">
        <v>984</v>
      </c>
      <c r="E668">
        <v>1504</v>
      </c>
      <c r="AC668" t="s">
        <v>1528</v>
      </c>
    </row>
    <row r="669" spans="2:29" x14ac:dyDescent="0.25">
      <c r="C669">
        <v>41212496</v>
      </c>
      <c r="D669" t="s">
        <v>864</v>
      </c>
      <c r="E669">
        <v>15</v>
      </c>
      <c r="AC669" t="s">
        <v>1411</v>
      </c>
    </row>
    <row r="670" spans="2:29" x14ac:dyDescent="0.25">
      <c r="C670">
        <v>41215642</v>
      </c>
      <c r="D670" t="s">
        <v>865</v>
      </c>
      <c r="E670">
        <v>16</v>
      </c>
      <c r="AC670" t="s">
        <v>1412</v>
      </c>
    </row>
    <row r="671" spans="2:29" x14ac:dyDescent="0.25">
      <c r="C671">
        <v>41215617</v>
      </c>
      <c r="D671" t="s">
        <v>866</v>
      </c>
      <c r="E671">
        <v>1504</v>
      </c>
      <c r="AC671" t="s">
        <v>1413</v>
      </c>
    </row>
    <row r="672" spans="2:29" x14ac:dyDescent="0.25">
      <c r="B672">
        <v>5.0000571801006097E+31</v>
      </c>
      <c r="C672">
        <v>41217265</v>
      </c>
      <c r="D672" t="s">
        <v>1196</v>
      </c>
      <c r="E672">
        <v>725</v>
      </c>
      <c r="G672" t="s">
        <v>212</v>
      </c>
      <c r="H672">
        <v>67</v>
      </c>
      <c r="I672">
        <v>1.45</v>
      </c>
      <c r="J672">
        <v>1.45</v>
      </c>
      <c r="K672">
        <v>1</v>
      </c>
      <c r="L672" t="s">
        <v>834</v>
      </c>
      <c r="AC672" t="s">
        <v>1736</v>
      </c>
    </row>
    <row r="673" spans="1:29" x14ac:dyDescent="0.25">
      <c r="A673" t="s">
        <v>837</v>
      </c>
      <c r="C673">
        <v>41215642</v>
      </c>
      <c r="D673" t="s">
        <v>868</v>
      </c>
      <c r="E673">
        <v>725</v>
      </c>
      <c r="G673" t="s">
        <v>212</v>
      </c>
      <c r="H673">
        <v>266</v>
      </c>
      <c r="J673">
        <v>725</v>
      </c>
      <c r="K673">
        <v>1</v>
      </c>
      <c r="L673" t="s">
        <v>834</v>
      </c>
      <c r="AC673" t="s">
        <v>1415</v>
      </c>
    </row>
    <row r="674" spans="1:29" x14ac:dyDescent="0.25">
      <c r="C674">
        <v>41215617</v>
      </c>
      <c r="D674" t="s">
        <v>869</v>
      </c>
      <c r="E674">
        <v>500</v>
      </c>
      <c r="AC674" t="s">
        <v>1416</v>
      </c>
    </row>
    <row r="675" spans="1:29" x14ac:dyDescent="0.25">
      <c r="C675">
        <v>41215642</v>
      </c>
      <c r="D675" t="s">
        <v>870</v>
      </c>
      <c r="E675">
        <v>500</v>
      </c>
      <c r="AC675" t="s">
        <v>1417</v>
      </c>
    </row>
    <row r="676" spans="1:29" x14ac:dyDescent="0.25">
      <c r="B676">
        <v>8010061705028580</v>
      </c>
      <c r="C676">
        <v>41217180</v>
      </c>
      <c r="D676" t="s">
        <v>1197</v>
      </c>
      <c r="E676">
        <v>3000</v>
      </c>
      <c r="G676" t="s">
        <v>133</v>
      </c>
      <c r="H676">
        <v>62</v>
      </c>
      <c r="I676">
        <v>0.25</v>
      </c>
      <c r="J676">
        <v>0.25</v>
      </c>
      <c r="K676">
        <v>1</v>
      </c>
      <c r="L676" t="s">
        <v>834</v>
      </c>
      <c r="AC676" t="s">
        <v>1737</v>
      </c>
    </row>
    <row r="677" spans="1:29" x14ac:dyDescent="0.25">
      <c r="C677">
        <v>41212496</v>
      </c>
      <c r="D677" t="s">
        <v>872</v>
      </c>
      <c r="E677">
        <v>750</v>
      </c>
      <c r="G677" t="s">
        <v>131</v>
      </c>
      <c r="H677">
        <v>128</v>
      </c>
      <c r="I677">
        <v>0.25</v>
      </c>
      <c r="J677">
        <v>750</v>
      </c>
      <c r="K677">
        <v>3000</v>
      </c>
      <c r="L677" t="s">
        <v>834</v>
      </c>
      <c r="AC677" t="s">
        <v>1419</v>
      </c>
    </row>
    <row r="678" spans="1:29" x14ac:dyDescent="0.25">
      <c r="A678" t="s">
        <v>837</v>
      </c>
      <c r="C678">
        <v>41216349</v>
      </c>
      <c r="D678" t="s">
        <v>873</v>
      </c>
      <c r="E678">
        <v>2500</v>
      </c>
      <c r="G678" t="s">
        <v>129</v>
      </c>
      <c r="H678">
        <v>186</v>
      </c>
      <c r="I678">
        <v>0.25</v>
      </c>
      <c r="J678">
        <v>0.25</v>
      </c>
      <c r="K678">
        <v>1</v>
      </c>
      <c r="L678" t="s">
        <v>834</v>
      </c>
      <c r="AC678" t="s">
        <v>1420</v>
      </c>
    </row>
    <row r="679" spans="1:29" x14ac:dyDescent="0.25">
      <c r="C679">
        <v>41215617</v>
      </c>
      <c r="D679" t="s">
        <v>874</v>
      </c>
      <c r="E679">
        <v>625</v>
      </c>
      <c r="J679">
        <v>625</v>
      </c>
      <c r="K679">
        <v>1</v>
      </c>
      <c r="L679" t="s">
        <v>834</v>
      </c>
      <c r="AC679" t="s">
        <v>1421</v>
      </c>
    </row>
    <row r="680" spans="1:29" x14ac:dyDescent="0.25">
      <c r="C680">
        <v>41212496</v>
      </c>
      <c r="D680" t="s">
        <v>875</v>
      </c>
      <c r="E680">
        <v>1000</v>
      </c>
      <c r="J680">
        <v>250</v>
      </c>
      <c r="K680">
        <v>1</v>
      </c>
      <c r="L680" t="s">
        <v>834</v>
      </c>
      <c r="AC680" t="s">
        <v>1422</v>
      </c>
    </row>
    <row r="681" spans="1:29" x14ac:dyDescent="0.25">
      <c r="C681">
        <v>41216347</v>
      </c>
      <c r="D681" t="s">
        <v>876</v>
      </c>
      <c r="E681">
        <v>250</v>
      </c>
      <c r="J681">
        <v>0.25</v>
      </c>
      <c r="K681">
        <v>1</v>
      </c>
      <c r="L681" t="s">
        <v>834</v>
      </c>
      <c r="AC681" t="s">
        <v>1423</v>
      </c>
    </row>
    <row r="682" spans="1:29" x14ac:dyDescent="0.25">
      <c r="C682">
        <v>41215617</v>
      </c>
      <c r="D682" t="s">
        <v>877</v>
      </c>
      <c r="E682">
        <v>3000</v>
      </c>
      <c r="AC682" t="s">
        <v>1424</v>
      </c>
    </row>
    <row r="683" spans="1:29" x14ac:dyDescent="0.25">
      <c r="C683">
        <v>41216349</v>
      </c>
      <c r="D683" t="s">
        <v>878</v>
      </c>
      <c r="E683">
        <v>750</v>
      </c>
      <c r="AC683" t="s">
        <v>1425</v>
      </c>
    </row>
    <row r="684" spans="1:29" x14ac:dyDescent="0.25">
      <c r="C684">
        <v>41216363</v>
      </c>
      <c r="D684" t="s">
        <v>879</v>
      </c>
      <c r="E684">
        <v>2500</v>
      </c>
      <c r="AC684" t="s">
        <v>1426</v>
      </c>
    </row>
    <row r="685" spans="1:29" x14ac:dyDescent="0.25">
      <c r="C685">
        <v>41216363</v>
      </c>
      <c r="D685" t="s">
        <v>880</v>
      </c>
      <c r="E685">
        <v>625</v>
      </c>
      <c r="AC685" t="s">
        <v>1427</v>
      </c>
    </row>
    <row r="686" spans="1:29" x14ac:dyDescent="0.25">
      <c r="B686">
        <v>8010061705028580</v>
      </c>
      <c r="C686">
        <v>41218405</v>
      </c>
      <c r="D686" t="s">
        <v>1198</v>
      </c>
      <c r="E686">
        <v>600</v>
      </c>
      <c r="G686" t="s">
        <v>170</v>
      </c>
      <c r="H686">
        <v>109</v>
      </c>
      <c r="I686">
        <v>1.28</v>
      </c>
      <c r="J686">
        <v>768</v>
      </c>
      <c r="K686">
        <v>600</v>
      </c>
      <c r="AC686" t="s">
        <v>1738</v>
      </c>
    </row>
    <row r="687" spans="1:29" x14ac:dyDescent="0.25">
      <c r="C687">
        <v>41216347</v>
      </c>
      <c r="D687" t="s">
        <v>882</v>
      </c>
      <c r="E687">
        <v>768</v>
      </c>
      <c r="G687">
        <v>6800</v>
      </c>
      <c r="H687">
        <v>132</v>
      </c>
      <c r="I687">
        <v>96</v>
      </c>
      <c r="J687">
        <v>2400</v>
      </c>
      <c r="K687">
        <v>25</v>
      </c>
      <c r="L687" t="s">
        <v>834</v>
      </c>
      <c r="AC687" t="s">
        <v>1429</v>
      </c>
    </row>
    <row r="688" spans="1:29" x14ac:dyDescent="0.25">
      <c r="C688">
        <v>41216347</v>
      </c>
      <c r="D688" t="s">
        <v>883</v>
      </c>
      <c r="E688">
        <v>25</v>
      </c>
      <c r="AC688" t="s">
        <v>1430</v>
      </c>
    </row>
    <row r="689" spans="2:29" x14ac:dyDescent="0.25">
      <c r="C689">
        <v>41216363</v>
      </c>
      <c r="D689" t="s">
        <v>1006</v>
      </c>
      <c r="E689">
        <v>2400</v>
      </c>
      <c r="AC689" t="s">
        <v>1431</v>
      </c>
    </row>
    <row r="690" spans="2:29" x14ac:dyDescent="0.25">
      <c r="C690">
        <v>41217006</v>
      </c>
      <c r="D690" t="s">
        <v>885</v>
      </c>
      <c r="E690">
        <v>600</v>
      </c>
      <c r="AC690" t="s">
        <v>1432</v>
      </c>
    </row>
    <row r="691" spans="2:29" x14ac:dyDescent="0.25">
      <c r="C691">
        <v>41216347</v>
      </c>
      <c r="D691" t="s">
        <v>1009</v>
      </c>
      <c r="E691">
        <v>768</v>
      </c>
      <c r="AC691" t="s">
        <v>1433</v>
      </c>
    </row>
    <row r="692" spans="2:29" x14ac:dyDescent="0.25">
      <c r="C692">
        <v>41216363</v>
      </c>
      <c r="D692" t="s">
        <v>887</v>
      </c>
      <c r="E692">
        <v>25</v>
      </c>
      <c r="AC692" t="s">
        <v>1434</v>
      </c>
    </row>
    <row r="693" spans="2:29" x14ac:dyDescent="0.25">
      <c r="C693">
        <v>41217006</v>
      </c>
      <c r="D693" t="s">
        <v>888</v>
      </c>
      <c r="E693">
        <v>2400</v>
      </c>
      <c r="AC693" t="s">
        <v>1435</v>
      </c>
    </row>
    <row r="694" spans="2:29" x14ac:dyDescent="0.25">
      <c r="B694">
        <v>8010061705028580</v>
      </c>
      <c r="C694">
        <v>41218145</v>
      </c>
      <c r="D694" t="s">
        <v>1199</v>
      </c>
      <c r="E694">
        <v>100</v>
      </c>
      <c r="G694">
        <v>6885</v>
      </c>
      <c r="H694">
        <v>81</v>
      </c>
      <c r="AC694" t="s">
        <v>1739</v>
      </c>
    </row>
    <row r="695" spans="2:29" x14ac:dyDescent="0.25">
      <c r="C695">
        <v>41217222</v>
      </c>
      <c r="D695" t="s">
        <v>890</v>
      </c>
      <c r="E695">
        <v>100</v>
      </c>
      <c r="AC695" t="s">
        <v>1437</v>
      </c>
    </row>
    <row r="696" spans="2:29" x14ac:dyDescent="0.25">
      <c r="B696">
        <v>8010061705028580</v>
      </c>
      <c r="C696">
        <v>41218064</v>
      </c>
      <c r="D696" t="s">
        <v>1200</v>
      </c>
      <c r="E696">
        <v>30000</v>
      </c>
      <c r="G696" t="s">
        <v>113</v>
      </c>
      <c r="H696">
        <v>79</v>
      </c>
      <c r="I696">
        <v>0.25</v>
      </c>
      <c r="J696">
        <v>0.25</v>
      </c>
      <c r="K696">
        <v>1</v>
      </c>
      <c r="L696" t="s">
        <v>834</v>
      </c>
      <c r="AC696" t="s">
        <v>1740</v>
      </c>
    </row>
    <row r="697" spans="2:29" x14ac:dyDescent="0.25">
      <c r="C697">
        <v>41217485</v>
      </c>
      <c r="D697" t="s">
        <v>892</v>
      </c>
      <c r="E697">
        <v>30000</v>
      </c>
      <c r="AC697" t="s">
        <v>1439</v>
      </c>
    </row>
    <row r="698" spans="2:29" x14ac:dyDescent="0.25">
      <c r="B698">
        <v>8010061705028580</v>
      </c>
      <c r="C698">
        <v>41217793</v>
      </c>
      <c r="D698" t="s">
        <v>1201</v>
      </c>
      <c r="E698">
        <v>500</v>
      </c>
      <c r="G698" t="s">
        <v>125</v>
      </c>
      <c r="H698">
        <v>47</v>
      </c>
      <c r="J698">
        <v>0.67</v>
      </c>
      <c r="L698" t="s">
        <v>834</v>
      </c>
      <c r="AC698" t="s">
        <v>1741</v>
      </c>
    </row>
    <row r="699" spans="2:29" x14ac:dyDescent="0.25">
      <c r="C699">
        <v>41217605</v>
      </c>
      <c r="D699" t="s">
        <v>894</v>
      </c>
      <c r="E699">
        <v>500</v>
      </c>
      <c r="AC699" t="s">
        <v>1441</v>
      </c>
    </row>
    <row r="700" spans="2:29" x14ac:dyDescent="0.25">
      <c r="B700">
        <v>8.0100617050285798E+33</v>
      </c>
      <c r="C700">
        <v>41217265</v>
      </c>
      <c r="D700" t="s">
        <v>1202</v>
      </c>
      <c r="E700">
        <v>2500</v>
      </c>
      <c r="G700">
        <v>6800</v>
      </c>
      <c r="H700">
        <v>867</v>
      </c>
      <c r="I700">
        <v>0.33</v>
      </c>
      <c r="J700">
        <v>0.33</v>
      </c>
      <c r="K700">
        <v>1</v>
      </c>
      <c r="L700" t="s">
        <v>834</v>
      </c>
      <c r="AC700" t="s">
        <v>1742</v>
      </c>
    </row>
    <row r="701" spans="2:29" x14ac:dyDescent="0.25">
      <c r="C701">
        <v>41217180</v>
      </c>
      <c r="D701" t="s">
        <v>1021</v>
      </c>
      <c r="E701">
        <v>500</v>
      </c>
      <c r="G701">
        <v>6200</v>
      </c>
      <c r="H701">
        <v>1585</v>
      </c>
      <c r="I701">
        <v>3.4</v>
      </c>
      <c r="J701">
        <v>3.4</v>
      </c>
      <c r="K701">
        <v>1</v>
      </c>
      <c r="L701" t="s">
        <v>834</v>
      </c>
      <c r="AC701" t="s">
        <v>1563</v>
      </c>
    </row>
    <row r="702" spans="2:29" x14ac:dyDescent="0.25">
      <c r="C702">
        <v>41217265</v>
      </c>
      <c r="D702" t="s">
        <v>1023</v>
      </c>
      <c r="E702">
        <v>450</v>
      </c>
      <c r="I702">
        <v>3.4</v>
      </c>
      <c r="J702">
        <v>3.4</v>
      </c>
      <c r="K702">
        <v>1</v>
      </c>
      <c r="L702" t="s">
        <v>834</v>
      </c>
      <c r="AC702" t="s">
        <v>1565</v>
      </c>
    </row>
    <row r="703" spans="2:29" x14ac:dyDescent="0.25">
      <c r="C703">
        <v>41217222</v>
      </c>
      <c r="D703" t="s">
        <v>1025</v>
      </c>
      <c r="E703">
        <v>10</v>
      </c>
      <c r="I703">
        <v>8.82</v>
      </c>
      <c r="J703">
        <v>8.82</v>
      </c>
      <c r="K703">
        <v>1</v>
      </c>
      <c r="L703" t="s">
        <v>834</v>
      </c>
      <c r="AC703" t="s">
        <v>1443</v>
      </c>
    </row>
    <row r="704" spans="2:29" x14ac:dyDescent="0.25">
      <c r="C704">
        <v>41217312</v>
      </c>
      <c r="D704" t="s">
        <v>1027</v>
      </c>
      <c r="E704">
        <v>15</v>
      </c>
      <c r="I704">
        <v>94</v>
      </c>
      <c r="J704">
        <v>94</v>
      </c>
      <c r="K704">
        <v>1</v>
      </c>
      <c r="L704" t="s">
        <v>834</v>
      </c>
      <c r="AC704" t="s">
        <v>1568</v>
      </c>
    </row>
    <row r="705" spans="2:29" x14ac:dyDescent="0.25">
      <c r="C705">
        <v>41217605</v>
      </c>
      <c r="D705" t="s">
        <v>1028</v>
      </c>
      <c r="E705">
        <v>2500</v>
      </c>
      <c r="AC705" t="s">
        <v>1569</v>
      </c>
    </row>
    <row r="706" spans="2:29" x14ac:dyDescent="0.25">
      <c r="C706">
        <v>41217180</v>
      </c>
      <c r="D706" t="s">
        <v>897</v>
      </c>
      <c r="E706">
        <v>500</v>
      </c>
      <c r="AC706" t="s">
        <v>1444</v>
      </c>
    </row>
    <row r="707" spans="2:29" x14ac:dyDescent="0.25">
      <c r="C707">
        <v>41217265</v>
      </c>
      <c r="D707" t="s">
        <v>898</v>
      </c>
      <c r="E707">
        <v>450</v>
      </c>
      <c r="AC707" t="s">
        <v>1445</v>
      </c>
    </row>
    <row r="708" spans="2:29" x14ac:dyDescent="0.25">
      <c r="C708">
        <v>41217484</v>
      </c>
      <c r="D708" t="s">
        <v>899</v>
      </c>
      <c r="E708">
        <v>10</v>
      </c>
      <c r="AC708" t="s">
        <v>1446</v>
      </c>
    </row>
    <row r="709" spans="2:29" x14ac:dyDescent="0.25">
      <c r="C709">
        <v>41217312</v>
      </c>
      <c r="D709" t="s">
        <v>900</v>
      </c>
      <c r="E709">
        <v>15</v>
      </c>
      <c r="AC709" t="s">
        <v>1447</v>
      </c>
    </row>
    <row r="710" spans="2:29" x14ac:dyDescent="0.25">
      <c r="B710">
        <v>8.0100617050285802E+30</v>
      </c>
      <c r="C710">
        <v>41217695</v>
      </c>
      <c r="D710" t="s">
        <v>1203</v>
      </c>
      <c r="E710">
        <v>10</v>
      </c>
      <c r="G710" t="s">
        <v>369</v>
      </c>
      <c r="H710">
        <v>48</v>
      </c>
      <c r="I710">
        <v>13.99</v>
      </c>
      <c r="J710">
        <v>13.99</v>
      </c>
      <c r="K710">
        <v>1</v>
      </c>
      <c r="L710" t="s">
        <v>834</v>
      </c>
      <c r="AC710" t="s">
        <v>1743</v>
      </c>
    </row>
    <row r="711" spans="2:29" x14ac:dyDescent="0.25">
      <c r="C711">
        <v>41217605</v>
      </c>
      <c r="D711" t="s">
        <v>1044</v>
      </c>
      <c r="E711">
        <v>6</v>
      </c>
      <c r="G711" t="s">
        <v>65</v>
      </c>
      <c r="H711">
        <v>93</v>
      </c>
      <c r="I711">
        <v>13.99</v>
      </c>
      <c r="J711">
        <v>139.9</v>
      </c>
      <c r="K711">
        <v>10</v>
      </c>
      <c r="L711" t="s">
        <v>834</v>
      </c>
      <c r="AC711" t="s">
        <v>1448</v>
      </c>
    </row>
    <row r="712" spans="2:29" x14ac:dyDescent="0.25">
      <c r="C712">
        <v>41217312</v>
      </c>
      <c r="D712" t="s">
        <v>902</v>
      </c>
      <c r="E712">
        <v>10</v>
      </c>
      <c r="G712" t="s">
        <v>65</v>
      </c>
      <c r="H712">
        <v>143</v>
      </c>
      <c r="I712">
        <v>13.99</v>
      </c>
      <c r="J712">
        <v>13.99</v>
      </c>
      <c r="K712">
        <v>1</v>
      </c>
      <c r="L712" t="s">
        <v>834</v>
      </c>
      <c r="AC712" t="s">
        <v>1449</v>
      </c>
    </row>
    <row r="713" spans="2:29" x14ac:dyDescent="0.25">
      <c r="C713">
        <v>41217484</v>
      </c>
      <c r="D713" t="s">
        <v>903</v>
      </c>
      <c r="E713">
        <v>3</v>
      </c>
      <c r="G713" t="s">
        <v>231</v>
      </c>
      <c r="H713">
        <v>191</v>
      </c>
      <c r="I713">
        <v>13.99</v>
      </c>
      <c r="J713">
        <v>13.99</v>
      </c>
      <c r="K713">
        <v>1</v>
      </c>
      <c r="L713" t="s">
        <v>834</v>
      </c>
      <c r="AC713" t="s">
        <v>1450</v>
      </c>
    </row>
    <row r="714" spans="2:29" x14ac:dyDescent="0.25">
      <c r="C714">
        <v>41217265</v>
      </c>
      <c r="D714" t="s">
        <v>904</v>
      </c>
      <c r="E714">
        <v>3</v>
      </c>
      <c r="G714" t="s">
        <v>63</v>
      </c>
      <c r="H714">
        <v>232</v>
      </c>
      <c r="I714">
        <v>13.99</v>
      </c>
      <c r="J714">
        <v>139.9</v>
      </c>
      <c r="K714">
        <v>10</v>
      </c>
      <c r="L714" t="s">
        <v>834</v>
      </c>
      <c r="AC714" t="s">
        <v>1451</v>
      </c>
    </row>
    <row r="715" spans="2:29" x14ac:dyDescent="0.25">
      <c r="C715" t="s">
        <v>906</v>
      </c>
      <c r="D715" t="s">
        <v>907</v>
      </c>
      <c r="E715">
        <v>10</v>
      </c>
      <c r="J715">
        <v>13.99</v>
      </c>
      <c r="K715">
        <v>10</v>
      </c>
      <c r="AC715" t="s">
        <v>1453</v>
      </c>
    </row>
    <row r="716" spans="2:29" x14ac:dyDescent="0.25">
      <c r="C716">
        <v>41217679</v>
      </c>
      <c r="D716" t="s">
        <v>908</v>
      </c>
      <c r="E716">
        <v>6</v>
      </c>
      <c r="J716">
        <v>41.97</v>
      </c>
      <c r="K716">
        <v>10</v>
      </c>
      <c r="L716" t="s">
        <v>834</v>
      </c>
      <c r="AC716" t="s">
        <v>1454</v>
      </c>
    </row>
    <row r="717" spans="2:29" x14ac:dyDescent="0.25">
      <c r="C717">
        <v>41217698</v>
      </c>
      <c r="D717" t="s">
        <v>909</v>
      </c>
      <c r="E717">
        <v>10</v>
      </c>
      <c r="J717">
        <v>13.99</v>
      </c>
      <c r="K717">
        <v>10</v>
      </c>
      <c r="AC717" t="s">
        <v>1455</v>
      </c>
    </row>
    <row r="718" spans="2:29" x14ac:dyDescent="0.25">
      <c r="C718">
        <v>41217679</v>
      </c>
      <c r="D718" t="s">
        <v>910</v>
      </c>
      <c r="E718">
        <v>3</v>
      </c>
      <c r="J718">
        <v>41.97</v>
      </c>
      <c r="K718">
        <v>10</v>
      </c>
      <c r="L718" t="s">
        <v>834</v>
      </c>
      <c r="AC718" t="s">
        <v>1456</v>
      </c>
    </row>
    <row r="719" spans="2:29" x14ac:dyDescent="0.25">
      <c r="C719">
        <v>41217840</v>
      </c>
      <c r="D719" t="s">
        <v>911</v>
      </c>
      <c r="E719">
        <v>3</v>
      </c>
      <c r="AC719" t="s">
        <v>1457</v>
      </c>
    </row>
    <row r="720" spans="2:29" x14ac:dyDescent="0.25">
      <c r="B720">
        <v>8.0100617050285802E+30</v>
      </c>
      <c r="C720">
        <v>41217695</v>
      </c>
      <c r="D720" t="s">
        <v>1203</v>
      </c>
      <c r="E720">
        <v>5</v>
      </c>
      <c r="G720" t="s">
        <v>62</v>
      </c>
      <c r="H720">
        <v>44</v>
      </c>
      <c r="I720">
        <v>13.99</v>
      </c>
      <c r="J720">
        <v>13.99</v>
      </c>
      <c r="K720">
        <v>1</v>
      </c>
      <c r="L720" t="s">
        <v>834</v>
      </c>
      <c r="AC720" t="s">
        <v>1744</v>
      </c>
    </row>
    <row r="721" spans="2:29" x14ac:dyDescent="0.25">
      <c r="C721">
        <v>41217312</v>
      </c>
      <c r="D721" t="s">
        <v>913</v>
      </c>
      <c r="E721">
        <v>5</v>
      </c>
      <c r="G721" t="s">
        <v>62</v>
      </c>
      <c r="H721">
        <v>96</v>
      </c>
      <c r="I721">
        <v>13.99</v>
      </c>
      <c r="J721">
        <v>69.95</v>
      </c>
      <c r="K721">
        <v>5</v>
      </c>
      <c r="AC721" t="s">
        <v>1459</v>
      </c>
    </row>
    <row r="722" spans="2:29" x14ac:dyDescent="0.25">
      <c r="C722">
        <v>41217485</v>
      </c>
      <c r="D722" t="s">
        <v>1082</v>
      </c>
      <c r="E722">
        <v>5</v>
      </c>
      <c r="G722" t="s">
        <v>227</v>
      </c>
      <c r="H722">
        <v>150</v>
      </c>
      <c r="I722">
        <v>13.99</v>
      </c>
      <c r="J722">
        <v>13.99</v>
      </c>
      <c r="K722">
        <v>1</v>
      </c>
      <c r="L722" t="s">
        <v>834</v>
      </c>
      <c r="AC722" t="s">
        <v>1460</v>
      </c>
    </row>
    <row r="723" spans="2:29" x14ac:dyDescent="0.25">
      <c r="C723">
        <v>41217484</v>
      </c>
      <c r="D723" t="s">
        <v>915</v>
      </c>
      <c r="E723">
        <v>10</v>
      </c>
      <c r="G723" t="s">
        <v>227</v>
      </c>
      <c r="H723">
        <v>201</v>
      </c>
      <c r="I723">
        <v>13.99</v>
      </c>
      <c r="J723">
        <v>69.95</v>
      </c>
      <c r="K723">
        <v>5</v>
      </c>
      <c r="L723" t="s">
        <v>834</v>
      </c>
      <c r="AC723" t="s">
        <v>1461</v>
      </c>
    </row>
    <row r="724" spans="2:29" x14ac:dyDescent="0.25">
      <c r="C724">
        <v>41217222</v>
      </c>
      <c r="D724" t="s">
        <v>916</v>
      </c>
      <c r="E724">
        <v>20</v>
      </c>
      <c r="G724" t="s">
        <v>64</v>
      </c>
      <c r="H724">
        <v>254</v>
      </c>
      <c r="J724">
        <v>13.99</v>
      </c>
      <c r="K724">
        <v>5</v>
      </c>
      <c r="L724" t="s">
        <v>834</v>
      </c>
      <c r="AC724" t="s">
        <v>1462</v>
      </c>
    </row>
    <row r="725" spans="2:29" x14ac:dyDescent="0.25">
      <c r="C725">
        <v>41217265</v>
      </c>
      <c r="D725" t="s">
        <v>917</v>
      </c>
      <c r="E725">
        <v>5</v>
      </c>
      <c r="J725">
        <v>69.95</v>
      </c>
      <c r="K725">
        <v>5</v>
      </c>
      <c r="AC725" t="s">
        <v>1463</v>
      </c>
    </row>
    <row r="726" spans="2:29" x14ac:dyDescent="0.25">
      <c r="C726">
        <v>41217180</v>
      </c>
      <c r="D726" t="s">
        <v>919</v>
      </c>
      <c r="E726">
        <v>5</v>
      </c>
      <c r="J726">
        <v>13.99</v>
      </c>
      <c r="K726">
        <v>5</v>
      </c>
      <c r="AC726" t="s">
        <v>1464</v>
      </c>
    </row>
    <row r="727" spans="2:29" x14ac:dyDescent="0.25">
      <c r="C727">
        <v>41217679</v>
      </c>
      <c r="D727" t="s">
        <v>920</v>
      </c>
      <c r="E727">
        <v>5</v>
      </c>
      <c r="J727">
        <v>139.9</v>
      </c>
      <c r="K727">
        <v>5</v>
      </c>
      <c r="AC727" t="s">
        <v>1465</v>
      </c>
    </row>
    <row r="728" spans="2:29" x14ac:dyDescent="0.25">
      <c r="C728">
        <v>41217882</v>
      </c>
      <c r="D728" t="s">
        <v>921</v>
      </c>
      <c r="E728">
        <v>10</v>
      </c>
      <c r="AC728" t="s">
        <v>1466</v>
      </c>
    </row>
    <row r="729" spans="2:29" x14ac:dyDescent="0.25">
      <c r="C729">
        <v>41217605</v>
      </c>
      <c r="D729" t="s">
        <v>922</v>
      </c>
      <c r="E729">
        <v>20</v>
      </c>
      <c r="AC729" t="s">
        <v>1467</v>
      </c>
    </row>
    <row r="730" spans="2:29" x14ac:dyDescent="0.25">
      <c r="B730">
        <v>8.0100611705028496E+16</v>
      </c>
      <c r="C730">
        <v>41217265</v>
      </c>
      <c r="D730" t="s">
        <v>1204</v>
      </c>
      <c r="E730">
        <v>15</v>
      </c>
      <c r="G730">
        <v>6800</v>
      </c>
      <c r="H730">
        <v>79</v>
      </c>
      <c r="J730">
        <v>94</v>
      </c>
      <c r="L730" t="s">
        <v>834</v>
      </c>
      <c r="AC730" t="s">
        <v>1745</v>
      </c>
    </row>
    <row r="731" spans="2:29" x14ac:dyDescent="0.25">
      <c r="C731">
        <v>41217700</v>
      </c>
      <c r="D731" t="s">
        <v>924</v>
      </c>
      <c r="E731">
        <v>15</v>
      </c>
      <c r="AC731" t="s">
        <v>1469</v>
      </c>
    </row>
    <row r="732" spans="2:29" x14ac:dyDescent="0.25">
      <c r="B732">
        <v>1.8010061705028499E+32</v>
      </c>
      <c r="C732">
        <v>41217223</v>
      </c>
      <c r="D732" t="s">
        <v>1205</v>
      </c>
      <c r="E732">
        <v>800</v>
      </c>
      <c r="G732" t="s">
        <v>152</v>
      </c>
      <c r="H732">
        <v>67</v>
      </c>
      <c r="J732">
        <v>2.1</v>
      </c>
      <c r="L732" t="s">
        <v>834</v>
      </c>
      <c r="AC732" t="s">
        <v>1746</v>
      </c>
    </row>
    <row r="733" spans="2:29" x14ac:dyDescent="0.25">
      <c r="C733">
        <v>41217331</v>
      </c>
      <c r="D733" t="s">
        <v>1098</v>
      </c>
      <c r="E733">
        <v>800</v>
      </c>
      <c r="G733" t="s">
        <v>152</v>
      </c>
      <c r="H733">
        <v>442</v>
      </c>
      <c r="AC733" t="s">
        <v>1471</v>
      </c>
    </row>
    <row r="734" spans="2:29" x14ac:dyDescent="0.25">
      <c r="B734">
        <v>8010061705028580</v>
      </c>
      <c r="C734">
        <v>41217865</v>
      </c>
      <c r="D734" t="s">
        <v>1206</v>
      </c>
      <c r="E734">
        <v>2000</v>
      </c>
      <c r="G734" t="s">
        <v>133</v>
      </c>
      <c r="H734">
        <v>46</v>
      </c>
      <c r="I734">
        <v>0.25</v>
      </c>
      <c r="J734">
        <v>0.25</v>
      </c>
      <c r="K734">
        <v>1</v>
      </c>
      <c r="L734" t="s">
        <v>834</v>
      </c>
      <c r="AC734" t="s">
        <v>1747</v>
      </c>
    </row>
    <row r="735" spans="2:29" x14ac:dyDescent="0.25">
      <c r="C735">
        <v>41217312</v>
      </c>
      <c r="D735" t="s">
        <v>928</v>
      </c>
      <c r="E735">
        <v>2000</v>
      </c>
      <c r="AC735" t="s">
        <v>1473</v>
      </c>
    </row>
    <row r="736" spans="2:29" x14ac:dyDescent="0.25">
      <c r="B736">
        <v>8010061705028580</v>
      </c>
      <c r="C736">
        <v>41217334</v>
      </c>
      <c r="D736" t="s">
        <v>1207</v>
      </c>
      <c r="E736">
        <v>240</v>
      </c>
      <c r="G736" t="s">
        <v>174</v>
      </c>
      <c r="H736">
        <v>40</v>
      </c>
      <c r="I736">
        <v>0.56000000000000005</v>
      </c>
      <c r="J736">
        <v>134.4</v>
      </c>
      <c r="K736">
        <v>240</v>
      </c>
      <c r="AC736" t="s">
        <v>1748</v>
      </c>
    </row>
    <row r="737" spans="1:29" x14ac:dyDescent="0.25">
      <c r="C737">
        <v>41217265</v>
      </c>
      <c r="D737" t="s">
        <v>930</v>
      </c>
      <c r="E737">
        <v>240</v>
      </c>
      <c r="AC737" t="s">
        <v>1475</v>
      </c>
    </row>
    <row r="738" spans="1:29" x14ac:dyDescent="0.25">
      <c r="A738" t="s">
        <v>680</v>
      </c>
      <c r="B738">
        <v>8010061705028580</v>
      </c>
      <c r="C738">
        <v>41217702</v>
      </c>
      <c r="D738" t="s">
        <v>1208</v>
      </c>
      <c r="E738">
        <v>176</v>
      </c>
      <c r="J738">
        <v>1.3</v>
      </c>
      <c r="L738" t="s">
        <v>834</v>
      </c>
      <c r="AC738" t="s">
        <v>1749</v>
      </c>
    </row>
    <row r="739" spans="1:29" x14ac:dyDescent="0.25">
      <c r="C739">
        <v>41217882</v>
      </c>
      <c r="D739" t="s">
        <v>932</v>
      </c>
      <c r="E739">
        <v>176</v>
      </c>
      <c r="AC739" t="s">
        <v>1477</v>
      </c>
    </row>
    <row r="740" spans="1:29" x14ac:dyDescent="0.25">
      <c r="B740">
        <v>8010061705028580</v>
      </c>
      <c r="C740">
        <v>41217336</v>
      </c>
      <c r="D740" t="s">
        <v>1209</v>
      </c>
      <c r="E740">
        <v>1200</v>
      </c>
      <c r="G740" t="s">
        <v>190</v>
      </c>
      <c r="H740">
        <v>82</v>
      </c>
      <c r="I740">
        <v>0.15</v>
      </c>
      <c r="J740">
        <v>0.15</v>
      </c>
      <c r="K740">
        <v>1</v>
      </c>
      <c r="L740" t="s">
        <v>834</v>
      </c>
      <c r="AC740" t="s">
        <v>1750</v>
      </c>
    </row>
    <row r="741" spans="1:29" x14ac:dyDescent="0.25">
      <c r="C741">
        <v>41217180</v>
      </c>
      <c r="D741" t="s">
        <v>934</v>
      </c>
      <c r="E741">
        <v>1200</v>
      </c>
      <c r="AC741" t="s">
        <v>1479</v>
      </c>
    </row>
    <row r="742" spans="1:29" x14ac:dyDescent="0.25">
      <c r="B742">
        <v>7.0001010100047996E+27</v>
      </c>
      <c r="C742" t="s">
        <v>1057</v>
      </c>
      <c r="D742" t="s">
        <v>1210</v>
      </c>
      <c r="E742">
        <v>2000</v>
      </c>
      <c r="G742" t="s">
        <v>152</v>
      </c>
      <c r="H742">
        <v>72</v>
      </c>
      <c r="I742">
        <v>2.1</v>
      </c>
      <c r="J742">
        <v>4200</v>
      </c>
      <c r="K742">
        <v>2000</v>
      </c>
      <c r="AC742" t="s">
        <v>1751</v>
      </c>
    </row>
    <row r="743" spans="1:29" x14ac:dyDescent="0.25">
      <c r="A743" t="s">
        <v>837</v>
      </c>
      <c r="C743">
        <v>41217871</v>
      </c>
      <c r="D743" t="s">
        <v>936</v>
      </c>
      <c r="E743">
        <v>4200</v>
      </c>
      <c r="G743" t="s">
        <v>152</v>
      </c>
      <c r="H743">
        <v>420</v>
      </c>
      <c r="AC743" t="s">
        <v>1481</v>
      </c>
    </row>
    <row r="744" spans="1:29" x14ac:dyDescent="0.25">
      <c r="C744">
        <v>41217679</v>
      </c>
      <c r="D744" t="s">
        <v>937</v>
      </c>
      <c r="E744">
        <v>2000</v>
      </c>
      <c r="AC744" t="s">
        <v>1482</v>
      </c>
    </row>
    <row r="745" spans="1:29" x14ac:dyDescent="0.25">
      <c r="C745">
        <v>41217336</v>
      </c>
      <c r="D745" t="s">
        <v>1112</v>
      </c>
      <c r="E745">
        <v>4200</v>
      </c>
      <c r="AC745" t="s">
        <v>1653</v>
      </c>
    </row>
    <row r="746" spans="1:29" x14ac:dyDescent="0.25">
      <c r="B746">
        <v>8.0100611705028496E+16</v>
      </c>
      <c r="C746">
        <v>41218405</v>
      </c>
      <c r="D746" t="s">
        <v>1211</v>
      </c>
      <c r="E746">
        <v>450</v>
      </c>
      <c r="G746" t="s">
        <v>161</v>
      </c>
      <c r="H746">
        <v>103</v>
      </c>
      <c r="I746">
        <v>0.51</v>
      </c>
      <c r="J746">
        <v>0.51</v>
      </c>
      <c r="K746">
        <v>1</v>
      </c>
      <c r="L746" t="s">
        <v>834</v>
      </c>
      <c r="AC746" t="s">
        <v>1752</v>
      </c>
    </row>
    <row r="747" spans="1:29" x14ac:dyDescent="0.25">
      <c r="C747">
        <v>41217314</v>
      </c>
      <c r="D747" t="s">
        <v>939</v>
      </c>
      <c r="E747">
        <v>250</v>
      </c>
      <c r="I747">
        <v>18</v>
      </c>
      <c r="J747">
        <v>229.5</v>
      </c>
      <c r="K747">
        <v>12.75</v>
      </c>
      <c r="L747" t="s">
        <v>834</v>
      </c>
      <c r="AC747" t="s">
        <v>1484</v>
      </c>
    </row>
    <row r="748" spans="1:29" x14ac:dyDescent="0.25">
      <c r="C748">
        <v>41217222</v>
      </c>
      <c r="D748" t="s">
        <v>940</v>
      </c>
      <c r="E748">
        <v>450</v>
      </c>
      <c r="J748">
        <v>18</v>
      </c>
      <c r="K748">
        <v>12.75</v>
      </c>
      <c r="L748" t="s">
        <v>834</v>
      </c>
      <c r="AC748" t="s">
        <v>1485</v>
      </c>
    </row>
    <row r="749" spans="1:29" x14ac:dyDescent="0.25">
      <c r="C749">
        <v>41217605</v>
      </c>
      <c r="D749" t="s">
        <v>941</v>
      </c>
      <c r="E749">
        <v>250</v>
      </c>
      <c r="J749">
        <v>4500</v>
      </c>
      <c r="K749">
        <v>12.75</v>
      </c>
      <c r="L749" t="s">
        <v>834</v>
      </c>
      <c r="AC749" t="s">
        <v>1486</v>
      </c>
    </row>
    <row r="750" spans="1:29" x14ac:dyDescent="0.25">
      <c r="C750">
        <v>41217312</v>
      </c>
      <c r="D750" t="s">
        <v>942</v>
      </c>
      <c r="E750">
        <v>4500</v>
      </c>
      <c r="AC750" t="s">
        <v>1487</v>
      </c>
    </row>
    <row r="751" spans="1:29" x14ac:dyDescent="0.25">
      <c r="B751">
        <v>4.8010061705028496E+16</v>
      </c>
      <c r="C751">
        <v>41218860</v>
      </c>
      <c r="D751" t="s">
        <v>1212</v>
      </c>
      <c r="E751">
        <v>768</v>
      </c>
      <c r="G751" t="s">
        <v>113</v>
      </c>
      <c r="H751">
        <v>62</v>
      </c>
      <c r="I751">
        <v>0.25</v>
      </c>
      <c r="J751">
        <v>0.25</v>
      </c>
      <c r="K751">
        <v>1</v>
      </c>
      <c r="L751" t="s">
        <v>834</v>
      </c>
      <c r="AC751" t="s">
        <v>1753</v>
      </c>
    </row>
    <row r="752" spans="1:29" x14ac:dyDescent="0.25">
      <c r="C752">
        <v>41217700</v>
      </c>
      <c r="D752" t="s">
        <v>944</v>
      </c>
      <c r="E752">
        <v>30000</v>
      </c>
      <c r="G752" t="s">
        <v>193</v>
      </c>
      <c r="H752">
        <v>195</v>
      </c>
      <c r="I752">
        <v>0.67</v>
      </c>
      <c r="J752">
        <v>7500</v>
      </c>
      <c r="K752">
        <v>11194.029850746268</v>
      </c>
      <c r="L752" t="s">
        <v>834</v>
      </c>
      <c r="AC752" t="s">
        <v>1489</v>
      </c>
    </row>
    <row r="753" spans="2:29" x14ac:dyDescent="0.25">
      <c r="C753">
        <v>41217265</v>
      </c>
      <c r="D753" t="s">
        <v>945</v>
      </c>
      <c r="E753">
        <v>150</v>
      </c>
      <c r="G753" t="s">
        <v>170</v>
      </c>
      <c r="H753">
        <v>231</v>
      </c>
      <c r="I753">
        <v>0.87</v>
      </c>
      <c r="J753">
        <v>0.67</v>
      </c>
      <c r="K753">
        <v>0.77011494252873569</v>
      </c>
      <c r="L753" t="s">
        <v>834</v>
      </c>
      <c r="AC753" t="s">
        <v>1490</v>
      </c>
    </row>
    <row r="754" spans="2:29" x14ac:dyDescent="0.25">
      <c r="C754">
        <v>41217882</v>
      </c>
      <c r="D754" t="s">
        <v>946</v>
      </c>
      <c r="E754">
        <v>5</v>
      </c>
      <c r="G754">
        <v>6885</v>
      </c>
      <c r="H754">
        <v>254</v>
      </c>
      <c r="I754">
        <v>1.28</v>
      </c>
      <c r="J754">
        <v>100.5</v>
      </c>
      <c r="K754">
        <v>78.515625</v>
      </c>
      <c r="L754" t="s">
        <v>834</v>
      </c>
      <c r="AC754" t="s">
        <v>1491</v>
      </c>
    </row>
    <row r="755" spans="2:29" x14ac:dyDescent="0.25">
      <c r="C755">
        <v>41217700</v>
      </c>
      <c r="D755" t="s">
        <v>947</v>
      </c>
      <c r="E755">
        <v>600</v>
      </c>
      <c r="G755" t="s">
        <v>138</v>
      </c>
      <c r="H755">
        <v>276</v>
      </c>
      <c r="I755">
        <v>1.78</v>
      </c>
      <c r="J755">
        <v>0.87</v>
      </c>
      <c r="K755">
        <v>0.4887640449438202</v>
      </c>
      <c r="L755" t="s">
        <v>834</v>
      </c>
      <c r="AC755" t="s">
        <v>1492</v>
      </c>
    </row>
    <row r="756" spans="2:29" x14ac:dyDescent="0.25">
      <c r="C756">
        <v>41217679</v>
      </c>
      <c r="D756" t="s">
        <v>948</v>
      </c>
      <c r="E756">
        <v>60</v>
      </c>
      <c r="G756" t="s">
        <v>125</v>
      </c>
      <c r="H756">
        <v>309</v>
      </c>
      <c r="I756">
        <v>3.4</v>
      </c>
      <c r="J756">
        <v>1.28</v>
      </c>
      <c r="K756">
        <v>0.37647058823529411</v>
      </c>
      <c r="L756" t="s">
        <v>834</v>
      </c>
      <c r="AC756" t="s">
        <v>1493</v>
      </c>
    </row>
    <row r="757" spans="2:29" x14ac:dyDescent="0.25">
      <c r="C757">
        <v>41217312</v>
      </c>
      <c r="D757" t="s">
        <v>949</v>
      </c>
      <c r="E757">
        <v>300</v>
      </c>
      <c r="J757">
        <v>768</v>
      </c>
      <c r="K757">
        <v>0.37647058823529411</v>
      </c>
      <c r="L757" t="s">
        <v>834</v>
      </c>
      <c r="AC757" t="s">
        <v>1494</v>
      </c>
    </row>
    <row r="758" spans="2:29" x14ac:dyDescent="0.25">
      <c r="C758">
        <v>41217698</v>
      </c>
      <c r="D758" t="s">
        <v>950</v>
      </c>
      <c r="E758">
        <v>30000</v>
      </c>
      <c r="J758">
        <v>1.78</v>
      </c>
      <c r="K758">
        <v>0.37647058823529411</v>
      </c>
      <c r="L758" t="s">
        <v>834</v>
      </c>
      <c r="AC758" t="s">
        <v>1495</v>
      </c>
    </row>
    <row r="759" spans="2:29" x14ac:dyDescent="0.25">
      <c r="C759">
        <v>41217331</v>
      </c>
      <c r="D759" t="s">
        <v>951</v>
      </c>
      <c r="E759">
        <v>150</v>
      </c>
      <c r="AC759" t="s">
        <v>1496</v>
      </c>
    </row>
    <row r="760" spans="2:29" x14ac:dyDescent="0.25">
      <c r="C760">
        <v>41217317</v>
      </c>
      <c r="D760" t="s">
        <v>952</v>
      </c>
      <c r="E760">
        <v>5</v>
      </c>
      <c r="AC760" t="s">
        <v>1497</v>
      </c>
    </row>
    <row r="761" spans="2:29" x14ac:dyDescent="0.25">
      <c r="B761">
        <v>8010061705028580</v>
      </c>
      <c r="C761">
        <v>41217317</v>
      </c>
      <c r="D761" t="s">
        <v>1213</v>
      </c>
      <c r="E761">
        <v>12</v>
      </c>
      <c r="G761" t="s">
        <v>370</v>
      </c>
      <c r="H761">
        <v>44</v>
      </c>
      <c r="I761">
        <v>13.99</v>
      </c>
      <c r="J761">
        <v>3.99</v>
      </c>
      <c r="K761">
        <v>0.28520371694067193</v>
      </c>
      <c r="L761" t="s">
        <v>834</v>
      </c>
      <c r="AC761" t="s">
        <v>1754</v>
      </c>
    </row>
    <row r="762" spans="2:29" x14ac:dyDescent="0.25">
      <c r="C762">
        <v>41217265</v>
      </c>
      <c r="D762" t="s">
        <v>1123</v>
      </c>
      <c r="E762">
        <v>25</v>
      </c>
      <c r="G762" t="s">
        <v>64</v>
      </c>
      <c r="H762">
        <v>99</v>
      </c>
      <c r="I762">
        <v>13.99</v>
      </c>
      <c r="J762">
        <v>167.88</v>
      </c>
      <c r="K762">
        <v>12</v>
      </c>
      <c r="L762" t="s">
        <v>834</v>
      </c>
      <c r="AC762" t="s">
        <v>1664</v>
      </c>
    </row>
    <row r="763" spans="2:29" x14ac:dyDescent="0.25">
      <c r="C763">
        <v>41217679</v>
      </c>
      <c r="D763" t="s">
        <v>953</v>
      </c>
      <c r="E763">
        <v>25</v>
      </c>
      <c r="G763" t="s">
        <v>408</v>
      </c>
      <c r="H763">
        <v>153</v>
      </c>
      <c r="I763">
        <v>13.99</v>
      </c>
      <c r="J763">
        <v>3.99</v>
      </c>
      <c r="K763">
        <v>0.28520371694067193</v>
      </c>
      <c r="L763" t="s">
        <v>834</v>
      </c>
      <c r="AC763" t="s">
        <v>1498</v>
      </c>
    </row>
    <row r="764" spans="2:29" x14ac:dyDescent="0.25">
      <c r="C764">
        <v>41217222</v>
      </c>
      <c r="D764" t="s">
        <v>954</v>
      </c>
      <c r="E764">
        <v>25</v>
      </c>
      <c r="G764" t="s">
        <v>228</v>
      </c>
      <c r="H764">
        <v>208</v>
      </c>
      <c r="I764">
        <v>13.99</v>
      </c>
      <c r="J764">
        <v>349.75</v>
      </c>
      <c r="K764">
        <v>25</v>
      </c>
      <c r="AC764" t="s">
        <v>1499</v>
      </c>
    </row>
    <row r="765" spans="2:29" x14ac:dyDescent="0.25">
      <c r="C765">
        <v>41217698</v>
      </c>
      <c r="D765" t="s">
        <v>955</v>
      </c>
      <c r="E765">
        <v>12</v>
      </c>
      <c r="G765" t="s">
        <v>370</v>
      </c>
      <c r="H765">
        <v>267</v>
      </c>
      <c r="I765">
        <v>13.99</v>
      </c>
      <c r="J765">
        <v>3.99</v>
      </c>
      <c r="K765">
        <v>0.28520371694067193</v>
      </c>
      <c r="L765" t="s">
        <v>834</v>
      </c>
      <c r="AC765" t="s">
        <v>1500</v>
      </c>
    </row>
    <row r="766" spans="2:29" x14ac:dyDescent="0.25">
      <c r="C766">
        <v>41217699</v>
      </c>
      <c r="D766" t="s">
        <v>956</v>
      </c>
      <c r="E766">
        <v>12</v>
      </c>
      <c r="J766">
        <v>349.75</v>
      </c>
      <c r="K766">
        <v>0.28520371694067193</v>
      </c>
      <c r="L766" t="s">
        <v>834</v>
      </c>
      <c r="AC766" t="s">
        <v>1501</v>
      </c>
    </row>
    <row r="767" spans="2:29" x14ac:dyDescent="0.25">
      <c r="C767">
        <v>41217605</v>
      </c>
      <c r="D767" t="s">
        <v>957</v>
      </c>
      <c r="E767">
        <v>25</v>
      </c>
      <c r="J767">
        <v>3.99</v>
      </c>
      <c r="K767">
        <v>0.28520371694067193</v>
      </c>
      <c r="L767" t="s">
        <v>834</v>
      </c>
      <c r="AC767" t="s">
        <v>1502</v>
      </c>
    </row>
    <row r="768" spans="2:29" x14ac:dyDescent="0.25">
      <c r="C768">
        <v>41217331</v>
      </c>
      <c r="D768" t="s">
        <v>958</v>
      </c>
      <c r="E768">
        <v>25</v>
      </c>
      <c r="J768">
        <v>349.75</v>
      </c>
      <c r="K768">
        <v>0.28520371694067193</v>
      </c>
      <c r="L768" t="s">
        <v>834</v>
      </c>
      <c r="AC768" t="s">
        <v>1503</v>
      </c>
    </row>
    <row r="769" spans="1:29" x14ac:dyDescent="0.25">
      <c r="C769">
        <v>41217312</v>
      </c>
      <c r="D769" t="s">
        <v>959</v>
      </c>
      <c r="E769">
        <v>25</v>
      </c>
      <c r="J769">
        <v>3.99</v>
      </c>
      <c r="K769">
        <v>0.28520371694067193</v>
      </c>
      <c r="L769" t="s">
        <v>834</v>
      </c>
      <c r="AC769" t="s">
        <v>1504</v>
      </c>
    </row>
    <row r="770" spans="1:29" x14ac:dyDescent="0.25">
      <c r="C770">
        <v>41217918</v>
      </c>
      <c r="D770" t="s">
        <v>960</v>
      </c>
      <c r="E770">
        <v>12</v>
      </c>
      <c r="AC770" t="s">
        <v>1505</v>
      </c>
    </row>
    <row r="771" spans="1:29" x14ac:dyDescent="0.25">
      <c r="A771" t="s">
        <v>837</v>
      </c>
      <c r="B771">
        <v>1.00000050523944E+31</v>
      </c>
      <c r="C771">
        <v>41218897</v>
      </c>
      <c r="D771" t="s">
        <v>1214</v>
      </c>
      <c r="E771">
        <v>360</v>
      </c>
      <c r="G771" t="s">
        <v>150</v>
      </c>
      <c r="H771">
        <v>79</v>
      </c>
      <c r="J771">
        <v>1.7</v>
      </c>
      <c r="L771" t="s">
        <v>834</v>
      </c>
      <c r="AC771" t="s">
        <v>1755</v>
      </c>
    </row>
    <row r="772" spans="1:29" x14ac:dyDescent="0.25">
      <c r="C772">
        <v>41217871</v>
      </c>
      <c r="D772" t="s">
        <v>962</v>
      </c>
      <c r="E772">
        <v>360</v>
      </c>
      <c r="AC772" t="s">
        <v>1507</v>
      </c>
    </row>
    <row r="773" spans="1:29" x14ac:dyDescent="0.25">
      <c r="A773" t="s">
        <v>837</v>
      </c>
      <c r="B773">
        <v>1705028586801000</v>
      </c>
      <c r="C773">
        <v>41218301</v>
      </c>
      <c r="D773" t="s">
        <v>1215</v>
      </c>
      <c r="E773">
        <v>360</v>
      </c>
      <c r="G773" t="s">
        <v>174</v>
      </c>
      <c r="H773">
        <v>85</v>
      </c>
      <c r="J773">
        <v>0.56000000000000005</v>
      </c>
      <c r="L773" t="s">
        <v>834</v>
      </c>
      <c r="AC773" t="s">
        <v>1756</v>
      </c>
    </row>
    <row r="774" spans="1:29" x14ac:dyDescent="0.25">
      <c r="C774">
        <v>41217700</v>
      </c>
      <c r="D774" t="s">
        <v>964</v>
      </c>
      <c r="E774">
        <v>360</v>
      </c>
      <c r="AC774" t="s">
        <v>1509</v>
      </c>
    </row>
    <row r="775" spans="1:29" x14ac:dyDescent="0.25">
      <c r="B775">
        <v>1.00000050523948E+29</v>
      </c>
      <c r="C775">
        <v>41217265</v>
      </c>
      <c r="D775" t="s">
        <v>1216</v>
      </c>
      <c r="E775">
        <v>240</v>
      </c>
      <c r="G775" t="s">
        <v>149</v>
      </c>
      <c r="H775">
        <v>96</v>
      </c>
      <c r="J775">
        <v>1.7</v>
      </c>
      <c r="L775" t="s">
        <v>834</v>
      </c>
      <c r="AC775" t="s">
        <v>1757</v>
      </c>
    </row>
    <row r="776" spans="1:29" x14ac:dyDescent="0.25">
      <c r="A776" t="s">
        <v>837</v>
      </c>
      <c r="C776">
        <v>41217484</v>
      </c>
      <c r="D776" t="s">
        <v>966</v>
      </c>
      <c r="E776">
        <v>24</v>
      </c>
      <c r="G776" t="s">
        <v>151</v>
      </c>
      <c r="H776">
        <v>155</v>
      </c>
      <c r="J776">
        <v>1.7</v>
      </c>
      <c r="L776" t="s">
        <v>834</v>
      </c>
      <c r="AC776" t="s">
        <v>1511</v>
      </c>
    </row>
    <row r="777" spans="1:29" x14ac:dyDescent="0.25">
      <c r="C777">
        <v>41217331</v>
      </c>
      <c r="D777" t="s">
        <v>967</v>
      </c>
      <c r="E777">
        <v>240</v>
      </c>
      <c r="AC777" t="s">
        <v>1512</v>
      </c>
    </row>
    <row r="778" spans="1:29" x14ac:dyDescent="0.25">
      <c r="C778">
        <v>41217697</v>
      </c>
      <c r="D778" t="s">
        <v>969</v>
      </c>
      <c r="E778">
        <v>24</v>
      </c>
      <c r="AC778" t="s">
        <v>1514</v>
      </c>
    </row>
    <row r="779" spans="1:29" x14ac:dyDescent="0.25">
      <c r="B779">
        <v>8010061705028580</v>
      </c>
      <c r="C779">
        <v>41217314</v>
      </c>
      <c r="D779" t="s">
        <v>1217</v>
      </c>
      <c r="E779">
        <v>900</v>
      </c>
      <c r="G779" t="s">
        <v>150</v>
      </c>
      <c r="H779">
        <v>53</v>
      </c>
      <c r="J779">
        <v>1.7</v>
      </c>
      <c r="L779" t="s">
        <v>834</v>
      </c>
      <c r="AC779" t="s">
        <v>1758</v>
      </c>
    </row>
    <row r="780" spans="1:29" x14ac:dyDescent="0.25">
      <c r="C780">
        <v>41217679</v>
      </c>
      <c r="D780" t="s">
        <v>971</v>
      </c>
      <c r="E780">
        <v>900</v>
      </c>
      <c r="AC780" t="s">
        <v>1516</v>
      </c>
    </row>
    <row r="781" spans="1:29" x14ac:dyDescent="0.25">
      <c r="B781">
        <v>8010061705028580</v>
      </c>
      <c r="C781">
        <v>41218896</v>
      </c>
      <c r="D781" t="s">
        <v>1218</v>
      </c>
      <c r="E781">
        <v>2300</v>
      </c>
      <c r="G781" t="s">
        <v>131</v>
      </c>
      <c r="H781">
        <v>64</v>
      </c>
      <c r="J781">
        <v>0.25</v>
      </c>
      <c r="L781" t="s">
        <v>834</v>
      </c>
      <c r="AC781" t="s">
        <v>1759</v>
      </c>
    </row>
    <row r="782" spans="1:29" x14ac:dyDescent="0.25">
      <c r="C782">
        <v>41217312</v>
      </c>
      <c r="D782" t="s">
        <v>973</v>
      </c>
      <c r="E782">
        <v>12</v>
      </c>
      <c r="G782">
        <v>6200</v>
      </c>
      <c r="H782">
        <v>157</v>
      </c>
      <c r="J782">
        <v>8.82</v>
      </c>
      <c r="L782" t="s">
        <v>834</v>
      </c>
      <c r="AC782" t="s">
        <v>1518</v>
      </c>
    </row>
    <row r="783" spans="1:29" x14ac:dyDescent="0.25">
      <c r="C783">
        <v>41217336</v>
      </c>
      <c r="D783" t="s">
        <v>974</v>
      </c>
      <c r="E783">
        <v>300</v>
      </c>
      <c r="G783" t="s">
        <v>163</v>
      </c>
      <c r="H783">
        <v>180</v>
      </c>
      <c r="J783">
        <v>20.99</v>
      </c>
      <c r="L783" t="s">
        <v>834</v>
      </c>
      <c r="AC783" t="s">
        <v>1519</v>
      </c>
    </row>
    <row r="784" spans="1:29" x14ac:dyDescent="0.25">
      <c r="C784">
        <v>41217006</v>
      </c>
      <c r="D784" t="s">
        <v>975</v>
      </c>
      <c r="E784">
        <v>2300</v>
      </c>
      <c r="AC784" t="s">
        <v>1520</v>
      </c>
    </row>
    <row r="785" spans="1:29" x14ac:dyDescent="0.25">
      <c r="C785">
        <v>41217334</v>
      </c>
      <c r="D785" t="s">
        <v>976</v>
      </c>
      <c r="E785">
        <v>12</v>
      </c>
      <c r="AC785" t="s">
        <v>1521</v>
      </c>
    </row>
    <row r="786" spans="1:29" x14ac:dyDescent="0.25">
      <c r="C786">
        <v>41217698</v>
      </c>
      <c r="D786" t="s">
        <v>978</v>
      </c>
      <c r="E786">
        <v>300</v>
      </c>
      <c r="AC786" t="s">
        <v>1522</v>
      </c>
    </row>
    <row r="787" spans="1:29" x14ac:dyDescent="0.25">
      <c r="B787">
        <v>8010061705028580</v>
      </c>
      <c r="C787">
        <v>41218860</v>
      </c>
      <c r="D787" t="s">
        <v>1219</v>
      </c>
      <c r="E787">
        <v>300</v>
      </c>
      <c r="G787" t="s">
        <v>138</v>
      </c>
      <c r="H787">
        <v>82</v>
      </c>
      <c r="J787">
        <v>3.4</v>
      </c>
      <c r="L787" t="s">
        <v>834</v>
      </c>
      <c r="AC787" t="s">
        <v>1760</v>
      </c>
    </row>
    <row r="788" spans="1:29" x14ac:dyDescent="0.25">
      <c r="C788">
        <v>41217700</v>
      </c>
      <c r="D788" t="s">
        <v>980</v>
      </c>
      <c r="E788">
        <v>300</v>
      </c>
      <c r="AC788" t="s">
        <v>1524</v>
      </c>
    </row>
    <row r="789" spans="1:29" x14ac:dyDescent="0.25">
      <c r="B789">
        <v>8010061705028580</v>
      </c>
      <c r="C789">
        <v>41218898</v>
      </c>
      <c r="D789" t="s">
        <v>1220</v>
      </c>
      <c r="E789">
        <v>71200</v>
      </c>
      <c r="G789" t="s">
        <v>129</v>
      </c>
      <c r="H789">
        <v>133</v>
      </c>
      <c r="J789">
        <v>0.25</v>
      </c>
      <c r="L789" t="s">
        <v>834</v>
      </c>
      <c r="AC789" t="s">
        <v>1761</v>
      </c>
    </row>
    <row r="790" spans="1:29" x14ac:dyDescent="0.25">
      <c r="C790">
        <v>41217697</v>
      </c>
      <c r="D790" t="s">
        <v>982</v>
      </c>
      <c r="E790">
        <v>1200</v>
      </c>
      <c r="J790">
        <v>0.25</v>
      </c>
      <c r="L790" t="s">
        <v>834</v>
      </c>
      <c r="AC790" t="s">
        <v>1526</v>
      </c>
    </row>
    <row r="791" spans="1:29" x14ac:dyDescent="0.25">
      <c r="C791">
        <v>41217938</v>
      </c>
      <c r="D791" t="s">
        <v>983</v>
      </c>
      <c r="E791">
        <v>71200</v>
      </c>
      <c r="AC791" t="s">
        <v>1527</v>
      </c>
    </row>
    <row r="792" spans="1:29" x14ac:dyDescent="0.25">
      <c r="C792">
        <v>41217265</v>
      </c>
      <c r="D792" t="s">
        <v>985</v>
      </c>
      <c r="E792">
        <v>1200</v>
      </c>
      <c r="AC792" t="s">
        <v>1529</v>
      </c>
    </row>
    <row r="793" spans="1:29" x14ac:dyDescent="0.25">
      <c r="A793" t="s">
        <v>837</v>
      </c>
      <c r="B793">
        <v>8.0124870001010104E+18</v>
      </c>
      <c r="C793" t="s">
        <v>1057</v>
      </c>
      <c r="D793" t="s">
        <v>1221</v>
      </c>
      <c r="E793">
        <v>2000</v>
      </c>
      <c r="G793" t="s">
        <v>152</v>
      </c>
      <c r="H793">
        <v>71</v>
      </c>
      <c r="I793">
        <v>2.1</v>
      </c>
      <c r="J793">
        <v>2.1</v>
      </c>
      <c r="K793">
        <v>1</v>
      </c>
      <c r="L793" t="s">
        <v>834</v>
      </c>
      <c r="AC793" t="s">
        <v>1762</v>
      </c>
    </row>
    <row r="794" spans="1:29" x14ac:dyDescent="0.25">
      <c r="C794">
        <v>41217871</v>
      </c>
      <c r="D794" t="s">
        <v>987</v>
      </c>
      <c r="E794">
        <v>2000</v>
      </c>
      <c r="AC794" t="s">
        <v>1531</v>
      </c>
    </row>
    <row r="795" spans="1:29" x14ac:dyDescent="0.25">
      <c r="A795" t="s">
        <v>837</v>
      </c>
      <c r="B795">
        <v>8010061705028580</v>
      </c>
      <c r="C795">
        <v>41217697</v>
      </c>
      <c r="D795" t="s">
        <v>1222</v>
      </c>
      <c r="E795">
        <v>440</v>
      </c>
      <c r="G795">
        <v>6001</v>
      </c>
      <c r="H795">
        <v>67</v>
      </c>
      <c r="J795">
        <v>3.97</v>
      </c>
      <c r="L795" t="s">
        <v>834</v>
      </c>
      <c r="AC795" t="s">
        <v>1763</v>
      </c>
    </row>
    <row r="796" spans="1:29" x14ac:dyDescent="0.25">
      <c r="C796">
        <v>41217331</v>
      </c>
      <c r="D796" t="s">
        <v>989</v>
      </c>
      <c r="E796">
        <v>440</v>
      </c>
      <c r="AC796" t="s">
        <v>1533</v>
      </c>
    </row>
    <row r="797" spans="1:29" x14ac:dyDescent="0.25">
      <c r="B797">
        <v>8010061705028580</v>
      </c>
      <c r="C797">
        <v>41218301</v>
      </c>
      <c r="D797" t="s">
        <v>1223</v>
      </c>
      <c r="E797">
        <v>2500</v>
      </c>
      <c r="G797" t="s">
        <v>156</v>
      </c>
      <c r="H797">
        <v>64</v>
      </c>
      <c r="I797">
        <v>0.33</v>
      </c>
      <c r="J797">
        <v>0.33</v>
      </c>
      <c r="K797">
        <v>1</v>
      </c>
      <c r="L797" t="s">
        <v>834</v>
      </c>
      <c r="AC797" t="s">
        <v>1764</v>
      </c>
    </row>
    <row r="798" spans="1:29" x14ac:dyDescent="0.25">
      <c r="C798">
        <v>41217334</v>
      </c>
      <c r="D798" t="s">
        <v>991</v>
      </c>
      <c r="E798">
        <v>2500</v>
      </c>
      <c r="AC798" t="s">
        <v>1535</v>
      </c>
    </row>
    <row r="799" spans="1:29" x14ac:dyDescent="0.25">
      <c r="B799">
        <v>8010061705028580</v>
      </c>
      <c r="C799">
        <v>41217265</v>
      </c>
      <c r="D799" t="s">
        <v>1224</v>
      </c>
      <c r="E799">
        <v>500</v>
      </c>
      <c r="G799">
        <v>6200</v>
      </c>
      <c r="H799">
        <v>161</v>
      </c>
      <c r="I799">
        <v>7.94</v>
      </c>
      <c r="J799">
        <v>7.94</v>
      </c>
      <c r="K799">
        <v>1</v>
      </c>
      <c r="L799" t="s">
        <v>834</v>
      </c>
      <c r="AC799" t="s">
        <v>1765</v>
      </c>
    </row>
    <row r="800" spans="1:29" x14ac:dyDescent="0.25">
      <c r="C800">
        <v>41217699</v>
      </c>
      <c r="D800" t="s">
        <v>993</v>
      </c>
      <c r="E800">
        <v>3970</v>
      </c>
      <c r="G800">
        <v>6800</v>
      </c>
      <c r="H800">
        <v>184</v>
      </c>
      <c r="I800">
        <v>8.82</v>
      </c>
      <c r="J800">
        <v>3970</v>
      </c>
      <c r="K800">
        <v>450.11337868480723</v>
      </c>
      <c r="L800" t="s">
        <v>834</v>
      </c>
      <c r="AC800" t="s">
        <v>1537</v>
      </c>
    </row>
    <row r="801" spans="1:29" x14ac:dyDescent="0.25">
      <c r="C801">
        <v>41217605</v>
      </c>
      <c r="D801" t="s">
        <v>994</v>
      </c>
      <c r="E801">
        <v>15</v>
      </c>
      <c r="I801">
        <v>94</v>
      </c>
      <c r="J801">
        <v>8.82</v>
      </c>
      <c r="K801">
        <v>9.3829787234042561E-2</v>
      </c>
      <c r="L801" t="s">
        <v>834</v>
      </c>
      <c r="AC801" t="s">
        <v>1538</v>
      </c>
    </row>
    <row r="802" spans="1:29" x14ac:dyDescent="0.25">
      <c r="C802">
        <v>41217864</v>
      </c>
      <c r="D802" t="s">
        <v>995</v>
      </c>
      <c r="E802">
        <v>15</v>
      </c>
      <c r="J802">
        <v>132.30000000000001</v>
      </c>
      <c r="K802">
        <v>9.3829787234042561E-2</v>
      </c>
      <c r="L802" t="s">
        <v>834</v>
      </c>
      <c r="AC802" t="s">
        <v>1539</v>
      </c>
    </row>
    <row r="803" spans="1:29" x14ac:dyDescent="0.25">
      <c r="C803">
        <v>41218090</v>
      </c>
      <c r="D803" t="s">
        <v>996</v>
      </c>
      <c r="E803">
        <v>1410</v>
      </c>
      <c r="J803">
        <v>4</v>
      </c>
      <c r="K803">
        <v>9.3829787234042561E-2</v>
      </c>
      <c r="L803" t="s">
        <v>834</v>
      </c>
      <c r="AC803" t="s">
        <v>1540</v>
      </c>
    </row>
    <row r="804" spans="1:29" x14ac:dyDescent="0.25">
      <c r="C804">
        <v>41217918</v>
      </c>
      <c r="D804" t="s">
        <v>997</v>
      </c>
      <c r="E804">
        <v>500</v>
      </c>
      <c r="J804">
        <v>1410</v>
      </c>
      <c r="K804">
        <v>9.3829787234042561E-2</v>
      </c>
      <c r="L804" t="s">
        <v>834</v>
      </c>
      <c r="AC804" t="s">
        <v>1541</v>
      </c>
    </row>
    <row r="805" spans="1:29" x14ac:dyDescent="0.25">
      <c r="C805">
        <v>41217698</v>
      </c>
      <c r="D805" t="s">
        <v>998</v>
      </c>
      <c r="E805">
        <v>3970</v>
      </c>
      <c r="AC805" t="s">
        <v>1542</v>
      </c>
    </row>
    <row r="806" spans="1:29" x14ac:dyDescent="0.25">
      <c r="C806">
        <v>41217697</v>
      </c>
      <c r="D806" t="s">
        <v>999</v>
      </c>
      <c r="E806">
        <v>15</v>
      </c>
      <c r="AC806" t="s">
        <v>1543</v>
      </c>
    </row>
    <row r="807" spans="1:29" x14ac:dyDescent="0.25">
      <c r="C807">
        <v>41217679</v>
      </c>
      <c r="D807" t="s">
        <v>1000</v>
      </c>
      <c r="E807">
        <v>15</v>
      </c>
      <c r="AC807" t="s">
        <v>1544</v>
      </c>
    </row>
    <row r="808" spans="1:29" x14ac:dyDescent="0.25">
      <c r="C808">
        <v>41218164</v>
      </c>
      <c r="D808" t="s">
        <v>1001</v>
      </c>
      <c r="E808">
        <v>1410</v>
      </c>
      <c r="AC808" t="s">
        <v>1545</v>
      </c>
    </row>
    <row r="809" spans="1:29" x14ac:dyDescent="0.25">
      <c r="A809" t="s">
        <v>837</v>
      </c>
      <c r="B809">
        <v>8010061705028580</v>
      </c>
      <c r="C809">
        <v>41218407</v>
      </c>
      <c r="D809" t="s">
        <v>1225</v>
      </c>
      <c r="E809">
        <v>330</v>
      </c>
      <c r="G809" t="s">
        <v>161</v>
      </c>
      <c r="H809">
        <v>54</v>
      </c>
      <c r="I809">
        <v>18</v>
      </c>
      <c r="J809">
        <v>18</v>
      </c>
      <c r="K809">
        <v>1</v>
      </c>
      <c r="L809" t="s">
        <v>834</v>
      </c>
      <c r="AC809" t="s">
        <v>1766</v>
      </c>
    </row>
    <row r="810" spans="1:29" x14ac:dyDescent="0.25">
      <c r="C810">
        <v>41217006</v>
      </c>
      <c r="D810" t="s">
        <v>1003</v>
      </c>
      <c r="E810">
        <v>5940</v>
      </c>
      <c r="AC810" t="s">
        <v>1547</v>
      </c>
    </row>
    <row r="811" spans="1:29" x14ac:dyDescent="0.25">
      <c r="C811">
        <v>41218164</v>
      </c>
      <c r="D811" t="s">
        <v>1004</v>
      </c>
      <c r="E811">
        <v>330</v>
      </c>
      <c r="AC811" t="s">
        <v>1548</v>
      </c>
    </row>
    <row r="812" spans="1:29" x14ac:dyDescent="0.25">
      <c r="C812">
        <v>41217699</v>
      </c>
      <c r="D812" t="s">
        <v>1005</v>
      </c>
      <c r="E812">
        <v>5940</v>
      </c>
      <c r="AC812" t="s">
        <v>1549</v>
      </c>
    </row>
    <row r="813" spans="1:29" x14ac:dyDescent="0.25">
      <c r="B813">
        <v>8.0100617050285802E+28</v>
      </c>
      <c r="C813">
        <v>41218897</v>
      </c>
      <c r="D813" t="s">
        <v>1226</v>
      </c>
      <c r="E813">
        <v>150</v>
      </c>
      <c r="G813" t="s">
        <v>151</v>
      </c>
      <c r="H813">
        <v>43</v>
      </c>
      <c r="I813">
        <v>1.7</v>
      </c>
      <c r="J813">
        <v>1.7</v>
      </c>
      <c r="K813">
        <v>1</v>
      </c>
      <c r="L813" t="s">
        <v>834</v>
      </c>
      <c r="AC813" t="s">
        <v>1767</v>
      </c>
    </row>
    <row r="814" spans="1:29" x14ac:dyDescent="0.25">
      <c r="C814">
        <v>41217222</v>
      </c>
      <c r="D814" t="s">
        <v>1008</v>
      </c>
      <c r="E814">
        <v>255</v>
      </c>
      <c r="J814">
        <v>255</v>
      </c>
      <c r="K814">
        <v>1</v>
      </c>
      <c r="L814" t="s">
        <v>834</v>
      </c>
      <c r="AC814" t="s">
        <v>1551</v>
      </c>
    </row>
    <row r="815" spans="1:29" x14ac:dyDescent="0.25">
      <c r="C815">
        <v>41217679</v>
      </c>
      <c r="D815" t="s">
        <v>1010</v>
      </c>
      <c r="E815">
        <v>150</v>
      </c>
      <c r="AC815" t="s">
        <v>1552</v>
      </c>
    </row>
    <row r="816" spans="1:29" x14ac:dyDescent="0.25">
      <c r="C816">
        <v>41217700</v>
      </c>
      <c r="D816" t="s">
        <v>1011</v>
      </c>
      <c r="E816">
        <v>255</v>
      </c>
      <c r="AC816" t="s">
        <v>1553</v>
      </c>
    </row>
    <row r="817" spans="1:29" x14ac:dyDescent="0.25">
      <c r="B817">
        <v>8010061705028580</v>
      </c>
      <c r="C817">
        <v>41217695</v>
      </c>
      <c r="D817" t="s">
        <v>1227</v>
      </c>
      <c r="E817">
        <v>25</v>
      </c>
      <c r="G817" t="s">
        <v>369</v>
      </c>
      <c r="H817">
        <v>121</v>
      </c>
      <c r="I817">
        <v>13.99</v>
      </c>
      <c r="J817">
        <v>349.75</v>
      </c>
      <c r="K817">
        <v>25</v>
      </c>
      <c r="AC817" t="s">
        <v>1768</v>
      </c>
    </row>
    <row r="818" spans="1:29" x14ac:dyDescent="0.25">
      <c r="C818">
        <v>41217697</v>
      </c>
      <c r="D818" t="s">
        <v>1013</v>
      </c>
      <c r="E818">
        <v>23</v>
      </c>
      <c r="I818">
        <v>13.99</v>
      </c>
      <c r="J818">
        <v>321.77</v>
      </c>
      <c r="K818">
        <v>23</v>
      </c>
      <c r="AC818" t="s">
        <v>1555</v>
      </c>
    </row>
    <row r="819" spans="1:29" x14ac:dyDescent="0.25">
      <c r="C819">
        <v>41217698</v>
      </c>
      <c r="D819" t="s">
        <v>1014</v>
      </c>
      <c r="E819">
        <v>23</v>
      </c>
      <c r="AC819" t="s">
        <v>1556</v>
      </c>
    </row>
    <row r="820" spans="1:29" x14ac:dyDescent="0.25">
      <c r="B820">
        <v>8010061705028580</v>
      </c>
      <c r="C820">
        <v>41218860</v>
      </c>
      <c r="D820" t="s">
        <v>1228</v>
      </c>
      <c r="E820">
        <v>6250</v>
      </c>
      <c r="G820" t="s">
        <v>113</v>
      </c>
      <c r="H820">
        <v>48</v>
      </c>
      <c r="I820">
        <v>0.25</v>
      </c>
      <c r="J820">
        <v>0.25</v>
      </c>
      <c r="K820">
        <v>1</v>
      </c>
      <c r="L820" t="s">
        <v>834</v>
      </c>
      <c r="AC820" t="s">
        <v>1769</v>
      </c>
    </row>
    <row r="821" spans="1:29" x14ac:dyDescent="0.25">
      <c r="C821">
        <v>41218145</v>
      </c>
      <c r="D821" t="s">
        <v>1016</v>
      </c>
      <c r="E821">
        <v>25000</v>
      </c>
      <c r="J821">
        <v>6250</v>
      </c>
      <c r="K821">
        <v>1</v>
      </c>
      <c r="L821" t="s">
        <v>834</v>
      </c>
      <c r="AC821" t="s">
        <v>1558</v>
      </c>
    </row>
    <row r="822" spans="1:29" x14ac:dyDescent="0.25">
      <c r="C822">
        <v>41217336</v>
      </c>
      <c r="D822" t="s">
        <v>1017</v>
      </c>
      <c r="E822">
        <v>6250</v>
      </c>
      <c r="AC822" t="s">
        <v>1559</v>
      </c>
    </row>
    <row r="823" spans="1:29" x14ac:dyDescent="0.25">
      <c r="C823">
        <v>41217314</v>
      </c>
      <c r="D823" t="s">
        <v>1018</v>
      </c>
      <c r="E823">
        <v>25000</v>
      </c>
      <c r="AC823" t="s">
        <v>1560</v>
      </c>
    </row>
    <row r="824" spans="1:29" x14ac:dyDescent="0.25">
      <c r="A824" t="s">
        <v>680</v>
      </c>
      <c r="B824">
        <v>8010061705028580</v>
      </c>
      <c r="C824">
        <v>41218405</v>
      </c>
      <c r="D824" t="s">
        <v>1229</v>
      </c>
      <c r="E824">
        <v>600</v>
      </c>
      <c r="I824">
        <v>0.51</v>
      </c>
      <c r="J824">
        <v>306</v>
      </c>
      <c r="K824">
        <v>600</v>
      </c>
      <c r="AC824" t="s">
        <v>1770</v>
      </c>
    </row>
    <row r="825" spans="1:29" x14ac:dyDescent="0.25">
      <c r="C825">
        <v>41217180</v>
      </c>
      <c r="D825" t="s">
        <v>1020</v>
      </c>
      <c r="E825">
        <v>306</v>
      </c>
      <c r="AC825" t="s">
        <v>1562</v>
      </c>
    </row>
    <row r="826" spans="1:29" x14ac:dyDescent="0.25">
      <c r="C826">
        <v>41217265</v>
      </c>
      <c r="D826" t="s">
        <v>1022</v>
      </c>
      <c r="E826">
        <v>600</v>
      </c>
      <c r="AC826" t="s">
        <v>1564</v>
      </c>
    </row>
    <row r="827" spans="1:29" x14ac:dyDescent="0.25">
      <c r="C827">
        <v>41217265</v>
      </c>
      <c r="D827" t="s">
        <v>1024</v>
      </c>
      <c r="E827">
        <v>306</v>
      </c>
      <c r="AC827" t="s">
        <v>1566</v>
      </c>
    </row>
    <row r="828" spans="1:29" x14ac:dyDescent="0.25">
      <c r="B828">
        <v>8.0100611705028496E+16</v>
      </c>
      <c r="C828">
        <v>41217695</v>
      </c>
      <c r="D828" t="s">
        <v>1227</v>
      </c>
      <c r="E828">
        <v>10</v>
      </c>
      <c r="G828" t="s">
        <v>62</v>
      </c>
      <c r="H828">
        <v>97</v>
      </c>
      <c r="I828">
        <v>13.99</v>
      </c>
      <c r="J828">
        <v>13.99</v>
      </c>
      <c r="K828">
        <v>1</v>
      </c>
      <c r="L828" t="s">
        <v>834</v>
      </c>
      <c r="AC828" t="s">
        <v>1771</v>
      </c>
    </row>
    <row r="829" spans="1:29" x14ac:dyDescent="0.25">
      <c r="C829">
        <v>41217223</v>
      </c>
      <c r="D829" t="s">
        <v>1029</v>
      </c>
      <c r="E829">
        <v>10</v>
      </c>
      <c r="G829" t="s">
        <v>62</v>
      </c>
      <c r="H829">
        <v>151</v>
      </c>
      <c r="I829">
        <v>13.99</v>
      </c>
      <c r="J829">
        <v>13.99</v>
      </c>
      <c r="K829">
        <v>1</v>
      </c>
      <c r="L829" t="s">
        <v>834</v>
      </c>
      <c r="AC829" t="s">
        <v>1570</v>
      </c>
    </row>
    <row r="830" spans="1:29" x14ac:dyDescent="0.25">
      <c r="C830">
        <v>41218064</v>
      </c>
      <c r="D830" t="s">
        <v>1038</v>
      </c>
      <c r="E830">
        <v>15</v>
      </c>
      <c r="G830" t="s">
        <v>227</v>
      </c>
      <c r="H830">
        <v>203</v>
      </c>
      <c r="I830">
        <v>13.99</v>
      </c>
      <c r="J830">
        <v>13.99</v>
      </c>
      <c r="K830">
        <v>1</v>
      </c>
      <c r="L830" t="s">
        <v>834</v>
      </c>
      <c r="AC830" t="s">
        <v>1698</v>
      </c>
    </row>
    <row r="831" spans="1:29" x14ac:dyDescent="0.25">
      <c r="C831">
        <v>41217698</v>
      </c>
      <c r="D831" t="s">
        <v>1030</v>
      </c>
      <c r="E831">
        <v>13</v>
      </c>
      <c r="G831" t="s">
        <v>227</v>
      </c>
      <c r="H831">
        <v>255</v>
      </c>
      <c r="I831">
        <v>13.99</v>
      </c>
      <c r="J831">
        <v>13.99</v>
      </c>
      <c r="K831">
        <v>1</v>
      </c>
      <c r="L831" t="s">
        <v>834</v>
      </c>
      <c r="AC831" t="s">
        <v>1571</v>
      </c>
    </row>
    <row r="832" spans="1:29" x14ac:dyDescent="0.25">
      <c r="C832">
        <v>41217698</v>
      </c>
      <c r="D832" t="s">
        <v>1012</v>
      </c>
      <c r="E832">
        <v>2</v>
      </c>
      <c r="I832">
        <v>13.99</v>
      </c>
      <c r="J832">
        <v>13.99</v>
      </c>
      <c r="K832">
        <v>1</v>
      </c>
      <c r="L832" t="s">
        <v>834</v>
      </c>
      <c r="AC832" t="s">
        <v>1572</v>
      </c>
    </row>
    <row r="833" spans="1:29" x14ac:dyDescent="0.25">
      <c r="C833">
        <v>41217679</v>
      </c>
      <c r="D833" t="s">
        <v>1031</v>
      </c>
      <c r="E833">
        <v>10</v>
      </c>
      <c r="AC833" t="s">
        <v>1573</v>
      </c>
    </row>
    <row r="834" spans="1:29" x14ac:dyDescent="0.25">
      <c r="C834">
        <v>41217679</v>
      </c>
      <c r="D834" t="s">
        <v>1031</v>
      </c>
      <c r="E834">
        <v>10</v>
      </c>
      <c r="AC834" t="s">
        <v>1574</v>
      </c>
    </row>
    <row r="835" spans="1:29" x14ac:dyDescent="0.25">
      <c r="C835">
        <v>41217698</v>
      </c>
      <c r="D835" t="s">
        <v>1032</v>
      </c>
      <c r="E835">
        <v>15</v>
      </c>
      <c r="AC835" t="s">
        <v>1575</v>
      </c>
    </row>
    <row r="836" spans="1:29" x14ac:dyDescent="0.25">
      <c r="C836">
        <v>41217698</v>
      </c>
      <c r="D836" t="s">
        <v>1030</v>
      </c>
      <c r="E836">
        <v>13</v>
      </c>
      <c r="AC836" t="s">
        <v>1576</v>
      </c>
    </row>
    <row r="837" spans="1:29" x14ac:dyDescent="0.25">
      <c r="B837">
        <v>1.1110801006170499E+24</v>
      </c>
      <c r="C837">
        <v>41218897</v>
      </c>
      <c r="D837" t="s">
        <v>1230</v>
      </c>
      <c r="E837">
        <v>60</v>
      </c>
      <c r="G837" t="s">
        <v>151</v>
      </c>
      <c r="H837">
        <v>38</v>
      </c>
      <c r="I837">
        <v>1.7</v>
      </c>
      <c r="J837">
        <v>102</v>
      </c>
      <c r="K837">
        <v>60</v>
      </c>
      <c r="L837" t="s">
        <v>834</v>
      </c>
      <c r="AC837" t="s">
        <v>1772</v>
      </c>
    </row>
    <row r="838" spans="1:29" x14ac:dyDescent="0.25">
      <c r="B838">
        <v>8.0100617050285803E+24</v>
      </c>
      <c r="C838">
        <v>41218407</v>
      </c>
      <c r="D838" t="s">
        <v>1231</v>
      </c>
      <c r="E838">
        <v>75</v>
      </c>
      <c r="G838">
        <v>6885</v>
      </c>
      <c r="H838">
        <v>29</v>
      </c>
      <c r="I838">
        <v>1.78</v>
      </c>
      <c r="J838">
        <v>1.78</v>
      </c>
      <c r="K838">
        <v>1</v>
      </c>
      <c r="L838" t="s">
        <v>834</v>
      </c>
      <c r="AC838" t="s">
        <v>1773</v>
      </c>
    </row>
    <row r="839" spans="1:29" x14ac:dyDescent="0.25">
      <c r="A839" t="s">
        <v>837</v>
      </c>
      <c r="C839">
        <v>41217918</v>
      </c>
      <c r="D839" t="s">
        <v>1035</v>
      </c>
      <c r="E839">
        <v>75</v>
      </c>
      <c r="G839">
        <v>6885</v>
      </c>
      <c r="H839">
        <v>325</v>
      </c>
      <c r="AC839" t="s">
        <v>1579</v>
      </c>
    </row>
    <row r="840" spans="1:29" x14ac:dyDescent="0.25">
      <c r="A840" t="s">
        <v>837</v>
      </c>
      <c r="B840">
        <v>8.0100617050285802E+29</v>
      </c>
      <c r="C840">
        <v>41218896</v>
      </c>
      <c r="D840" t="s">
        <v>1232</v>
      </c>
      <c r="E840">
        <v>450</v>
      </c>
      <c r="G840" t="s">
        <v>163</v>
      </c>
      <c r="H840">
        <v>23</v>
      </c>
      <c r="I840">
        <v>20.99</v>
      </c>
      <c r="J840">
        <v>9445.5</v>
      </c>
      <c r="K840">
        <v>450.00000000000006</v>
      </c>
      <c r="L840" t="s">
        <v>834</v>
      </c>
      <c r="AC840" t="s">
        <v>1774</v>
      </c>
    </row>
    <row r="841" spans="1:29" x14ac:dyDescent="0.25">
      <c r="C841">
        <v>41217485</v>
      </c>
      <c r="D841" t="s">
        <v>1037</v>
      </c>
      <c r="E841">
        <v>450</v>
      </c>
      <c r="G841" t="s">
        <v>163</v>
      </c>
      <c r="H841">
        <v>311</v>
      </c>
      <c r="AC841" t="s">
        <v>1581</v>
      </c>
    </row>
    <row r="842" spans="1:29" x14ac:dyDescent="0.25">
      <c r="B842">
        <v>8.0100617050285802E+28</v>
      </c>
      <c r="C842">
        <v>41217336</v>
      </c>
      <c r="D842" t="s">
        <v>1233</v>
      </c>
      <c r="E842">
        <v>2400</v>
      </c>
      <c r="G842" t="s">
        <v>190</v>
      </c>
      <c r="H842">
        <v>38</v>
      </c>
      <c r="I842">
        <v>0.15</v>
      </c>
      <c r="J842">
        <v>360</v>
      </c>
      <c r="K842">
        <v>2400</v>
      </c>
      <c r="AC842" t="s">
        <v>1775</v>
      </c>
    </row>
    <row r="843" spans="1:29" x14ac:dyDescent="0.25">
      <c r="C843">
        <v>41217331</v>
      </c>
      <c r="D843" t="s">
        <v>1039</v>
      </c>
      <c r="E843">
        <v>2400</v>
      </c>
      <c r="AC843" t="s">
        <v>1583</v>
      </c>
    </row>
    <row r="844" spans="1:29" x14ac:dyDescent="0.25">
      <c r="B844">
        <v>8.0100617050285799E+38</v>
      </c>
      <c r="C844">
        <v>41217865</v>
      </c>
      <c r="D844" t="s">
        <v>1234</v>
      </c>
      <c r="E844">
        <v>20000</v>
      </c>
      <c r="G844" t="s">
        <v>133</v>
      </c>
      <c r="H844">
        <v>23</v>
      </c>
      <c r="I844">
        <v>0.25</v>
      </c>
      <c r="J844">
        <v>5000</v>
      </c>
      <c r="K844">
        <v>20000</v>
      </c>
      <c r="AC844" t="s">
        <v>1776</v>
      </c>
    </row>
    <row r="845" spans="1:29" x14ac:dyDescent="0.25">
      <c r="C845">
        <v>41217336</v>
      </c>
      <c r="D845" t="s">
        <v>1042</v>
      </c>
      <c r="E845">
        <v>20000</v>
      </c>
      <c r="G845" t="s">
        <v>133</v>
      </c>
      <c r="H845">
        <v>328</v>
      </c>
      <c r="AC845" t="s">
        <v>1586</v>
      </c>
    </row>
    <row r="846" spans="1:29" x14ac:dyDescent="0.25">
      <c r="B846">
        <v>1.9008010061705E+28</v>
      </c>
      <c r="C846">
        <v>41217696</v>
      </c>
      <c r="D846" t="s">
        <v>1235</v>
      </c>
      <c r="E846">
        <v>9</v>
      </c>
      <c r="G846">
        <v>81066</v>
      </c>
      <c r="H846">
        <v>24</v>
      </c>
      <c r="I846">
        <v>11.75</v>
      </c>
      <c r="J846">
        <v>105.75</v>
      </c>
      <c r="K846">
        <v>9</v>
      </c>
      <c r="AC846" t="s">
        <v>1777</v>
      </c>
    </row>
    <row r="847" spans="1:29" x14ac:dyDescent="0.25">
      <c r="C847">
        <v>41217866</v>
      </c>
      <c r="D847" t="s">
        <v>1045</v>
      </c>
      <c r="E847">
        <v>9</v>
      </c>
      <c r="G847">
        <v>81066</v>
      </c>
      <c r="H847">
        <v>31</v>
      </c>
      <c r="AC847" t="s">
        <v>1588</v>
      </c>
    </row>
    <row r="848" spans="1:29" x14ac:dyDescent="0.25">
      <c r="A848" t="s">
        <v>837</v>
      </c>
      <c r="B848">
        <v>1.4800080801006099E+23</v>
      </c>
      <c r="C848">
        <v>41217334</v>
      </c>
      <c r="D848" t="s">
        <v>1236</v>
      </c>
      <c r="E848">
        <v>480</v>
      </c>
      <c r="G848" t="s">
        <v>174</v>
      </c>
      <c r="H848">
        <v>27</v>
      </c>
      <c r="I848">
        <v>0.56000000000000005</v>
      </c>
      <c r="J848">
        <v>268.8</v>
      </c>
      <c r="K848">
        <v>480</v>
      </c>
      <c r="AC848" t="s">
        <v>1778</v>
      </c>
    </row>
    <row r="849" spans="1:29" x14ac:dyDescent="0.25">
      <c r="C849">
        <v>41217698</v>
      </c>
      <c r="D849" t="s">
        <v>1047</v>
      </c>
      <c r="E849">
        <v>480</v>
      </c>
      <c r="G849" t="s">
        <v>174</v>
      </c>
      <c r="H849">
        <v>152</v>
      </c>
      <c r="AC849" t="s">
        <v>1590</v>
      </c>
    </row>
    <row r="850" spans="1:29" x14ac:dyDescent="0.25">
      <c r="B850">
        <v>1.3500080100617E+30</v>
      </c>
      <c r="C850">
        <v>41218405</v>
      </c>
      <c r="D850" t="s">
        <v>1237</v>
      </c>
      <c r="E850">
        <v>350</v>
      </c>
      <c r="G850" t="s">
        <v>163</v>
      </c>
      <c r="H850">
        <v>23</v>
      </c>
      <c r="I850">
        <v>20.99</v>
      </c>
      <c r="J850">
        <v>7346.5</v>
      </c>
      <c r="K850">
        <v>350</v>
      </c>
      <c r="AC850" t="s">
        <v>1779</v>
      </c>
    </row>
    <row r="851" spans="1:29" x14ac:dyDescent="0.25">
      <c r="A851" t="s">
        <v>837</v>
      </c>
      <c r="C851">
        <v>41217334</v>
      </c>
      <c r="D851" t="s">
        <v>1049</v>
      </c>
      <c r="E851">
        <v>350</v>
      </c>
      <c r="G851" t="s">
        <v>163</v>
      </c>
      <c r="H851">
        <v>320</v>
      </c>
      <c r="AC851" t="s">
        <v>1592</v>
      </c>
    </row>
    <row r="852" spans="1:29" x14ac:dyDescent="0.25">
      <c r="B852">
        <v>8.0100617050285797E+37</v>
      </c>
      <c r="C852">
        <v>41218857</v>
      </c>
      <c r="D852" t="s">
        <v>1238</v>
      </c>
      <c r="E852">
        <v>6000</v>
      </c>
      <c r="G852" t="s">
        <v>117</v>
      </c>
      <c r="H852">
        <v>23</v>
      </c>
      <c r="I852">
        <v>0.27</v>
      </c>
      <c r="J852">
        <v>1620</v>
      </c>
      <c r="K852">
        <v>6000</v>
      </c>
      <c r="AC852" t="s">
        <v>1780</v>
      </c>
    </row>
    <row r="853" spans="1:29" x14ac:dyDescent="0.25">
      <c r="C853">
        <v>41217702</v>
      </c>
      <c r="D853" t="s">
        <v>1051</v>
      </c>
      <c r="E853">
        <v>6000</v>
      </c>
      <c r="G853" t="s">
        <v>117</v>
      </c>
      <c r="H853">
        <v>329</v>
      </c>
      <c r="AC853" t="s">
        <v>1594</v>
      </c>
    </row>
    <row r="854" spans="1:29" x14ac:dyDescent="0.25">
      <c r="B854">
        <v>8.0100617050285795E+32</v>
      </c>
      <c r="C854">
        <v>41218860</v>
      </c>
      <c r="D854" t="s">
        <v>1239</v>
      </c>
      <c r="E854">
        <v>500</v>
      </c>
      <c r="G854" t="s">
        <v>125</v>
      </c>
      <c r="H854">
        <v>23</v>
      </c>
      <c r="I854">
        <v>0.67</v>
      </c>
      <c r="J854">
        <v>335</v>
      </c>
      <c r="K854">
        <v>499.99999999999994</v>
      </c>
      <c r="L854" t="s">
        <v>834</v>
      </c>
      <c r="AC854" t="s">
        <v>1781</v>
      </c>
    </row>
    <row r="855" spans="1:29" x14ac:dyDescent="0.25">
      <c r="C855">
        <v>41218164</v>
      </c>
      <c r="D855" t="s">
        <v>1053</v>
      </c>
      <c r="E855">
        <v>24</v>
      </c>
      <c r="G855">
        <v>6800</v>
      </c>
      <c r="H855">
        <v>35</v>
      </c>
      <c r="I855">
        <v>94</v>
      </c>
      <c r="J855">
        <v>2256</v>
      </c>
      <c r="K855">
        <v>24</v>
      </c>
      <c r="AC855" t="s">
        <v>1596</v>
      </c>
    </row>
    <row r="856" spans="1:29" x14ac:dyDescent="0.25">
      <c r="C856">
        <v>41217223</v>
      </c>
      <c r="D856" t="s">
        <v>1054</v>
      </c>
      <c r="E856">
        <v>500</v>
      </c>
      <c r="G856" t="s">
        <v>125</v>
      </c>
      <c r="H856">
        <v>365</v>
      </c>
      <c r="AC856" t="s">
        <v>1597</v>
      </c>
    </row>
    <row r="857" spans="1:29" x14ac:dyDescent="0.25">
      <c r="C857">
        <v>41217265</v>
      </c>
      <c r="D857" t="s">
        <v>1055</v>
      </c>
      <c r="E857">
        <v>24</v>
      </c>
      <c r="AC857" t="s">
        <v>1598</v>
      </c>
    </row>
    <row r="858" spans="1:29" x14ac:dyDescent="0.25">
      <c r="B858">
        <v>8.0100617050285803E+24</v>
      </c>
      <c r="C858">
        <v>41217265</v>
      </c>
      <c r="D858" t="s">
        <v>1240</v>
      </c>
      <c r="E858">
        <v>15</v>
      </c>
      <c r="G858">
        <v>6800</v>
      </c>
      <c r="H858">
        <v>25</v>
      </c>
      <c r="I858">
        <v>94</v>
      </c>
      <c r="J858">
        <v>1410</v>
      </c>
      <c r="K858">
        <v>15</v>
      </c>
      <c r="AC858" t="s">
        <v>1782</v>
      </c>
    </row>
    <row r="859" spans="1:29" x14ac:dyDescent="0.25">
      <c r="C859" t="s">
        <v>1057</v>
      </c>
      <c r="D859" t="s">
        <v>1058</v>
      </c>
      <c r="E859">
        <v>232</v>
      </c>
      <c r="G859">
        <v>6800</v>
      </c>
      <c r="H859">
        <v>359</v>
      </c>
      <c r="I859">
        <v>1.7</v>
      </c>
      <c r="J859">
        <v>394.4</v>
      </c>
      <c r="K859">
        <v>232</v>
      </c>
      <c r="AC859" t="s">
        <v>1600</v>
      </c>
    </row>
    <row r="860" spans="1:29" x14ac:dyDescent="0.25">
      <c r="C860">
        <v>41218362</v>
      </c>
      <c r="D860" t="s">
        <v>1059</v>
      </c>
      <c r="E860">
        <v>15</v>
      </c>
      <c r="AC860" t="s">
        <v>1601</v>
      </c>
    </row>
    <row r="861" spans="1:29" x14ac:dyDescent="0.25">
      <c r="C861">
        <v>41217699</v>
      </c>
      <c r="D861" t="s">
        <v>1060</v>
      </c>
      <c r="E861">
        <v>232</v>
      </c>
      <c r="AC861" t="s">
        <v>1602</v>
      </c>
    </row>
    <row r="862" spans="1:29" x14ac:dyDescent="0.25">
      <c r="B862">
        <v>8.0100617050285797E+37</v>
      </c>
      <c r="C862">
        <v>41217864</v>
      </c>
      <c r="D862" t="s">
        <v>1241</v>
      </c>
      <c r="E862">
        <v>800</v>
      </c>
      <c r="G862" t="s">
        <v>135</v>
      </c>
      <c r="H862">
        <v>23</v>
      </c>
      <c r="I862">
        <v>0.25</v>
      </c>
      <c r="J862">
        <v>200</v>
      </c>
      <c r="K862">
        <v>800</v>
      </c>
      <c r="AC862" t="s">
        <v>1783</v>
      </c>
    </row>
    <row r="863" spans="1:29" x14ac:dyDescent="0.25">
      <c r="C863">
        <v>41217865</v>
      </c>
      <c r="D863" t="s">
        <v>1062</v>
      </c>
      <c r="E863">
        <v>800</v>
      </c>
      <c r="G863" t="s">
        <v>135</v>
      </c>
      <c r="H863">
        <v>320</v>
      </c>
      <c r="AC863" t="s">
        <v>1604</v>
      </c>
    </row>
    <row r="864" spans="1:29" x14ac:dyDescent="0.25">
      <c r="B864">
        <v>1.9000003630080501E+32</v>
      </c>
      <c r="C864">
        <v>41218896</v>
      </c>
      <c r="D864" t="s">
        <v>1242</v>
      </c>
      <c r="E864">
        <v>900</v>
      </c>
      <c r="G864" t="s">
        <v>125</v>
      </c>
      <c r="H864">
        <v>23</v>
      </c>
      <c r="I864">
        <v>0.67</v>
      </c>
      <c r="J864">
        <v>603</v>
      </c>
      <c r="K864">
        <v>900</v>
      </c>
      <c r="AC864" t="s">
        <v>1784</v>
      </c>
    </row>
    <row r="865" spans="1:29" x14ac:dyDescent="0.25">
      <c r="C865">
        <v>41218064</v>
      </c>
      <c r="D865" t="s">
        <v>1064</v>
      </c>
      <c r="E865">
        <v>2500</v>
      </c>
      <c r="G865" t="s">
        <v>131</v>
      </c>
      <c r="H865">
        <v>35</v>
      </c>
      <c r="I865">
        <v>0.25</v>
      </c>
      <c r="J865">
        <v>625</v>
      </c>
      <c r="K865">
        <v>2500</v>
      </c>
      <c r="AC865" t="s">
        <v>1606</v>
      </c>
    </row>
    <row r="866" spans="1:29" x14ac:dyDescent="0.25">
      <c r="C866">
        <v>41217698</v>
      </c>
      <c r="D866" t="s">
        <v>1065</v>
      </c>
      <c r="E866">
        <v>900</v>
      </c>
      <c r="G866" t="s">
        <v>125</v>
      </c>
      <c r="H866">
        <v>239</v>
      </c>
      <c r="AC866" t="s">
        <v>1607</v>
      </c>
    </row>
    <row r="867" spans="1:29" x14ac:dyDescent="0.25">
      <c r="C867">
        <v>41218164</v>
      </c>
      <c r="D867" t="s">
        <v>1066</v>
      </c>
      <c r="E867">
        <v>2500</v>
      </c>
      <c r="AC867" t="s">
        <v>1608</v>
      </c>
    </row>
    <row r="868" spans="1:29" x14ac:dyDescent="0.25">
      <c r="B868">
        <v>8.0100617050285802E+29</v>
      </c>
      <c r="C868">
        <v>41218860</v>
      </c>
      <c r="D868" t="s">
        <v>1243</v>
      </c>
      <c r="E868">
        <v>300</v>
      </c>
      <c r="G868" t="s">
        <v>138</v>
      </c>
      <c r="H868">
        <v>23</v>
      </c>
      <c r="I868">
        <v>3.4</v>
      </c>
      <c r="J868">
        <v>1020</v>
      </c>
      <c r="K868">
        <v>300</v>
      </c>
      <c r="AC868" t="s">
        <v>1785</v>
      </c>
    </row>
    <row r="869" spans="1:29" x14ac:dyDescent="0.25">
      <c r="C869">
        <v>41217222</v>
      </c>
      <c r="D869" t="s">
        <v>1068</v>
      </c>
      <c r="E869">
        <v>350</v>
      </c>
      <c r="G869" t="s">
        <v>170</v>
      </c>
      <c r="H869">
        <v>34</v>
      </c>
      <c r="I869">
        <v>1.28</v>
      </c>
      <c r="J869">
        <v>448</v>
      </c>
      <c r="K869">
        <v>350</v>
      </c>
      <c r="AC869" t="s">
        <v>1610</v>
      </c>
    </row>
    <row r="870" spans="1:29" x14ac:dyDescent="0.25">
      <c r="C870">
        <v>41217793</v>
      </c>
      <c r="D870" t="s">
        <v>1069</v>
      </c>
      <c r="E870">
        <v>25000</v>
      </c>
      <c r="G870" t="s">
        <v>113</v>
      </c>
      <c r="H870">
        <v>39</v>
      </c>
      <c r="I870">
        <v>0.25</v>
      </c>
      <c r="J870">
        <v>6250</v>
      </c>
      <c r="K870">
        <v>25000</v>
      </c>
      <c r="AC870" t="s">
        <v>1611</v>
      </c>
    </row>
    <row r="871" spans="1:29" x14ac:dyDescent="0.25">
      <c r="C871">
        <v>41217484</v>
      </c>
      <c r="D871" t="s">
        <v>1070</v>
      </c>
      <c r="E871">
        <v>5</v>
      </c>
      <c r="G871" t="s">
        <v>193</v>
      </c>
      <c r="H871">
        <v>55</v>
      </c>
      <c r="I871">
        <v>0.87</v>
      </c>
      <c r="J871">
        <v>4.3499999999999996</v>
      </c>
      <c r="K871">
        <v>5</v>
      </c>
      <c r="AC871" t="s">
        <v>1612</v>
      </c>
    </row>
    <row r="872" spans="1:29" x14ac:dyDescent="0.25">
      <c r="C872">
        <v>41217331</v>
      </c>
      <c r="D872" t="s">
        <v>1071</v>
      </c>
      <c r="E872">
        <v>300</v>
      </c>
      <c r="G872" t="s">
        <v>138</v>
      </c>
      <c r="H872">
        <v>456</v>
      </c>
      <c r="AC872" t="s">
        <v>1613</v>
      </c>
    </row>
    <row r="873" spans="1:29" x14ac:dyDescent="0.25">
      <c r="C873">
        <v>41217697</v>
      </c>
      <c r="D873" t="s">
        <v>1072</v>
      </c>
      <c r="E873">
        <v>350</v>
      </c>
      <c r="AC873" t="s">
        <v>1614</v>
      </c>
    </row>
    <row r="874" spans="1:29" x14ac:dyDescent="0.25">
      <c r="C874">
        <v>41217485</v>
      </c>
      <c r="D874" t="s">
        <v>1073</v>
      </c>
      <c r="E874">
        <v>25000</v>
      </c>
      <c r="AC874" t="s">
        <v>1615</v>
      </c>
    </row>
    <row r="875" spans="1:29" x14ac:dyDescent="0.25">
      <c r="C875">
        <v>41218362</v>
      </c>
      <c r="D875" t="s">
        <v>1059</v>
      </c>
      <c r="E875">
        <v>5</v>
      </c>
      <c r="AC875" t="s">
        <v>1616</v>
      </c>
    </row>
    <row r="876" spans="1:29" x14ac:dyDescent="0.25">
      <c r="B876">
        <v>7.0012000002017105E+36</v>
      </c>
      <c r="C876" t="s">
        <v>1244</v>
      </c>
      <c r="D876" t="s">
        <v>1245</v>
      </c>
      <c r="E876">
        <v>2000</v>
      </c>
      <c r="G876" t="s">
        <v>152</v>
      </c>
      <c r="H876">
        <v>24</v>
      </c>
      <c r="I876">
        <v>2.1</v>
      </c>
      <c r="J876">
        <v>4200</v>
      </c>
      <c r="K876">
        <v>2000</v>
      </c>
      <c r="AC876" t="s">
        <v>1786</v>
      </c>
    </row>
    <row r="877" spans="1:29" x14ac:dyDescent="0.25">
      <c r="A877" t="s">
        <v>837</v>
      </c>
      <c r="C877">
        <v>41218301</v>
      </c>
      <c r="D877" t="s">
        <v>1075</v>
      </c>
      <c r="E877">
        <v>2000</v>
      </c>
      <c r="G877" t="s">
        <v>152</v>
      </c>
      <c r="H877">
        <v>193</v>
      </c>
      <c r="AC877" t="s">
        <v>1618</v>
      </c>
    </row>
    <row r="878" spans="1:29" x14ac:dyDescent="0.25">
      <c r="B878">
        <v>1.3000000330601501E+37</v>
      </c>
      <c r="C878">
        <v>41218857</v>
      </c>
      <c r="D878" t="s">
        <v>1246</v>
      </c>
      <c r="E878">
        <v>3000</v>
      </c>
      <c r="G878" t="s">
        <v>117</v>
      </c>
      <c r="H878">
        <v>23</v>
      </c>
      <c r="I878">
        <v>0.27</v>
      </c>
      <c r="J878">
        <v>810</v>
      </c>
      <c r="K878">
        <v>3000</v>
      </c>
      <c r="AC878" t="s">
        <v>1787</v>
      </c>
    </row>
    <row r="879" spans="1:29" x14ac:dyDescent="0.25">
      <c r="C879">
        <v>41218301</v>
      </c>
      <c r="D879" t="s">
        <v>1077</v>
      </c>
      <c r="E879">
        <v>3000</v>
      </c>
      <c r="G879" t="s">
        <v>117</v>
      </c>
      <c r="H879">
        <v>170</v>
      </c>
      <c r="AC879" t="s">
        <v>1620</v>
      </c>
    </row>
    <row r="880" spans="1:29" x14ac:dyDescent="0.25">
      <c r="B880">
        <v>8.0100617050285797E+37</v>
      </c>
      <c r="C880">
        <v>41217865</v>
      </c>
      <c r="D880" t="s">
        <v>1247</v>
      </c>
      <c r="E880">
        <v>20000</v>
      </c>
      <c r="G880" t="s">
        <v>133</v>
      </c>
      <c r="H880">
        <v>23</v>
      </c>
      <c r="I880">
        <v>0.25</v>
      </c>
      <c r="J880">
        <v>5000</v>
      </c>
      <c r="K880">
        <v>20000</v>
      </c>
      <c r="AC880" t="s">
        <v>1788</v>
      </c>
    </row>
    <row r="881" spans="2:29" x14ac:dyDescent="0.25">
      <c r="C881">
        <v>41218407</v>
      </c>
      <c r="D881" t="s">
        <v>1079</v>
      </c>
      <c r="E881">
        <v>20000</v>
      </c>
      <c r="G881" t="s">
        <v>133</v>
      </c>
      <c r="H881">
        <v>330</v>
      </c>
      <c r="AC881" t="s">
        <v>1622</v>
      </c>
    </row>
    <row r="882" spans="2:29" x14ac:dyDescent="0.25">
      <c r="B882">
        <v>8010061705028580</v>
      </c>
      <c r="C882">
        <v>41217265</v>
      </c>
      <c r="D882" t="s">
        <v>1248</v>
      </c>
      <c r="E882">
        <v>12</v>
      </c>
      <c r="G882">
        <v>6200</v>
      </c>
      <c r="H882">
        <v>81</v>
      </c>
      <c r="I882">
        <v>8.82</v>
      </c>
      <c r="J882">
        <v>8.82</v>
      </c>
      <c r="K882">
        <v>1</v>
      </c>
      <c r="L882" t="s">
        <v>834</v>
      </c>
      <c r="AC882" t="s">
        <v>1789</v>
      </c>
    </row>
    <row r="883" spans="2:29" x14ac:dyDescent="0.25">
      <c r="C883">
        <v>41217331</v>
      </c>
      <c r="D883" t="s">
        <v>1081</v>
      </c>
      <c r="E883">
        <v>12</v>
      </c>
      <c r="AC883" t="s">
        <v>1624</v>
      </c>
    </row>
    <row r="884" spans="2:29" x14ac:dyDescent="0.25">
      <c r="B884">
        <v>8010061705028580</v>
      </c>
      <c r="C884">
        <v>41217223</v>
      </c>
      <c r="D884" t="s">
        <v>1249</v>
      </c>
      <c r="E884">
        <v>100</v>
      </c>
      <c r="G884" t="s">
        <v>186</v>
      </c>
      <c r="H884">
        <v>46</v>
      </c>
      <c r="I884">
        <v>2.86</v>
      </c>
      <c r="J884">
        <v>2.86</v>
      </c>
      <c r="K884">
        <v>1</v>
      </c>
      <c r="L884" t="s">
        <v>834</v>
      </c>
      <c r="AC884" t="s">
        <v>1790</v>
      </c>
    </row>
    <row r="885" spans="2:29" x14ac:dyDescent="0.25">
      <c r="C885" t="s">
        <v>1057</v>
      </c>
      <c r="D885" t="s">
        <v>1084</v>
      </c>
      <c r="E885">
        <v>100</v>
      </c>
      <c r="AC885" t="s">
        <v>1626</v>
      </c>
    </row>
    <row r="886" spans="2:29" x14ac:dyDescent="0.25">
      <c r="B886">
        <v>8010061705028580</v>
      </c>
      <c r="C886">
        <v>41219002</v>
      </c>
      <c r="D886" t="s">
        <v>1250</v>
      </c>
      <c r="E886">
        <v>1000</v>
      </c>
      <c r="G886" t="s">
        <v>131</v>
      </c>
      <c r="H886">
        <v>100</v>
      </c>
      <c r="J886">
        <v>0.25</v>
      </c>
      <c r="L886" t="s">
        <v>834</v>
      </c>
      <c r="AC886" t="s">
        <v>1791</v>
      </c>
    </row>
    <row r="887" spans="2:29" x14ac:dyDescent="0.25">
      <c r="C887">
        <v>41217865</v>
      </c>
      <c r="D887" t="s">
        <v>1086</v>
      </c>
      <c r="E887">
        <v>12</v>
      </c>
      <c r="G887" t="s">
        <v>143</v>
      </c>
      <c r="H887">
        <v>123</v>
      </c>
      <c r="J887">
        <v>3.4</v>
      </c>
      <c r="L887" t="s">
        <v>834</v>
      </c>
      <c r="AC887" t="s">
        <v>1628</v>
      </c>
    </row>
    <row r="888" spans="2:29" x14ac:dyDescent="0.25">
      <c r="C888">
        <v>41218064</v>
      </c>
      <c r="D888" t="s">
        <v>1087</v>
      </c>
      <c r="E888">
        <v>6</v>
      </c>
      <c r="G888" t="s">
        <v>141</v>
      </c>
      <c r="H888">
        <v>186</v>
      </c>
      <c r="J888">
        <v>3.4</v>
      </c>
      <c r="L888" t="s">
        <v>834</v>
      </c>
      <c r="AC888" t="s">
        <v>1629</v>
      </c>
    </row>
    <row r="889" spans="2:29" x14ac:dyDescent="0.25">
      <c r="C889">
        <v>41217697</v>
      </c>
      <c r="D889" t="s">
        <v>1088</v>
      </c>
      <c r="E889">
        <v>1000</v>
      </c>
      <c r="AC889" t="s">
        <v>1630</v>
      </c>
    </row>
    <row r="890" spans="2:29" x14ac:dyDescent="0.25">
      <c r="C890">
        <v>41218164</v>
      </c>
      <c r="D890" t="s">
        <v>1089</v>
      </c>
      <c r="E890">
        <v>12</v>
      </c>
      <c r="AC890" t="s">
        <v>1631</v>
      </c>
    </row>
    <row r="891" spans="2:29" x14ac:dyDescent="0.25">
      <c r="C891">
        <v>41217265</v>
      </c>
      <c r="D891" t="s">
        <v>1090</v>
      </c>
      <c r="E891">
        <v>6</v>
      </c>
      <c r="AC891" t="s">
        <v>1632</v>
      </c>
    </row>
    <row r="892" spans="2:29" x14ac:dyDescent="0.25">
      <c r="C892">
        <v>41218301</v>
      </c>
      <c r="D892" t="s">
        <v>1091</v>
      </c>
      <c r="E892">
        <v>250</v>
      </c>
      <c r="AC892" t="s">
        <v>1633</v>
      </c>
    </row>
    <row r="893" spans="2:29" x14ac:dyDescent="0.25">
      <c r="B893">
        <v>8.0100617050285804E+31</v>
      </c>
      <c r="C893">
        <v>41218897</v>
      </c>
      <c r="D893" t="s">
        <v>1251</v>
      </c>
      <c r="E893">
        <v>198</v>
      </c>
      <c r="G893" t="s">
        <v>151</v>
      </c>
      <c r="H893">
        <v>50</v>
      </c>
      <c r="I893">
        <v>1.7</v>
      </c>
      <c r="J893">
        <v>1.7</v>
      </c>
      <c r="K893">
        <v>1</v>
      </c>
      <c r="L893" t="s">
        <v>834</v>
      </c>
      <c r="AC893" t="s">
        <v>1792</v>
      </c>
    </row>
    <row r="894" spans="2:29" x14ac:dyDescent="0.25">
      <c r="C894" t="s">
        <v>1057</v>
      </c>
      <c r="D894" t="s">
        <v>1093</v>
      </c>
      <c r="E894">
        <v>198</v>
      </c>
      <c r="AC894" t="s">
        <v>1635</v>
      </c>
    </row>
    <row r="895" spans="2:29" x14ac:dyDescent="0.25">
      <c r="B895">
        <v>8010061705028580</v>
      </c>
      <c r="C895">
        <v>41219042</v>
      </c>
      <c r="D895" t="s">
        <v>1252</v>
      </c>
      <c r="E895">
        <v>612</v>
      </c>
      <c r="G895" t="s">
        <v>174</v>
      </c>
      <c r="H895">
        <v>69</v>
      </c>
      <c r="I895">
        <v>0.56000000000000005</v>
      </c>
      <c r="J895">
        <v>268.8</v>
      </c>
      <c r="K895">
        <v>480</v>
      </c>
      <c r="L895" t="s">
        <v>834</v>
      </c>
      <c r="AC895" t="s">
        <v>1793</v>
      </c>
    </row>
    <row r="896" spans="2:29" x14ac:dyDescent="0.25">
      <c r="C896">
        <v>41217938</v>
      </c>
      <c r="D896" t="s">
        <v>1095</v>
      </c>
      <c r="E896">
        <v>612</v>
      </c>
      <c r="G896" t="s">
        <v>146</v>
      </c>
      <c r="H896">
        <v>92</v>
      </c>
      <c r="I896">
        <v>1.7</v>
      </c>
      <c r="J896">
        <v>1.7</v>
      </c>
      <c r="K896">
        <v>1</v>
      </c>
      <c r="L896" t="s">
        <v>834</v>
      </c>
      <c r="AC896" t="s">
        <v>1637</v>
      </c>
    </row>
    <row r="897" spans="1:29" x14ac:dyDescent="0.25">
      <c r="C897">
        <v>41218301</v>
      </c>
      <c r="D897" t="s">
        <v>1096</v>
      </c>
      <c r="E897">
        <v>480</v>
      </c>
      <c r="G897" t="s">
        <v>149</v>
      </c>
      <c r="H897">
        <v>140</v>
      </c>
      <c r="I897">
        <v>1.7</v>
      </c>
      <c r="J897">
        <v>612</v>
      </c>
      <c r="K897">
        <v>360</v>
      </c>
      <c r="L897" t="s">
        <v>834</v>
      </c>
      <c r="AC897" t="s">
        <v>1638</v>
      </c>
    </row>
    <row r="898" spans="1:29" x14ac:dyDescent="0.25">
      <c r="C898">
        <v>41217180</v>
      </c>
      <c r="D898" t="s">
        <v>1097</v>
      </c>
      <c r="E898">
        <v>360</v>
      </c>
      <c r="G898" t="s">
        <v>150</v>
      </c>
      <c r="H898">
        <v>211</v>
      </c>
      <c r="I898">
        <v>1.7</v>
      </c>
      <c r="J898">
        <v>1.7</v>
      </c>
      <c r="K898">
        <v>1</v>
      </c>
      <c r="L898" t="s">
        <v>834</v>
      </c>
      <c r="AC898" t="s">
        <v>1639</v>
      </c>
    </row>
    <row r="899" spans="1:29" x14ac:dyDescent="0.25">
      <c r="C899">
        <v>41218407</v>
      </c>
      <c r="D899" t="s">
        <v>1099</v>
      </c>
      <c r="E899">
        <v>360</v>
      </c>
      <c r="J899">
        <v>612</v>
      </c>
      <c r="K899">
        <v>1</v>
      </c>
      <c r="L899" t="s">
        <v>834</v>
      </c>
      <c r="AC899" t="s">
        <v>1640</v>
      </c>
    </row>
    <row r="900" spans="1:29" x14ac:dyDescent="0.25">
      <c r="C900">
        <v>41217697</v>
      </c>
      <c r="D900" t="s">
        <v>1100</v>
      </c>
      <c r="E900">
        <v>360</v>
      </c>
      <c r="J900">
        <v>1.7</v>
      </c>
      <c r="K900">
        <v>1</v>
      </c>
      <c r="L900" t="s">
        <v>834</v>
      </c>
      <c r="AC900" t="s">
        <v>1641</v>
      </c>
    </row>
    <row r="901" spans="1:29" x14ac:dyDescent="0.25">
      <c r="C901">
        <v>41218405</v>
      </c>
      <c r="D901" t="s">
        <v>1101</v>
      </c>
      <c r="E901">
        <v>480</v>
      </c>
      <c r="J901">
        <v>612</v>
      </c>
      <c r="K901">
        <v>1</v>
      </c>
      <c r="L901" t="s">
        <v>834</v>
      </c>
      <c r="AC901" t="s">
        <v>1642</v>
      </c>
    </row>
    <row r="902" spans="1:29" x14ac:dyDescent="0.25">
      <c r="C902">
        <v>41217793</v>
      </c>
      <c r="D902" t="s">
        <v>1102</v>
      </c>
      <c r="E902">
        <v>360</v>
      </c>
      <c r="J902">
        <v>0.56000000000000005</v>
      </c>
      <c r="K902">
        <v>1</v>
      </c>
      <c r="L902" t="s">
        <v>834</v>
      </c>
      <c r="AC902" t="s">
        <v>1643</v>
      </c>
    </row>
    <row r="903" spans="1:29" x14ac:dyDescent="0.25">
      <c r="C903">
        <v>41218407</v>
      </c>
      <c r="D903" t="s">
        <v>1103</v>
      </c>
      <c r="E903">
        <v>360</v>
      </c>
      <c r="AC903" t="s">
        <v>1644</v>
      </c>
    </row>
    <row r="904" spans="1:29" x14ac:dyDescent="0.25">
      <c r="C904">
        <v>41217223</v>
      </c>
      <c r="D904" t="s">
        <v>1104</v>
      </c>
      <c r="E904">
        <v>360</v>
      </c>
      <c r="AC904" t="s">
        <v>1645</v>
      </c>
    </row>
    <row r="905" spans="1:29" x14ac:dyDescent="0.25">
      <c r="A905" t="s">
        <v>680</v>
      </c>
      <c r="B905">
        <v>8.0100617050285804E+31</v>
      </c>
      <c r="C905">
        <v>41217317</v>
      </c>
      <c r="D905" t="s">
        <v>1253</v>
      </c>
      <c r="E905">
        <v>4</v>
      </c>
      <c r="I905">
        <v>13.99</v>
      </c>
      <c r="J905">
        <v>3.99</v>
      </c>
      <c r="K905">
        <v>0.28520371694067193</v>
      </c>
      <c r="L905" t="s">
        <v>834</v>
      </c>
      <c r="AC905" t="s">
        <v>1794</v>
      </c>
    </row>
    <row r="906" spans="1:29" x14ac:dyDescent="0.25">
      <c r="C906">
        <v>41217334</v>
      </c>
      <c r="D906" t="s">
        <v>1106</v>
      </c>
      <c r="E906">
        <v>4</v>
      </c>
      <c r="J906">
        <v>55.96</v>
      </c>
      <c r="K906">
        <v>0.28520371694067193</v>
      </c>
      <c r="L906" t="s">
        <v>834</v>
      </c>
      <c r="AC906" t="s">
        <v>1647</v>
      </c>
    </row>
    <row r="907" spans="1:29" x14ac:dyDescent="0.25">
      <c r="B907">
        <v>8010061705028580</v>
      </c>
      <c r="C907">
        <v>41218860</v>
      </c>
      <c r="D907" t="s">
        <v>1254</v>
      </c>
      <c r="E907">
        <v>600</v>
      </c>
      <c r="G907" t="s">
        <v>125</v>
      </c>
      <c r="H907">
        <v>67</v>
      </c>
      <c r="I907">
        <v>0.67</v>
      </c>
      <c r="J907">
        <v>0.67</v>
      </c>
      <c r="K907">
        <v>1</v>
      </c>
      <c r="L907" t="s">
        <v>834</v>
      </c>
      <c r="AC907" t="s">
        <v>1795</v>
      </c>
    </row>
    <row r="908" spans="1:29" x14ac:dyDescent="0.25">
      <c r="C908">
        <v>41218405</v>
      </c>
      <c r="D908" t="s">
        <v>1108</v>
      </c>
      <c r="E908">
        <v>240</v>
      </c>
      <c r="G908">
        <v>501</v>
      </c>
      <c r="H908">
        <v>142</v>
      </c>
      <c r="I908">
        <v>1.3</v>
      </c>
      <c r="J908">
        <v>1.3</v>
      </c>
      <c r="K908">
        <v>1</v>
      </c>
      <c r="L908" t="s">
        <v>834</v>
      </c>
      <c r="AC908" t="s">
        <v>1649</v>
      </c>
    </row>
    <row r="909" spans="1:29" x14ac:dyDescent="0.25">
      <c r="C909">
        <v>41217336</v>
      </c>
      <c r="D909" t="s">
        <v>1109</v>
      </c>
      <c r="E909">
        <v>60</v>
      </c>
      <c r="G909">
        <v>6885</v>
      </c>
      <c r="H909">
        <v>163</v>
      </c>
      <c r="I909">
        <v>1.78</v>
      </c>
      <c r="J909">
        <v>1.78</v>
      </c>
      <c r="K909">
        <v>1</v>
      </c>
      <c r="L909" t="s">
        <v>834</v>
      </c>
      <c r="AC909" t="s">
        <v>1650</v>
      </c>
    </row>
    <row r="910" spans="1:29" x14ac:dyDescent="0.25">
      <c r="C910">
        <v>41217265</v>
      </c>
      <c r="D910" t="s">
        <v>1110</v>
      </c>
      <c r="E910">
        <v>24</v>
      </c>
      <c r="G910">
        <v>6800</v>
      </c>
      <c r="H910">
        <v>220</v>
      </c>
      <c r="I910">
        <v>94</v>
      </c>
      <c r="J910">
        <v>94</v>
      </c>
      <c r="K910">
        <v>1</v>
      </c>
      <c r="L910" t="s">
        <v>834</v>
      </c>
      <c r="AC910" t="s">
        <v>1651</v>
      </c>
    </row>
    <row r="911" spans="1:29" x14ac:dyDescent="0.25">
      <c r="C911">
        <v>41218301</v>
      </c>
      <c r="D911" t="s">
        <v>1111</v>
      </c>
      <c r="E911">
        <v>600</v>
      </c>
      <c r="AC911" t="s">
        <v>1652</v>
      </c>
    </row>
    <row r="912" spans="1:29" x14ac:dyDescent="0.25">
      <c r="C912">
        <v>41217223</v>
      </c>
      <c r="D912" t="s">
        <v>1113</v>
      </c>
      <c r="E912">
        <v>240</v>
      </c>
      <c r="AC912" t="s">
        <v>1654</v>
      </c>
    </row>
    <row r="913" spans="2:29" x14ac:dyDescent="0.25">
      <c r="C913">
        <v>41217180</v>
      </c>
      <c r="D913" t="s">
        <v>1114</v>
      </c>
      <c r="E913">
        <v>60</v>
      </c>
      <c r="AC913" t="s">
        <v>1655</v>
      </c>
    </row>
    <row r="914" spans="2:29" x14ac:dyDescent="0.25">
      <c r="C914">
        <v>41218407</v>
      </c>
      <c r="D914" t="s">
        <v>1115</v>
      </c>
      <c r="E914">
        <v>24</v>
      </c>
      <c r="AC914" t="s">
        <v>1656</v>
      </c>
    </row>
    <row r="915" spans="2:29" x14ac:dyDescent="0.25">
      <c r="B915">
        <v>8.0100611705028496E+16</v>
      </c>
      <c r="C915">
        <v>41218405</v>
      </c>
      <c r="D915" t="s">
        <v>1255</v>
      </c>
      <c r="E915">
        <v>422</v>
      </c>
      <c r="G915" t="s">
        <v>168</v>
      </c>
      <c r="H915">
        <v>117</v>
      </c>
      <c r="I915">
        <v>0.51</v>
      </c>
      <c r="J915">
        <v>0.51</v>
      </c>
      <c r="K915">
        <v>1</v>
      </c>
      <c r="L915" t="s">
        <v>834</v>
      </c>
      <c r="AC915" t="s">
        <v>1796</v>
      </c>
    </row>
    <row r="916" spans="2:29" x14ac:dyDescent="0.25">
      <c r="C916">
        <v>41218301</v>
      </c>
      <c r="D916" t="s">
        <v>1117</v>
      </c>
      <c r="E916">
        <v>10</v>
      </c>
      <c r="G916" t="s">
        <v>161</v>
      </c>
      <c r="H916">
        <v>169</v>
      </c>
      <c r="I916">
        <v>1.3</v>
      </c>
      <c r="J916">
        <v>1.3</v>
      </c>
      <c r="K916">
        <v>1</v>
      </c>
      <c r="L916" t="s">
        <v>834</v>
      </c>
      <c r="AC916" t="s">
        <v>1658</v>
      </c>
    </row>
    <row r="917" spans="2:29" x14ac:dyDescent="0.25">
      <c r="C917">
        <v>41217223</v>
      </c>
      <c r="D917" t="s">
        <v>1118</v>
      </c>
      <c r="E917">
        <v>300</v>
      </c>
      <c r="I917">
        <v>18</v>
      </c>
      <c r="J917">
        <v>18</v>
      </c>
      <c r="K917">
        <v>1</v>
      </c>
      <c r="L917" t="s">
        <v>834</v>
      </c>
      <c r="AC917" t="s">
        <v>1659</v>
      </c>
    </row>
    <row r="918" spans="2:29" x14ac:dyDescent="0.25">
      <c r="C918">
        <v>41217180</v>
      </c>
      <c r="D918" t="s">
        <v>1119</v>
      </c>
      <c r="E918">
        <v>422</v>
      </c>
      <c r="AC918" t="s">
        <v>1660</v>
      </c>
    </row>
    <row r="919" spans="2:29" x14ac:dyDescent="0.25">
      <c r="C919">
        <v>41217265</v>
      </c>
      <c r="D919" t="s">
        <v>1120</v>
      </c>
      <c r="E919">
        <v>10</v>
      </c>
      <c r="AC919" t="s">
        <v>1661</v>
      </c>
    </row>
    <row r="920" spans="2:29" x14ac:dyDescent="0.25">
      <c r="C920">
        <v>41217265</v>
      </c>
      <c r="D920" t="s">
        <v>1121</v>
      </c>
      <c r="E920">
        <v>300</v>
      </c>
      <c r="AC920" t="s">
        <v>1662</v>
      </c>
    </row>
    <row r="921" spans="2:29" x14ac:dyDescent="0.25">
      <c r="B921">
        <v>1.8010061705028499E+30</v>
      </c>
      <c r="C921">
        <v>41217695</v>
      </c>
      <c r="D921" t="s">
        <v>1256</v>
      </c>
      <c r="E921">
        <v>2</v>
      </c>
      <c r="G921" t="s">
        <v>227</v>
      </c>
      <c r="H921">
        <v>93</v>
      </c>
      <c r="I921">
        <v>13.99</v>
      </c>
      <c r="J921">
        <v>13.99</v>
      </c>
      <c r="K921">
        <v>1</v>
      </c>
      <c r="L921" t="s">
        <v>834</v>
      </c>
      <c r="AC921" t="s">
        <v>1797</v>
      </c>
    </row>
    <row r="922" spans="2:29" x14ac:dyDescent="0.25">
      <c r="C922">
        <v>41217866</v>
      </c>
      <c r="D922" t="s">
        <v>1125</v>
      </c>
      <c r="E922">
        <v>10</v>
      </c>
      <c r="G922" t="s">
        <v>64</v>
      </c>
      <c r="H922">
        <v>137</v>
      </c>
      <c r="I922">
        <v>13.99</v>
      </c>
      <c r="J922">
        <v>13.99</v>
      </c>
      <c r="K922">
        <v>1</v>
      </c>
      <c r="L922" t="s">
        <v>834</v>
      </c>
      <c r="AC922" t="s">
        <v>1666</v>
      </c>
    </row>
    <row r="923" spans="2:29" x14ac:dyDescent="0.25">
      <c r="C923">
        <v>41217793</v>
      </c>
      <c r="D923" t="s">
        <v>1126</v>
      </c>
      <c r="E923">
        <v>10</v>
      </c>
      <c r="G923" t="s">
        <v>369</v>
      </c>
      <c r="H923">
        <v>183</v>
      </c>
      <c r="I923">
        <v>13.99</v>
      </c>
      <c r="J923">
        <v>13.99</v>
      </c>
      <c r="K923">
        <v>1</v>
      </c>
      <c r="L923" t="s">
        <v>834</v>
      </c>
      <c r="AC923" t="s">
        <v>1667</v>
      </c>
    </row>
    <row r="924" spans="2:29" x14ac:dyDescent="0.25">
      <c r="C924">
        <v>41218405</v>
      </c>
      <c r="D924" t="s">
        <v>1127</v>
      </c>
      <c r="E924">
        <v>20</v>
      </c>
      <c r="G924" t="s">
        <v>65</v>
      </c>
      <c r="H924">
        <v>228</v>
      </c>
      <c r="I924">
        <v>13.99</v>
      </c>
      <c r="J924">
        <v>13.99</v>
      </c>
      <c r="K924">
        <v>1</v>
      </c>
      <c r="L924" t="s">
        <v>834</v>
      </c>
      <c r="AC924" t="s">
        <v>1668</v>
      </c>
    </row>
    <row r="925" spans="2:29" x14ac:dyDescent="0.25">
      <c r="C925">
        <v>41218064</v>
      </c>
      <c r="D925" t="s">
        <v>1128</v>
      </c>
      <c r="E925">
        <v>2</v>
      </c>
      <c r="I925">
        <v>13.99</v>
      </c>
      <c r="AC925" t="s">
        <v>1669</v>
      </c>
    </row>
    <row r="926" spans="2:29" x14ac:dyDescent="0.25">
      <c r="C926">
        <v>41217696</v>
      </c>
      <c r="D926" t="s">
        <v>1129</v>
      </c>
      <c r="E926">
        <v>2</v>
      </c>
      <c r="AC926" t="s">
        <v>1670</v>
      </c>
    </row>
    <row r="927" spans="2:29" x14ac:dyDescent="0.25">
      <c r="C927">
        <v>41217865</v>
      </c>
      <c r="D927" t="s">
        <v>1130</v>
      </c>
      <c r="E927">
        <v>10</v>
      </c>
      <c r="AC927" t="s">
        <v>1671</v>
      </c>
    </row>
    <row r="928" spans="2:29" x14ac:dyDescent="0.25">
      <c r="C928" t="s">
        <v>1057</v>
      </c>
      <c r="D928" t="s">
        <v>1131</v>
      </c>
      <c r="E928">
        <v>10</v>
      </c>
      <c r="AC928" t="s">
        <v>1672</v>
      </c>
    </row>
    <row r="929" spans="1:29" x14ac:dyDescent="0.25">
      <c r="C929">
        <v>41218145</v>
      </c>
      <c r="D929" t="s">
        <v>1132</v>
      </c>
      <c r="E929">
        <v>20</v>
      </c>
      <c r="AC929" t="s">
        <v>1673</v>
      </c>
    </row>
    <row r="930" spans="1:29" x14ac:dyDescent="0.25">
      <c r="C930">
        <v>41217336</v>
      </c>
      <c r="D930" t="s">
        <v>1133</v>
      </c>
      <c r="E930">
        <v>2</v>
      </c>
      <c r="AC930" t="s">
        <v>1674</v>
      </c>
    </row>
    <row r="931" spans="1:29" x14ac:dyDescent="0.25">
      <c r="A931" t="s">
        <v>837</v>
      </c>
      <c r="B931">
        <v>7.0001010100047995E+18</v>
      </c>
      <c r="C931" t="s">
        <v>1244</v>
      </c>
      <c r="D931" t="s">
        <v>1257</v>
      </c>
      <c r="E931">
        <v>2000</v>
      </c>
      <c r="G931" t="s">
        <v>152</v>
      </c>
      <c r="H931">
        <v>65</v>
      </c>
      <c r="I931">
        <v>2.1</v>
      </c>
      <c r="J931">
        <v>2.1</v>
      </c>
      <c r="K931">
        <v>1</v>
      </c>
      <c r="L931" t="s">
        <v>834</v>
      </c>
      <c r="AC931" t="s">
        <v>1798</v>
      </c>
    </row>
    <row r="932" spans="1:29" x14ac:dyDescent="0.25">
      <c r="C932">
        <v>41218405</v>
      </c>
      <c r="D932" t="s">
        <v>1135</v>
      </c>
      <c r="E932">
        <v>2000</v>
      </c>
      <c r="J932">
        <v>4200</v>
      </c>
      <c r="K932">
        <v>1</v>
      </c>
      <c r="L932" t="s">
        <v>834</v>
      </c>
      <c r="AC932" t="s">
        <v>1676</v>
      </c>
    </row>
    <row r="933" spans="1:29" x14ac:dyDescent="0.25">
      <c r="B933">
        <v>1.0000005022901801E+29</v>
      </c>
      <c r="C933">
        <v>41217265</v>
      </c>
      <c r="D933" t="s">
        <v>1258</v>
      </c>
      <c r="E933">
        <v>24</v>
      </c>
      <c r="G933">
        <v>6200</v>
      </c>
      <c r="H933">
        <v>85</v>
      </c>
      <c r="I933">
        <v>8.82</v>
      </c>
      <c r="J933">
        <v>8.82</v>
      </c>
      <c r="K933">
        <v>1</v>
      </c>
      <c r="L933" t="s">
        <v>834</v>
      </c>
      <c r="AC933" t="s">
        <v>1799</v>
      </c>
    </row>
    <row r="934" spans="1:29" x14ac:dyDescent="0.25">
      <c r="C934">
        <v>41217223</v>
      </c>
      <c r="D934" t="s">
        <v>1137</v>
      </c>
      <c r="E934">
        <v>24</v>
      </c>
      <c r="J934">
        <v>15.19</v>
      </c>
      <c r="K934">
        <v>1</v>
      </c>
      <c r="L934" t="s">
        <v>834</v>
      </c>
      <c r="AC934" t="s">
        <v>1678</v>
      </c>
    </row>
    <row r="935" spans="1:29" x14ac:dyDescent="0.25">
      <c r="B935">
        <v>8010061705028580</v>
      </c>
      <c r="C935">
        <v>41219042</v>
      </c>
      <c r="D935" t="s">
        <v>1259</v>
      </c>
      <c r="E935">
        <v>170</v>
      </c>
      <c r="G935" t="s">
        <v>146</v>
      </c>
      <c r="H935">
        <v>61</v>
      </c>
      <c r="I935">
        <v>1.7</v>
      </c>
      <c r="J935">
        <v>1.7</v>
      </c>
      <c r="K935">
        <v>1</v>
      </c>
      <c r="L935" t="s">
        <v>834</v>
      </c>
      <c r="AC935" t="s">
        <v>1800</v>
      </c>
    </row>
    <row r="936" spans="1:29" x14ac:dyDescent="0.25">
      <c r="C936">
        <v>41217180</v>
      </c>
      <c r="D936" t="s">
        <v>1139</v>
      </c>
      <c r="E936">
        <v>170</v>
      </c>
      <c r="J936">
        <v>170</v>
      </c>
      <c r="K936">
        <v>1</v>
      </c>
      <c r="L936" t="s">
        <v>834</v>
      </c>
      <c r="AC936" t="s">
        <v>1680</v>
      </c>
    </row>
    <row r="937" spans="1:29" x14ac:dyDescent="0.25">
      <c r="C937">
        <v>41217697</v>
      </c>
      <c r="D937" t="s">
        <v>1140</v>
      </c>
      <c r="E937">
        <v>100</v>
      </c>
      <c r="AC937" t="s">
        <v>1681</v>
      </c>
    </row>
    <row r="938" spans="1:29" x14ac:dyDescent="0.25">
      <c r="C938">
        <v>41217793</v>
      </c>
      <c r="D938" t="s">
        <v>1141</v>
      </c>
      <c r="E938">
        <v>100</v>
      </c>
      <c r="AC938" t="s">
        <v>1682</v>
      </c>
    </row>
    <row r="939" spans="1:29" x14ac:dyDescent="0.25">
      <c r="B939">
        <v>8010061705028580</v>
      </c>
      <c r="C939">
        <v>41218898</v>
      </c>
      <c r="D939" t="s">
        <v>1260</v>
      </c>
      <c r="E939">
        <v>1200</v>
      </c>
      <c r="G939" t="s">
        <v>127</v>
      </c>
      <c r="H939">
        <v>63</v>
      </c>
      <c r="I939">
        <v>0.25</v>
      </c>
      <c r="J939">
        <v>0.25</v>
      </c>
      <c r="K939">
        <v>1</v>
      </c>
      <c r="L939" t="s">
        <v>834</v>
      </c>
      <c r="AC939" t="s">
        <v>1801</v>
      </c>
    </row>
    <row r="940" spans="1:29" x14ac:dyDescent="0.25">
      <c r="C940" t="s">
        <v>1057</v>
      </c>
      <c r="D940" t="s">
        <v>1143</v>
      </c>
      <c r="E940">
        <v>1200</v>
      </c>
      <c r="AC940" t="s">
        <v>1684</v>
      </c>
    </row>
    <row r="941" spans="1:29" x14ac:dyDescent="0.25">
      <c r="C941">
        <v>41217223</v>
      </c>
      <c r="D941" t="s">
        <v>1144</v>
      </c>
      <c r="E941">
        <v>300</v>
      </c>
      <c r="AC941" t="s">
        <v>1685</v>
      </c>
    </row>
    <row r="942" spans="1:29" x14ac:dyDescent="0.25">
      <c r="B942">
        <v>8.0100617050285797E+36</v>
      </c>
      <c r="C942">
        <v>41219002</v>
      </c>
      <c r="D942" t="s">
        <v>1261</v>
      </c>
      <c r="E942">
        <v>2000</v>
      </c>
      <c r="G942" t="s">
        <v>131</v>
      </c>
      <c r="H942">
        <v>83</v>
      </c>
      <c r="J942">
        <v>0.25</v>
      </c>
      <c r="L942" t="s">
        <v>834</v>
      </c>
      <c r="AC942" t="s">
        <v>1802</v>
      </c>
    </row>
    <row r="943" spans="1:29" x14ac:dyDescent="0.25">
      <c r="C943">
        <v>41217265</v>
      </c>
      <c r="D943" t="s">
        <v>1146</v>
      </c>
      <c r="E943">
        <v>10</v>
      </c>
      <c r="G943" t="s">
        <v>141</v>
      </c>
      <c r="H943">
        <v>102</v>
      </c>
      <c r="J943">
        <v>3.4</v>
      </c>
      <c r="L943" t="s">
        <v>834</v>
      </c>
      <c r="AC943" t="s">
        <v>1687</v>
      </c>
    </row>
    <row r="944" spans="1:29" x14ac:dyDescent="0.25">
      <c r="C944">
        <v>41217223</v>
      </c>
      <c r="D944" t="s">
        <v>1147</v>
      </c>
      <c r="E944">
        <v>2000</v>
      </c>
      <c r="AC944" t="s">
        <v>1688</v>
      </c>
    </row>
    <row r="945" spans="2:29" x14ac:dyDescent="0.25">
      <c r="C945">
        <v>41218164</v>
      </c>
      <c r="D945" t="s">
        <v>1148</v>
      </c>
      <c r="E945">
        <v>10</v>
      </c>
      <c r="AC945" t="s">
        <v>1689</v>
      </c>
    </row>
    <row r="946" spans="2:29" x14ac:dyDescent="0.25">
      <c r="B946">
        <v>8010061705028580</v>
      </c>
      <c r="C946">
        <v>41218301</v>
      </c>
      <c r="D946" t="s">
        <v>1262</v>
      </c>
      <c r="E946">
        <v>2000</v>
      </c>
      <c r="G946" t="s">
        <v>156</v>
      </c>
      <c r="H946">
        <v>51</v>
      </c>
      <c r="I946">
        <v>0.33</v>
      </c>
      <c r="J946">
        <v>0.33</v>
      </c>
      <c r="K946">
        <v>1</v>
      </c>
      <c r="L946" t="s">
        <v>834</v>
      </c>
      <c r="AC946" t="s">
        <v>1803</v>
      </c>
    </row>
    <row r="947" spans="2:29" x14ac:dyDescent="0.25">
      <c r="C947">
        <v>41218405</v>
      </c>
      <c r="D947" t="s">
        <v>1150</v>
      </c>
      <c r="E947">
        <v>2000</v>
      </c>
      <c r="AC947" t="s">
        <v>831</v>
      </c>
    </row>
    <row r="948" spans="2:29" x14ac:dyDescent="0.25">
      <c r="B948">
        <v>8010061705028580</v>
      </c>
      <c r="C948">
        <v>41218405</v>
      </c>
      <c r="D948" t="s">
        <v>1263</v>
      </c>
      <c r="E948">
        <v>50</v>
      </c>
      <c r="G948" t="s">
        <v>168</v>
      </c>
      <c r="H948">
        <v>47</v>
      </c>
      <c r="I948">
        <v>1.3</v>
      </c>
      <c r="J948">
        <v>1.3</v>
      </c>
      <c r="K948">
        <v>1</v>
      </c>
      <c r="L948" t="s">
        <v>834</v>
      </c>
      <c r="AC948" t="s">
        <v>1804</v>
      </c>
    </row>
    <row r="949" spans="2:29" x14ac:dyDescent="0.25">
      <c r="C949">
        <v>41217793</v>
      </c>
      <c r="D949" t="s">
        <v>1152</v>
      </c>
      <c r="E949">
        <v>50</v>
      </c>
      <c r="AC949" t="s">
        <v>1691</v>
      </c>
    </row>
    <row r="950" spans="2:29" x14ac:dyDescent="0.25">
      <c r="B950">
        <v>8.0100617050285794E+35</v>
      </c>
      <c r="C950">
        <v>41218857</v>
      </c>
      <c r="D950" t="s">
        <v>1264</v>
      </c>
      <c r="E950">
        <v>5000</v>
      </c>
      <c r="G950" t="s">
        <v>117</v>
      </c>
      <c r="H950">
        <v>66</v>
      </c>
      <c r="I950">
        <v>0.27</v>
      </c>
      <c r="J950">
        <v>0.27</v>
      </c>
      <c r="K950">
        <v>1</v>
      </c>
      <c r="L950" t="s">
        <v>834</v>
      </c>
      <c r="AC950" t="s">
        <v>1805</v>
      </c>
    </row>
    <row r="951" spans="2:29" x14ac:dyDescent="0.25">
      <c r="C951">
        <v>41218064</v>
      </c>
      <c r="D951" t="s">
        <v>1154</v>
      </c>
      <c r="E951">
        <v>5000</v>
      </c>
      <c r="AC951" t="s">
        <v>1693</v>
      </c>
    </row>
    <row r="952" spans="2:29" x14ac:dyDescent="0.25">
      <c r="C952">
        <v>41217223</v>
      </c>
      <c r="D952" t="s">
        <v>1155</v>
      </c>
      <c r="E952">
        <v>1</v>
      </c>
      <c r="AC952" t="s">
        <v>1694</v>
      </c>
    </row>
    <row r="953" spans="2:29" x14ac:dyDescent="0.25">
      <c r="B953">
        <v>8010061705028580</v>
      </c>
      <c r="C953">
        <v>41218860</v>
      </c>
      <c r="D953" t="s">
        <v>1265</v>
      </c>
      <c r="E953">
        <v>350</v>
      </c>
      <c r="G953" t="s">
        <v>138</v>
      </c>
      <c r="H953">
        <v>80</v>
      </c>
      <c r="J953">
        <v>3.4</v>
      </c>
      <c r="L953" t="s">
        <v>834</v>
      </c>
      <c r="AC953" t="s">
        <v>1806</v>
      </c>
    </row>
    <row r="954" spans="2:29" x14ac:dyDescent="0.25">
      <c r="C954">
        <v>41217265</v>
      </c>
      <c r="D954" t="s">
        <v>1157</v>
      </c>
      <c r="E954">
        <v>350</v>
      </c>
      <c r="AC954" t="s">
        <v>1696</v>
      </c>
    </row>
    <row r="955" spans="2:29" x14ac:dyDescent="0.25">
      <c r="B955">
        <v>8010061705028580</v>
      </c>
      <c r="C955">
        <v>41219002</v>
      </c>
      <c r="D955" t="s">
        <v>1266</v>
      </c>
      <c r="E955">
        <v>1500</v>
      </c>
      <c r="G955" t="s">
        <v>131</v>
      </c>
      <c r="H955">
        <v>46</v>
      </c>
      <c r="I955">
        <v>0.25</v>
      </c>
      <c r="J955">
        <v>0.25</v>
      </c>
      <c r="K955">
        <v>1</v>
      </c>
      <c r="L955" t="s">
        <v>834</v>
      </c>
      <c r="AC955" t="s">
        <v>1807</v>
      </c>
    </row>
    <row r="956" spans="2:29" x14ac:dyDescent="0.25">
      <c r="C956">
        <v>41217223</v>
      </c>
      <c r="D956" t="s">
        <v>1159</v>
      </c>
      <c r="E956">
        <v>10</v>
      </c>
      <c r="G956" t="s">
        <v>141</v>
      </c>
      <c r="H956">
        <v>142</v>
      </c>
      <c r="I956">
        <v>3.4</v>
      </c>
      <c r="J956">
        <v>3.4</v>
      </c>
      <c r="K956">
        <v>1</v>
      </c>
      <c r="L956" t="s">
        <v>834</v>
      </c>
      <c r="AC956" t="s">
        <v>1699</v>
      </c>
    </row>
    <row r="957" spans="2:29" x14ac:dyDescent="0.25">
      <c r="C957">
        <v>41217265</v>
      </c>
      <c r="D957" t="s">
        <v>1160</v>
      </c>
      <c r="E957">
        <v>10</v>
      </c>
      <c r="G957" t="s">
        <v>143</v>
      </c>
      <c r="H957">
        <v>171</v>
      </c>
      <c r="I957">
        <v>3.4</v>
      </c>
      <c r="J957">
        <v>3.4</v>
      </c>
      <c r="K957">
        <v>1</v>
      </c>
      <c r="L957" t="s">
        <v>834</v>
      </c>
      <c r="AC957" t="s">
        <v>1700</v>
      </c>
    </row>
    <row r="958" spans="2:29" x14ac:dyDescent="0.25">
      <c r="C958">
        <v>41217180</v>
      </c>
      <c r="D958" t="s">
        <v>1161</v>
      </c>
      <c r="E958">
        <v>1500</v>
      </c>
      <c r="AC958" t="s">
        <v>1701</v>
      </c>
    </row>
    <row r="959" spans="2:29" x14ac:dyDescent="0.25">
      <c r="C959">
        <v>41218405</v>
      </c>
      <c r="D959" t="s">
        <v>1162</v>
      </c>
      <c r="E959">
        <v>10</v>
      </c>
      <c r="AC959" t="s">
        <v>1702</v>
      </c>
    </row>
    <row r="960" spans="2:29" x14ac:dyDescent="0.25">
      <c r="C960">
        <v>41217334</v>
      </c>
      <c r="D960" t="s">
        <v>1163</v>
      </c>
      <c r="E960">
        <v>10</v>
      </c>
      <c r="AC960" t="s">
        <v>1703</v>
      </c>
    </row>
    <row r="961" spans="2:29" x14ac:dyDescent="0.25">
      <c r="C961">
        <v>41217793</v>
      </c>
      <c r="D961" t="s">
        <v>1164</v>
      </c>
      <c r="E961">
        <v>34</v>
      </c>
      <c r="AC961" t="s">
        <v>1704</v>
      </c>
    </row>
    <row r="962" spans="2:29" x14ac:dyDescent="0.25">
      <c r="B962">
        <v>8010061705028580</v>
      </c>
      <c r="C962">
        <v>41219042</v>
      </c>
      <c r="D962" t="s">
        <v>1267</v>
      </c>
      <c r="E962">
        <v>480</v>
      </c>
      <c r="G962" t="s">
        <v>174</v>
      </c>
      <c r="H962">
        <v>81</v>
      </c>
      <c r="I962">
        <v>0.56000000000000005</v>
      </c>
      <c r="J962">
        <v>0.56000000000000005</v>
      </c>
      <c r="K962">
        <v>1</v>
      </c>
      <c r="L962" t="s">
        <v>834</v>
      </c>
      <c r="AC962" t="s">
        <v>1808</v>
      </c>
    </row>
    <row r="963" spans="2:29" x14ac:dyDescent="0.25">
      <c r="C963">
        <v>41217864</v>
      </c>
      <c r="D963" t="s">
        <v>1166</v>
      </c>
      <c r="E963">
        <v>480</v>
      </c>
      <c r="G963" t="s">
        <v>146</v>
      </c>
      <c r="H963">
        <v>104</v>
      </c>
      <c r="I963">
        <v>1.7</v>
      </c>
      <c r="J963">
        <v>268.8</v>
      </c>
      <c r="K963">
        <v>158.11764705882354</v>
      </c>
      <c r="L963" t="s">
        <v>834</v>
      </c>
      <c r="AC963" t="s">
        <v>1706</v>
      </c>
    </row>
    <row r="964" spans="2:29" x14ac:dyDescent="0.25">
      <c r="C964" t="s">
        <v>1167</v>
      </c>
      <c r="D964" t="s">
        <v>1168</v>
      </c>
      <c r="E964">
        <v>816</v>
      </c>
      <c r="J964">
        <v>1.7</v>
      </c>
      <c r="K964">
        <v>158.11764705882354</v>
      </c>
      <c r="L964" t="s">
        <v>834</v>
      </c>
      <c r="AC964" t="s">
        <v>1707</v>
      </c>
    </row>
    <row r="965" spans="2:29" x14ac:dyDescent="0.25">
      <c r="C965">
        <v>41217265</v>
      </c>
      <c r="D965" t="s">
        <v>1169</v>
      </c>
      <c r="E965">
        <v>480</v>
      </c>
      <c r="J965">
        <v>816</v>
      </c>
      <c r="K965">
        <v>158.11764705882354</v>
      </c>
      <c r="L965" t="s">
        <v>834</v>
      </c>
      <c r="AC965" t="s">
        <v>1708</v>
      </c>
    </row>
    <row r="966" spans="2:29" x14ac:dyDescent="0.25">
      <c r="C966">
        <v>41217180</v>
      </c>
      <c r="D966" t="s">
        <v>1268</v>
      </c>
      <c r="E966">
        <v>480</v>
      </c>
      <c r="AC966" t="s">
        <v>1809</v>
      </c>
    </row>
    <row r="967" spans="2:29" x14ac:dyDescent="0.25">
      <c r="C967">
        <v>41218656</v>
      </c>
      <c r="D967" t="s">
        <v>1170</v>
      </c>
      <c r="E967">
        <v>816</v>
      </c>
      <c r="AC967" t="s">
        <v>1709</v>
      </c>
    </row>
    <row r="968" spans="2:29" x14ac:dyDescent="0.25">
      <c r="B968">
        <v>8010061705028580</v>
      </c>
      <c r="C968">
        <v>41217223</v>
      </c>
      <c r="D968" t="s">
        <v>1269</v>
      </c>
      <c r="E968">
        <v>160</v>
      </c>
      <c r="G968" t="s">
        <v>186</v>
      </c>
      <c r="H968">
        <v>65</v>
      </c>
      <c r="I968">
        <v>2.86</v>
      </c>
      <c r="J968">
        <v>2.86</v>
      </c>
      <c r="K968">
        <v>1</v>
      </c>
      <c r="L968" t="s">
        <v>834</v>
      </c>
      <c r="AC968" t="s">
        <v>1810</v>
      </c>
    </row>
    <row r="969" spans="2:29" x14ac:dyDescent="0.25">
      <c r="C969">
        <v>41218064</v>
      </c>
      <c r="D969" t="s">
        <v>1172</v>
      </c>
      <c r="E969">
        <v>160</v>
      </c>
      <c r="AC969" t="s">
        <v>1711</v>
      </c>
    </row>
    <row r="970" spans="2:29" x14ac:dyDescent="0.25">
      <c r="B970">
        <v>8.0100617050285804E+31</v>
      </c>
      <c r="C970">
        <v>41217265</v>
      </c>
      <c r="D970" t="s">
        <v>1270</v>
      </c>
      <c r="E970">
        <v>15</v>
      </c>
      <c r="G970">
        <v>6200</v>
      </c>
      <c r="H970">
        <v>64</v>
      </c>
      <c r="I970">
        <v>8.82</v>
      </c>
      <c r="J970">
        <v>3.82</v>
      </c>
      <c r="K970">
        <v>0.43310657596371877</v>
      </c>
      <c r="L970" t="s">
        <v>834</v>
      </c>
      <c r="AC970" t="s">
        <v>1811</v>
      </c>
    </row>
    <row r="971" spans="2:29" x14ac:dyDescent="0.25">
      <c r="C971">
        <v>41218164</v>
      </c>
      <c r="D971" t="s">
        <v>1174</v>
      </c>
      <c r="E971">
        <v>15</v>
      </c>
      <c r="G971">
        <v>6200</v>
      </c>
      <c r="H971">
        <v>432</v>
      </c>
      <c r="J971">
        <v>132.30000000000001</v>
      </c>
      <c r="K971">
        <v>0.43310657596371877</v>
      </c>
      <c r="L971" t="s">
        <v>834</v>
      </c>
      <c r="AC971" t="s">
        <v>1713</v>
      </c>
    </row>
    <row r="972" spans="2:29" x14ac:dyDescent="0.25">
      <c r="B972">
        <v>8.0100621705028496E+16</v>
      </c>
      <c r="C972">
        <v>41218857</v>
      </c>
      <c r="D972" t="s">
        <v>1271</v>
      </c>
      <c r="E972">
        <v>945</v>
      </c>
      <c r="G972" t="s">
        <v>117</v>
      </c>
      <c r="H972">
        <v>49</v>
      </c>
      <c r="I972">
        <v>0.27</v>
      </c>
      <c r="J972">
        <v>945</v>
      </c>
      <c r="K972">
        <v>3499.9999999999995</v>
      </c>
      <c r="L972" t="s">
        <v>834</v>
      </c>
      <c r="AC972" t="s">
        <v>1812</v>
      </c>
    </row>
    <row r="973" spans="2:29" x14ac:dyDescent="0.25">
      <c r="C973">
        <v>41217336</v>
      </c>
      <c r="D973" t="s">
        <v>1176</v>
      </c>
      <c r="E973">
        <v>3500</v>
      </c>
      <c r="AC973" t="s">
        <v>1715</v>
      </c>
    </row>
    <row r="974" spans="2:29" x14ac:dyDescent="0.25">
      <c r="C974">
        <v>41217180</v>
      </c>
      <c r="D974" t="s">
        <v>1177</v>
      </c>
      <c r="E974">
        <v>3500</v>
      </c>
      <c r="AC974" t="s">
        <v>1716</v>
      </c>
    </row>
    <row r="975" spans="2:29" x14ac:dyDescent="0.25">
      <c r="B975">
        <v>8010061705028580</v>
      </c>
      <c r="C975">
        <v>41217336</v>
      </c>
      <c r="D975" t="s">
        <v>1272</v>
      </c>
      <c r="E975">
        <v>1000</v>
      </c>
      <c r="G975" t="s">
        <v>190</v>
      </c>
      <c r="H975">
        <v>79</v>
      </c>
      <c r="I975">
        <v>0.15</v>
      </c>
      <c r="J975">
        <v>0.15</v>
      </c>
      <c r="K975">
        <v>1</v>
      </c>
      <c r="L975" t="s">
        <v>834</v>
      </c>
      <c r="AC975" t="s">
        <v>1813</v>
      </c>
    </row>
    <row r="976" spans="2:29" x14ac:dyDescent="0.25">
      <c r="C976">
        <v>41217265</v>
      </c>
      <c r="D976" t="s">
        <v>1179</v>
      </c>
      <c r="E976">
        <v>150</v>
      </c>
      <c r="AC976" t="s">
        <v>1718</v>
      </c>
    </row>
    <row r="977" spans="2:29" x14ac:dyDescent="0.25">
      <c r="C977">
        <v>41217223</v>
      </c>
      <c r="D977" t="s">
        <v>1180</v>
      </c>
      <c r="E977">
        <v>1000</v>
      </c>
      <c r="AC977" t="s">
        <v>1719</v>
      </c>
    </row>
    <row r="978" spans="2:29" x14ac:dyDescent="0.25">
      <c r="C978">
        <v>41218656</v>
      </c>
      <c r="D978" t="s">
        <v>1181</v>
      </c>
      <c r="E978">
        <v>150</v>
      </c>
      <c r="AC978" t="s">
        <v>1720</v>
      </c>
    </row>
    <row r="979" spans="2:29" x14ac:dyDescent="0.25">
      <c r="B979">
        <v>8.0100617050285802E+28</v>
      </c>
      <c r="C979">
        <v>41217314</v>
      </c>
      <c r="D979" t="s">
        <v>1273</v>
      </c>
      <c r="E979">
        <v>408</v>
      </c>
      <c r="G979" t="s">
        <v>150</v>
      </c>
      <c r="H979">
        <v>46</v>
      </c>
      <c r="I979">
        <v>7.7</v>
      </c>
      <c r="J979">
        <v>408</v>
      </c>
      <c r="K979">
        <v>52.987012987012989</v>
      </c>
      <c r="L979" t="s">
        <v>834</v>
      </c>
      <c r="AC979" t="s">
        <v>1814</v>
      </c>
    </row>
    <row r="980" spans="2:29" x14ac:dyDescent="0.25">
      <c r="C980" t="s">
        <v>1057</v>
      </c>
      <c r="D980" t="s">
        <v>1183</v>
      </c>
      <c r="E980">
        <v>240</v>
      </c>
      <c r="AC980" t="s">
        <v>1722</v>
      </c>
    </row>
    <row r="981" spans="2:29" x14ac:dyDescent="0.25">
      <c r="C981">
        <v>41217265</v>
      </c>
      <c r="D981" t="s">
        <v>1184</v>
      </c>
      <c r="E981">
        <v>240</v>
      </c>
      <c r="AC981" t="s">
        <v>1723</v>
      </c>
    </row>
    <row r="982" spans="2:29" x14ac:dyDescent="0.25">
      <c r="B982">
        <v>8010061705028580</v>
      </c>
      <c r="C982">
        <v>41217334</v>
      </c>
      <c r="D982" t="s">
        <v>1274</v>
      </c>
      <c r="E982">
        <v>360</v>
      </c>
      <c r="G982" t="s">
        <v>174</v>
      </c>
      <c r="H982">
        <v>74</v>
      </c>
      <c r="I982">
        <v>0.56000000000000005</v>
      </c>
      <c r="J982">
        <v>201.6</v>
      </c>
      <c r="K982">
        <v>359.99999999999994</v>
      </c>
      <c r="L982" t="s">
        <v>834</v>
      </c>
      <c r="AC982" t="s">
        <v>1815</v>
      </c>
    </row>
    <row r="983" spans="2:29" x14ac:dyDescent="0.25">
      <c r="C983">
        <v>41217180</v>
      </c>
      <c r="D983" t="s">
        <v>1186</v>
      </c>
      <c r="E983">
        <v>360</v>
      </c>
      <c r="AC983" t="s">
        <v>1725</v>
      </c>
    </row>
    <row r="984" spans="2:29" x14ac:dyDescent="0.25">
      <c r="B984">
        <v>1.6500008010061699E+30</v>
      </c>
      <c r="C984">
        <v>41218860</v>
      </c>
      <c r="D984" t="s">
        <v>1275</v>
      </c>
      <c r="E984">
        <v>16500</v>
      </c>
      <c r="G984" t="s">
        <v>113</v>
      </c>
      <c r="H984">
        <v>109</v>
      </c>
      <c r="J984">
        <v>0.25</v>
      </c>
      <c r="L984" t="s">
        <v>834</v>
      </c>
      <c r="AC984" t="s">
        <v>1816</v>
      </c>
    </row>
    <row r="985" spans="2:29" x14ac:dyDescent="0.25">
      <c r="C985">
        <v>41218405</v>
      </c>
      <c r="D985" t="s">
        <v>736</v>
      </c>
      <c r="E985">
        <v>40</v>
      </c>
      <c r="G985">
        <v>6885</v>
      </c>
      <c r="H985">
        <v>143</v>
      </c>
      <c r="J985">
        <v>1.78</v>
      </c>
      <c r="L985" t="s">
        <v>834</v>
      </c>
      <c r="AC985" t="s">
        <v>1727</v>
      </c>
    </row>
    <row r="986" spans="2:29" x14ac:dyDescent="0.25">
      <c r="C986">
        <v>41217865</v>
      </c>
      <c r="D986" t="s">
        <v>1188</v>
      </c>
      <c r="E986">
        <v>60</v>
      </c>
      <c r="G986" t="s">
        <v>177</v>
      </c>
      <c r="H986">
        <v>165</v>
      </c>
      <c r="J986">
        <v>3.8</v>
      </c>
      <c r="L986" t="s">
        <v>834</v>
      </c>
      <c r="AC986" t="s">
        <v>1728</v>
      </c>
    </row>
    <row r="987" spans="2:29" x14ac:dyDescent="0.25">
      <c r="C987">
        <v>41218405</v>
      </c>
      <c r="D987" t="s">
        <v>1189</v>
      </c>
      <c r="E987">
        <v>24</v>
      </c>
      <c r="G987">
        <v>6800</v>
      </c>
      <c r="H987">
        <v>193</v>
      </c>
      <c r="J987">
        <v>94</v>
      </c>
      <c r="L987" t="s">
        <v>834</v>
      </c>
      <c r="AC987" t="s">
        <v>1729</v>
      </c>
    </row>
    <row r="988" spans="2:29" x14ac:dyDescent="0.25">
      <c r="C988">
        <v>41217334</v>
      </c>
      <c r="D988" t="s">
        <v>1190</v>
      </c>
      <c r="E988">
        <v>16500</v>
      </c>
      <c r="AC988" t="s">
        <v>1730</v>
      </c>
    </row>
    <row r="989" spans="2:29" x14ac:dyDescent="0.25">
      <c r="C989">
        <v>41217700</v>
      </c>
      <c r="D989" t="s">
        <v>1191</v>
      </c>
      <c r="E989">
        <v>40</v>
      </c>
      <c r="AC989" t="s">
        <v>1731</v>
      </c>
    </row>
    <row r="990" spans="2:29" x14ac:dyDescent="0.25">
      <c r="C990">
        <v>41217793</v>
      </c>
      <c r="D990" t="s">
        <v>1192</v>
      </c>
      <c r="E990">
        <v>60</v>
      </c>
      <c r="AC990" t="s">
        <v>1732</v>
      </c>
    </row>
    <row r="991" spans="2:29" x14ac:dyDescent="0.25">
      <c r="C991">
        <v>41217265</v>
      </c>
      <c r="D991" t="s">
        <v>1193</v>
      </c>
      <c r="E991">
        <v>24</v>
      </c>
      <c r="AC991" t="s">
        <v>1733</v>
      </c>
    </row>
    <row r="992" spans="2:29" x14ac:dyDescent="0.25">
      <c r="B992">
        <v>8010061705028580</v>
      </c>
      <c r="C992">
        <v>41219171</v>
      </c>
      <c r="D992" t="s">
        <v>1276</v>
      </c>
      <c r="E992">
        <v>3000</v>
      </c>
      <c r="G992" t="s">
        <v>156</v>
      </c>
      <c r="H992">
        <v>64</v>
      </c>
      <c r="I992">
        <v>0.33</v>
      </c>
      <c r="J992">
        <v>0.33</v>
      </c>
      <c r="K992">
        <v>1</v>
      </c>
      <c r="L992" t="s">
        <v>834</v>
      </c>
      <c r="AC992" t="s">
        <v>1817</v>
      </c>
    </row>
    <row r="993" spans="1:29" x14ac:dyDescent="0.25">
      <c r="C993">
        <v>41217265</v>
      </c>
      <c r="D993" t="s">
        <v>1195</v>
      </c>
      <c r="E993">
        <v>3000</v>
      </c>
      <c r="AC993" t="s">
        <v>1735</v>
      </c>
    </row>
    <row r="994" spans="1:29" x14ac:dyDescent="0.25">
      <c r="B994">
        <v>8010061705028580</v>
      </c>
      <c r="C994">
        <v>41219042</v>
      </c>
      <c r="D994" t="s">
        <v>1277</v>
      </c>
      <c r="E994">
        <v>68</v>
      </c>
      <c r="G994" t="s">
        <v>146</v>
      </c>
      <c r="H994">
        <v>68</v>
      </c>
      <c r="I994">
        <v>1.7</v>
      </c>
      <c r="J994">
        <v>1.7</v>
      </c>
      <c r="K994">
        <v>1</v>
      </c>
      <c r="L994" t="s">
        <v>834</v>
      </c>
      <c r="AC994" t="s">
        <v>1818</v>
      </c>
    </row>
    <row r="995" spans="1:29" x14ac:dyDescent="0.25">
      <c r="C995">
        <v>41217180</v>
      </c>
      <c r="D995" t="s">
        <v>1197</v>
      </c>
      <c r="E995">
        <v>68</v>
      </c>
      <c r="J995">
        <v>115.6</v>
      </c>
      <c r="K995">
        <v>1</v>
      </c>
      <c r="L995" t="s">
        <v>834</v>
      </c>
      <c r="AC995" t="s">
        <v>1737</v>
      </c>
    </row>
    <row r="996" spans="1:29" x14ac:dyDescent="0.25">
      <c r="B996">
        <v>8010061705028580</v>
      </c>
      <c r="C996">
        <v>41219002</v>
      </c>
      <c r="D996" t="s">
        <v>1278</v>
      </c>
      <c r="E996">
        <v>2000</v>
      </c>
      <c r="G996" t="s">
        <v>131</v>
      </c>
      <c r="H996">
        <v>77</v>
      </c>
      <c r="I996">
        <v>0.25</v>
      </c>
      <c r="J996">
        <v>0.25</v>
      </c>
      <c r="K996">
        <v>1</v>
      </c>
      <c r="L996" t="s">
        <v>834</v>
      </c>
      <c r="AC996" t="s">
        <v>1819</v>
      </c>
    </row>
    <row r="997" spans="1:29" x14ac:dyDescent="0.25">
      <c r="C997">
        <v>41218145</v>
      </c>
      <c r="D997" t="s">
        <v>1199</v>
      </c>
      <c r="E997">
        <v>10</v>
      </c>
      <c r="G997" t="s">
        <v>141</v>
      </c>
      <c r="H997">
        <v>165</v>
      </c>
      <c r="I997">
        <v>3.4</v>
      </c>
      <c r="J997">
        <v>500</v>
      </c>
      <c r="K997">
        <v>147.05882352941177</v>
      </c>
      <c r="L997" t="s">
        <v>834</v>
      </c>
      <c r="AC997" t="s">
        <v>1739</v>
      </c>
    </row>
    <row r="998" spans="1:29" x14ac:dyDescent="0.25">
      <c r="C998">
        <v>41218064</v>
      </c>
      <c r="D998" t="s">
        <v>1200</v>
      </c>
      <c r="E998">
        <v>10</v>
      </c>
      <c r="G998" t="s">
        <v>143</v>
      </c>
      <c r="H998">
        <v>193</v>
      </c>
      <c r="I998">
        <v>3.4</v>
      </c>
      <c r="J998">
        <v>3.4</v>
      </c>
      <c r="K998">
        <v>1</v>
      </c>
      <c r="L998" t="s">
        <v>834</v>
      </c>
      <c r="AC998" t="s">
        <v>1740</v>
      </c>
    </row>
    <row r="999" spans="1:29" x14ac:dyDescent="0.25">
      <c r="C999">
        <v>41217793</v>
      </c>
      <c r="D999" t="s">
        <v>1201</v>
      </c>
      <c r="E999">
        <v>2000</v>
      </c>
      <c r="J999">
        <v>34</v>
      </c>
      <c r="K999">
        <v>1</v>
      </c>
      <c r="L999" t="s">
        <v>834</v>
      </c>
      <c r="AC999" t="s">
        <v>1741</v>
      </c>
    </row>
    <row r="1000" spans="1:29" x14ac:dyDescent="0.25">
      <c r="C1000">
        <v>41217265</v>
      </c>
      <c r="D1000" t="s">
        <v>1202</v>
      </c>
      <c r="E1000">
        <v>10</v>
      </c>
      <c r="J1000">
        <v>3.4</v>
      </c>
      <c r="K1000">
        <v>1</v>
      </c>
      <c r="L1000" t="s">
        <v>834</v>
      </c>
      <c r="AC1000" t="s">
        <v>1742</v>
      </c>
    </row>
    <row r="1001" spans="1:29" x14ac:dyDescent="0.25">
      <c r="C1001">
        <v>41217695</v>
      </c>
      <c r="D1001" t="s">
        <v>1203</v>
      </c>
      <c r="E1001">
        <v>10</v>
      </c>
      <c r="J1001">
        <v>34</v>
      </c>
      <c r="K1001">
        <v>1</v>
      </c>
      <c r="L1001" t="s">
        <v>834</v>
      </c>
      <c r="AC1001" t="s">
        <v>1743</v>
      </c>
    </row>
    <row r="1002" spans="1:29" x14ac:dyDescent="0.25">
      <c r="B1002">
        <v>8010061705028580</v>
      </c>
      <c r="C1002">
        <v>41217180</v>
      </c>
      <c r="D1002" t="s">
        <v>1279</v>
      </c>
      <c r="E1002">
        <v>8000</v>
      </c>
      <c r="G1002" t="s">
        <v>113</v>
      </c>
      <c r="H1002">
        <v>67</v>
      </c>
      <c r="I1002">
        <v>0.25</v>
      </c>
      <c r="J1002">
        <v>0.25</v>
      </c>
      <c r="K1002">
        <v>1</v>
      </c>
      <c r="L1002" t="s">
        <v>834</v>
      </c>
      <c r="AC1002" t="s">
        <v>1820</v>
      </c>
    </row>
    <row r="1003" spans="1:29" x14ac:dyDescent="0.25">
      <c r="C1003">
        <v>41217265</v>
      </c>
      <c r="D1003" t="s">
        <v>1204</v>
      </c>
      <c r="E1003">
        <v>8000</v>
      </c>
      <c r="J1003">
        <v>2000</v>
      </c>
      <c r="K1003">
        <v>1</v>
      </c>
      <c r="L1003" t="s">
        <v>834</v>
      </c>
      <c r="AC1003" t="s">
        <v>1745</v>
      </c>
    </row>
    <row r="1004" spans="1:29" x14ac:dyDescent="0.25">
      <c r="C1004">
        <v>41217223</v>
      </c>
      <c r="D1004" t="s">
        <v>1205</v>
      </c>
      <c r="E1004">
        <v>2</v>
      </c>
      <c r="AC1004" t="s">
        <v>1746</v>
      </c>
    </row>
    <row r="1005" spans="1:29" x14ac:dyDescent="0.25">
      <c r="B1005">
        <v>8010061705028580</v>
      </c>
      <c r="C1005">
        <v>41218898</v>
      </c>
      <c r="D1005" t="s">
        <v>1280</v>
      </c>
      <c r="E1005">
        <v>2000</v>
      </c>
      <c r="G1005" t="s">
        <v>129</v>
      </c>
      <c r="H1005">
        <v>65</v>
      </c>
      <c r="I1005">
        <v>0.25</v>
      </c>
      <c r="J1005">
        <v>500</v>
      </c>
      <c r="K1005">
        <v>2000</v>
      </c>
      <c r="AC1005" t="s">
        <v>1821</v>
      </c>
    </row>
    <row r="1006" spans="1:29" x14ac:dyDescent="0.25">
      <c r="C1006">
        <v>41217334</v>
      </c>
      <c r="D1006" t="s">
        <v>1207</v>
      </c>
      <c r="E1006">
        <v>2000</v>
      </c>
      <c r="AC1006" t="s">
        <v>1748</v>
      </c>
    </row>
    <row r="1007" spans="1:29" x14ac:dyDescent="0.25">
      <c r="A1007" t="s">
        <v>680</v>
      </c>
      <c r="B1007">
        <v>8010061705028580</v>
      </c>
      <c r="C1007">
        <v>41217223</v>
      </c>
      <c r="D1007" t="s">
        <v>1281</v>
      </c>
      <c r="E1007">
        <v>408</v>
      </c>
      <c r="I1007">
        <v>2.1</v>
      </c>
      <c r="J1007">
        <v>2.1</v>
      </c>
      <c r="K1007">
        <v>1</v>
      </c>
      <c r="L1007" t="s">
        <v>834</v>
      </c>
      <c r="AC1007" t="s">
        <v>1822</v>
      </c>
    </row>
    <row r="1008" spans="1:29" x14ac:dyDescent="0.25">
      <c r="C1008">
        <v>41217336</v>
      </c>
      <c r="D1008" t="s">
        <v>1209</v>
      </c>
      <c r="E1008">
        <v>408</v>
      </c>
      <c r="J1008">
        <v>856.8</v>
      </c>
      <c r="K1008">
        <v>1</v>
      </c>
      <c r="L1008" t="s">
        <v>834</v>
      </c>
      <c r="AC1008" t="s">
        <v>1750</v>
      </c>
    </row>
    <row r="1009" spans="2:29" x14ac:dyDescent="0.25">
      <c r="B1009">
        <v>8010061705028580</v>
      </c>
      <c r="C1009">
        <v>41219002</v>
      </c>
      <c r="D1009" t="s">
        <v>1282</v>
      </c>
      <c r="E1009">
        <v>3600</v>
      </c>
      <c r="G1009" t="s">
        <v>131</v>
      </c>
      <c r="H1009">
        <v>65</v>
      </c>
      <c r="I1009">
        <v>0.25</v>
      </c>
      <c r="J1009">
        <v>0.25</v>
      </c>
      <c r="K1009">
        <v>1</v>
      </c>
      <c r="L1009" t="s">
        <v>834</v>
      </c>
      <c r="AC1009" t="s">
        <v>1823</v>
      </c>
    </row>
    <row r="1010" spans="2:29" x14ac:dyDescent="0.25">
      <c r="C1010">
        <v>41218405</v>
      </c>
      <c r="D1010" t="s">
        <v>1211</v>
      </c>
      <c r="E1010">
        <v>5</v>
      </c>
      <c r="G1010" t="s">
        <v>141</v>
      </c>
      <c r="H1010">
        <v>146</v>
      </c>
      <c r="I1010">
        <v>3.4</v>
      </c>
      <c r="J1010">
        <v>900</v>
      </c>
      <c r="K1010">
        <v>264.70588235294116</v>
      </c>
      <c r="L1010" t="s">
        <v>834</v>
      </c>
      <c r="AC1010" t="s">
        <v>1752</v>
      </c>
    </row>
    <row r="1011" spans="2:29" x14ac:dyDescent="0.25">
      <c r="C1011">
        <v>41218860</v>
      </c>
      <c r="D1011" t="s">
        <v>1212</v>
      </c>
      <c r="E1011">
        <v>150</v>
      </c>
      <c r="G1011" t="s">
        <v>177</v>
      </c>
      <c r="H1011">
        <v>173</v>
      </c>
      <c r="I1011">
        <v>3.8</v>
      </c>
      <c r="J1011">
        <v>3.4</v>
      </c>
      <c r="K1011">
        <v>0.89473684210526316</v>
      </c>
      <c r="L1011" t="s">
        <v>834</v>
      </c>
      <c r="AC1011" t="s">
        <v>1753</v>
      </c>
    </row>
    <row r="1012" spans="2:29" x14ac:dyDescent="0.25">
      <c r="C1012">
        <v>41217317</v>
      </c>
      <c r="D1012" t="s">
        <v>1213</v>
      </c>
      <c r="E1012">
        <v>3600</v>
      </c>
      <c r="J1012">
        <v>17</v>
      </c>
      <c r="K1012">
        <v>0.89473684210526316</v>
      </c>
      <c r="L1012" t="s">
        <v>834</v>
      </c>
      <c r="AC1012" t="s">
        <v>1754</v>
      </c>
    </row>
    <row r="1013" spans="2:29" x14ac:dyDescent="0.25">
      <c r="C1013">
        <v>41217317</v>
      </c>
      <c r="D1013" t="s">
        <v>1213</v>
      </c>
      <c r="E1013">
        <v>5</v>
      </c>
      <c r="J1013">
        <v>3.8</v>
      </c>
      <c r="K1013">
        <v>0.89473684210526316</v>
      </c>
      <c r="L1013" t="s">
        <v>834</v>
      </c>
      <c r="AC1013" t="s">
        <v>1824</v>
      </c>
    </row>
    <row r="1014" spans="2:29" x14ac:dyDescent="0.25">
      <c r="C1014">
        <v>41218897</v>
      </c>
      <c r="D1014" t="s">
        <v>1214</v>
      </c>
      <c r="E1014">
        <v>150</v>
      </c>
      <c r="J1014">
        <v>570</v>
      </c>
      <c r="K1014">
        <v>0.89473684210526316</v>
      </c>
      <c r="L1014" t="s">
        <v>834</v>
      </c>
      <c r="AC1014" t="s">
        <v>1755</v>
      </c>
    </row>
    <row r="1015" spans="2:29" x14ac:dyDescent="0.25">
      <c r="B1015">
        <v>1.00000050523944E+31</v>
      </c>
      <c r="C1015">
        <v>41219042</v>
      </c>
      <c r="D1015" t="s">
        <v>404</v>
      </c>
      <c r="E1015">
        <v>480</v>
      </c>
      <c r="G1015" t="s">
        <v>174</v>
      </c>
      <c r="H1015">
        <v>92</v>
      </c>
      <c r="I1015">
        <v>0.56000000000000005</v>
      </c>
      <c r="J1015">
        <v>268.8</v>
      </c>
      <c r="K1015">
        <v>480</v>
      </c>
      <c r="AC1015" t="s">
        <v>1825</v>
      </c>
    </row>
    <row r="1016" spans="2:29" x14ac:dyDescent="0.25">
      <c r="C1016">
        <v>41217265</v>
      </c>
      <c r="D1016" t="s">
        <v>1216</v>
      </c>
      <c r="E1016">
        <v>720</v>
      </c>
      <c r="G1016" t="s">
        <v>149</v>
      </c>
      <c r="H1016">
        <v>115</v>
      </c>
      <c r="I1016">
        <v>1.7</v>
      </c>
      <c r="J1016">
        <v>1.7</v>
      </c>
      <c r="K1016">
        <v>1</v>
      </c>
      <c r="L1016" t="s">
        <v>834</v>
      </c>
      <c r="AC1016" t="s">
        <v>1757</v>
      </c>
    </row>
    <row r="1017" spans="2:29" x14ac:dyDescent="0.25">
      <c r="C1017">
        <v>41217314</v>
      </c>
      <c r="D1017" t="s">
        <v>1217</v>
      </c>
      <c r="E1017">
        <v>480</v>
      </c>
      <c r="J1017">
        <v>1224</v>
      </c>
      <c r="K1017">
        <v>1</v>
      </c>
      <c r="L1017" t="s">
        <v>834</v>
      </c>
      <c r="AC1017" t="s">
        <v>1758</v>
      </c>
    </row>
    <row r="1018" spans="2:29" x14ac:dyDescent="0.25">
      <c r="C1018">
        <v>41218896</v>
      </c>
      <c r="D1018" t="s">
        <v>1218</v>
      </c>
      <c r="E1018">
        <v>720</v>
      </c>
      <c r="J1018">
        <v>0.56000000000000005</v>
      </c>
      <c r="K1018">
        <v>1</v>
      </c>
      <c r="L1018" t="s">
        <v>834</v>
      </c>
      <c r="AC1018" t="s">
        <v>1759</v>
      </c>
    </row>
    <row r="1019" spans="2:29" x14ac:dyDescent="0.25">
      <c r="B1019">
        <v>1.00000050523944E+31</v>
      </c>
      <c r="C1019">
        <v>41217265</v>
      </c>
      <c r="D1019" t="s">
        <v>1283</v>
      </c>
      <c r="E1019">
        <v>26</v>
      </c>
      <c r="G1019">
        <v>6200</v>
      </c>
      <c r="H1019">
        <v>88</v>
      </c>
      <c r="I1019">
        <v>8.82</v>
      </c>
      <c r="J1019">
        <v>229.32</v>
      </c>
      <c r="K1019">
        <v>26</v>
      </c>
      <c r="AC1019" t="s">
        <v>1826</v>
      </c>
    </row>
    <row r="1020" spans="2:29" x14ac:dyDescent="0.25">
      <c r="C1020">
        <v>41218898</v>
      </c>
      <c r="D1020" t="s">
        <v>1220</v>
      </c>
      <c r="E1020">
        <v>26</v>
      </c>
      <c r="AC1020" t="s">
        <v>1761</v>
      </c>
    </row>
    <row r="1021" spans="2:29" x14ac:dyDescent="0.25">
      <c r="C1021" t="s">
        <v>1057</v>
      </c>
      <c r="D1021" t="s">
        <v>1221</v>
      </c>
      <c r="E1021">
        <v>229</v>
      </c>
      <c r="AC1021" t="s">
        <v>1762</v>
      </c>
    </row>
    <row r="1022" spans="2:29" x14ac:dyDescent="0.25">
      <c r="B1022">
        <v>8010061705028580</v>
      </c>
      <c r="C1022">
        <v>41218656</v>
      </c>
      <c r="D1022" t="s">
        <v>1284</v>
      </c>
      <c r="E1022">
        <v>40</v>
      </c>
      <c r="G1022" t="s">
        <v>119</v>
      </c>
      <c r="H1022">
        <v>82</v>
      </c>
      <c r="I1022">
        <v>1.3</v>
      </c>
      <c r="J1022">
        <v>1.3</v>
      </c>
      <c r="K1022">
        <v>1</v>
      </c>
      <c r="L1022" t="s">
        <v>834</v>
      </c>
      <c r="AC1022" t="s">
        <v>1827</v>
      </c>
    </row>
    <row r="1023" spans="2:29" x14ac:dyDescent="0.25">
      <c r="C1023">
        <v>41218301</v>
      </c>
      <c r="D1023" t="s">
        <v>1223</v>
      </c>
      <c r="E1023">
        <v>40</v>
      </c>
      <c r="AC1023" t="s">
        <v>1764</v>
      </c>
    </row>
    <row r="1024" spans="2:29" x14ac:dyDescent="0.25">
      <c r="B1024">
        <v>8010061705028580</v>
      </c>
      <c r="C1024">
        <v>41217180</v>
      </c>
      <c r="D1024" t="s">
        <v>1285</v>
      </c>
      <c r="E1024">
        <v>2000</v>
      </c>
      <c r="G1024" t="s">
        <v>135</v>
      </c>
      <c r="H1024">
        <v>74</v>
      </c>
      <c r="I1024">
        <v>0.25</v>
      </c>
      <c r="J1024">
        <v>0.25</v>
      </c>
      <c r="K1024">
        <v>1</v>
      </c>
      <c r="L1024" t="s">
        <v>834</v>
      </c>
      <c r="AC1024" t="s">
        <v>1828</v>
      </c>
    </row>
    <row r="1025" spans="2:29" x14ac:dyDescent="0.25">
      <c r="C1025">
        <v>41218407</v>
      </c>
      <c r="D1025" t="s">
        <v>1225</v>
      </c>
      <c r="E1025">
        <v>2000</v>
      </c>
      <c r="AC1025" t="s">
        <v>1766</v>
      </c>
    </row>
    <row r="1026" spans="2:29" x14ac:dyDescent="0.25">
      <c r="B1026">
        <v>8010061705028580</v>
      </c>
      <c r="C1026">
        <v>41218405</v>
      </c>
      <c r="D1026" t="s">
        <v>1286</v>
      </c>
      <c r="E1026">
        <v>520</v>
      </c>
      <c r="G1026" t="s">
        <v>165</v>
      </c>
      <c r="H1026">
        <v>42</v>
      </c>
      <c r="I1026">
        <v>0.51</v>
      </c>
      <c r="J1026">
        <v>0.65</v>
      </c>
      <c r="K1026">
        <v>1.2745098039215685</v>
      </c>
      <c r="L1026" t="s">
        <v>834</v>
      </c>
      <c r="AC1026" t="s">
        <v>1829</v>
      </c>
    </row>
    <row r="1027" spans="2:29" x14ac:dyDescent="0.25">
      <c r="C1027">
        <v>41217695</v>
      </c>
      <c r="D1027" t="s">
        <v>1227</v>
      </c>
      <c r="E1027">
        <v>34</v>
      </c>
      <c r="G1027" t="s">
        <v>119</v>
      </c>
      <c r="H1027">
        <v>75</v>
      </c>
      <c r="I1027">
        <v>0.65</v>
      </c>
      <c r="AC1027" t="s">
        <v>1768</v>
      </c>
    </row>
    <row r="1028" spans="2:29" x14ac:dyDescent="0.25">
      <c r="C1028">
        <v>41218860</v>
      </c>
      <c r="D1028" t="s">
        <v>1228</v>
      </c>
      <c r="E1028">
        <v>520</v>
      </c>
      <c r="AC1028" t="s">
        <v>1769</v>
      </c>
    </row>
    <row r="1029" spans="2:29" x14ac:dyDescent="0.25">
      <c r="C1029">
        <v>41218405</v>
      </c>
      <c r="D1029" t="s">
        <v>1229</v>
      </c>
      <c r="E1029">
        <v>34</v>
      </c>
      <c r="AC1029" t="s">
        <v>1770</v>
      </c>
    </row>
    <row r="1030" spans="2:29" x14ac:dyDescent="0.25">
      <c r="B1030">
        <v>8010061705028580</v>
      </c>
      <c r="C1030">
        <v>41218896</v>
      </c>
      <c r="D1030" t="s">
        <v>1287</v>
      </c>
      <c r="E1030">
        <v>603</v>
      </c>
      <c r="G1030" t="s">
        <v>125</v>
      </c>
      <c r="H1030">
        <v>45</v>
      </c>
      <c r="I1030">
        <v>0.67</v>
      </c>
      <c r="J1030">
        <v>0.67</v>
      </c>
      <c r="K1030">
        <v>1</v>
      </c>
      <c r="L1030" t="s">
        <v>834</v>
      </c>
      <c r="AC1030" t="s">
        <v>1830</v>
      </c>
    </row>
    <row r="1031" spans="2:29" x14ac:dyDescent="0.25">
      <c r="C1031">
        <v>41217265</v>
      </c>
      <c r="D1031" t="s">
        <v>1288</v>
      </c>
      <c r="E1031">
        <v>603</v>
      </c>
      <c r="G1031">
        <v>6200</v>
      </c>
      <c r="H1031">
        <v>137</v>
      </c>
      <c r="I1031">
        <v>8.82</v>
      </c>
      <c r="J1031">
        <v>8.82</v>
      </c>
      <c r="K1031">
        <v>1</v>
      </c>
      <c r="L1031" t="s">
        <v>834</v>
      </c>
      <c r="AC1031" t="s">
        <v>1831</v>
      </c>
    </row>
    <row r="1032" spans="2:29" x14ac:dyDescent="0.25">
      <c r="C1032">
        <v>41218897</v>
      </c>
      <c r="D1032" t="s">
        <v>1230</v>
      </c>
      <c r="E1032">
        <v>900</v>
      </c>
      <c r="AC1032" t="s">
        <v>1772</v>
      </c>
    </row>
    <row r="1033" spans="2:29" x14ac:dyDescent="0.25">
      <c r="C1033">
        <v>41218407</v>
      </c>
      <c r="D1033" t="s">
        <v>1231</v>
      </c>
      <c r="E1033">
        <v>15</v>
      </c>
      <c r="AC1033" t="s">
        <v>1773</v>
      </c>
    </row>
    <row r="1034" spans="2:29" x14ac:dyDescent="0.25">
      <c r="C1034">
        <v>41218301</v>
      </c>
      <c r="D1034" t="s">
        <v>1289</v>
      </c>
      <c r="E1034">
        <v>900</v>
      </c>
      <c r="AC1034" t="s">
        <v>1832</v>
      </c>
    </row>
    <row r="1035" spans="2:29" x14ac:dyDescent="0.25">
      <c r="C1035">
        <v>41218656</v>
      </c>
      <c r="D1035" t="s">
        <v>1290</v>
      </c>
      <c r="E1035">
        <v>15</v>
      </c>
      <c r="AC1035" t="s">
        <v>1833</v>
      </c>
    </row>
    <row r="1036" spans="2:29" x14ac:dyDescent="0.25">
      <c r="B1036">
        <v>8010061705028580</v>
      </c>
      <c r="C1036">
        <v>41218860</v>
      </c>
      <c r="D1036" t="s">
        <v>1291</v>
      </c>
      <c r="E1036">
        <v>300</v>
      </c>
      <c r="G1036" t="s">
        <v>138</v>
      </c>
      <c r="H1036">
        <v>61</v>
      </c>
      <c r="I1036">
        <v>3.4</v>
      </c>
      <c r="J1036">
        <v>3.4</v>
      </c>
      <c r="K1036">
        <v>1</v>
      </c>
      <c r="L1036" t="s">
        <v>834</v>
      </c>
      <c r="AC1036" t="s">
        <v>1834</v>
      </c>
    </row>
    <row r="1037" spans="2:29" x14ac:dyDescent="0.25">
      <c r="C1037">
        <v>41218896</v>
      </c>
      <c r="D1037" t="s">
        <v>1232</v>
      </c>
      <c r="E1037">
        <v>300</v>
      </c>
      <c r="AC1037" t="s">
        <v>1774</v>
      </c>
    </row>
    <row r="1038" spans="2:29" x14ac:dyDescent="0.25">
      <c r="B1038">
        <v>8010061705028580</v>
      </c>
      <c r="C1038">
        <v>41218896</v>
      </c>
      <c r="D1038" t="s">
        <v>267</v>
      </c>
      <c r="E1038">
        <v>67</v>
      </c>
      <c r="G1038" t="s">
        <v>131</v>
      </c>
      <c r="H1038">
        <v>62</v>
      </c>
      <c r="I1038">
        <v>0.25</v>
      </c>
      <c r="J1038">
        <v>0.25</v>
      </c>
      <c r="K1038">
        <v>1</v>
      </c>
      <c r="L1038" t="s">
        <v>834</v>
      </c>
      <c r="AC1038" t="s">
        <v>1835</v>
      </c>
    </row>
    <row r="1039" spans="2:29" x14ac:dyDescent="0.25">
      <c r="C1039">
        <v>41217865</v>
      </c>
      <c r="D1039" t="s">
        <v>1234</v>
      </c>
      <c r="E1039">
        <v>67</v>
      </c>
      <c r="G1039" t="s">
        <v>125</v>
      </c>
      <c r="H1039">
        <v>121</v>
      </c>
      <c r="I1039">
        <v>0.67</v>
      </c>
      <c r="J1039">
        <v>0.67</v>
      </c>
      <c r="K1039">
        <v>1</v>
      </c>
      <c r="L1039" t="s">
        <v>834</v>
      </c>
      <c r="AC1039" t="s">
        <v>1776</v>
      </c>
    </row>
    <row r="1040" spans="2:29" x14ac:dyDescent="0.25">
      <c r="C1040">
        <v>41217696</v>
      </c>
      <c r="D1040" t="s">
        <v>1235</v>
      </c>
      <c r="E1040">
        <v>2000</v>
      </c>
      <c r="G1040">
        <v>6200</v>
      </c>
      <c r="H1040">
        <v>194</v>
      </c>
      <c r="I1040">
        <v>8.82</v>
      </c>
      <c r="J1040">
        <v>8.82</v>
      </c>
      <c r="K1040">
        <v>1</v>
      </c>
      <c r="L1040" t="s">
        <v>834</v>
      </c>
      <c r="AC1040" t="s">
        <v>1777</v>
      </c>
    </row>
    <row r="1041" spans="1:29" x14ac:dyDescent="0.25">
      <c r="C1041">
        <v>41217334</v>
      </c>
      <c r="D1041" t="s">
        <v>1236</v>
      </c>
      <c r="E1041">
        <v>100</v>
      </c>
      <c r="AC1041" t="s">
        <v>1778</v>
      </c>
    </row>
    <row r="1042" spans="1:29" x14ac:dyDescent="0.25">
      <c r="C1042">
        <v>41218405</v>
      </c>
      <c r="D1042" t="s">
        <v>1237</v>
      </c>
      <c r="E1042">
        <v>15</v>
      </c>
      <c r="AC1042" t="s">
        <v>1779</v>
      </c>
    </row>
    <row r="1043" spans="1:29" x14ac:dyDescent="0.25">
      <c r="C1043">
        <v>41218857</v>
      </c>
      <c r="D1043" t="s">
        <v>1238</v>
      </c>
      <c r="E1043">
        <v>2000</v>
      </c>
      <c r="AC1043" t="s">
        <v>1780</v>
      </c>
    </row>
    <row r="1044" spans="1:29" x14ac:dyDescent="0.25">
      <c r="C1044">
        <v>41218860</v>
      </c>
      <c r="D1044" t="s">
        <v>1239</v>
      </c>
      <c r="E1044">
        <v>100</v>
      </c>
      <c r="AC1044" t="s">
        <v>1781</v>
      </c>
    </row>
    <row r="1045" spans="1:29" x14ac:dyDescent="0.25">
      <c r="C1045">
        <v>41217265</v>
      </c>
      <c r="D1045" t="s">
        <v>1240</v>
      </c>
      <c r="E1045">
        <v>15</v>
      </c>
      <c r="AC1045" t="s">
        <v>1782</v>
      </c>
    </row>
    <row r="1046" spans="1:29" x14ac:dyDescent="0.25">
      <c r="B1046">
        <v>8010061705028580</v>
      </c>
      <c r="C1046">
        <v>41218860</v>
      </c>
      <c r="D1046" t="s">
        <v>269</v>
      </c>
      <c r="E1046">
        <v>7118000</v>
      </c>
      <c r="G1046" t="s">
        <v>113</v>
      </c>
      <c r="H1046">
        <v>171</v>
      </c>
      <c r="J1046">
        <v>0.25</v>
      </c>
      <c r="L1046" t="s">
        <v>834</v>
      </c>
      <c r="AC1046" t="s">
        <v>1836</v>
      </c>
    </row>
    <row r="1047" spans="1:29" x14ac:dyDescent="0.25">
      <c r="C1047">
        <v>41218896</v>
      </c>
      <c r="D1047" t="s">
        <v>1242</v>
      </c>
      <c r="E1047">
        <v>4</v>
      </c>
      <c r="G1047" t="s">
        <v>193</v>
      </c>
      <c r="H1047">
        <v>202</v>
      </c>
      <c r="J1047">
        <v>0.87</v>
      </c>
      <c r="L1047" t="s">
        <v>834</v>
      </c>
      <c r="AC1047" t="s">
        <v>1784</v>
      </c>
    </row>
    <row r="1048" spans="1:29" x14ac:dyDescent="0.25">
      <c r="C1048">
        <v>41218860</v>
      </c>
      <c r="D1048" t="s">
        <v>1243</v>
      </c>
      <c r="E1048">
        <v>600</v>
      </c>
      <c r="G1048" t="s">
        <v>170</v>
      </c>
      <c r="H1048">
        <v>234</v>
      </c>
      <c r="J1048">
        <v>1.28</v>
      </c>
      <c r="L1048" t="s">
        <v>834</v>
      </c>
      <c r="AC1048" t="s">
        <v>1785</v>
      </c>
    </row>
    <row r="1049" spans="1:29" x14ac:dyDescent="0.25">
      <c r="C1049" t="s">
        <v>1244</v>
      </c>
      <c r="D1049" t="s">
        <v>1245</v>
      </c>
      <c r="E1049">
        <v>200</v>
      </c>
      <c r="G1049">
        <v>501</v>
      </c>
      <c r="H1049">
        <v>258</v>
      </c>
      <c r="J1049">
        <v>3.4</v>
      </c>
      <c r="L1049" t="s">
        <v>834</v>
      </c>
      <c r="AC1049" t="s">
        <v>1786</v>
      </c>
    </row>
    <row r="1050" spans="1:29" x14ac:dyDescent="0.25">
      <c r="C1050">
        <v>41218857</v>
      </c>
      <c r="D1050" t="s">
        <v>1246</v>
      </c>
      <c r="E1050">
        <v>0</v>
      </c>
      <c r="G1050" t="s">
        <v>138</v>
      </c>
      <c r="H1050">
        <v>278</v>
      </c>
      <c r="AC1050" t="s">
        <v>1787</v>
      </c>
    </row>
    <row r="1051" spans="1:29" x14ac:dyDescent="0.25">
      <c r="C1051">
        <v>41217865</v>
      </c>
      <c r="D1051" t="s">
        <v>1247</v>
      </c>
      <c r="E1051">
        <v>18000</v>
      </c>
      <c r="AC1051" t="s">
        <v>1788</v>
      </c>
    </row>
    <row r="1052" spans="1:29" x14ac:dyDescent="0.25">
      <c r="C1052">
        <v>41217265</v>
      </c>
      <c r="D1052" t="s">
        <v>1248</v>
      </c>
      <c r="E1052">
        <v>4</v>
      </c>
      <c r="AC1052" t="s">
        <v>1789</v>
      </c>
    </row>
    <row r="1053" spans="1:29" x14ac:dyDescent="0.25">
      <c r="C1053">
        <v>41217223</v>
      </c>
      <c r="D1053" t="s">
        <v>1249</v>
      </c>
      <c r="E1053">
        <v>600</v>
      </c>
      <c r="AC1053" t="s">
        <v>1790</v>
      </c>
    </row>
    <row r="1054" spans="1:29" x14ac:dyDescent="0.25">
      <c r="C1054">
        <v>41219002</v>
      </c>
      <c r="D1054" t="s">
        <v>1250</v>
      </c>
      <c r="E1054">
        <v>200</v>
      </c>
      <c r="AC1054" t="s">
        <v>1791</v>
      </c>
    </row>
    <row r="1055" spans="1:29" x14ac:dyDescent="0.25">
      <c r="C1055">
        <v>41218897</v>
      </c>
      <c r="D1055" t="s">
        <v>1251</v>
      </c>
      <c r="E1055">
        <v>500</v>
      </c>
      <c r="AC1055" t="s">
        <v>1792</v>
      </c>
    </row>
    <row r="1056" spans="1:29" x14ac:dyDescent="0.25">
      <c r="A1056" t="s">
        <v>680</v>
      </c>
      <c r="B1056">
        <v>8010061705028580</v>
      </c>
      <c r="C1056">
        <v>41217864</v>
      </c>
      <c r="D1056" t="s">
        <v>271</v>
      </c>
      <c r="E1056">
        <v>900</v>
      </c>
      <c r="J1056">
        <v>0.25</v>
      </c>
      <c r="L1056" t="s">
        <v>834</v>
      </c>
      <c r="AC1056" t="s">
        <v>1837</v>
      </c>
    </row>
    <row r="1057" spans="1:29" x14ac:dyDescent="0.25">
      <c r="C1057">
        <v>41217317</v>
      </c>
      <c r="D1057" t="s">
        <v>1253</v>
      </c>
      <c r="E1057">
        <v>900</v>
      </c>
      <c r="AC1057" t="s">
        <v>1794</v>
      </c>
    </row>
    <row r="1058" spans="1:29" x14ac:dyDescent="0.25">
      <c r="A1058" t="s">
        <v>837</v>
      </c>
      <c r="B1058">
        <v>8.0100617050285803E+24</v>
      </c>
      <c r="C1058" t="s">
        <v>1292</v>
      </c>
      <c r="D1058" t="s">
        <v>1293</v>
      </c>
      <c r="E1058">
        <v>300</v>
      </c>
      <c r="G1058" t="s">
        <v>152</v>
      </c>
      <c r="H1058">
        <v>60</v>
      </c>
      <c r="I1058">
        <v>2.1</v>
      </c>
      <c r="J1058">
        <v>2.1</v>
      </c>
      <c r="K1058">
        <v>1</v>
      </c>
      <c r="L1058" t="s">
        <v>834</v>
      </c>
      <c r="AC1058" t="s">
        <v>1838</v>
      </c>
    </row>
    <row r="1059" spans="1:29" x14ac:dyDescent="0.25">
      <c r="C1059">
        <v>41218405</v>
      </c>
      <c r="D1059" t="s">
        <v>1255</v>
      </c>
      <c r="E1059">
        <v>300</v>
      </c>
      <c r="AC1059" t="s">
        <v>1796</v>
      </c>
    </row>
    <row r="1060" spans="1:29" x14ac:dyDescent="0.25">
      <c r="B1060">
        <v>8010061705028580</v>
      </c>
      <c r="C1060">
        <v>41217180</v>
      </c>
      <c r="D1060" t="s">
        <v>1294</v>
      </c>
      <c r="E1060">
        <v>3200</v>
      </c>
      <c r="G1060" t="s">
        <v>135</v>
      </c>
      <c r="H1060">
        <v>52</v>
      </c>
      <c r="J1060">
        <v>0.25</v>
      </c>
      <c r="L1060" t="s">
        <v>834</v>
      </c>
      <c r="AC1060" t="s">
        <v>1839</v>
      </c>
    </row>
    <row r="1061" spans="1:29" x14ac:dyDescent="0.25">
      <c r="C1061" t="s">
        <v>1244</v>
      </c>
      <c r="D1061" t="s">
        <v>1257</v>
      </c>
      <c r="E1061">
        <v>3200</v>
      </c>
      <c r="AC1061" t="s">
        <v>1798</v>
      </c>
    </row>
    <row r="1062" spans="1:29" x14ac:dyDescent="0.25">
      <c r="B1062">
        <v>8010061705028580</v>
      </c>
      <c r="C1062">
        <v>41219171</v>
      </c>
      <c r="D1062" t="s">
        <v>1295</v>
      </c>
      <c r="E1062">
        <v>4000</v>
      </c>
      <c r="G1062" t="s">
        <v>156</v>
      </c>
      <c r="H1062">
        <v>77</v>
      </c>
      <c r="J1062">
        <v>0.33</v>
      </c>
      <c r="L1062" t="s">
        <v>834</v>
      </c>
      <c r="AC1062" t="s">
        <v>1840</v>
      </c>
    </row>
    <row r="1063" spans="1:29" x14ac:dyDescent="0.25">
      <c r="C1063">
        <v>41219042</v>
      </c>
      <c r="D1063" t="s">
        <v>1259</v>
      </c>
      <c r="E1063">
        <v>4000</v>
      </c>
      <c r="AC1063" t="s">
        <v>1800</v>
      </c>
    </row>
    <row r="1064" spans="1:29" x14ac:dyDescent="0.25">
      <c r="B1064">
        <v>8010061705028580</v>
      </c>
      <c r="C1064">
        <v>41219002</v>
      </c>
      <c r="D1064" t="s">
        <v>1296</v>
      </c>
      <c r="E1064">
        <v>2000</v>
      </c>
      <c r="G1064" t="s">
        <v>131</v>
      </c>
      <c r="H1064">
        <v>55</v>
      </c>
      <c r="J1064">
        <v>0.25</v>
      </c>
      <c r="L1064" t="s">
        <v>834</v>
      </c>
      <c r="AC1064" t="s">
        <v>1841</v>
      </c>
    </row>
    <row r="1065" spans="1:29" x14ac:dyDescent="0.25">
      <c r="C1065">
        <v>41219002</v>
      </c>
      <c r="D1065" t="s">
        <v>1261</v>
      </c>
      <c r="E1065">
        <v>6</v>
      </c>
      <c r="G1065" t="s">
        <v>143</v>
      </c>
      <c r="H1065">
        <v>136</v>
      </c>
      <c r="J1065">
        <v>3.4</v>
      </c>
      <c r="L1065" t="s">
        <v>834</v>
      </c>
      <c r="AC1065" t="s">
        <v>1802</v>
      </c>
    </row>
    <row r="1066" spans="1:29" x14ac:dyDescent="0.25">
      <c r="C1066">
        <v>41218301</v>
      </c>
      <c r="D1066" t="s">
        <v>1262</v>
      </c>
      <c r="E1066">
        <v>300</v>
      </c>
      <c r="G1066" t="s">
        <v>177</v>
      </c>
      <c r="H1066">
        <v>163</v>
      </c>
      <c r="J1066">
        <v>3.8</v>
      </c>
      <c r="L1066" t="s">
        <v>834</v>
      </c>
      <c r="AC1066" t="s">
        <v>1803</v>
      </c>
    </row>
    <row r="1067" spans="1:29" x14ac:dyDescent="0.25">
      <c r="C1067">
        <v>41218405</v>
      </c>
      <c r="D1067" t="s">
        <v>1263</v>
      </c>
      <c r="E1067">
        <v>2000</v>
      </c>
      <c r="AC1067" t="s">
        <v>1804</v>
      </c>
    </row>
    <row r="1068" spans="1:29" x14ac:dyDescent="0.25">
      <c r="C1068">
        <v>41218857</v>
      </c>
      <c r="D1068" t="s">
        <v>1264</v>
      </c>
      <c r="E1068">
        <v>6</v>
      </c>
      <c r="AC1068" t="s">
        <v>1805</v>
      </c>
    </row>
    <row r="1069" spans="1:29" x14ac:dyDescent="0.25">
      <c r="C1069">
        <v>41218860</v>
      </c>
      <c r="D1069" t="s">
        <v>1265</v>
      </c>
      <c r="E1069">
        <v>300</v>
      </c>
      <c r="AC1069" t="s">
        <v>1806</v>
      </c>
    </row>
    <row r="1070" spans="1:29" x14ac:dyDescent="0.25">
      <c r="B1070">
        <v>8010061705028580</v>
      </c>
      <c r="C1070">
        <v>41219042</v>
      </c>
      <c r="D1070" t="s">
        <v>1297</v>
      </c>
      <c r="E1070">
        <v>480</v>
      </c>
      <c r="G1070" t="s">
        <v>174</v>
      </c>
      <c r="H1070">
        <v>62</v>
      </c>
      <c r="J1070">
        <v>0.56000000000000005</v>
      </c>
      <c r="L1070" t="s">
        <v>834</v>
      </c>
      <c r="AC1070" t="s">
        <v>1842</v>
      </c>
    </row>
    <row r="1071" spans="1:29" x14ac:dyDescent="0.25">
      <c r="C1071">
        <v>41219042</v>
      </c>
      <c r="D1071" t="s">
        <v>1267</v>
      </c>
      <c r="E1071">
        <v>480</v>
      </c>
      <c r="AC1071" t="s">
        <v>1808</v>
      </c>
    </row>
    <row r="1072" spans="1:29" x14ac:dyDescent="0.25">
      <c r="B1072">
        <v>8010061705028580</v>
      </c>
      <c r="C1072">
        <v>41217223</v>
      </c>
      <c r="D1072" t="s">
        <v>1298</v>
      </c>
      <c r="E1072">
        <v>500</v>
      </c>
      <c r="G1072" t="s">
        <v>152</v>
      </c>
      <c r="H1072">
        <v>82</v>
      </c>
      <c r="I1072">
        <v>2.1</v>
      </c>
      <c r="J1072">
        <v>2.1</v>
      </c>
      <c r="K1072">
        <v>1</v>
      </c>
      <c r="L1072" t="s">
        <v>834</v>
      </c>
      <c r="AC1072" t="s">
        <v>1843</v>
      </c>
    </row>
    <row r="1073" spans="2:29" x14ac:dyDescent="0.25">
      <c r="C1073">
        <v>41217265</v>
      </c>
      <c r="D1073" t="s">
        <v>1270</v>
      </c>
      <c r="E1073">
        <v>500</v>
      </c>
      <c r="AC1073" t="s">
        <v>1811</v>
      </c>
    </row>
    <row r="1074" spans="2:29" x14ac:dyDescent="0.25">
      <c r="B1074">
        <v>8010061705028580</v>
      </c>
      <c r="C1074">
        <v>41219002</v>
      </c>
      <c r="D1074" t="s">
        <v>1299</v>
      </c>
      <c r="E1074">
        <v>1200</v>
      </c>
      <c r="G1074" t="s">
        <v>131</v>
      </c>
      <c r="H1074">
        <v>72</v>
      </c>
      <c r="I1074">
        <v>0.25</v>
      </c>
      <c r="J1074">
        <v>0.25</v>
      </c>
      <c r="K1074">
        <v>1</v>
      </c>
      <c r="L1074" t="s">
        <v>834</v>
      </c>
      <c r="AC1074" t="s">
        <v>1844</v>
      </c>
    </row>
    <row r="1075" spans="2:29" x14ac:dyDescent="0.25">
      <c r="C1075">
        <v>41217336</v>
      </c>
      <c r="D1075" t="s">
        <v>1272</v>
      </c>
      <c r="E1075">
        <v>8</v>
      </c>
      <c r="G1075" t="s">
        <v>143</v>
      </c>
      <c r="H1075">
        <v>148</v>
      </c>
      <c r="I1075">
        <v>3.4</v>
      </c>
      <c r="J1075">
        <v>300</v>
      </c>
      <c r="K1075">
        <v>88.235294117647058</v>
      </c>
      <c r="L1075" t="s">
        <v>834</v>
      </c>
      <c r="AC1075" t="s">
        <v>1813</v>
      </c>
    </row>
    <row r="1076" spans="2:29" x14ac:dyDescent="0.25">
      <c r="C1076">
        <v>41217314</v>
      </c>
      <c r="D1076" t="s">
        <v>1273</v>
      </c>
      <c r="E1076">
        <v>8</v>
      </c>
      <c r="G1076" t="s">
        <v>141</v>
      </c>
      <c r="H1076">
        <v>174</v>
      </c>
      <c r="I1076">
        <v>3.4</v>
      </c>
      <c r="J1076">
        <v>3.4</v>
      </c>
      <c r="K1076">
        <v>1</v>
      </c>
      <c r="L1076" t="s">
        <v>834</v>
      </c>
      <c r="AC1076" t="s">
        <v>1814</v>
      </c>
    </row>
    <row r="1077" spans="2:29" x14ac:dyDescent="0.25">
      <c r="C1077">
        <v>41217334</v>
      </c>
      <c r="D1077" t="s">
        <v>1274</v>
      </c>
      <c r="E1077">
        <v>1200</v>
      </c>
      <c r="J1077">
        <v>27.2</v>
      </c>
      <c r="K1077">
        <v>1</v>
      </c>
      <c r="L1077" t="s">
        <v>834</v>
      </c>
      <c r="AC1077" t="s">
        <v>1815</v>
      </c>
    </row>
    <row r="1078" spans="2:29" x14ac:dyDescent="0.25">
      <c r="C1078">
        <v>41218860</v>
      </c>
      <c r="D1078" t="s">
        <v>1275</v>
      </c>
      <c r="E1078">
        <v>8</v>
      </c>
      <c r="J1078">
        <v>3.4</v>
      </c>
      <c r="K1078">
        <v>1</v>
      </c>
      <c r="L1078" t="s">
        <v>834</v>
      </c>
      <c r="AC1078" t="s">
        <v>1816</v>
      </c>
    </row>
    <row r="1079" spans="2:29" x14ac:dyDescent="0.25">
      <c r="C1079">
        <v>41219171</v>
      </c>
      <c r="D1079" t="s">
        <v>1276</v>
      </c>
      <c r="E1079">
        <v>8</v>
      </c>
      <c r="J1079">
        <v>27.2</v>
      </c>
      <c r="K1079">
        <v>1</v>
      </c>
      <c r="L1079" t="s">
        <v>834</v>
      </c>
      <c r="AC1079" t="s">
        <v>1817</v>
      </c>
    </row>
    <row r="1080" spans="2:29" x14ac:dyDescent="0.25">
      <c r="B1080">
        <v>1.00000050523944E+31</v>
      </c>
      <c r="C1080">
        <v>41218656</v>
      </c>
      <c r="D1080" t="s">
        <v>1300</v>
      </c>
      <c r="E1080">
        <v>105</v>
      </c>
      <c r="G1080">
        <v>6885</v>
      </c>
      <c r="H1080">
        <v>69</v>
      </c>
      <c r="I1080">
        <v>1.78</v>
      </c>
      <c r="J1080">
        <v>1.78</v>
      </c>
      <c r="K1080">
        <v>1</v>
      </c>
      <c r="L1080" t="s">
        <v>834</v>
      </c>
      <c r="AC1080" t="s">
        <v>1845</v>
      </c>
    </row>
    <row r="1081" spans="2:29" x14ac:dyDescent="0.25">
      <c r="C1081">
        <v>41219002</v>
      </c>
      <c r="D1081" t="s">
        <v>1278</v>
      </c>
      <c r="E1081">
        <v>105</v>
      </c>
      <c r="J1081">
        <v>186.9</v>
      </c>
      <c r="K1081">
        <v>1</v>
      </c>
      <c r="L1081" t="s">
        <v>834</v>
      </c>
      <c r="AC1081" t="s">
        <v>1819</v>
      </c>
    </row>
    <row r="1082" spans="2:29" x14ac:dyDescent="0.25">
      <c r="B1082">
        <v>8010061705028580</v>
      </c>
      <c r="C1082">
        <v>41219171</v>
      </c>
      <c r="D1082" t="s">
        <v>1301</v>
      </c>
      <c r="E1082">
        <v>2000</v>
      </c>
      <c r="G1082" t="s">
        <v>156</v>
      </c>
      <c r="H1082">
        <v>70</v>
      </c>
      <c r="I1082">
        <v>0.33</v>
      </c>
      <c r="J1082">
        <v>0.33</v>
      </c>
      <c r="K1082">
        <v>1</v>
      </c>
      <c r="L1082" t="s">
        <v>834</v>
      </c>
      <c r="AC1082" t="s">
        <v>1846</v>
      </c>
    </row>
    <row r="1083" spans="2:29" x14ac:dyDescent="0.25">
      <c r="C1083">
        <v>41218898</v>
      </c>
      <c r="D1083" t="s">
        <v>1280</v>
      </c>
      <c r="E1083">
        <v>2000</v>
      </c>
      <c r="J1083">
        <v>660</v>
      </c>
      <c r="K1083">
        <v>1</v>
      </c>
      <c r="L1083" t="s">
        <v>834</v>
      </c>
      <c r="AC1083" t="s">
        <v>1821</v>
      </c>
    </row>
    <row r="1084" spans="2:29" x14ac:dyDescent="0.25">
      <c r="B1084">
        <v>8010061705028580</v>
      </c>
      <c r="C1084">
        <v>41218896</v>
      </c>
      <c r="D1084" t="s">
        <v>1302</v>
      </c>
      <c r="E1084">
        <v>400</v>
      </c>
      <c r="G1084" t="s">
        <v>163</v>
      </c>
      <c r="H1084">
        <v>41</v>
      </c>
      <c r="I1084">
        <v>20.99</v>
      </c>
      <c r="J1084">
        <v>8396</v>
      </c>
      <c r="K1084">
        <v>400.00000000000006</v>
      </c>
      <c r="L1084" t="s">
        <v>834</v>
      </c>
      <c r="AC1084" t="s">
        <v>1847</v>
      </c>
    </row>
    <row r="1085" spans="2:29" x14ac:dyDescent="0.25">
      <c r="C1085">
        <v>41219002</v>
      </c>
      <c r="D1085" t="s">
        <v>1282</v>
      </c>
      <c r="E1085">
        <v>400</v>
      </c>
      <c r="AC1085" t="s">
        <v>1823</v>
      </c>
    </row>
    <row r="1086" spans="2:29" x14ac:dyDescent="0.25">
      <c r="B1086">
        <v>8010061705028580</v>
      </c>
      <c r="C1086">
        <v>41218896</v>
      </c>
      <c r="D1086" t="s">
        <v>1303</v>
      </c>
      <c r="E1086">
        <v>2500</v>
      </c>
      <c r="G1086" t="s">
        <v>131</v>
      </c>
      <c r="H1086">
        <v>83</v>
      </c>
      <c r="I1086">
        <v>0.25</v>
      </c>
      <c r="J1086">
        <v>0.25</v>
      </c>
      <c r="K1086">
        <v>1</v>
      </c>
      <c r="L1086" t="s">
        <v>834</v>
      </c>
      <c r="AC1086" t="s">
        <v>1848</v>
      </c>
    </row>
    <row r="1087" spans="2:29" x14ac:dyDescent="0.25">
      <c r="C1087">
        <v>41217265</v>
      </c>
      <c r="D1087" t="s">
        <v>1283</v>
      </c>
      <c r="E1087">
        <v>2500</v>
      </c>
      <c r="AC1087" t="s">
        <v>1826</v>
      </c>
    </row>
    <row r="1088" spans="2:29" x14ac:dyDescent="0.25">
      <c r="B1088">
        <v>8010061705028580</v>
      </c>
      <c r="C1088">
        <v>41218857</v>
      </c>
      <c r="D1088" t="s">
        <v>1304</v>
      </c>
      <c r="E1088">
        <v>6500</v>
      </c>
      <c r="G1088" t="s">
        <v>117</v>
      </c>
      <c r="H1088">
        <v>67</v>
      </c>
      <c r="I1088">
        <v>0.27</v>
      </c>
      <c r="J1088">
        <v>0.27</v>
      </c>
      <c r="K1088">
        <v>1</v>
      </c>
      <c r="L1088" t="s">
        <v>834</v>
      </c>
      <c r="AC1088" t="s">
        <v>1849</v>
      </c>
    </row>
    <row r="1089" spans="2:29" x14ac:dyDescent="0.25">
      <c r="C1089">
        <v>41217180</v>
      </c>
      <c r="D1089" t="s">
        <v>1285</v>
      </c>
      <c r="E1089">
        <v>6500</v>
      </c>
      <c r="J1089">
        <v>1755</v>
      </c>
      <c r="K1089">
        <v>1</v>
      </c>
      <c r="L1089" t="s">
        <v>834</v>
      </c>
      <c r="AC1089" t="s">
        <v>1828</v>
      </c>
    </row>
    <row r="1090" spans="2:29" x14ac:dyDescent="0.25">
      <c r="C1090">
        <v>41218405</v>
      </c>
      <c r="D1090" t="s">
        <v>1286</v>
      </c>
      <c r="E1090">
        <v>1</v>
      </c>
      <c r="AC1090" t="s">
        <v>1829</v>
      </c>
    </row>
    <row r="1091" spans="2:29" x14ac:dyDescent="0.25">
      <c r="B1091">
        <v>8010061705028580</v>
      </c>
      <c r="C1091">
        <v>41217314</v>
      </c>
      <c r="D1091" t="s">
        <v>1305</v>
      </c>
      <c r="E1091">
        <v>250</v>
      </c>
      <c r="G1091" t="s">
        <v>150</v>
      </c>
      <c r="H1091">
        <v>51</v>
      </c>
      <c r="I1091">
        <v>1.7</v>
      </c>
      <c r="J1091">
        <v>425</v>
      </c>
      <c r="K1091">
        <v>250</v>
      </c>
      <c r="AC1091" t="s">
        <v>1850</v>
      </c>
    </row>
    <row r="1092" spans="2:29" x14ac:dyDescent="0.25">
      <c r="C1092">
        <v>41218860</v>
      </c>
      <c r="D1092" t="s">
        <v>1291</v>
      </c>
      <c r="E1092">
        <v>250</v>
      </c>
      <c r="AC1092" t="s">
        <v>1834</v>
      </c>
    </row>
    <row r="1093" spans="2:29" x14ac:dyDescent="0.25">
      <c r="B1093">
        <v>8010061705028580</v>
      </c>
      <c r="C1093">
        <v>41217334</v>
      </c>
      <c r="D1093" t="s">
        <v>1306</v>
      </c>
      <c r="E1093">
        <v>178</v>
      </c>
      <c r="G1093" t="s">
        <v>174</v>
      </c>
      <c r="H1093">
        <v>77</v>
      </c>
      <c r="I1093">
        <v>0.56000000000000005</v>
      </c>
      <c r="J1093">
        <v>99.68</v>
      </c>
      <c r="K1093">
        <v>178</v>
      </c>
      <c r="AC1093" t="s">
        <v>1851</v>
      </c>
    </row>
    <row r="1094" spans="2:29" x14ac:dyDescent="0.25">
      <c r="C1094">
        <v>41218860</v>
      </c>
      <c r="D1094" t="s">
        <v>269</v>
      </c>
      <c r="E1094">
        <v>178</v>
      </c>
      <c r="AC1094" t="s">
        <v>1836</v>
      </c>
    </row>
    <row r="1095" spans="2:29" x14ac:dyDescent="0.25">
      <c r="B1095">
        <v>1.40006885801006E+27</v>
      </c>
      <c r="C1095">
        <v>41218860</v>
      </c>
      <c r="D1095" t="s">
        <v>1307</v>
      </c>
      <c r="E1095">
        <v>40</v>
      </c>
      <c r="G1095">
        <v>6885</v>
      </c>
      <c r="H1095">
        <v>82</v>
      </c>
      <c r="I1095">
        <v>1.78</v>
      </c>
      <c r="J1095">
        <v>71.2</v>
      </c>
      <c r="K1095">
        <v>40</v>
      </c>
      <c r="AC1095" t="s">
        <v>1852</v>
      </c>
    </row>
    <row r="1096" spans="2:29" x14ac:dyDescent="0.25">
      <c r="C1096">
        <v>41218857</v>
      </c>
      <c r="D1096" t="s">
        <v>266</v>
      </c>
      <c r="E1096">
        <v>180</v>
      </c>
      <c r="G1096" t="s">
        <v>138</v>
      </c>
      <c r="H1096">
        <v>87</v>
      </c>
      <c r="I1096">
        <v>3.4</v>
      </c>
      <c r="J1096">
        <v>612</v>
      </c>
      <c r="K1096">
        <v>180</v>
      </c>
      <c r="AC1096" t="s">
        <v>1853</v>
      </c>
    </row>
    <row r="1097" spans="2:29" x14ac:dyDescent="0.25">
      <c r="C1097" t="s">
        <v>1292</v>
      </c>
      <c r="D1097" t="s">
        <v>1293</v>
      </c>
      <c r="E1097">
        <v>6</v>
      </c>
      <c r="G1097" t="s">
        <v>193</v>
      </c>
      <c r="H1097">
        <v>97</v>
      </c>
      <c r="I1097">
        <v>0.87</v>
      </c>
      <c r="J1097">
        <v>5.22</v>
      </c>
      <c r="K1097">
        <v>6</v>
      </c>
      <c r="AC1097" t="s">
        <v>1838</v>
      </c>
    </row>
    <row r="1098" spans="2:29" x14ac:dyDescent="0.25">
      <c r="C1098">
        <v>41217180</v>
      </c>
      <c r="D1098" t="s">
        <v>1294</v>
      </c>
      <c r="E1098">
        <v>40</v>
      </c>
      <c r="G1098">
        <v>6885</v>
      </c>
      <c r="H1098">
        <v>244</v>
      </c>
      <c r="AC1098" t="s">
        <v>1839</v>
      </c>
    </row>
    <row r="1099" spans="2:29" x14ac:dyDescent="0.25">
      <c r="C1099">
        <v>41219171</v>
      </c>
      <c r="D1099" t="s">
        <v>1295</v>
      </c>
      <c r="E1099">
        <v>180</v>
      </c>
      <c r="AC1099" t="s">
        <v>1840</v>
      </c>
    </row>
    <row r="1100" spans="2:29" x14ac:dyDescent="0.25">
      <c r="C1100">
        <v>41219002</v>
      </c>
      <c r="D1100" t="s">
        <v>1296</v>
      </c>
      <c r="E1100">
        <v>6</v>
      </c>
      <c r="AC1100" t="s">
        <v>1841</v>
      </c>
    </row>
    <row r="1101" spans="2:29" x14ac:dyDescent="0.25">
      <c r="B1101">
        <v>8.0100621705028496E+16</v>
      </c>
      <c r="C1101">
        <v>41217865</v>
      </c>
      <c r="D1101" t="s">
        <v>1308</v>
      </c>
      <c r="E1101">
        <v>25000</v>
      </c>
      <c r="G1101" t="s">
        <v>133</v>
      </c>
      <c r="H1101">
        <v>39</v>
      </c>
      <c r="I1101">
        <v>0.25</v>
      </c>
      <c r="J1101">
        <v>6250</v>
      </c>
      <c r="K1101">
        <v>25000</v>
      </c>
      <c r="AC1101" t="s">
        <v>1854</v>
      </c>
    </row>
    <row r="1102" spans="2:29" x14ac:dyDescent="0.25">
      <c r="C1102">
        <v>41217223</v>
      </c>
      <c r="D1102" t="s">
        <v>1298</v>
      </c>
      <c r="E1102">
        <v>25000</v>
      </c>
      <c r="AC1102" t="s">
        <v>1843</v>
      </c>
    </row>
    <row r="1103" spans="2:29" x14ac:dyDescent="0.25">
      <c r="B1103">
        <v>8010061705028580</v>
      </c>
      <c r="C1103">
        <v>41218860</v>
      </c>
      <c r="D1103" t="s">
        <v>1309</v>
      </c>
      <c r="E1103">
        <v>20000</v>
      </c>
      <c r="G1103" t="s">
        <v>113</v>
      </c>
      <c r="H1103">
        <v>145</v>
      </c>
      <c r="I1103">
        <v>0.25</v>
      </c>
      <c r="J1103">
        <v>0.25</v>
      </c>
      <c r="K1103">
        <v>1</v>
      </c>
      <c r="L1103" t="s">
        <v>834</v>
      </c>
      <c r="AC1103" t="s">
        <v>1855</v>
      </c>
    </row>
    <row r="1104" spans="2:29" x14ac:dyDescent="0.25">
      <c r="C1104">
        <v>41218656</v>
      </c>
      <c r="D1104" t="s">
        <v>1300</v>
      </c>
      <c r="E1104">
        <v>650</v>
      </c>
      <c r="G1104" t="s">
        <v>170</v>
      </c>
      <c r="H1104">
        <v>177</v>
      </c>
      <c r="I1104">
        <v>1.28</v>
      </c>
      <c r="J1104">
        <v>1.28</v>
      </c>
      <c r="K1104">
        <v>1</v>
      </c>
      <c r="L1104" t="s">
        <v>834</v>
      </c>
      <c r="AC1104" t="s">
        <v>1845</v>
      </c>
    </row>
    <row r="1105" spans="2:29" x14ac:dyDescent="0.25">
      <c r="C1105">
        <v>41219171</v>
      </c>
      <c r="D1105" t="s">
        <v>1301</v>
      </c>
      <c r="E1105">
        <v>200</v>
      </c>
      <c r="G1105">
        <v>501</v>
      </c>
      <c r="H1105">
        <v>201</v>
      </c>
      <c r="I1105">
        <v>1.3</v>
      </c>
      <c r="J1105">
        <v>1.3</v>
      </c>
      <c r="K1105">
        <v>1</v>
      </c>
      <c r="L1105" t="s">
        <v>834</v>
      </c>
      <c r="AC1105" t="s">
        <v>1846</v>
      </c>
    </row>
    <row r="1106" spans="2:29" x14ac:dyDescent="0.25">
      <c r="C1106">
        <v>41218896</v>
      </c>
      <c r="D1106" t="s">
        <v>1302</v>
      </c>
      <c r="E1106">
        <v>80</v>
      </c>
      <c r="G1106" t="s">
        <v>177</v>
      </c>
      <c r="H1106">
        <v>221</v>
      </c>
      <c r="I1106">
        <v>3.8</v>
      </c>
      <c r="J1106">
        <v>3.8</v>
      </c>
      <c r="K1106">
        <v>1</v>
      </c>
      <c r="L1106" t="s">
        <v>834</v>
      </c>
      <c r="AC1106" t="s">
        <v>1847</v>
      </c>
    </row>
    <row r="1107" spans="2:29" x14ac:dyDescent="0.25">
      <c r="C1107">
        <v>41218896</v>
      </c>
      <c r="D1107" t="s">
        <v>1303</v>
      </c>
      <c r="E1107">
        <v>20000</v>
      </c>
      <c r="AC1107" t="s">
        <v>1848</v>
      </c>
    </row>
    <row r="1108" spans="2:29" x14ac:dyDescent="0.25">
      <c r="C1108">
        <v>41218857</v>
      </c>
      <c r="D1108" t="s">
        <v>1304</v>
      </c>
      <c r="E1108">
        <v>650</v>
      </c>
      <c r="AC1108" t="s">
        <v>1849</v>
      </c>
    </row>
    <row r="1109" spans="2:29" x14ac:dyDescent="0.25">
      <c r="C1109">
        <v>41217314</v>
      </c>
      <c r="D1109" t="s">
        <v>1305</v>
      </c>
      <c r="E1109">
        <v>200</v>
      </c>
      <c r="AC1109" t="s">
        <v>1850</v>
      </c>
    </row>
    <row r="1110" spans="2:29" x14ac:dyDescent="0.25">
      <c r="C1110">
        <v>41217334</v>
      </c>
      <c r="D1110" t="s">
        <v>1306</v>
      </c>
      <c r="E1110">
        <v>80</v>
      </c>
      <c r="AC1110" t="s">
        <v>1851</v>
      </c>
    </row>
    <row r="1111" spans="2:29" x14ac:dyDescent="0.25">
      <c r="B1111">
        <v>8010061705028580</v>
      </c>
      <c r="C1111">
        <v>41219252</v>
      </c>
      <c r="D1111" t="s">
        <v>1310</v>
      </c>
      <c r="E1111">
        <v>5500</v>
      </c>
      <c r="G1111" t="s">
        <v>156</v>
      </c>
      <c r="H1111">
        <v>57</v>
      </c>
      <c r="I1111">
        <v>0.33</v>
      </c>
      <c r="J1111">
        <v>1815</v>
      </c>
      <c r="K1111">
        <v>5500</v>
      </c>
      <c r="AC1111" t="s">
        <v>1856</v>
      </c>
    </row>
    <row r="1112" spans="2:29" x14ac:dyDescent="0.25">
      <c r="C1112">
        <v>41217865</v>
      </c>
      <c r="D1112" t="s">
        <v>1308</v>
      </c>
      <c r="E1112">
        <v>2400</v>
      </c>
      <c r="G1112" t="s">
        <v>190</v>
      </c>
      <c r="H1112">
        <v>169</v>
      </c>
      <c r="I1112">
        <v>0.15</v>
      </c>
      <c r="J1112">
        <v>360</v>
      </c>
      <c r="K1112">
        <v>2400</v>
      </c>
      <c r="AC1112" t="s">
        <v>1854</v>
      </c>
    </row>
    <row r="1113" spans="2:29" x14ac:dyDescent="0.25">
      <c r="C1113">
        <v>41218860</v>
      </c>
      <c r="D1113" t="s">
        <v>1309</v>
      </c>
      <c r="E1113">
        <v>5500</v>
      </c>
      <c r="AC1113" t="s">
        <v>1855</v>
      </c>
    </row>
    <row r="1114" spans="2:29" x14ac:dyDescent="0.25">
      <c r="C1114">
        <v>41219252</v>
      </c>
      <c r="D1114" t="s">
        <v>1310</v>
      </c>
      <c r="E1114">
        <v>2400</v>
      </c>
      <c r="AC1114" t="s">
        <v>1856</v>
      </c>
    </row>
    <row r="1115" spans="2:29" x14ac:dyDescent="0.25">
      <c r="B1115">
        <v>8.0100617050285803E+24</v>
      </c>
      <c r="C1115">
        <v>41217265</v>
      </c>
      <c r="D1115" t="s">
        <v>1311</v>
      </c>
      <c r="E1115">
        <v>15</v>
      </c>
      <c r="G1115">
        <v>6800</v>
      </c>
      <c r="H1115">
        <v>45</v>
      </c>
      <c r="I1115">
        <v>94</v>
      </c>
      <c r="J1115">
        <v>1410</v>
      </c>
      <c r="K1115">
        <v>15</v>
      </c>
      <c r="AC1115" t="s">
        <v>1857</v>
      </c>
    </row>
    <row r="1116" spans="2:29" x14ac:dyDescent="0.25">
      <c r="C1116">
        <v>41219171</v>
      </c>
      <c r="D1116" t="s">
        <v>1312</v>
      </c>
      <c r="E1116">
        <v>15</v>
      </c>
      <c r="G1116">
        <v>6800</v>
      </c>
      <c r="H1116">
        <v>370</v>
      </c>
      <c r="AC1116" t="s">
        <v>1858</v>
      </c>
    </row>
    <row r="1117" spans="2:29" x14ac:dyDescent="0.25">
      <c r="B1117">
        <v>801006170502858</v>
      </c>
      <c r="C1117">
        <v>41219171</v>
      </c>
      <c r="D1117" t="s">
        <v>1312</v>
      </c>
      <c r="E1117">
        <v>2000</v>
      </c>
      <c r="G1117" t="s">
        <v>156</v>
      </c>
      <c r="H1117">
        <v>38</v>
      </c>
      <c r="I1117">
        <v>0.33</v>
      </c>
      <c r="J1117">
        <v>660</v>
      </c>
      <c r="K1117">
        <v>2000</v>
      </c>
      <c r="AC1117" t="s">
        <v>1858</v>
      </c>
    </row>
    <row r="1118" spans="2:29" x14ac:dyDescent="0.25">
      <c r="C1118">
        <v>41217265</v>
      </c>
      <c r="D1118" t="s">
        <v>301</v>
      </c>
      <c r="E1118">
        <v>2000</v>
      </c>
      <c r="AC1118" t="s">
        <v>1859</v>
      </c>
    </row>
    <row r="1119" spans="2:29" x14ac:dyDescent="0.25">
      <c r="B1119">
        <v>8.0100617050285805E+25</v>
      </c>
      <c r="C1119">
        <v>41217223</v>
      </c>
      <c r="D1119" t="s">
        <v>1313</v>
      </c>
      <c r="E1119">
        <v>240</v>
      </c>
      <c r="G1119" t="s">
        <v>152</v>
      </c>
      <c r="H1119">
        <v>31</v>
      </c>
      <c r="I1119">
        <v>2.1</v>
      </c>
      <c r="J1119">
        <v>504</v>
      </c>
      <c r="K1119">
        <v>240</v>
      </c>
      <c r="AC1119" t="s">
        <v>1860</v>
      </c>
    </row>
    <row r="1120" spans="2:29" x14ac:dyDescent="0.25">
      <c r="C1120">
        <v>41219002</v>
      </c>
      <c r="D1120" t="s">
        <v>308</v>
      </c>
      <c r="E1120">
        <v>240</v>
      </c>
      <c r="G1120" t="s">
        <v>152</v>
      </c>
      <c r="H1120">
        <v>320</v>
      </c>
      <c r="AC1120" t="s">
        <v>1861</v>
      </c>
    </row>
    <row r="1121" spans="2:29" x14ac:dyDescent="0.25">
      <c r="B1121">
        <v>8.0100617050285803E+24</v>
      </c>
      <c r="C1121">
        <v>41217265</v>
      </c>
      <c r="D1121" t="s">
        <v>301</v>
      </c>
      <c r="E1121">
        <v>15</v>
      </c>
      <c r="G1121">
        <v>6800</v>
      </c>
      <c r="H1121">
        <v>30</v>
      </c>
      <c r="I1121">
        <v>94</v>
      </c>
      <c r="J1121">
        <v>1410</v>
      </c>
      <c r="K1121">
        <v>15</v>
      </c>
      <c r="AC1121" t="s">
        <v>1859</v>
      </c>
    </row>
    <row r="1122" spans="2:29" x14ac:dyDescent="0.25">
      <c r="C1122">
        <v>41219254</v>
      </c>
      <c r="D1122" t="s">
        <v>304</v>
      </c>
      <c r="E1122">
        <v>15</v>
      </c>
      <c r="G1122">
        <v>6800</v>
      </c>
      <c r="H1122">
        <v>329</v>
      </c>
      <c r="AC1122" t="s">
        <v>1862</v>
      </c>
    </row>
    <row r="1123" spans="2:29" x14ac:dyDescent="0.25">
      <c r="B1123">
        <v>8.0100617050285796E+21</v>
      </c>
      <c r="C1123">
        <v>41218407</v>
      </c>
      <c r="D1123" t="s">
        <v>306</v>
      </c>
      <c r="E1123">
        <v>3600</v>
      </c>
      <c r="G1123" t="s">
        <v>113</v>
      </c>
      <c r="H1123">
        <v>57</v>
      </c>
      <c r="I1123">
        <v>0.25</v>
      </c>
      <c r="J1123">
        <v>900</v>
      </c>
      <c r="K1123">
        <v>3600</v>
      </c>
      <c r="AC1123" t="s">
        <v>1863</v>
      </c>
    </row>
    <row r="1124" spans="2:29" x14ac:dyDescent="0.25">
      <c r="C1124">
        <v>41219002</v>
      </c>
      <c r="D1124" t="s">
        <v>1314</v>
      </c>
      <c r="E1124">
        <v>3600</v>
      </c>
      <c r="AC1124" t="s">
        <v>1864</v>
      </c>
    </row>
    <row r="1125" spans="2:29" x14ac:dyDescent="0.25">
      <c r="B1125">
        <v>8010061705028580</v>
      </c>
      <c r="C1125">
        <v>41219002</v>
      </c>
      <c r="D1125" t="s">
        <v>308</v>
      </c>
      <c r="E1125">
        <v>8</v>
      </c>
      <c r="G1125" t="s">
        <v>143</v>
      </c>
      <c r="H1125">
        <v>43</v>
      </c>
      <c r="I1125">
        <v>3.4</v>
      </c>
      <c r="J1125">
        <v>27.2</v>
      </c>
      <c r="K1125">
        <v>8</v>
      </c>
      <c r="AC1125" t="s">
        <v>1861</v>
      </c>
    </row>
    <row r="1126" spans="2:29" x14ac:dyDescent="0.25">
      <c r="C1126">
        <v>41219042</v>
      </c>
      <c r="D1126" t="s">
        <v>1315</v>
      </c>
      <c r="E1126">
        <v>8</v>
      </c>
      <c r="AC1126" t="s">
        <v>1865</v>
      </c>
    </row>
    <row r="1127" spans="2:29" x14ac:dyDescent="0.25">
      <c r="B1127">
        <v>8010061705028580</v>
      </c>
      <c r="C1127">
        <v>41217223</v>
      </c>
      <c r="D1127" t="s">
        <v>307</v>
      </c>
      <c r="E1127">
        <v>1000</v>
      </c>
      <c r="G1127" t="s">
        <v>152</v>
      </c>
      <c r="H1127">
        <v>53</v>
      </c>
      <c r="I1127">
        <v>2.1</v>
      </c>
      <c r="J1127">
        <v>2100</v>
      </c>
      <c r="K1127">
        <v>1000</v>
      </c>
      <c r="AC1127" t="s">
        <v>1866</v>
      </c>
    </row>
    <row r="1128" spans="2:29" x14ac:dyDescent="0.25">
      <c r="C1128">
        <v>41219252</v>
      </c>
      <c r="D1128" t="s">
        <v>315</v>
      </c>
      <c r="E1128">
        <v>1000</v>
      </c>
      <c r="AC1128" t="s">
        <v>1867</v>
      </c>
    </row>
    <row r="1129" spans="2:29" x14ac:dyDescent="0.25">
      <c r="B1129">
        <v>8010061705028580</v>
      </c>
      <c r="C1129">
        <v>41219254</v>
      </c>
      <c r="D1129" t="s">
        <v>304</v>
      </c>
      <c r="E1129">
        <v>3600</v>
      </c>
      <c r="G1129" t="s">
        <v>133</v>
      </c>
      <c r="H1129">
        <v>49</v>
      </c>
      <c r="I1129">
        <v>0.25</v>
      </c>
      <c r="J1129">
        <v>900</v>
      </c>
      <c r="K1129">
        <v>3600</v>
      </c>
      <c r="AC1129" t="s">
        <v>1862</v>
      </c>
    </row>
    <row r="1130" spans="2:29" x14ac:dyDescent="0.25">
      <c r="C1130">
        <v>41217223</v>
      </c>
      <c r="D1130" t="s">
        <v>321</v>
      </c>
      <c r="E1130">
        <v>3600</v>
      </c>
      <c r="AC1130" t="s">
        <v>1868</v>
      </c>
    </row>
    <row r="1131" spans="2:29" x14ac:dyDescent="0.25">
      <c r="B1131">
        <v>8.0100617050285803E+24</v>
      </c>
      <c r="C1131">
        <v>41219042</v>
      </c>
      <c r="D1131" t="s">
        <v>302</v>
      </c>
      <c r="E1131">
        <v>720</v>
      </c>
      <c r="G1131" t="s">
        <v>150</v>
      </c>
      <c r="H1131">
        <v>33</v>
      </c>
      <c r="I1131">
        <v>1.7</v>
      </c>
      <c r="J1131">
        <v>1224</v>
      </c>
      <c r="K1131">
        <v>720</v>
      </c>
      <c r="AC1131" t="s">
        <v>1869</v>
      </c>
    </row>
    <row r="1132" spans="2:29" x14ac:dyDescent="0.25">
      <c r="C1132">
        <v>41218407</v>
      </c>
      <c r="D1132" t="s">
        <v>320</v>
      </c>
      <c r="E1132">
        <v>720</v>
      </c>
      <c r="G1132" t="s">
        <v>150</v>
      </c>
      <c r="H1132">
        <v>330</v>
      </c>
      <c r="AC1132" t="s">
        <v>1870</v>
      </c>
    </row>
    <row r="1133" spans="2:29" x14ac:dyDescent="0.25">
      <c r="B1133">
        <v>8010061705028580</v>
      </c>
      <c r="C1133">
        <v>41219002</v>
      </c>
      <c r="D1133" t="s">
        <v>1314</v>
      </c>
      <c r="E1133">
        <v>8</v>
      </c>
      <c r="G1133" t="s">
        <v>141</v>
      </c>
      <c r="H1133">
        <v>47</v>
      </c>
      <c r="I1133">
        <v>3.4</v>
      </c>
      <c r="J1133">
        <v>27.2</v>
      </c>
      <c r="K1133">
        <v>8</v>
      </c>
      <c r="AC1133" t="s">
        <v>1864</v>
      </c>
    </row>
    <row r="1134" spans="2:29" x14ac:dyDescent="0.25">
      <c r="C1134">
        <v>41218860</v>
      </c>
      <c r="D1134" t="s">
        <v>1316</v>
      </c>
      <c r="E1134">
        <v>8</v>
      </c>
      <c r="AC1134" t="s">
        <v>1871</v>
      </c>
    </row>
    <row r="1135" spans="2:29" x14ac:dyDescent="0.25">
      <c r="B1135">
        <v>6.8008010061704994E+23</v>
      </c>
      <c r="C1135">
        <v>41217265</v>
      </c>
      <c r="D1135" t="s">
        <v>1317</v>
      </c>
      <c r="E1135">
        <v>20</v>
      </c>
      <c r="G1135">
        <v>6800</v>
      </c>
      <c r="H1135">
        <v>42</v>
      </c>
      <c r="I1135">
        <v>94</v>
      </c>
      <c r="J1135">
        <v>1880</v>
      </c>
      <c r="K1135">
        <v>20</v>
      </c>
      <c r="AC1135" t="s">
        <v>1872</v>
      </c>
    </row>
    <row r="1136" spans="2:29" x14ac:dyDescent="0.25">
      <c r="C1136">
        <v>41217865</v>
      </c>
      <c r="D1136" t="s">
        <v>1318</v>
      </c>
      <c r="E1136">
        <v>20</v>
      </c>
      <c r="G1136">
        <v>6800</v>
      </c>
      <c r="H1136">
        <v>158</v>
      </c>
      <c r="AC1136" t="s">
        <v>1873</v>
      </c>
    </row>
    <row r="1137" spans="2:29" x14ac:dyDescent="0.25">
      <c r="B1137">
        <v>1.1119801006170499E+25</v>
      </c>
      <c r="C1137">
        <v>41219042</v>
      </c>
      <c r="D1137" t="s">
        <v>1315</v>
      </c>
      <c r="E1137">
        <v>720</v>
      </c>
      <c r="G1137" t="s">
        <v>150</v>
      </c>
      <c r="H1137">
        <v>51</v>
      </c>
      <c r="I1137">
        <v>1.7</v>
      </c>
      <c r="J1137">
        <v>1224</v>
      </c>
      <c r="K1137">
        <v>720</v>
      </c>
      <c r="AC1137" t="s">
        <v>1865</v>
      </c>
    </row>
    <row r="1138" spans="2:29" x14ac:dyDescent="0.25">
      <c r="C1138">
        <v>41219252</v>
      </c>
      <c r="D1138" t="s">
        <v>1319</v>
      </c>
      <c r="E1138">
        <v>720</v>
      </c>
      <c r="G1138" t="s">
        <v>150</v>
      </c>
      <c r="H1138">
        <v>189</v>
      </c>
      <c r="AC1138" t="s">
        <v>1874</v>
      </c>
    </row>
    <row r="1139" spans="2:29" x14ac:dyDescent="0.25">
      <c r="B1139">
        <v>8.0100617050285794E+35</v>
      </c>
      <c r="C1139">
        <v>41218898</v>
      </c>
      <c r="D1139" t="s">
        <v>1320</v>
      </c>
      <c r="E1139">
        <v>1000</v>
      </c>
      <c r="G1139" t="s">
        <v>129</v>
      </c>
      <c r="H1139">
        <v>42</v>
      </c>
      <c r="I1139">
        <v>0.25</v>
      </c>
      <c r="J1139">
        <v>250</v>
      </c>
      <c r="K1139">
        <v>1000</v>
      </c>
      <c r="AC1139" t="s">
        <v>1875</v>
      </c>
    </row>
    <row r="1140" spans="2:29" x14ac:dyDescent="0.25">
      <c r="C1140">
        <v>41217180</v>
      </c>
      <c r="D1140" t="s">
        <v>1321</v>
      </c>
      <c r="E1140">
        <v>1000</v>
      </c>
      <c r="G1140" t="s">
        <v>129</v>
      </c>
      <c r="H1140">
        <v>343</v>
      </c>
      <c r="AC1140" t="s">
        <v>1876</v>
      </c>
    </row>
    <row r="1141" spans="2:29" x14ac:dyDescent="0.25">
      <c r="B1141">
        <v>1.2600009010800799E+29</v>
      </c>
      <c r="C1141">
        <v>41219252</v>
      </c>
      <c r="D1141" t="s">
        <v>315</v>
      </c>
      <c r="E1141">
        <v>2600</v>
      </c>
      <c r="G1141" t="s">
        <v>156</v>
      </c>
      <c r="H1141">
        <v>25</v>
      </c>
      <c r="I1141">
        <v>0.33</v>
      </c>
      <c r="J1141">
        <v>858</v>
      </c>
      <c r="K1141">
        <v>2600</v>
      </c>
      <c r="AC1141" t="s">
        <v>1867</v>
      </c>
    </row>
    <row r="1142" spans="2:29" x14ac:dyDescent="0.25">
      <c r="C1142">
        <v>41218898</v>
      </c>
      <c r="D1142" t="s">
        <v>1322</v>
      </c>
      <c r="E1142">
        <v>350</v>
      </c>
      <c r="G1142" t="s">
        <v>190</v>
      </c>
      <c r="H1142">
        <v>153</v>
      </c>
      <c r="I1142">
        <v>0.51</v>
      </c>
      <c r="J1142">
        <v>178.5</v>
      </c>
      <c r="K1142">
        <v>350</v>
      </c>
      <c r="AC1142" t="s">
        <v>1877</v>
      </c>
    </row>
    <row r="1143" spans="2:29" x14ac:dyDescent="0.25">
      <c r="C1143">
        <v>41219042</v>
      </c>
      <c r="D1143" t="s">
        <v>1323</v>
      </c>
      <c r="E1143">
        <v>1200</v>
      </c>
      <c r="G1143" t="s">
        <v>165</v>
      </c>
      <c r="H1143">
        <v>332</v>
      </c>
      <c r="I1143">
        <v>0.15</v>
      </c>
      <c r="J1143">
        <v>180</v>
      </c>
      <c r="K1143">
        <v>1200</v>
      </c>
      <c r="AC1143" t="s">
        <v>1878</v>
      </c>
    </row>
    <row r="1144" spans="2:29" x14ac:dyDescent="0.25">
      <c r="C1144">
        <v>41219254</v>
      </c>
      <c r="D1144" t="s">
        <v>350</v>
      </c>
      <c r="E1144">
        <v>2600</v>
      </c>
      <c r="G1144" t="s">
        <v>156</v>
      </c>
      <c r="H1144">
        <v>560</v>
      </c>
      <c r="AC1144" t="s">
        <v>1879</v>
      </c>
    </row>
    <row r="1145" spans="2:29" x14ac:dyDescent="0.25">
      <c r="C1145">
        <v>41218857</v>
      </c>
      <c r="D1145" t="s">
        <v>1324</v>
      </c>
      <c r="E1145">
        <v>350</v>
      </c>
      <c r="AC1145" t="s">
        <v>1880</v>
      </c>
    </row>
    <row r="1146" spans="2:29" x14ac:dyDescent="0.25">
      <c r="C1146">
        <v>41217334</v>
      </c>
      <c r="D1146" t="s">
        <v>1325</v>
      </c>
      <c r="E1146">
        <v>1200</v>
      </c>
      <c r="AC1146" t="s">
        <v>1881</v>
      </c>
    </row>
    <row r="1147" spans="2:29" x14ac:dyDescent="0.25">
      <c r="B1147">
        <v>1.3500688590080099E+27</v>
      </c>
      <c r="C1147">
        <v>41218860</v>
      </c>
      <c r="D1147" t="s">
        <v>316</v>
      </c>
      <c r="E1147">
        <v>35</v>
      </c>
      <c r="G1147">
        <v>6885</v>
      </c>
      <c r="H1147">
        <v>23</v>
      </c>
      <c r="I1147">
        <v>1.78</v>
      </c>
      <c r="J1147">
        <v>62.3</v>
      </c>
      <c r="K1147">
        <v>35</v>
      </c>
      <c r="AC1147" t="s">
        <v>1882</v>
      </c>
    </row>
    <row r="1148" spans="2:29" x14ac:dyDescent="0.25">
      <c r="C1148">
        <v>41218860</v>
      </c>
      <c r="D1148" t="s">
        <v>1326</v>
      </c>
      <c r="E1148">
        <v>35</v>
      </c>
      <c r="G1148">
        <v>6885</v>
      </c>
      <c r="H1148">
        <v>184</v>
      </c>
      <c r="AC1148" t="s">
        <v>1883</v>
      </c>
    </row>
    <row r="1149" spans="2:29" x14ac:dyDescent="0.25">
      <c r="B1149">
        <v>8010061705028580</v>
      </c>
      <c r="C1149">
        <v>41217223</v>
      </c>
      <c r="D1149" t="s">
        <v>321</v>
      </c>
      <c r="E1149">
        <v>360</v>
      </c>
      <c r="G1149" t="s">
        <v>152</v>
      </c>
      <c r="H1149">
        <v>37</v>
      </c>
      <c r="I1149">
        <v>2.1</v>
      </c>
      <c r="J1149">
        <v>2.1</v>
      </c>
      <c r="K1149">
        <v>1</v>
      </c>
      <c r="L1149" t="s">
        <v>834</v>
      </c>
      <c r="AC1149" t="s">
        <v>1868</v>
      </c>
    </row>
    <row r="1150" spans="2:29" x14ac:dyDescent="0.25">
      <c r="C1150">
        <v>41217265</v>
      </c>
      <c r="D1150" t="s">
        <v>353</v>
      </c>
      <c r="E1150">
        <v>756</v>
      </c>
      <c r="J1150">
        <v>756</v>
      </c>
      <c r="K1150">
        <v>1</v>
      </c>
      <c r="L1150" t="s">
        <v>834</v>
      </c>
      <c r="AC1150" t="s">
        <v>1884</v>
      </c>
    </row>
    <row r="1151" spans="2:29" x14ac:dyDescent="0.25">
      <c r="C1151">
        <v>41217180</v>
      </c>
      <c r="D1151" t="s">
        <v>1327</v>
      </c>
      <c r="E1151">
        <v>360</v>
      </c>
      <c r="AC1151" t="s">
        <v>1885</v>
      </c>
    </row>
    <row r="1152" spans="2:29" x14ac:dyDescent="0.25">
      <c r="C1152">
        <v>41217223</v>
      </c>
      <c r="D1152" t="s">
        <v>364</v>
      </c>
      <c r="E1152">
        <v>756</v>
      </c>
      <c r="AC1152" t="s">
        <v>1886</v>
      </c>
    </row>
    <row r="1153" spans="2:29" x14ac:dyDescent="0.25">
      <c r="B1153">
        <v>8010061705028580</v>
      </c>
      <c r="C1153">
        <v>41218301</v>
      </c>
      <c r="D1153" t="s">
        <v>323</v>
      </c>
      <c r="E1153">
        <v>700</v>
      </c>
      <c r="G1153" t="s">
        <v>212</v>
      </c>
      <c r="H1153">
        <v>83</v>
      </c>
      <c r="I1153">
        <v>1.45</v>
      </c>
      <c r="J1153">
        <v>1.45</v>
      </c>
      <c r="K1153">
        <v>1</v>
      </c>
      <c r="L1153" t="s">
        <v>834</v>
      </c>
      <c r="AC1153" t="s">
        <v>1887</v>
      </c>
    </row>
    <row r="1154" spans="2:29" x14ac:dyDescent="0.25">
      <c r="C1154">
        <v>41219002</v>
      </c>
      <c r="D1154" t="s">
        <v>363</v>
      </c>
      <c r="E1154">
        <v>700</v>
      </c>
      <c r="J1154">
        <v>1015</v>
      </c>
      <c r="K1154">
        <v>1</v>
      </c>
      <c r="L1154" t="s">
        <v>834</v>
      </c>
      <c r="AC1154" t="s">
        <v>1888</v>
      </c>
    </row>
    <row r="1155" spans="2:29" x14ac:dyDescent="0.25">
      <c r="C1155">
        <v>41218860</v>
      </c>
      <c r="D1155" t="s">
        <v>359</v>
      </c>
      <c r="E1155">
        <v>1015</v>
      </c>
      <c r="AC1155" t="s">
        <v>1889</v>
      </c>
    </row>
    <row r="1156" spans="2:29" x14ac:dyDescent="0.25">
      <c r="B1156">
        <v>8010061705028580</v>
      </c>
      <c r="C1156">
        <v>41218407</v>
      </c>
      <c r="D1156" t="s">
        <v>320</v>
      </c>
      <c r="E1156">
        <v>3600</v>
      </c>
      <c r="G1156" t="s">
        <v>113</v>
      </c>
      <c r="H1156">
        <v>68</v>
      </c>
      <c r="I1156">
        <v>0.25</v>
      </c>
      <c r="J1156">
        <v>0.25</v>
      </c>
      <c r="K1156">
        <v>1</v>
      </c>
      <c r="L1156" t="s">
        <v>834</v>
      </c>
      <c r="AC1156" t="s">
        <v>1870</v>
      </c>
    </row>
    <row r="1157" spans="2:29" x14ac:dyDescent="0.25">
      <c r="C1157">
        <v>41218857</v>
      </c>
      <c r="D1157" t="s">
        <v>362</v>
      </c>
      <c r="E1157">
        <v>3600</v>
      </c>
      <c r="AC1157" t="s">
        <v>1890</v>
      </c>
    </row>
    <row r="1158" spans="2:29" x14ac:dyDescent="0.25">
      <c r="B1158">
        <v>8.0100617050285798E+26</v>
      </c>
      <c r="C1158">
        <v>41219171</v>
      </c>
      <c r="D1158" t="s">
        <v>335</v>
      </c>
      <c r="E1158">
        <v>4000</v>
      </c>
      <c r="G1158" t="s">
        <v>156</v>
      </c>
      <c r="H1158">
        <v>23</v>
      </c>
      <c r="I1158">
        <v>0.33</v>
      </c>
      <c r="J1158">
        <v>1320</v>
      </c>
      <c r="K1158">
        <v>4000</v>
      </c>
      <c r="AC1158" t="s">
        <v>1891</v>
      </c>
    </row>
    <row r="1159" spans="2:29" x14ac:dyDescent="0.25">
      <c r="C1159">
        <v>41217864</v>
      </c>
      <c r="D1159" t="s">
        <v>400</v>
      </c>
      <c r="E1159">
        <v>4000</v>
      </c>
      <c r="G1159" t="s">
        <v>156</v>
      </c>
      <c r="H1159">
        <v>889</v>
      </c>
      <c r="AC1159" t="s">
        <v>1892</v>
      </c>
    </row>
    <row r="1160" spans="2:29" x14ac:dyDescent="0.25">
      <c r="B1160">
        <v>8.0100617050285804E+31</v>
      </c>
      <c r="C1160">
        <v>41218860</v>
      </c>
      <c r="D1160" t="s">
        <v>1316</v>
      </c>
      <c r="E1160">
        <v>13</v>
      </c>
      <c r="G1160">
        <v>6800</v>
      </c>
      <c r="H1160">
        <v>23</v>
      </c>
      <c r="I1160">
        <v>94</v>
      </c>
      <c r="J1160">
        <v>1222</v>
      </c>
      <c r="K1160">
        <v>13</v>
      </c>
      <c r="AC1160" t="s">
        <v>1871</v>
      </c>
    </row>
    <row r="1161" spans="2:29" x14ac:dyDescent="0.25">
      <c r="C1161">
        <v>41218898</v>
      </c>
      <c r="D1161" t="s">
        <v>403</v>
      </c>
      <c r="E1161">
        <v>36</v>
      </c>
      <c r="G1161" t="s">
        <v>177</v>
      </c>
      <c r="H1161">
        <v>28</v>
      </c>
      <c r="I1161">
        <v>3.8</v>
      </c>
      <c r="J1161">
        <v>136.80000000000001</v>
      </c>
      <c r="K1161">
        <v>36.000000000000007</v>
      </c>
      <c r="L1161" t="s">
        <v>834</v>
      </c>
      <c r="AC1161" t="s">
        <v>1893</v>
      </c>
    </row>
    <row r="1162" spans="2:29" x14ac:dyDescent="0.25">
      <c r="C1162">
        <v>41219432</v>
      </c>
      <c r="D1162" t="s">
        <v>402</v>
      </c>
      <c r="E1162">
        <v>30</v>
      </c>
      <c r="G1162">
        <v>6885</v>
      </c>
      <c r="H1162">
        <v>40</v>
      </c>
      <c r="I1162">
        <v>1.78</v>
      </c>
      <c r="J1162">
        <v>53.4</v>
      </c>
      <c r="K1162">
        <v>30</v>
      </c>
      <c r="AC1162" t="s">
        <v>1894</v>
      </c>
    </row>
    <row r="1163" spans="2:29" x14ac:dyDescent="0.25">
      <c r="C1163">
        <v>41217223</v>
      </c>
      <c r="D1163" t="s">
        <v>401</v>
      </c>
      <c r="E1163">
        <v>300</v>
      </c>
      <c r="G1163" t="s">
        <v>138</v>
      </c>
      <c r="H1163">
        <v>45</v>
      </c>
      <c r="I1163">
        <v>3.4</v>
      </c>
      <c r="J1163">
        <v>1020</v>
      </c>
      <c r="K1163">
        <v>300</v>
      </c>
      <c r="AC1163" t="s">
        <v>1895</v>
      </c>
    </row>
    <row r="1164" spans="2:29" x14ac:dyDescent="0.25">
      <c r="C1164">
        <v>41219171</v>
      </c>
      <c r="D1164" t="s">
        <v>376</v>
      </c>
      <c r="E1164">
        <v>13</v>
      </c>
      <c r="G1164">
        <v>6800</v>
      </c>
      <c r="H1164">
        <v>444</v>
      </c>
      <c r="AC1164" t="s">
        <v>1896</v>
      </c>
    </row>
    <row r="1165" spans="2:29" x14ac:dyDescent="0.25">
      <c r="C1165">
        <v>41219254</v>
      </c>
      <c r="D1165" t="s">
        <v>375</v>
      </c>
      <c r="E1165">
        <v>36</v>
      </c>
      <c r="AC1165" t="s">
        <v>1897</v>
      </c>
    </row>
    <row r="1166" spans="2:29" x14ac:dyDescent="0.25">
      <c r="C1166">
        <v>41219042</v>
      </c>
      <c r="D1166" t="s">
        <v>418</v>
      </c>
      <c r="E1166">
        <v>30</v>
      </c>
      <c r="AC1166" t="s">
        <v>1898</v>
      </c>
    </row>
    <row r="1167" spans="2:29" x14ac:dyDescent="0.25">
      <c r="C1167">
        <v>41218407</v>
      </c>
      <c r="D1167" t="s">
        <v>421</v>
      </c>
      <c r="E1167">
        <v>300</v>
      </c>
      <c r="AC1167" t="s">
        <v>1899</v>
      </c>
    </row>
    <row r="1168" spans="2:29" x14ac:dyDescent="0.25">
      <c r="B1168">
        <v>8.0100617050285798E+26</v>
      </c>
      <c r="C1168">
        <v>41217334</v>
      </c>
      <c r="D1168" t="s">
        <v>1328</v>
      </c>
      <c r="E1168">
        <v>228</v>
      </c>
      <c r="G1168" t="s">
        <v>174</v>
      </c>
      <c r="H1168">
        <v>23</v>
      </c>
      <c r="I1168">
        <v>0.56000000000000005</v>
      </c>
      <c r="J1168">
        <v>127.68</v>
      </c>
      <c r="K1168">
        <v>228</v>
      </c>
      <c r="AC1168" t="s">
        <v>1900</v>
      </c>
    </row>
    <row r="1169" spans="2:29" x14ac:dyDescent="0.25">
      <c r="C1169">
        <v>41219444</v>
      </c>
      <c r="D1169" t="s">
        <v>412</v>
      </c>
      <c r="E1169">
        <v>228</v>
      </c>
      <c r="G1169" t="s">
        <v>174</v>
      </c>
      <c r="H1169">
        <v>296</v>
      </c>
      <c r="AC1169" t="s">
        <v>1901</v>
      </c>
    </row>
    <row r="1170" spans="2:29" x14ac:dyDescent="0.25">
      <c r="B1170">
        <v>8.0100617050285794E+35</v>
      </c>
      <c r="C1170">
        <v>41217865</v>
      </c>
      <c r="D1170" t="s">
        <v>1318</v>
      </c>
      <c r="E1170">
        <v>8100</v>
      </c>
      <c r="G1170" t="s">
        <v>133</v>
      </c>
      <c r="H1170">
        <v>39</v>
      </c>
      <c r="I1170">
        <v>0.25</v>
      </c>
      <c r="J1170">
        <v>2025</v>
      </c>
      <c r="K1170">
        <v>8100</v>
      </c>
      <c r="AC1170" t="s">
        <v>1873</v>
      </c>
    </row>
    <row r="1171" spans="2:29" x14ac:dyDescent="0.25">
      <c r="C1171">
        <v>41218898</v>
      </c>
      <c r="D1171" t="s">
        <v>414</v>
      </c>
      <c r="E1171">
        <v>8100</v>
      </c>
      <c r="AC1171" t="s">
        <v>1902</v>
      </c>
    </row>
    <row r="1172" spans="2:29" x14ac:dyDescent="0.25">
      <c r="B1172">
        <v>8.0100617050285795E+27</v>
      </c>
      <c r="C1172">
        <v>41219252</v>
      </c>
      <c r="D1172" t="s">
        <v>1319</v>
      </c>
      <c r="E1172">
        <v>12</v>
      </c>
      <c r="G1172" t="s">
        <v>119</v>
      </c>
      <c r="H1172">
        <v>333</v>
      </c>
      <c r="I1172">
        <v>1.3</v>
      </c>
      <c r="J1172">
        <v>15.6</v>
      </c>
      <c r="K1172">
        <v>12</v>
      </c>
      <c r="AC1172" t="s">
        <v>1903</v>
      </c>
    </row>
    <row r="1173" spans="2:29" x14ac:dyDescent="0.25">
      <c r="C1173">
        <v>41219377</v>
      </c>
      <c r="D1173" t="s">
        <v>417</v>
      </c>
      <c r="E1173">
        <v>1200</v>
      </c>
      <c r="I1173">
        <v>0.15</v>
      </c>
      <c r="J1173">
        <v>180</v>
      </c>
      <c r="K1173">
        <v>1200</v>
      </c>
      <c r="AC1173" t="s">
        <v>1904</v>
      </c>
    </row>
    <row r="1174" spans="2:29" x14ac:dyDescent="0.25">
      <c r="C1174">
        <v>41219377</v>
      </c>
      <c r="D1174" t="s">
        <v>386</v>
      </c>
      <c r="E1174">
        <v>12</v>
      </c>
      <c r="AC1174" t="s">
        <v>1905</v>
      </c>
    </row>
    <row r="1175" spans="2:29" x14ac:dyDescent="0.25">
      <c r="C1175">
        <v>41217317</v>
      </c>
      <c r="D1175" t="s">
        <v>389</v>
      </c>
      <c r="E1175">
        <v>1200</v>
      </c>
      <c r="AC1175" t="s">
        <v>1906</v>
      </c>
    </row>
    <row r="1176" spans="2:29" x14ac:dyDescent="0.25">
      <c r="B1176">
        <v>8.0100617050285804E+46</v>
      </c>
      <c r="C1176">
        <v>41219252</v>
      </c>
      <c r="D1176" t="s">
        <v>1319</v>
      </c>
      <c r="E1176">
        <v>12</v>
      </c>
      <c r="G1176" t="s">
        <v>119</v>
      </c>
      <c r="H1176">
        <v>348</v>
      </c>
      <c r="I1176">
        <v>1.3</v>
      </c>
      <c r="J1176">
        <v>15.6</v>
      </c>
      <c r="K1176">
        <v>12</v>
      </c>
      <c r="AC1176" t="s">
        <v>1874</v>
      </c>
    </row>
    <row r="1177" spans="2:29" x14ac:dyDescent="0.25">
      <c r="C1177">
        <v>41217180</v>
      </c>
      <c r="D1177" t="s">
        <v>382</v>
      </c>
      <c r="E1177">
        <v>1200</v>
      </c>
      <c r="G1177" t="s">
        <v>190</v>
      </c>
      <c r="H1177">
        <v>355</v>
      </c>
      <c r="I1177">
        <v>0.15</v>
      </c>
      <c r="J1177">
        <v>180</v>
      </c>
      <c r="K1177">
        <v>1200</v>
      </c>
      <c r="AC1177" t="s">
        <v>1907</v>
      </c>
    </row>
    <row r="1178" spans="2:29" x14ac:dyDescent="0.25">
      <c r="C1178">
        <v>41219432</v>
      </c>
      <c r="D1178" t="s">
        <v>381</v>
      </c>
      <c r="E1178">
        <v>12</v>
      </c>
      <c r="AC1178" t="s">
        <v>1908</v>
      </c>
    </row>
    <row r="1179" spans="2:29" x14ac:dyDescent="0.25">
      <c r="C1179">
        <v>41217223</v>
      </c>
      <c r="D1179" t="s">
        <v>379</v>
      </c>
      <c r="E1179">
        <v>1200</v>
      </c>
      <c r="AC1179" t="s">
        <v>1909</v>
      </c>
    </row>
    <row r="1180" spans="2:29" x14ac:dyDescent="0.25">
      <c r="B1180">
        <v>8.0100617050285798E+33</v>
      </c>
      <c r="C1180">
        <v>41217180</v>
      </c>
      <c r="D1180" t="s">
        <v>1321</v>
      </c>
      <c r="E1180">
        <v>4400</v>
      </c>
      <c r="G1180" t="s">
        <v>113</v>
      </c>
      <c r="H1180">
        <v>27</v>
      </c>
      <c r="I1180">
        <v>0.25</v>
      </c>
      <c r="J1180">
        <v>1100</v>
      </c>
      <c r="K1180">
        <v>4400</v>
      </c>
      <c r="L1180" t="s">
        <v>834</v>
      </c>
      <c r="AC1180" t="s">
        <v>1876</v>
      </c>
    </row>
    <row r="1181" spans="2:29" x14ac:dyDescent="0.25">
      <c r="C1181">
        <v>41219254</v>
      </c>
      <c r="D1181" t="s">
        <v>377</v>
      </c>
      <c r="E1181">
        <v>4400</v>
      </c>
      <c r="AC1181" t="s">
        <v>1910</v>
      </c>
    </row>
    <row r="1182" spans="2:29" x14ac:dyDescent="0.25">
      <c r="B1182">
        <v>8.0100617050285795E+27</v>
      </c>
      <c r="C1182">
        <v>41217223</v>
      </c>
      <c r="D1182" t="s">
        <v>1329</v>
      </c>
      <c r="E1182">
        <v>240</v>
      </c>
      <c r="G1182" t="s">
        <v>152</v>
      </c>
      <c r="H1182">
        <v>27</v>
      </c>
      <c r="I1182">
        <v>2.1</v>
      </c>
      <c r="J1182">
        <v>504</v>
      </c>
      <c r="K1182">
        <v>240</v>
      </c>
      <c r="AC1182" t="s">
        <v>1911</v>
      </c>
    </row>
    <row r="1183" spans="2:29" x14ac:dyDescent="0.25">
      <c r="B1183">
        <v>8.0100617050285796E+21</v>
      </c>
      <c r="C1183">
        <v>41219042</v>
      </c>
      <c r="D1183" t="s">
        <v>1323</v>
      </c>
      <c r="E1183">
        <v>720</v>
      </c>
      <c r="G1183" t="s">
        <v>174</v>
      </c>
      <c r="H1183">
        <v>23</v>
      </c>
      <c r="I1183">
        <v>0.56000000000000005</v>
      </c>
      <c r="J1183">
        <v>403.2</v>
      </c>
      <c r="K1183">
        <v>719.99999999999989</v>
      </c>
      <c r="L1183" t="s">
        <v>834</v>
      </c>
      <c r="AC1183" t="s">
        <v>1878</v>
      </c>
    </row>
    <row r="1184" spans="2:29" x14ac:dyDescent="0.25">
      <c r="C1184">
        <v>41219171</v>
      </c>
      <c r="D1184" t="s">
        <v>387</v>
      </c>
      <c r="E1184">
        <v>720</v>
      </c>
      <c r="G1184" t="s">
        <v>174</v>
      </c>
      <c r="H1184">
        <v>303</v>
      </c>
      <c r="AC1184" t="s">
        <v>1912</v>
      </c>
    </row>
    <row r="1185" spans="2:29" x14ac:dyDescent="0.25">
      <c r="B1185">
        <v>1.6200801006170499E+28</v>
      </c>
      <c r="C1185">
        <v>41219254</v>
      </c>
      <c r="D1185" t="s">
        <v>350</v>
      </c>
      <c r="E1185">
        <v>48</v>
      </c>
      <c r="G1185">
        <v>6200</v>
      </c>
      <c r="H1185">
        <v>23</v>
      </c>
      <c r="I1185">
        <v>8.82</v>
      </c>
      <c r="J1185">
        <v>423.36</v>
      </c>
      <c r="K1185">
        <v>48</v>
      </c>
      <c r="AC1185" t="s">
        <v>1879</v>
      </c>
    </row>
    <row r="1186" spans="2:29" x14ac:dyDescent="0.25">
      <c r="C1186">
        <v>41218860</v>
      </c>
      <c r="D1186" t="s">
        <v>426</v>
      </c>
      <c r="E1186">
        <v>48</v>
      </c>
      <c r="G1186">
        <v>6200</v>
      </c>
      <c r="H1186">
        <v>140</v>
      </c>
      <c r="AC1186" t="s">
        <v>1913</v>
      </c>
    </row>
    <row r="1187" spans="2:29" x14ac:dyDescent="0.25">
      <c r="B1187">
        <v>8.0100617050285799E+38</v>
      </c>
      <c r="C1187">
        <v>41218857</v>
      </c>
      <c r="D1187" t="s">
        <v>1324</v>
      </c>
      <c r="E1187">
        <v>3000</v>
      </c>
      <c r="G1187" t="s">
        <v>117</v>
      </c>
      <c r="H1187">
        <v>23</v>
      </c>
      <c r="I1187">
        <v>0.27</v>
      </c>
      <c r="J1187">
        <v>810</v>
      </c>
      <c r="K1187">
        <v>3000</v>
      </c>
      <c r="AC1187" t="s">
        <v>1880</v>
      </c>
    </row>
    <row r="1188" spans="2:29" x14ac:dyDescent="0.25">
      <c r="C1188">
        <v>41218857</v>
      </c>
      <c r="D1188" t="s">
        <v>424</v>
      </c>
      <c r="E1188">
        <v>3000</v>
      </c>
      <c r="G1188" t="s">
        <v>117</v>
      </c>
      <c r="H1188">
        <v>319</v>
      </c>
      <c r="AC1188" t="s">
        <v>1914</v>
      </c>
    </row>
    <row r="1189" spans="2:29" x14ac:dyDescent="0.25">
      <c r="B1189">
        <v>8.0100617050285805E+25</v>
      </c>
      <c r="C1189">
        <v>41217334</v>
      </c>
      <c r="D1189" t="s">
        <v>1325</v>
      </c>
      <c r="E1189">
        <v>228</v>
      </c>
      <c r="G1189" t="s">
        <v>174</v>
      </c>
      <c r="H1189">
        <v>23</v>
      </c>
      <c r="I1189">
        <v>0.56000000000000005</v>
      </c>
      <c r="J1189">
        <v>127.68</v>
      </c>
      <c r="K1189">
        <v>228</v>
      </c>
      <c r="AC1189" t="s">
        <v>1881</v>
      </c>
    </row>
    <row r="1190" spans="2:29" x14ac:dyDescent="0.25">
      <c r="C1190">
        <v>41217317</v>
      </c>
      <c r="D1190" t="s">
        <v>431</v>
      </c>
      <c r="E1190">
        <v>228</v>
      </c>
      <c r="G1190" t="s">
        <v>174</v>
      </c>
      <c r="H1190">
        <v>296</v>
      </c>
      <c r="AC1190" t="s">
        <v>1915</v>
      </c>
    </row>
    <row r="1191" spans="2:29" x14ac:dyDescent="0.25">
      <c r="B1191">
        <v>8.0100617050285802E+29</v>
      </c>
      <c r="C1191">
        <v>41218896</v>
      </c>
      <c r="D1191" t="s">
        <v>1330</v>
      </c>
      <c r="E1191">
        <v>250</v>
      </c>
      <c r="G1191" t="s">
        <v>125</v>
      </c>
      <c r="H1191">
        <v>38</v>
      </c>
      <c r="I1191">
        <v>0.67</v>
      </c>
      <c r="J1191">
        <v>167.5</v>
      </c>
      <c r="K1191">
        <v>249.99999999999997</v>
      </c>
      <c r="L1191" t="s">
        <v>834</v>
      </c>
      <c r="AC1191" t="s">
        <v>1916</v>
      </c>
    </row>
    <row r="1192" spans="2:29" x14ac:dyDescent="0.25">
      <c r="C1192">
        <v>41217317</v>
      </c>
      <c r="D1192" t="s">
        <v>431</v>
      </c>
      <c r="E1192">
        <v>250</v>
      </c>
      <c r="AC1192" t="s">
        <v>1917</v>
      </c>
    </row>
    <row r="1193" spans="2:29" x14ac:dyDescent="0.25">
      <c r="B1193">
        <v>8.0100617050285803E+24</v>
      </c>
      <c r="C1193">
        <v>41218860</v>
      </c>
      <c r="D1193" t="s">
        <v>1326</v>
      </c>
      <c r="E1193">
        <v>12</v>
      </c>
      <c r="G1193">
        <v>6800</v>
      </c>
      <c r="H1193">
        <v>27</v>
      </c>
      <c r="I1193">
        <v>94</v>
      </c>
      <c r="J1193">
        <v>1128</v>
      </c>
      <c r="K1193">
        <v>12</v>
      </c>
      <c r="AC1193" t="s">
        <v>1883</v>
      </c>
    </row>
    <row r="1194" spans="2:29" x14ac:dyDescent="0.25">
      <c r="C1194">
        <v>41219444</v>
      </c>
      <c r="D1194" t="s">
        <v>434</v>
      </c>
      <c r="E1194">
        <v>30</v>
      </c>
      <c r="G1194">
        <v>6885</v>
      </c>
      <c r="H1194">
        <v>33</v>
      </c>
      <c r="I1194">
        <v>1.78</v>
      </c>
      <c r="J1194">
        <v>53.4</v>
      </c>
      <c r="K1194">
        <v>30</v>
      </c>
      <c r="AC1194" t="s">
        <v>1918</v>
      </c>
    </row>
    <row r="1195" spans="2:29" x14ac:dyDescent="0.25">
      <c r="C1195">
        <v>41219377</v>
      </c>
      <c r="D1195" t="s">
        <v>435</v>
      </c>
      <c r="E1195">
        <v>12</v>
      </c>
      <c r="G1195">
        <v>6800</v>
      </c>
      <c r="H1195">
        <v>348</v>
      </c>
      <c r="AC1195" t="s">
        <v>1919</v>
      </c>
    </row>
    <row r="1196" spans="2:29" x14ac:dyDescent="0.25">
      <c r="C1196">
        <v>41219002</v>
      </c>
      <c r="D1196" t="s">
        <v>437</v>
      </c>
      <c r="E1196">
        <v>30</v>
      </c>
      <c r="AC1196" t="s">
        <v>1920</v>
      </c>
    </row>
    <row r="1197" spans="2:29" x14ac:dyDescent="0.25">
      <c r="B1197">
        <v>8.0100617050285798E+26</v>
      </c>
      <c r="C1197">
        <v>41219042</v>
      </c>
      <c r="D1197" t="s">
        <v>354</v>
      </c>
      <c r="E1197">
        <v>1200</v>
      </c>
      <c r="G1197" t="s">
        <v>149</v>
      </c>
      <c r="H1197">
        <v>62</v>
      </c>
      <c r="I1197">
        <v>1.7</v>
      </c>
      <c r="J1197">
        <v>1.7</v>
      </c>
      <c r="K1197">
        <v>1</v>
      </c>
      <c r="L1197" t="s">
        <v>834</v>
      </c>
      <c r="AC1197" t="s">
        <v>1921</v>
      </c>
    </row>
    <row r="1198" spans="2:29" x14ac:dyDescent="0.25">
      <c r="C1198">
        <v>41218405</v>
      </c>
      <c r="D1198" t="s">
        <v>442</v>
      </c>
      <c r="E1198">
        <v>1200</v>
      </c>
      <c r="J1198">
        <v>2040</v>
      </c>
      <c r="K1198">
        <v>1</v>
      </c>
      <c r="L1198" t="s">
        <v>834</v>
      </c>
      <c r="AC1198" t="s">
        <v>1922</v>
      </c>
    </row>
    <row r="1199" spans="2:29" x14ac:dyDescent="0.25">
      <c r="B1199">
        <v>8010061705028580</v>
      </c>
      <c r="C1199">
        <v>41217265</v>
      </c>
      <c r="D1199" t="s">
        <v>353</v>
      </c>
      <c r="E1199">
        <v>14</v>
      </c>
      <c r="G1199">
        <v>6800</v>
      </c>
      <c r="H1199">
        <v>81</v>
      </c>
      <c r="I1199">
        <v>94</v>
      </c>
      <c r="J1199">
        <v>94</v>
      </c>
      <c r="K1199">
        <v>1</v>
      </c>
      <c r="L1199" t="s">
        <v>834</v>
      </c>
      <c r="AC1199" t="s">
        <v>1884</v>
      </c>
    </row>
    <row r="1200" spans="2:29" x14ac:dyDescent="0.25">
      <c r="C1200">
        <v>41218860</v>
      </c>
      <c r="D1200" t="s">
        <v>439</v>
      </c>
      <c r="E1200">
        <v>14</v>
      </c>
      <c r="J1200">
        <v>1316</v>
      </c>
      <c r="K1200">
        <v>1</v>
      </c>
      <c r="L1200" t="s">
        <v>834</v>
      </c>
      <c r="AC1200" t="s">
        <v>1923</v>
      </c>
    </row>
    <row r="1201" spans="1:29" x14ac:dyDescent="0.25">
      <c r="A1201" t="s">
        <v>837</v>
      </c>
      <c r="B1201">
        <v>8010061705028580</v>
      </c>
      <c r="C1201">
        <v>41217180</v>
      </c>
      <c r="D1201" t="s">
        <v>1327</v>
      </c>
      <c r="E1201">
        <v>1200</v>
      </c>
      <c r="G1201" t="s">
        <v>183</v>
      </c>
      <c r="H1201">
        <v>66</v>
      </c>
      <c r="J1201">
        <v>0.25</v>
      </c>
      <c r="L1201" t="s">
        <v>834</v>
      </c>
      <c r="AC1201" t="s">
        <v>1885</v>
      </c>
    </row>
    <row r="1202" spans="1:29" x14ac:dyDescent="0.25">
      <c r="C1202">
        <v>41219252</v>
      </c>
      <c r="D1202" t="s">
        <v>440</v>
      </c>
      <c r="E1202">
        <v>1200</v>
      </c>
      <c r="AC1202" t="s">
        <v>1924</v>
      </c>
    </row>
    <row r="1203" spans="1:29" x14ac:dyDescent="0.25">
      <c r="B1203">
        <v>8010061705028580</v>
      </c>
      <c r="C1203">
        <v>41217223</v>
      </c>
      <c r="D1203" t="s">
        <v>364</v>
      </c>
      <c r="E1203">
        <v>360</v>
      </c>
      <c r="G1203" t="s">
        <v>152</v>
      </c>
      <c r="H1203">
        <v>55</v>
      </c>
      <c r="I1203">
        <v>2.1</v>
      </c>
      <c r="J1203">
        <v>2.1</v>
      </c>
      <c r="K1203">
        <v>1</v>
      </c>
      <c r="L1203" t="s">
        <v>834</v>
      </c>
      <c r="AC1203" t="s">
        <v>1886</v>
      </c>
    </row>
    <row r="1204" spans="1:29" x14ac:dyDescent="0.25">
      <c r="C1204">
        <v>41218896</v>
      </c>
      <c r="D1204" t="s">
        <v>449</v>
      </c>
      <c r="E1204">
        <v>756</v>
      </c>
      <c r="J1204">
        <v>756</v>
      </c>
      <c r="K1204">
        <v>1</v>
      </c>
      <c r="L1204" t="s">
        <v>834</v>
      </c>
      <c r="AC1204" t="s">
        <v>1925</v>
      </c>
    </row>
    <row r="1205" spans="1:29" x14ac:dyDescent="0.25">
      <c r="C1205">
        <v>41218860</v>
      </c>
      <c r="D1205" t="s">
        <v>446</v>
      </c>
      <c r="E1205">
        <v>360</v>
      </c>
      <c r="AC1205" t="s">
        <v>1926</v>
      </c>
    </row>
    <row r="1206" spans="1:29" x14ac:dyDescent="0.25">
      <c r="C1206">
        <v>41218857</v>
      </c>
      <c r="D1206" t="s">
        <v>1331</v>
      </c>
      <c r="E1206">
        <v>756</v>
      </c>
      <c r="AC1206" t="s">
        <v>1927</v>
      </c>
    </row>
    <row r="1207" spans="1:29" x14ac:dyDescent="0.25">
      <c r="B1207">
        <v>8010061705028580</v>
      </c>
      <c r="C1207">
        <v>41219254</v>
      </c>
      <c r="D1207" t="s">
        <v>365</v>
      </c>
      <c r="E1207">
        <v>900</v>
      </c>
      <c r="G1207" t="s">
        <v>133</v>
      </c>
      <c r="H1207">
        <v>29</v>
      </c>
      <c r="I1207">
        <v>0.25</v>
      </c>
      <c r="J1207">
        <v>0.25</v>
      </c>
      <c r="K1207">
        <v>1</v>
      </c>
      <c r="L1207" t="s">
        <v>834</v>
      </c>
      <c r="AC1207" t="s">
        <v>1928</v>
      </c>
    </row>
    <row r="1208" spans="1:29" x14ac:dyDescent="0.25">
      <c r="C1208">
        <v>41217334</v>
      </c>
      <c r="D1208" t="s">
        <v>1332</v>
      </c>
      <c r="E1208">
        <v>900</v>
      </c>
      <c r="J1208">
        <v>900</v>
      </c>
      <c r="K1208">
        <v>1</v>
      </c>
      <c r="L1208" t="s">
        <v>834</v>
      </c>
      <c r="AC1208" t="s">
        <v>1929</v>
      </c>
    </row>
    <row r="1209" spans="1:29" x14ac:dyDescent="0.25">
      <c r="C1209">
        <v>41217698</v>
      </c>
      <c r="D1209" t="s">
        <v>1333</v>
      </c>
      <c r="E1209">
        <v>3600</v>
      </c>
      <c r="AC1209" t="s">
        <v>1930</v>
      </c>
    </row>
    <row r="1210" spans="1:29" x14ac:dyDescent="0.25">
      <c r="C1210">
        <v>41218405</v>
      </c>
      <c r="D1210" t="s">
        <v>1334</v>
      </c>
      <c r="E1210">
        <v>3600</v>
      </c>
      <c r="AC1210" t="s">
        <v>1931</v>
      </c>
    </row>
    <row r="1211" spans="1:29" x14ac:dyDescent="0.25">
      <c r="B1211">
        <v>8010061705028580</v>
      </c>
      <c r="C1211">
        <v>41219002</v>
      </c>
      <c r="D1211" t="s">
        <v>363</v>
      </c>
      <c r="E1211">
        <v>10</v>
      </c>
      <c r="G1211" t="s">
        <v>141</v>
      </c>
      <c r="H1211">
        <v>57</v>
      </c>
      <c r="I1211">
        <v>3.4</v>
      </c>
      <c r="J1211">
        <v>3.4</v>
      </c>
      <c r="K1211">
        <v>1</v>
      </c>
      <c r="L1211" t="s">
        <v>834</v>
      </c>
      <c r="AC1211" t="s">
        <v>1888</v>
      </c>
    </row>
    <row r="1212" spans="1:29" x14ac:dyDescent="0.25">
      <c r="C1212">
        <v>41218064</v>
      </c>
      <c r="D1212" t="s">
        <v>1335</v>
      </c>
      <c r="E1212">
        <v>34</v>
      </c>
      <c r="J1212">
        <v>34</v>
      </c>
      <c r="K1212">
        <v>1</v>
      </c>
      <c r="L1212" t="s">
        <v>834</v>
      </c>
      <c r="AC1212" t="s">
        <v>1932</v>
      </c>
    </row>
    <row r="1213" spans="1:29" x14ac:dyDescent="0.25">
      <c r="C1213">
        <v>41219444</v>
      </c>
      <c r="D1213" t="s">
        <v>456</v>
      </c>
      <c r="E1213">
        <v>10</v>
      </c>
      <c r="AC1213" t="s">
        <v>1933</v>
      </c>
    </row>
    <row r="1214" spans="1:29" x14ac:dyDescent="0.25">
      <c r="C1214">
        <v>41218407</v>
      </c>
      <c r="D1214" t="s">
        <v>1336</v>
      </c>
      <c r="E1214">
        <v>34</v>
      </c>
      <c r="AC1214" t="s">
        <v>1934</v>
      </c>
    </row>
    <row r="1215" spans="1:29" x14ac:dyDescent="0.25">
      <c r="B1215">
        <v>8010061705028580</v>
      </c>
      <c r="C1215">
        <v>41218860</v>
      </c>
      <c r="D1215" t="s">
        <v>359</v>
      </c>
      <c r="E1215">
        <v>130</v>
      </c>
      <c r="G1215">
        <v>501</v>
      </c>
      <c r="H1215">
        <v>71</v>
      </c>
      <c r="I1215">
        <v>0.25</v>
      </c>
      <c r="J1215">
        <v>4125</v>
      </c>
      <c r="K1215">
        <v>16500</v>
      </c>
      <c r="L1215" t="s">
        <v>834</v>
      </c>
      <c r="AC1215" t="s">
        <v>1889</v>
      </c>
    </row>
    <row r="1216" spans="1:29" x14ac:dyDescent="0.25">
      <c r="C1216">
        <v>41217265</v>
      </c>
      <c r="D1216" t="s">
        <v>1337</v>
      </c>
      <c r="E1216">
        <v>782</v>
      </c>
      <c r="G1216">
        <v>6885</v>
      </c>
      <c r="H1216">
        <v>92</v>
      </c>
      <c r="I1216">
        <v>1.3</v>
      </c>
      <c r="J1216">
        <v>1.3</v>
      </c>
      <c r="K1216">
        <v>1</v>
      </c>
      <c r="L1216" t="s">
        <v>834</v>
      </c>
      <c r="AC1216" t="s">
        <v>1935</v>
      </c>
    </row>
    <row r="1217" spans="1:29" x14ac:dyDescent="0.25">
      <c r="C1217">
        <v>41217180</v>
      </c>
      <c r="D1217" t="s">
        <v>1338</v>
      </c>
      <c r="E1217">
        <v>16500</v>
      </c>
      <c r="G1217" t="s">
        <v>138</v>
      </c>
      <c r="H1217">
        <v>114</v>
      </c>
      <c r="I1217">
        <v>1.78</v>
      </c>
      <c r="J1217">
        <v>130</v>
      </c>
      <c r="K1217">
        <v>73.033707865168537</v>
      </c>
      <c r="L1217" t="s">
        <v>834</v>
      </c>
      <c r="AC1217" t="s">
        <v>1936</v>
      </c>
    </row>
    <row r="1218" spans="1:29" x14ac:dyDescent="0.25">
      <c r="C1218">
        <v>41217223</v>
      </c>
      <c r="D1218" t="s">
        <v>1339</v>
      </c>
      <c r="E1218">
        <v>100</v>
      </c>
      <c r="G1218">
        <v>6800</v>
      </c>
      <c r="H1218">
        <v>141</v>
      </c>
      <c r="I1218">
        <v>3.4</v>
      </c>
      <c r="J1218">
        <v>1.78</v>
      </c>
      <c r="K1218">
        <v>0.52352941176470591</v>
      </c>
      <c r="L1218" t="s">
        <v>834</v>
      </c>
      <c r="AC1218" t="s">
        <v>1937</v>
      </c>
    </row>
    <row r="1219" spans="1:29" x14ac:dyDescent="0.25">
      <c r="C1219">
        <v>41218301</v>
      </c>
      <c r="D1219" t="s">
        <v>1340</v>
      </c>
      <c r="E1219">
        <v>25</v>
      </c>
      <c r="G1219" t="s">
        <v>113</v>
      </c>
      <c r="H1219">
        <v>180</v>
      </c>
      <c r="I1219">
        <v>94</v>
      </c>
      <c r="J1219">
        <v>44.5</v>
      </c>
      <c r="K1219">
        <v>0.47340425531914893</v>
      </c>
      <c r="L1219" t="s">
        <v>834</v>
      </c>
      <c r="AC1219" t="s">
        <v>1938</v>
      </c>
    </row>
    <row r="1220" spans="1:29" x14ac:dyDescent="0.25">
      <c r="C1220">
        <v>41219377</v>
      </c>
      <c r="D1220" t="s">
        <v>1341</v>
      </c>
      <c r="E1220">
        <v>230</v>
      </c>
      <c r="J1220">
        <v>3.4</v>
      </c>
      <c r="K1220">
        <v>0.47340425531914893</v>
      </c>
      <c r="L1220" t="s">
        <v>834</v>
      </c>
      <c r="AC1220" t="s">
        <v>1939</v>
      </c>
    </row>
    <row r="1221" spans="1:29" x14ac:dyDescent="0.25">
      <c r="C1221">
        <v>41219432</v>
      </c>
      <c r="D1221" t="s">
        <v>463</v>
      </c>
      <c r="E1221">
        <v>24</v>
      </c>
      <c r="J1221">
        <v>782</v>
      </c>
      <c r="K1221">
        <v>0.47340425531914893</v>
      </c>
      <c r="L1221" t="s">
        <v>834</v>
      </c>
      <c r="AC1221" t="s">
        <v>1940</v>
      </c>
    </row>
    <row r="1222" spans="1:29" x14ac:dyDescent="0.25">
      <c r="C1222">
        <v>41219444</v>
      </c>
      <c r="D1222" t="s">
        <v>466</v>
      </c>
      <c r="E1222">
        <v>16500</v>
      </c>
      <c r="J1222">
        <v>4</v>
      </c>
      <c r="K1222">
        <v>0.47340425531914893</v>
      </c>
      <c r="L1222" t="s">
        <v>834</v>
      </c>
      <c r="AC1222" t="s">
        <v>1941</v>
      </c>
    </row>
    <row r="1223" spans="1:29" x14ac:dyDescent="0.25">
      <c r="C1223">
        <v>41219002</v>
      </c>
      <c r="D1223" t="s">
        <v>467</v>
      </c>
      <c r="E1223">
        <v>100</v>
      </c>
      <c r="AC1223" t="s">
        <v>1942</v>
      </c>
    </row>
    <row r="1224" spans="1:29" x14ac:dyDescent="0.25">
      <c r="C1224">
        <v>41218301</v>
      </c>
      <c r="D1224" t="s">
        <v>469</v>
      </c>
      <c r="E1224">
        <v>25</v>
      </c>
      <c r="AC1224" t="s">
        <v>1943</v>
      </c>
    </row>
    <row r="1225" spans="1:29" x14ac:dyDescent="0.25">
      <c r="B1225">
        <v>8010061705028580</v>
      </c>
      <c r="C1225">
        <v>41218896</v>
      </c>
      <c r="D1225" t="s">
        <v>360</v>
      </c>
      <c r="E1225">
        <v>250</v>
      </c>
      <c r="G1225" t="s">
        <v>125</v>
      </c>
      <c r="H1225">
        <v>29</v>
      </c>
      <c r="I1225">
        <v>0.67</v>
      </c>
      <c r="J1225">
        <v>0.67</v>
      </c>
      <c r="K1225">
        <v>1</v>
      </c>
      <c r="L1225" t="s">
        <v>834</v>
      </c>
      <c r="AC1225" t="s">
        <v>1944</v>
      </c>
    </row>
    <row r="1226" spans="1:29" x14ac:dyDescent="0.25">
      <c r="C1226">
        <v>41219386</v>
      </c>
      <c r="D1226" t="s">
        <v>464</v>
      </c>
      <c r="E1226">
        <v>250</v>
      </c>
      <c r="J1226">
        <v>167.5</v>
      </c>
      <c r="K1226">
        <v>1</v>
      </c>
      <c r="L1226" t="s">
        <v>834</v>
      </c>
      <c r="AC1226" t="s">
        <v>1945</v>
      </c>
    </row>
    <row r="1227" spans="1:29" x14ac:dyDescent="0.25">
      <c r="A1227" t="s">
        <v>680</v>
      </c>
      <c r="B1227">
        <v>8010061705028580</v>
      </c>
      <c r="C1227">
        <v>41218857</v>
      </c>
      <c r="D1227" t="s">
        <v>362</v>
      </c>
      <c r="E1227">
        <v>6000</v>
      </c>
      <c r="I1227">
        <v>0.27</v>
      </c>
      <c r="J1227">
        <v>0.27</v>
      </c>
      <c r="K1227">
        <v>1</v>
      </c>
      <c r="L1227" t="s">
        <v>834</v>
      </c>
      <c r="AC1227" t="s">
        <v>1890</v>
      </c>
    </row>
    <row r="1228" spans="1:29" x14ac:dyDescent="0.25">
      <c r="C1228">
        <v>41217865</v>
      </c>
      <c r="D1228" t="s">
        <v>471</v>
      </c>
      <c r="E1228">
        <v>6000</v>
      </c>
      <c r="J1228">
        <v>1620</v>
      </c>
      <c r="K1228">
        <v>1</v>
      </c>
      <c r="L1228" t="s">
        <v>834</v>
      </c>
      <c r="AC1228" t="s">
        <v>1946</v>
      </c>
    </row>
    <row r="1229" spans="1:29" x14ac:dyDescent="0.25">
      <c r="B1229">
        <v>8010061705028580</v>
      </c>
      <c r="C1229">
        <v>41217314</v>
      </c>
      <c r="D1229" t="s">
        <v>358</v>
      </c>
      <c r="E1229">
        <v>482</v>
      </c>
      <c r="G1229" t="s">
        <v>150</v>
      </c>
      <c r="H1229">
        <v>37</v>
      </c>
      <c r="I1229">
        <v>1.7</v>
      </c>
      <c r="J1229">
        <v>1.7</v>
      </c>
      <c r="K1229">
        <v>1</v>
      </c>
      <c r="L1229" t="s">
        <v>834</v>
      </c>
      <c r="AC1229" t="s">
        <v>1947</v>
      </c>
    </row>
    <row r="1230" spans="1:29" x14ac:dyDescent="0.25">
      <c r="C1230">
        <v>41219252</v>
      </c>
      <c r="D1230" t="s">
        <v>477</v>
      </c>
      <c r="E1230">
        <v>482</v>
      </c>
      <c r="J1230">
        <v>819.4</v>
      </c>
      <c r="K1230">
        <v>1</v>
      </c>
      <c r="L1230" t="s">
        <v>834</v>
      </c>
      <c r="AC1230" t="s">
        <v>1948</v>
      </c>
    </row>
    <row r="1231" spans="1:29" x14ac:dyDescent="0.25">
      <c r="B1231">
        <v>8010061705028580</v>
      </c>
      <c r="C1231">
        <v>41217864</v>
      </c>
      <c r="D1231" t="s">
        <v>400</v>
      </c>
      <c r="E1231">
        <v>1200</v>
      </c>
      <c r="G1231" t="s">
        <v>135</v>
      </c>
      <c r="H1231">
        <v>42</v>
      </c>
      <c r="I1231">
        <v>0.25</v>
      </c>
      <c r="J1231">
        <v>0.25</v>
      </c>
      <c r="K1231">
        <v>1</v>
      </c>
      <c r="L1231" t="s">
        <v>834</v>
      </c>
      <c r="AC1231" t="s">
        <v>1892</v>
      </c>
    </row>
    <row r="1232" spans="1:29" x14ac:dyDescent="0.25">
      <c r="C1232">
        <v>41217605</v>
      </c>
      <c r="D1232" t="s">
        <v>481</v>
      </c>
      <c r="E1232">
        <v>300</v>
      </c>
      <c r="J1232">
        <v>300</v>
      </c>
      <c r="K1232">
        <v>1</v>
      </c>
      <c r="L1232" t="s">
        <v>834</v>
      </c>
      <c r="AC1232" t="s">
        <v>1949</v>
      </c>
    </row>
    <row r="1233" spans="2:29" x14ac:dyDescent="0.25">
      <c r="C1233">
        <v>41218860</v>
      </c>
      <c r="D1233" t="s">
        <v>479</v>
      </c>
      <c r="E1233">
        <v>1200</v>
      </c>
      <c r="AC1233" t="s">
        <v>1950</v>
      </c>
    </row>
    <row r="1234" spans="2:29" x14ac:dyDescent="0.25">
      <c r="C1234">
        <v>41219377</v>
      </c>
      <c r="D1234" t="s">
        <v>490</v>
      </c>
      <c r="E1234">
        <v>300</v>
      </c>
      <c r="AC1234" t="s">
        <v>1951</v>
      </c>
    </row>
    <row r="1235" spans="2:29" x14ac:dyDescent="0.25">
      <c r="B1235">
        <v>8010061705028580</v>
      </c>
      <c r="C1235">
        <v>41217180</v>
      </c>
      <c r="D1235" t="s">
        <v>398</v>
      </c>
      <c r="E1235">
        <v>1600</v>
      </c>
      <c r="G1235" t="s">
        <v>135</v>
      </c>
      <c r="H1235">
        <v>64</v>
      </c>
      <c r="I1235">
        <v>0.25</v>
      </c>
      <c r="J1235">
        <v>0.25</v>
      </c>
      <c r="K1235">
        <v>1</v>
      </c>
      <c r="L1235" t="s">
        <v>834</v>
      </c>
      <c r="AC1235" t="s">
        <v>1952</v>
      </c>
    </row>
    <row r="1236" spans="2:29" x14ac:dyDescent="0.25">
      <c r="C1236">
        <v>41219425</v>
      </c>
      <c r="D1236" t="s">
        <v>489</v>
      </c>
      <c r="E1236">
        <v>1600</v>
      </c>
      <c r="AC1236" t="s">
        <v>1953</v>
      </c>
    </row>
    <row r="1237" spans="2:29" x14ac:dyDescent="0.25">
      <c r="B1237">
        <v>8010061705028580</v>
      </c>
      <c r="C1237">
        <v>41218898</v>
      </c>
      <c r="D1237" t="s">
        <v>403</v>
      </c>
      <c r="E1237">
        <v>1</v>
      </c>
      <c r="G1237" t="s">
        <v>129</v>
      </c>
      <c r="H1237">
        <v>59</v>
      </c>
      <c r="J1237">
        <v>0.25</v>
      </c>
      <c r="L1237" t="s">
        <v>834</v>
      </c>
      <c r="AC1237" t="s">
        <v>1893</v>
      </c>
    </row>
    <row r="1238" spans="2:29" x14ac:dyDescent="0.25">
      <c r="C1238">
        <v>41218860</v>
      </c>
      <c r="D1238" t="s">
        <v>505</v>
      </c>
      <c r="E1238">
        <v>4000</v>
      </c>
      <c r="AC1238" t="s">
        <v>1954</v>
      </c>
    </row>
    <row r="1239" spans="2:29" x14ac:dyDescent="0.25">
      <c r="C1239">
        <v>41219252</v>
      </c>
      <c r="D1239" t="s">
        <v>494</v>
      </c>
      <c r="E1239">
        <v>4000</v>
      </c>
      <c r="AC1239" t="s">
        <v>1955</v>
      </c>
    </row>
    <row r="1240" spans="2:29" x14ac:dyDescent="0.25">
      <c r="B1240">
        <v>8010061705028580</v>
      </c>
      <c r="C1240">
        <v>41219432</v>
      </c>
      <c r="D1240" t="s">
        <v>402</v>
      </c>
      <c r="E1240">
        <v>1800</v>
      </c>
      <c r="G1240" t="s">
        <v>117</v>
      </c>
      <c r="H1240">
        <v>104</v>
      </c>
      <c r="I1240">
        <v>0.25</v>
      </c>
      <c r="J1240">
        <v>0.25</v>
      </c>
      <c r="K1240">
        <v>1</v>
      </c>
      <c r="L1240" t="s">
        <v>834</v>
      </c>
      <c r="AC1240" t="s">
        <v>1894</v>
      </c>
    </row>
    <row r="1241" spans="2:29" x14ac:dyDescent="0.25">
      <c r="C1241">
        <v>41217314</v>
      </c>
      <c r="D1241" t="s">
        <v>496</v>
      </c>
      <c r="E1241">
        <v>1200</v>
      </c>
      <c r="G1241" t="s">
        <v>293</v>
      </c>
      <c r="H1241">
        <v>127</v>
      </c>
      <c r="I1241">
        <v>0.25</v>
      </c>
      <c r="J1241">
        <v>450</v>
      </c>
      <c r="K1241">
        <v>1800</v>
      </c>
      <c r="L1241" t="s">
        <v>834</v>
      </c>
      <c r="AC1241" t="s">
        <v>1956</v>
      </c>
    </row>
    <row r="1242" spans="2:29" x14ac:dyDescent="0.25">
      <c r="C1242">
        <v>41219744</v>
      </c>
      <c r="D1242" t="s">
        <v>498</v>
      </c>
      <c r="E1242">
        <v>1800</v>
      </c>
      <c r="J1242">
        <v>0.25</v>
      </c>
      <c r="K1242">
        <v>1800</v>
      </c>
      <c r="AC1242" t="s">
        <v>1957</v>
      </c>
    </row>
    <row r="1243" spans="2:29" x14ac:dyDescent="0.25">
      <c r="C1243">
        <v>41218896</v>
      </c>
      <c r="D1243" t="s">
        <v>499</v>
      </c>
      <c r="E1243">
        <v>1200</v>
      </c>
      <c r="J1243">
        <v>300</v>
      </c>
      <c r="K1243">
        <v>1800</v>
      </c>
      <c r="L1243" t="s">
        <v>834</v>
      </c>
      <c r="AC1243" t="s">
        <v>1958</v>
      </c>
    </row>
    <row r="1244" spans="2:29" x14ac:dyDescent="0.25">
      <c r="B1244">
        <v>8.0100617050285801E+19</v>
      </c>
      <c r="C1244">
        <v>41217223</v>
      </c>
      <c r="D1244" t="s">
        <v>401</v>
      </c>
      <c r="E1244">
        <v>252</v>
      </c>
      <c r="G1244" t="s">
        <v>152</v>
      </c>
      <c r="H1244">
        <v>67</v>
      </c>
      <c r="I1244">
        <v>2.1</v>
      </c>
      <c r="J1244">
        <v>2.1</v>
      </c>
      <c r="K1244">
        <v>1</v>
      </c>
      <c r="L1244" t="s">
        <v>834</v>
      </c>
      <c r="AC1244" t="s">
        <v>1895</v>
      </c>
    </row>
    <row r="1245" spans="2:29" x14ac:dyDescent="0.25">
      <c r="C1245">
        <v>41218405</v>
      </c>
      <c r="D1245" t="s">
        <v>501</v>
      </c>
      <c r="E1245">
        <v>252</v>
      </c>
      <c r="J1245">
        <v>529.20000000000005</v>
      </c>
      <c r="K1245">
        <v>1</v>
      </c>
      <c r="L1245" t="s">
        <v>834</v>
      </c>
      <c r="AC1245" t="s">
        <v>1959</v>
      </c>
    </row>
    <row r="1246" spans="2:29" x14ac:dyDescent="0.25">
      <c r="B1246">
        <v>8010061705028580</v>
      </c>
      <c r="C1246">
        <v>41219171</v>
      </c>
      <c r="D1246" t="s">
        <v>376</v>
      </c>
      <c r="E1246">
        <v>6000</v>
      </c>
      <c r="G1246" t="s">
        <v>156</v>
      </c>
      <c r="H1246">
        <v>69</v>
      </c>
      <c r="J1246">
        <v>0.33</v>
      </c>
      <c r="L1246" t="s">
        <v>834</v>
      </c>
      <c r="AC1246" t="s">
        <v>1896</v>
      </c>
    </row>
    <row r="1247" spans="2:29" x14ac:dyDescent="0.25">
      <c r="C1247">
        <v>41219432</v>
      </c>
      <c r="D1247" t="s">
        <v>508</v>
      </c>
      <c r="E1247">
        <v>6000</v>
      </c>
      <c r="AC1247" t="s">
        <v>1960</v>
      </c>
    </row>
    <row r="1248" spans="2:29" x14ac:dyDescent="0.25">
      <c r="B1248">
        <v>8.0100617050285798E+26</v>
      </c>
      <c r="C1248">
        <v>41219254</v>
      </c>
      <c r="D1248" t="s">
        <v>375</v>
      </c>
      <c r="E1248">
        <v>3600</v>
      </c>
      <c r="G1248" t="s">
        <v>133</v>
      </c>
      <c r="H1248">
        <v>52</v>
      </c>
      <c r="J1248">
        <v>0.25</v>
      </c>
      <c r="L1248" t="s">
        <v>834</v>
      </c>
      <c r="AC1248" t="s">
        <v>1897</v>
      </c>
    </row>
    <row r="1249" spans="2:29" x14ac:dyDescent="0.25">
      <c r="C1249">
        <v>41219444</v>
      </c>
      <c r="D1249" t="s">
        <v>506</v>
      </c>
      <c r="E1249">
        <v>3600</v>
      </c>
      <c r="AC1249" t="s">
        <v>1961</v>
      </c>
    </row>
    <row r="1250" spans="2:29" x14ac:dyDescent="0.25">
      <c r="B1250">
        <v>8010061705028580</v>
      </c>
      <c r="C1250">
        <v>41219042</v>
      </c>
      <c r="D1250" t="s">
        <v>418</v>
      </c>
      <c r="E1250">
        <v>612</v>
      </c>
      <c r="G1250" t="s">
        <v>146</v>
      </c>
      <c r="H1250">
        <v>60</v>
      </c>
      <c r="I1250">
        <v>1.7</v>
      </c>
      <c r="J1250">
        <v>1.7</v>
      </c>
      <c r="K1250">
        <v>1</v>
      </c>
      <c r="L1250" t="s">
        <v>834</v>
      </c>
      <c r="AC1250" t="s">
        <v>1898</v>
      </c>
    </row>
    <row r="1251" spans="2:29" x14ac:dyDescent="0.25">
      <c r="C1251">
        <v>41219432</v>
      </c>
      <c r="D1251" t="s">
        <v>515</v>
      </c>
      <c r="E1251">
        <v>720</v>
      </c>
      <c r="G1251" t="s">
        <v>149</v>
      </c>
      <c r="H1251">
        <v>121</v>
      </c>
      <c r="I1251">
        <v>1.7</v>
      </c>
      <c r="J1251">
        <v>1224</v>
      </c>
      <c r="K1251">
        <v>720</v>
      </c>
      <c r="AC1251" t="s">
        <v>1962</v>
      </c>
    </row>
    <row r="1252" spans="2:29" x14ac:dyDescent="0.25">
      <c r="C1252">
        <v>41219042</v>
      </c>
      <c r="D1252" t="s">
        <v>516</v>
      </c>
      <c r="E1252">
        <v>360</v>
      </c>
      <c r="J1252">
        <v>1.7</v>
      </c>
      <c r="K1252">
        <v>720</v>
      </c>
      <c r="L1252" t="s">
        <v>834</v>
      </c>
      <c r="AC1252" t="s">
        <v>1963</v>
      </c>
    </row>
    <row r="1253" spans="2:29" x14ac:dyDescent="0.25">
      <c r="C1253">
        <v>41219002</v>
      </c>
      <c r="D1253" t="s">
        <v>517</v>
      </c>
      <c r="E1253">
        <v>720</v>
      </c>
      <c r="J1253">
        <v>612</v>
      </c>
      <c r="K1253">
        <v>720</v>
      </c>
      <c r="AC1253" t="s">
        <v>1964</v>
      </c>
    </row>
    <row r="1254" spans="2:29" x14ac:dyDescent="0.25">
      <c r="C1254">
        <v>41219444</v>
      </c>
      <c r="D1254" t="s">
        <v>514</v>
      </c>
      <c r="E1254">
        <v>360</v>
      </c>
      <c r="AC1254" t="s">
        <v>1965</v>
      </c>
    </row>
    <row r="1255" spans="2:29" x14ac:dyDescent="0.25">
      <c r="B1255">
        <v>8010061705028580</v>
      </c>
      <c r="C1255">
        <v>41218407</v>
      </c>
      <c r="D1255" t="s">
        <v>421</v>
      </c>
      <c r="E1255">
        <v>5000</v>
      </c>
      <c r="G1255" t="s">
        <v>113</v>
      </c>
      <c r="H1255">
        <v>48</v>
      </c>
      <c r="I1255">
        <v>0.25</v>
      </c>
      <c r="J1255">
        <v>0.25</v>
      </c>
      <c r="K1255">
        <v>1</v>
      </c>
      <c r="L1255" t="s">
        <v>834</v>
      </c>
      <c r="AC1255" t="s">
        <v>1899</v>
      </c>
    </row>
    <row r="1256" spans="2:29" x14ac:dyDescent="0.25">
      <c r="C1256">
        <v>41218064</v>
      </c>
      <c r="D1256" t="s">
        <v>529</v>
      </c>
      <c r="E1256">
        <v>5000</v>
      </c>
      <c r="J1256">
        <v>1250</v>
      </c>
      <c r="K1256">
        <v>1</v>
      </c>
      <c r="L1256" t="s">
        <v>834</v>
      </c>
      <c r="AC1256" t="s">
        <v>1966</v>
      </c>
    </row>
    <row r="1257" spans="2:29" x14ac:dyDescent="0.25">
      <c r="B1257">
        <v>8010061705028580</v>
      </c>
      <c r="C1257">
        <v>41219432</v>
      </c>
      <c r="D1257" t="s">
        <v>413</v>
      </c>
      <c r="E1257">
        <v>4000</v>
      </c>
      <c r="G1257" t="s">
        <v>117</v>
      </c>
      <c r="H1257">
        <v>64</v>
      </c>
      <c r="I1257">
        <v>0.25</v>
      </c>
      <c r="J1257">
        <v>0.25</v>
      </c>
      <c r="K1257">
        <v>1</v>
      </c>
      <c r="L1257" t="s">
        <v>834</v>
      </c>
      <c r="AC1257" t="s">
        <v>1967</v>
      </c>
    </row>
    <row r="1258" spans="2:29" x14ac:dyDescent="0.25">
      <c r="C1258">
        <v>41218860</v>
      </c>
      <c r="D1258" t="s">
        <v>522</v>
      </c>
      <c r="E1258">
        <v>4000</v>
      </c>
      <c r="G1258" t="s">
        <v>181</v>
      </c>
      <c r="H1258">
        <v>129</v>
      </c>
      <c r="I1258">
        <v>0.25</v>
      </c>
      <c r="J1258">
        <v>1000</v>
      </c>
      <c r="K1258">
        <v>4000</v>
      </c>
      <c r="AC1258" t="s">
        <v>1968</v>
      </c>
    </row>
    <row r="1259" spans="2:29" x14ac:dyDescent="0.25">
      <c r="C1259">
        <v>41218405</v>
      </c>
      <c r="D1259" t="s">
        <v>523</v>
      </c>
      <c r="E1259">
        <v>4000</v>
      </c>
      <c r="J1259">
        <v>0.25</v>
      </c>
      <c r="K1259">
        <v>4000</v>
      </c>
      <c r="AC1259" t="s">
        <v>1969</v>
      </c>
    </row>
    <row r="1260" spans="2:29" x14ac:dyDescent="0.25">
      <c r="C1260">
        <v>41219252</v>
      </c>
      <c r="D1260" t="s">
        <v>524</v>
      </c>
      <c r="E1260">
        <v>4000</v>
      </c>
      <c r="J1260">
        <v>1000</v>
      </c>
      <c r="K1260">
        <v>4000</v>
      </c>
      <c r="AC1260" t="s">
        <v>1970</v>
      </c>
    </row>
    <row r="1261" spans="2:29" x14ac:dyDescent="0.25">
      <c r="B1261">
        <v>8010061705028580</v>
      </c>
      <c r="C1261">
        <v>41219444</v>
      </c>
      <c r="D1261" t="s">
        <v>412</v>
      </c>
      <c r="E1261">
        <v>4000</v>
      </c>
      <c r="G1261" t="s">
        <v>120</v>
      </c>
      <c r="H1261">
        <v>68</v>
      </c>
      <c r="I1261">
        <v>0.25</v>
      </c>
      <c r="J1261">
        <v>0.25</v>
      </c>
      <c r="K1261">
        <v>1</v>
      </c>
      <c r="L1261" t="s">
        <v>834</v>
      </c>
      <c r="AC1261" t="s">
        <v>1901</v>
      </c>
    </row>
    <row r="1262" spans="2:29" x14ac:dyDescent="0.25">
      <c r="C1262">
        <v>41219694</v>
      </c>
      <c r="D1262" t="s">
        <v>526</v>
      </c>
      <c r="E1262">
        <v>1</v>
      </c>
      <c r="J1262">
        <v>1000</v>
      </c>
      <c r="K1262">
        <v>1</v>
      </c>
      <c r="AC1262" t="s">
        <v>1971</v>
      </c>
    </row>
    <row r="1263" spans="2:29" x14ac:dyDescent="0.25">
      <c r="C1263">
        <v>41217314</v>
      </c>
      <c r="D1263" t="s">
        <v>527</v>
      </c>
      <c r="E1263">
        <v>4000</v>
      </c>
      <c r="AC1263" t="s">
        <v>1972</v>
      </c>
    </row>
    <row r="1264" spans="2:29" x14ac:dyDescent="0.25">
      <c r="C1264">
        <v>41218857</v>
      </c>
      <c r="D1264" t="s">
        <v>528</v>
      </c>
      <c r="E1264">
        <v>1</v>
      </c>
      <c r="AC1264" t="s">
        <v>1973</v>
      </c>
    </row>
    <row r="1265" spans="2:29" x14ac:dyDescent="0.25">
      <c r="B1265">
        <v>8.0100617050285802E+30</v>
      </c>
      <c r="C1265">
        <v>41219002</v>
      </c>
      <c r="D1265" t="s">
        <v>419</v>
      </c>
      <c r="E1265">
        <v>34</v>
      </c>
      <c r="G1265" t="s">
        <v>141</v>
      </c>
      <c r="H1265">
        <v>121</v>
      </c>
      <c r="I1265">
        <v>3.4</v>
      </c>
      <c r="J1265">
        <v>3.4</v>
      </c>
      <c r="K1265">
        <v>1</v>
      </c>
      <c r="L1265" t="s">
        <v>834</v>
      </c>
      <c r="AC1265" t="s">
        <v>1974</v>
      </c>
    </row>
    <row r="1266" spans="2:29" x14ac:dyDescent="0.25">
      <c r="C1266">
        <v>41218317</v>
      </c>
      <c r="D1266" t="s">
        <v>531</v>
      </c>
      <c r="E1266">
        <v>34</v>
      </c>
      <c r="G1266" t="s">
        <v>177</v>
      </c>
      <c r="H1266">
        <v>148</v>
      </c>
      <c r="I1266">
        <v>3.8</v>
      </c>
      <c r="J1266">
        <v>34</v>
      </c>
      <c r="K1266">
        <v>8.9473684210526319</v>
      </c>
      <c r="L1266" t="s">
        <v>834</v>
      </c>
      <c r="AC1266" t="s">
        <v>1975</v>
      </c>
    </row>
    <row r="1267" spans="2:29" x14ac:dyDescent="0.25">
      <c r="C1267">
        <v>41219002</v>
      </c>
      <c r="D1267" t="s">
        <v>549</v>
      </c>
      <c r="E1267">
        <v>10</v>
      </c>
      <c r="G1267">
        <v>6001</v>
      </c>
      <c r="H1267">
        <v>176</v>
      </c>
      <c r="I1267">
        <v>7.94</v>
      </c>
      <c r="J1267">
        <v>3.8</v>
      </c>
      <c r="K1267">
        <v>0.47858942065491178</v>
      </c>
      <c r="L1267" t="s">
        <v>834</v>
      </c>
      <c r="AC1267" t="s">
        <v>1976</v>
      </c>
    </row>
    <row r="1268" spans="2:29" x14ac:dyDescent="0.25">
      <c r="C1268">
        <v>41219042</v>
      </c>
      <c r="D1268" t="s">
        <v>547</v>
      </c>
      <c r="E1268">
        <v>350</v>
      </c>
      <c r="J1268">
        <v>1330</v>
      </c>
      <c r="K1268">
        <v>0.47858942065491178</v>
      </c>
      <c r="L1268" t="s">
        <v>834</v>
      </c>
      <c r="AC1268" t="s">
        <v>1977</v>
      </c>
    </row>
    <row r="1269" spans="2:29" x14ac:dyDescent="0.25">
      <c r="C1269">
        <v>41219444</v>
      </c>
      <c r="D1269" t="s">
        <v>546</v>
      </c>
      <c r="E1269">
        <v>1180</v>
      </c>
      <c r="J1269">
        <v>7.94</v>
      </c>
      <c r="K1269">
        <v>0.47858942065491178</v>
      </c>
      <c r="L1269" t="s">
        <v>834</v>
      </c>
      <c r="AC1269" t="s">
        <v>1978</v>
      </c>
    </row>
    <row r="1270" spans="2:29" x14ac:dyDescent="0.25">
      <c r="C1270">
        <v>41219377</v>
      </c>
      <c r="D1270" t="s">
        <v>545</v>
      </c>
      <c r="E1270">
        <v>10</v>
      </c>
      <c r="AC1270" t="s">
        <v>1979</v>
      </c>
    </row>
    <row r="1271" spans="2:29" x14ac:dyDescent="0.25">
      <c r="C1271">
        <v>41219432</v>
      </c>
      <c r="D1271" t="s">
        <v>548</v>
      </c>
      <c r="E1271">
        <v>350</v>
      </c>
      <c r="AC1271" t="s">
        <v>1980</v>
      </c>
    </row>
    <row r="1272" spans="2:29" x14ac:dyDescent="0.25">
      <c r="C1272">
        <v>41217695</v>
      </c>
      <c r="D1272" t="s">
        <v>544</v>
      </c>
      <c r="E1272">
        <v>1180</v>
      </c>
      <c r="AC1272" t="s">
        <v>1981</v>
      </c>
    </row>
    <row r="1273" spans="2:29" x14ac:dyDescent="0.25">
      <c r="C1273">
        <v>41217314</v>
      </c>
      <c r="D1273" t="s">
        <v>553</v>
      </c>
      <c r="E1273">
        <v>1330</v>
      </c>
      <c r="AC1273" t="s">
        <v>1982</v>
      </c>
    </row>
    <row r="1274" spans="2:29" x14ac:dyDescent="0.25">
      <c r="B1274">
        <v>8010061705028580</v>
      </c>
      <c r="C1274">
        <v>41218898</v>
      </c>
      <c r="D1274" t="s">
        <v>414</v>
      </c>
      <c r="E1274">
        <v>1600</v>
      </c>
      <c r="G1274" t="s">
        <v>129</v>
      </c>
      <c r="H1274">
        <v>63</v>
      </c>
      <c r="I1274">
        <v>0.25</v>
      </c>
      <c r="J1274">
        <v>0.25</v>
      </c>
      <c r="K1274">
        <v>1</v>
      </c>
      <c r="L1274" t="s">
        <v>834</v>
      </c>
      <c r="AC1274" t="s">
        <v>1902</v>
      </c>
    </row>
    <row r="1275" spans="2:29" x14ac:dyDescent="0.25">
      <c r="C1275">
        <v>41219432</v>
      </c>
      <c r="D1275" t="s">
        <v>556</v>
      </c>
      <c r="E1275">
        <v>1600</v>
      </c>
      <c r="J1275">
        <v>400</v>
      </c>
      <c r="K1275">
        <v>1</v>
      </c>
      <c r="L1275" t="s">
        <v>834</v>
      </c>
      <c r="AC1275" t="s">
        <v>1983</v>
      </c>
    </row>
    <row r="1276" spans="2:29" x14ac:dyDescent="0.25">
      <c r="B1276">
        <v>8010061705028580</v>
      </c>
      <c r="C1276">
        <v>41219386</v>
      </c>
      <c r="D1276" t="s">
        <v>416</v>
      </c>
      <c r="E1276">
        <v>200</v>
      </c>
      <c r="G1276" t="s">
        <v>129</v>
      </c>
      <c r="H1276">
        <v>45</v>
      </c>
      <c r="I1276">
        <v>0.25</v>
      </c>
      <c r="J1276">
        <v>0.25</v>
      </c>
      <c r="K1276">
        <v>1</v>
      </c>
      <c r="L1276" t="s">
        <v>834</v>
      </c>
      <c r="AC1276" t="s">
        <v>1984</v>
      </c>
    </row>
    <row r="1277" spans="2:29" x14ac:dyDescent="0.25">
      <c r="C1277">
        <v>41219425</v>
      </c>
      <c r="D1277" t="s">
        <v>571</v>
      </c>
      <c r="E1277">
        <v>800</v>
      </c>
      <c r="J1277">
        <v>200</v>
      </c>
      <c r="K1277">
        <v>1</v>
      </c>
      <c r="L1277" t="s">
        <v>834</v>
      </c>
      <c r="AC1277" t="s">
        <v>1985</v>
      </c>
    </row>
    <row r="1278" spans="2:29" x14ac:dyDescent="0.25">
      <c r="C1278">
        <v>41218064</v>
      </c>
      <c r="D1278" t="s">
        <v>570</v>
      </c>
      <c r="E1278">
        <v>800</v>
      </c>
      <c r="AC1278" t="s">
        <v>1986</v>
      </c>
    </row>
    <row r="1279" spans="2:29" x14ac:dyDescent="0.25">
      <c r="B1279">
        <v>8.0100617050285797E+37</v>
      </c>
      <c r="C1279">
        <v>41219377</v>
      </c>
      <c r="D1279" t="s">
        <v>417</v>
      </c>
      <c r="E1279">
        <v>2000</v>
      </c>
      <c r="G1279" t="s">
        <v>133</v>
      </c>
      <c r="H1279">
        <v>28</v>
      </c>
      <c r="I1279">
        <v>0.25</v>
      </c>
      <c r="J1279">
        <v>0.25</v>
      </c>
      <c r="K1279">
        <v>1</v>
      </c>
      <c r="L1279" t="s">
        <v>834</v>
      </c>
      <c r="AC1279" t="s">
        <v>1904</v>
      </c>
    </row>
    <row r="1280" spans="2:29" x14ac:dyDescent="0.25">
      <c r="C1280">
        <v>41217777</v>
      </c>
      <c r="D1280" t="s">
        <v>562</v>
      </c>
      <c r="E1280">
        <v>1160</v>
      </c>
      <c r="G1280" t="s">
        <v>174</v>
      </c>
      <c r="H1280">
        <v>181</v>
      </c>
      <c r="I1280">
        <v>0.56000000000000005</v>
      </c>
      <c r="J1280">
        <v>2000</v>
      </c>
      <c r="K1280">
        <v>3571.4285714285711</v>
      </c>
      <c r="L1280" t="s">
        <v>834</v>
      </c>
      <c r="AC1280" t="s">
        <v>1987</v>
      </c>
    </row>
    <row r="1281" spans="2:29" x14ac:dyDescent="0.25">
      <c r="C1281">
        <v>41218857</v>
      </c>
      <c r="D1281" t="s">
        <v>563</v>
      </c>
      <c r="E1281">
        <v>1160</v>
      </c>
      <c r="G1281" t="s">
        <v>212</v>
      </c>
      <c r="H1281">
        <v>205</v>
      </c>
      <c r="I1281">
        <v>1.45</v>
      </c>
      <c r="J1281">
        <v>0.56000000000000005</v>
      </c>
      <c r="K1281">
        <v>0.38620689655172419</v>
      </c>
      <c r="L1281" t="s">
        <v>834</v>
      </c>
      <c r="AC1281" t="s">
        <v>1988</v>
      </c>
    </row>
    <row r="1282" spans="2:29" x14ac:dyDescent="0.25">
      <c r="C1282">
        <v>41218896</v>
      </c>
      <c r="D1282" t="s">
        <v>564</v>
      </c>
      <c r="E1282">
        <v>8000</v>
      </c>
      <c r="G1282">
        <v>6200</v>
      </c>
      <c r="H1282">
        <v>228</v>
      </c>
      <c r="I1282">
        <v>8.82</v>
      </c>
      <c r="J1282">
        <v>268.8</v>
      </c>
      <c r="K1282">
        <v>30.476190476190478</v>
      </c>
      <c r="L1282" t="s">
        <v>834</v>
      </c>
      <c r="AC1282" t="s">
        <v>1989</v>
      </c>
    </row>
    <row r="1283" spans="2:29" x14ac:dyDescent="0.25">
      <c r="C1283">
        <v>41217314</v>
      </c>
      <c r="D1283" t="s">
        <v>565</v>
      </c>
      <c r="E1283">
        <v>480</v>
      </c>
      <c r="G1283" t="s">
        <v>133</v>
      </c>
      <c r="H1283">
        <v>626</v>
      </c>
      <c r="J1283">
        <v>1.45</v>
      </c>
      <c r="K1283">
        <v>30.476190476190478</v>
      </c>
      <c r="L1283" t="s">
        <v>834</v>
      </c>
      <c r="AC1283" t="s">
        <v>1990</v>
      </c>
    </row>
    <row r="1284" spans="2:29" x14ac:dyDescent="0.25">
      <c r="C1284">
        <v>41218860</v>
      </c>
      <c r="D1284" t="s">
        <v>566</v>
      </c>
      <c r="E1284">
        <v>800</v>
      </c>
      <c r="J1284">
        <v>1160</v>
      </c>
      <c r="K1284">
        <v>30.476190476190478</v>
      </c>
      <c r="L1284" t="s">
        <v>834</v>
      </c>
      <c r="AC1284" t="s">
        <v>1991</v>
      </c>
    </row>
    <row r="1285" spans="2:29" x14ac:dyDescent="0.25">
      <c r="C1285">
        <v>41219252</v>
      </c>
      <c r="D1285" t="s">
        <v>774</v>
      </c>
      <c r="E1285">
        <v>20</v>
      </c>
      <c r="J1285">
        <v>8.82</v>
      </c>
      <c r="K1285">
        <v>30.476190476190478</v>
      </c>
      <c r="L1285" t="s">
        <v>834</v>
      </c>
      <c r="AC1285" t="s">
        <v>1992</v>
      </c>
    </row>
    <row r="1286" spans="2:29" x14ac:dyDescent="0.25">
      <c r="C1286">
        <v>41219694</v>
      </c>
      <c r="D1286" t="s">
        <v>567</v>
      </c>
      <c r="E1286">
        <v>8000</v>
      </c>
      <c r="J1286">
        <v>176.4</v>
      </c>
      <c r="K1286">
        <v>30.476190476190478</v>
      </c>
      <c r="L1286" t="s">
        <v>834</v>
      </c>
      <c r="AC1286" t="s">
        <v>1993</v>
      </c>
    </row>
    <row r="1287" spans="2:29" x14ac:dyDescent="0.25">
      <c r="C1287">
        <v>41219744</v>
      </c>
      <c r="D1287" t="s">
        <v>568</v>
      </c>
      <c r="E1287">
        <v>480</v>
      </c>
      <c r="AC1287" t="s">
        <v>1994</v>
      </c>
    </row>
    <row r="1288" spans="2:29" x14ac:dyDescent="0.25">
      <c r="C1288">
        <v>41219444</v>
      </c>
      <c r="D1288" t="s">
        <v>1342</v>
      </c>
      <c r="E1288">
        <v>800</v>
      </c>
      <c r="AC1288" t="s">
        <v>1995</v>
      </c>
    </row>
    <row r="1289" spans="2:29" x14ac:dyDescent="0.25">
      <c r="B1289">
        <v>8010061705028580</v>
      </c>
      <c r="C1289">
        <v>41219377</v>
      </c>
      <c r="D1289" t="s">
        <v>386</v>
      </c>
      <c r="E1289">
        <v>7000</v>
      </c>
      <c r="G1289" t="s">
        <v>156</v>
      </c>
      <c r="H1289">
        <v>64</v>
      </c>
      <c r="I1289">
        <v>0.33</v>
      </c>
      <c r="J1289">
        <v>0.33</v>
      </c>
      <c r="K1289">
        <v>1</v>
      </c>
      <c r="L1289" t="s">
        <v>834</v>
      </c>
      <c r="AC1289" t="s">
        <v>1905</v>
      </c>
    </row>
    <row r="1290" spans="2:29" x14ac:dyDescent="0.25">
      <c r="C1290">
        <v>41219872</v>
      </c>
      <c r="D1290" t="s">
        <v>576</v>
      </c>
      <c r="E1290">
        <v>7000</v>
      </c>
      <c r="J1290">
        <v>2310</v>
      </c>
      <c r="K1290">
        <v>1</v>
      </c>
      <c r="L1290" t="s">
        <v>834</v>
      </c>
      <c r="AC1290" t="s">
        <v>1996</v>
      </c>
    </row>
    <row r="1291" spans="2:29" x14ac:dyDescent="0.25">
      <c r="B1291">
        <v>8010061705028580</v>
      </c>
      <c r="C1291">
        <v>41217317</v>
      </c>
      <c r="D1291" t="s">
        <v>389</v>
      </c>
      <c r="E1291">
        <v>21</v>
      </c>
      <c r="G1291" t="s">
        <v>65</v>
      </c>
      <c r="H1291">
        <v>58</v>
      </c>
      <c r="I1291">
        <v>13.99</v>
      </c>
      <c r="J1291">
        <v>3.99</v>
      </c>
      <c r="K1291">
        <v>0.28520371694067193</v>
      </c>
      <c r="L1291" t="s">
        <v>834</v>
      </c>
      <c r="AC1291" t="s">
        <v>1906</v>
      </c>
    </row>
    <row r="1292" spans="2:29" x14ac:dyDescent="0.25">
      <c r="C1292">
        <v>41219254</v>
      </c>
      <c r="D1292" t="s">
        <v>573</v>
      </c>
      <c r="E1292">
        <v>5</v>
      </c>
      <c r="G1292" t="s">
        <v>231</v>
      </c>
      <c r="H1292">
        <v>114</v>
      </c>
      <c r="I1292">
        <v>13.99</v>
      </c>
      <c r="J1292">
        <v>293.79000000000002</v>
      </c>
      <c r="K1292">
        <v>21</v>
      </c>
      <c r="L1292" t="s">
        <v>834</v>
      </c>
      <c r="AC1292" t="s">
        <v>1997</v>
      </c>
    </row>
    <row r="1293" spans="2:29" x14ac:dyDescent="0.25">
      <c r="C1293">
        <v>41218317</v>
      </c>
      <c r="D1293" t="s">
        <v>1343</v>
      </c>
      <c r="E1293">
        <v>5</v>
      </c>
      <c r="G1293" t="s">
        <v>231</v>
      </c>
      <c r="H1293">
        <v>169</v>
      </c>
      <c r="I1293">
        <v>13.99</v>
      </c>
      <c r="J1293">
        <v>3.99</v>
      </c>
      <c r="K1293">
        <v>0.28520371694067193</v>
      </c>
      <c r="L1293" t="s">
        <v>834</v>
      </c>
      <c r="AC1293" t="s">
        <v>1998</v>
      </c>
    </row>
    <row r="1294" spans="2:29" x14ac:dyDescent="0.25">
      <c r="C1294">
        <v>41219872</v>
      </c>
      <c r="D1294" t="s">
        <v>1344</v>
      </c>
      <c r="E1294">
        <v>4</v>
      </c>
      <c r="G1294" t="s">
        <v>239</v>
      </c>
      <c r="H1294">
        <v>225</v>
      </c>
      <c r="I1294">
        <v>13.99</v>
      </c>
      <c r="J1294">
        <v>69.95</v>
      </c>
      <c r="K1294">
        <v>5</v>
      </c>
      <c r="L1294" t="s">
        <v>834</v>
      </c>
      <c r="AC1294" t="s">
        <v>1999</v>
      </c>
    </row>
    <row r="1295" spans="2:29" x14ac:dyDescent="0.25">
      <c r="C1295">
        <v>41219444</v>
      </c>
      <c r="D1295" t="s">
        <v>1345</v>
      </c>
      <c r="E1295">
        <v>4</v>
      </c>
      <c r="G1295" t="s">
        <v>240</v>
      </c>
      <c r="H1295">
        <v>278</v>
      </c>
      <c r="I1295">
        <v>13.99</v>
      </c>
      <c r="J1295">
        <v>3.99</v>
      </c>
      <c r="K1295">
        <v>0.28520371694067193</v>
      </c>
      <c r="L1295" t="s">
        <v>834</v>
      </c>
      <c r="AC1295" t="s">
        <v>2000</v>
      </c>
    </row>
    <row r="1296" spans="2:29" x14ac:dyDescent="0.25">
      <c r="C1296">
        <v>41219254</v>
      </c>
      <c r="D1296" t="s">
        <v>1346</v>
      </c>
      <c r="E1296">
        <v>21</v>
      </c>
      <c r="J1296">
        <v>69.95</v>
      </c>
      <c r="K1296">
        <v>0.28520371694067193</v>
      </c>
      <c r="L1296" t="s">
        <v>834</v>
      </c>
      <c r="AC1296" t="s">
        <v>2001</v>
      </c>
    </row>
    <row r="1297" spans="2:29" x14ac:dyDescent="0.25">
      <c r="C1297">
        <v>41219252</v>
      </c>
      <c r="D1297" t="s">
        <v>1347</v>
      </c>
      <c r="E1297">
        <v>5</v>
      </c>
      <c r="J1297">
        <v>3.99</v>
      </c>
      <c r="K1297">
        <v>0.28520371694067193</v>
      </c>
      <c r="L1297" t="s">
        <v>834</v>
      </c>
      <c r="AC1297" t="s">
        <v>2002</v>
      </c>
    </row>
    <row r="1298" spans="2:29" x14ac:dyDescent="0.25">
      <c r="C1298">
        <v>41217695</v>
      </c>
      <c r="D1298" t="s">
        <v>1348</v>
      </c>
      <c r="E1298">
        <v>5</v>
      </c>
      <c r="J1298">
        <v>55.96</v>
      </c>
      <c r="K1298">
        <v>0.28520371694067193</v>
      </c>
      <c r="L1298" t="s">
        <v>834</v>
      </c>
      <c r="AC1298" t="s">
        <v>2003</v>
      </c>
    </row>
    <row r="1299" spans="2:29" x14ac:dyDescent="0.25">
      <c r="C1299">
        <v>41219744</v>
      </c>
      <c r="D1299" t="s">
        <v>591</v>
      </c>
      <c r="E1299">
        <v>4</v>
      </c>
      <c r="J1299">
        <v>3.99</v>
      </c>
      <c r="K1299">
        <v>0.28520371694067193</v>
      </c>
      <c r="L1299" t="s">
        <v>834</v>
      </c>
      <c r="AC1299" t="s">
        <v>2004</v>
      </c>
    </row>
    <row r="1300" spans="2:29" x14ac:dyDescent="0.25">
      <c r="C1300">
        <v>41218064</v>
      </c>
      <c r="D1300" t="s">
        <v>590</v>
      </c>
      <c r="E1300">
        <v>4</v>
      </c>
      <c r="AC1300" t="s">
        <v>2005</v>
      </c>
    </row>
    <row r="1301" spans="2:29" x14ac:dyDescent="0.25">
      <c r="B1301">
        <v>8010061705028580</v>
      </c>
      <c r="C1301">
        <v>41218897</v>
      </c>
      <c r="D1301" t="s">
        <v>384</v>
      </c>
      <c r="E1301">
        <v>720</v>
      </c>
      <c r="G1301" t="s">
        <v>151</v>
      </c>
      <c r="H1301">
        <v>46</v>
      </c>
      <c r="I1301">
        <v>1.7</v>
      </c>
      <c r="J1301">
        <v>1.7</v>
      </c>
      <c r="K1301">
        <v>1</v>
      </c>
      <c r="L1301" t="s">
        <v>834</v>
      </c>
      <c r="AC1301" t="s">
        <v>2006</v>
      </c>
    </row>
    <row r="1302" spans="2:29" x14ac:dyDescent="0.25">
      <c r="C1302">
        <v>41219949</v>
      </c>
      <c r="D1302" t="s">
        <v>588</v>
      </c>
      <c r="E1302">
        <v>720</v>
      </c>
      <c r="J1302">
        <v>1224</v>
      </c>
      <c r="K1302">
        <v>1</v>
      </c>
      <c r="L1302" t="s">
        <v>834</v>
      </c>
      <c r="AC1302" t="s">
        <v>2007</v>
      </c>
    </row>
    <row r="1303" spans="2:29" x14ac:dyDescent="0.25">
      <c r="B1303">
        <v>8010061705028580</v>
      </c>
      <c r="C1303">
        <v>41217180</v>
      </c>
      <c r="D1303" t="s">
        <v>382</v>
      </c>
      <c r="E1303">
        <v>1200</v>
      </c>
      <c r="G1303" t="s">
        <v>293</v>
      </c>
      <c r="H1303">
        <v>63</v>
      </c>
      <c r="I1303">
        <v>0.25</v>
      </c>
      <c r="J1303">
        <v>0.25</v>
      </c>
      <c r="K1303">
        <v>1</v>
      </c>
      <c r="L1303" t="s">
        <v>834</v>
      </c>
      <c r="AC1303" t="s">
        <v>1907</v>
      </c>
    </row>
    <row r="1304" spans="2:29" x14ac:dyDescent="0.25">
      <c r="C1304">
        <v>41217314</v>
      </c>
      <c r="D1304" t="s">
        <v>584</v>
      </c>
      <c r="E1304">
        <v>1200</v>
      </c>
      <c r="AC1304" t="s">
        <v>2008</v>
      </c>
    </row>
    <row r="1305" spans="2:29" x14ac:dyDescent="0.25">
      <c r="B1305">
        <v>8010061705028580</v>
      </c>
      <c r="C1305">
        <v>41219432</v>
      </c>
      <c r="D1305" t="s">
        <v>381</v>
      </c>
      <c r="E1305">
        <v>600</v>
      </c>
      <c r="G1305" t="s">
        <v>117</v>
      </c>
      <c r="H1305">
        <v>28</v>
      </c>
      <c r="I1305">
        <v>0.25</v>
      </c>
      <c r="J1305">
        <v>0.25</v>
      </c>
      <c r="K1305">
        <v>1</v>
      </c>
      <c r="L1305" t="s">
        <v>834</v>
      </c>
      <c r="AC1305" t="s">
        <v>1908</v>
      </c>
    </row>
    <row r="1306" spans="2:29" x14ac:dyDescent="0.25">
      <c r="C1306">
        <v>41218896</v>
      </c>
      <c r="D1306" t="s">
        <v>582</v>
      </c>
      <c r="E1306">
        <v>3600</v>
      </c>
      <c r="G1306" t="s">
        <v>181</v>
      </c>
      <c r="H1306">
        <v>55</v>
      </c>
      <c r="I1306">
        <v>0.25</v>
      </c>
      <c r="J1306">
        <v>900</v>
      </c>
      <c r="K1306">
        <v>3600</v>
      </c>
      <c r="AC1306" t="s">
        <v>2009</v>
      </c>
    </row>
    <row r="1307" spans="2:29" x14ac:dyDescent="0.25">
      <c r="C1307">
        <v>41218405</v>
      </c>
      <c r="D1307" t="s">
        <v>581</v>
      </c>
      <c r="E1307">
        <v>900</v>
      </c>
      <c r="G1307" t="s">
        <v>183</v>
      </c>
      <c r="H1307">
        <v>172</v>
      </c>
      <c r="I1307">
        <v>0.25</v>
      </c>
      <c r="J1307">
        <v>0.25</v>
      </c>
      <c r="K1307">
        <v>1</v>
      </c>
      <c r="L1307" t="s">
        <v>834</v>
      </c>
      <c r="AC1307" t="s">
        <v>2010</v>
      </c>
    </row>
    <row r="1308" spans="2:29" x14ac:dyDescent="0.25">
      <c r="C1308">
        <v>41218860</v>
      </c>
      <c r="D1308" t="s">
        <v>580</v>
      </c>
      <c r="E1308">
        <v>3600</v>
      </c>
      <c r="G1308" t="s">
        <v>293</v>
      </c>
      <c r="H1308">
        <v>236</v>
      </c>
      <c r="I1308">
        <v>0.25</v>
      </c>
      <c r="J1308">
        <v>900</v>
      </c>
      <c r="K1308">
        <v>3600</v>
      </c>
      <c r="AC1308" t="s">
        <v>2011</v>
      </c>
    </row>
    <row r="1309" spans="2:29" x14ac:dyDescent="0.25">
      <c r="C1309">
        <v>41219252</v>
      </c>
      <c r="D1309" t="s">
        <v>579</v>
      </c>
      <c r="E1309">
        <v>900</v>
      </c>
      <c r="J1309">
        <v>0.25</v>
      </c>
      <c r="K1309">
        <v>3600</v>
      </c>
      <c r="L1309" t="s">
        <v>834</v>
      </c>
      <c r="AC1309" t="s">
        <v>2012</v>
      </c>
    </row>
    <row r="1310" spans="2:29" x14ac:dyDescent="0.25">
      <c r="C1310">
        <v>41219425</v>
      </c>
      <c r="D1310" t="s">
        <v>578</v>
      </c>
      <c r="E1310">
        <v>1200</v>
      </c>
      <c r="J1310">
        <v>300</v>
      </c>
      <c r="K1310">
        <v>3600</v>
      </c>
      <c r="L1310" t="s">
        <v>834</v>
      </c>
      <c r="AC1310" t="s">
        <v>2013</v>
      </c>
    </row>
    <row r="1311" spans="2:29" x14ac:dyDescent="0.25">
      <c r="C1311">
        <v>41219002</v>
      </c>
      <c r="D1311" t="s">
        <v>593</v>
      </c>
      <c r="E1311">
        <v>300</v>
      </c>
      <c r="J1311">
        <v>600</v>
      </c>
      <c r="K1311">
        <v>3600</v>
      </c>
      <c r="L1311" t="s">
        <v>834</v>
      </c>
      <c r="AC1311" t="s">
        <v>2014</v>
      </c>
    </row>
    <row r="1312" spans="2:29" x14ac:dyDescent="0.25">
      <c r="C1312">
        <v>41218317</v>
      </c>
      <c r="D1312" t="s">
        <v>594</v>
      </c>
      <c r="E1312">
        <v>2400</v>
      </c>
      <c r="J1312">
        <v>0.25</v>
      </c>
      <c r="K1312">
        <v>3600</v>
      </c>
      <c r="L1312" t="s">
        <v>834</v>
      </c>
      <c r="AC1312" t="s">
        <v>2015</v>
      </c>
    </row>
    <row r="1313" spans="2:29" x14ac:dyDescent="0.25">
      <c r="C1313">
        <v>41219872</v>
      </c>
      <c r="D1313" t="s">
        <v>592</v>
      </c>
      <c r="E1313">
        <v>600</v>
      </c>
      <c r="AC1313" t="s">
        <v>2016</v>
      </c>
    </row>
    <row r="1314" spans="2:29" x14ac:dyDescent="0.25">
      <c r="C1314">
        <v>41219694</v>
      </c>
      <c r="D1314" t="s">
        <v>601</v>
      </c>
      <c r="E1314">
        <v>3600</v>
      </c>
      <c r="AC1314" t="s">
        <v>2017</v>
      </c>
    </row>
    <row r="1315" spans="2:29" x14ac:dyDescent="0.25">
      <c r="B1315">
        <v>8.0100617050285801E+20</v>
      </c>
      <c r="C1315">
        <v>41217223</v>
      </c>
      <c r="D1315" t="s">
        <v>379</v>
      </c>
      <c r="E1315">
        <v>360</v>
      </c>
      <c r="G1315" t="s">
        <v>152</v>
      </c>
      <c r="H1315">
        <v>49</v>
      </c>
      <c r="I1315">
        <v>2.1</v>
      </c>
      <c r="J1315">
        <v>2.1</v>
      </c>
      <c r="K1315">
        <v>1</v>
      </c>
      <c r="L1315" t="s">
        <v>834</v>
      </c>
      <c r="AC1315" t="s">
        <v>1909</v>
      </c>
    </row>
    <row r="1316" spans="2:29" x14ac:dyDescent="0.25">
      <c r="C1316">
        <v>41219377</v>
      </c>
      <c r="D1316" t="s">
        <v>600</v>
      </c>
      <c r="E1316">
        <v>360</v>
      </c>
      <c r="AC1316" t="s">
        <v>2018</v>
      </c>
    </row>
    <row r="1317" spans="2:29" x14ac:dyDescent="0.25">
      <c r="B1317">
        <v>8010061705028580</v>
      </c>
      <c r="C1317">
        <v>41218407</v>
      </c>
      <c r="D1317" t="s">
        <v>378</v>
      </c>
      <c r="E1317">
        <v>3600</v>
      </c>
      <c r="G1317" t="s">
        <v>113</v>
      </c>
      <c r="H1317">
        <v>76</v>
      </c>
      <c r="J1317">
        <v>0.25</v>
      </c>
      <c r="L1317" t="s">
        <v>834</v>
      </c>
      <c r="AC1317" t="s">
        <v>2019</v>
      </c>
    </row>
    <row r="1318" spans="2:29" x14ac:dyDescent="0.25">
      <c r="C1318">
        <v>41217180</v>
      </c>
      <c r="D1318" t="s">
        <v>596</v>
      </c>
      <c r="E1318">
        <v>3600</v>
      </c>
      <c r="AC1318" t="s">
        <v>2020</v>
      </c>
    </row>
    <row r="1319" spans="2:29" x14ac:dyDescent="0.25">
      <c r="B1319">
        <v>8010061705028580</v>
      </c>
      <c r="C1319">
        <v>41219254</v>
      </c>
      <c r="D1319" t="s">
        <v>377</v>
      </c>
      <c r="E1319">
        <v>4000</v>
      </c>
      <c r="G1319" t="s">
        <v>133</v>
      </c>
      <c r="H1319">
        <v>64</v>
      </c>
      <c r="I1319">
        <v>0.25</v>
      </c>
      <c r="J1319">
        <v>0.25</v>
      </c>
      <c r="K1319">
        <v>1</v>
      </c>
      <c r="L1319" t="s">
        <v>834</v>
      </c>
      <c r="AC1319" t="s">
        <v>1910</v>
      </c>
    </row>
    <row r="1320" spans="2:29" x14ac:dyDescent="0.25">
      <c r="C1320">
        <v>41219444</v>
      </c>
      <c r="D1320" t="s">
        <v>598</v>
      </c>
      <c r="E1320">
        <v>1</v>
      </c>
      <c r="J1320">
        <v>1000</v>
      </c>
      <c r="K1320">
        <v>1</v>
      </c>
      <c r="AC1320" t="s">
        <v>2021</v>
      </c>
    </row>
    <row r="1321" spans="2:29" x14ac:dyDescent="0.25">
      <c r="C1321">
        <v>41219432</v>
      </c>
      <c r="D1321" t="s">
        <v>744</v>
      </c>
      <c r="E1321">
        <v>4000</v>
      </c>
      <c r="AC1321" t="s">
        <v>2022</v>
      </c>
    </row>
    <row r="1322" spans="2:29" x14ac:dyDescent="0.25">
      <c r="C1322">
        <v>41219444</v>
      </c>
      <c r="D1322" t="s">
        <v>745</v>
      </c>
      <c r="E1322">
        <v>1</v>
      </c>
      <c r="AC1322" t="s">
        <v>2023</v>
      </c>
    </row>
    <row r="1323" spans="2:29" x14ac:dyDescent="0.25">
      <c r="B1323">
        <v>8.0100617050285795E+32</v>
      </c>
      <c r="C1323">
        <v>41217317</v>
      </c>
      <c r="D1323" t="s">
        <v>389</v>
      </c>
      <c r="E1323">
        <v>23</v>
      </c>
      <c r="G1323" t="s">
        <v>370</v>
      </c>
      <c r="H1323">
        <v>41</v>
      </c>
      <c r="I1323">
        <v>13.99</v>
      </c>
      <c r="J1323">
        <v>321.77</v>
      </c>
      <c r="K1323">
        <v>23</v>
      </c>
      <c r="AC1323" t="s">
        <v>2024</v>
      </c>
    </row>
    <row r="1324" spans="2:29" x14ac:dyDescent="0.25">
      <c r="C1324">
        <v>41219252</v>
      </c>
      <c r="D1324" t="s">
        <v>610</v>
      </c>
      <c r="E1324">
        <v>35</v>
      </c>
      <c r="G1324" t="s">
        <v>62</v>
      </c>
      <c r="H1324">
        <v>99</v>
      </c>
      <c r="I1324">
        <v>13.99</v>
      </c>
      <c r="J1324">
        <v>489.65</v>
      </c>
      <c r="K1324">
        <v>35</v>
      </c>
      <c r="AC1324" t="s">
        <v>2025</v>
      </c>
    </row>
    <row r="1325" spans="2:29" x14ac:dyDescent="0.25">
      <c r="C1325">
        <v>41217777</v>
      </c>
      <c r="D1325" t="s">
        <v>604</v>
      </c>
      <c r="E1325">
        <v>35</v>
      </c>
      <c r="G1325" t="s">
        <v>227</v>
      </c>
      <c r="H1325">
        <v>140</v>
      </c>
      <c r="I1325">
        <v>13.99</v>
      </c>
      <c r="J1325">
        <v>489.65</v>
      </c>
      <c r="K1325">
        <v>35</v>
      </c>
      <c r="AC1325" t="s">
        <v>2026</v>
      </c>
    </row>
    <row r="1326" spans="2:29" x14ac:dyDescent="0.25">
      <c r="C1326">
        <v>41218064</v>
      </c>
      <c r="D1326" t="s">
        <v>603</v>
      </c>
      <c r="E1326">
        <v>43</v>
      </c>
      <c r="G1326" t="s">
        <v>64</v>
      </c>
      <c r="H1326">
        <v>211</v>
      </c>
      <c r="I1326">
        <v>13.99</v>
      </c>
      <c r="AC1326" t="s">
        <v>2027</v>
      </c>
    </row>
    <row r="1327" spans="2:29" x14ac:dyDescent="0.25">
      <c r="C1327">
        <v>41219425</v>
      </c>
      <c r="D1327" t="s">
        <v>612</v>
      </c>
      <c r="E1327">
        <v>10</v>
      </c>
      <c r="G1327" t="s">
        <v>370</v>
      </c>
      <c r="H1327">
        <v>684</v>
      </c>
      <c r="AC1327" t="s">
        <v>2028</v>
      </c>
    </row>
    <row r="1328" spans="2:29" x14ac:dyDescent="0.25">
      <c r="C1328">
        <v>41219951</v>
      </c>
      <c r="D1328" t="s">
        <v>605</v>
      </c>
      <c r="E1328">
        <v>23</v>
      </c>
      <c r="AC1328" t="s">
        <v>2029</v>
      </c>
    </row>
    <row r="1329" spans="2:29" x14ac:dyDescent="0.25">
      <c r="C1329">
        <v>41217485</v>
      </c>
      <c r="D1329" t="s">
        <v>602</v>
      </c>
      <c r="E1329">
        <v>35</v>
      </c>
      <c r="AC1329" t="s">
        <v>2030</v>
      </c>
    </row>
    <row r="1330" spans="2:29" x14ac:dyDescent="0.25">
      <c r="C1330">
        <v>41219744</v>
      </c>
      <c r="D1330" t="s">
        <v>613</v>
      </c>
      <c r="E1330">
        <v>35</v>
      </c>
      <c r="AC1330" t="s">
        <v>2031</v>
      </c>
    </row>
    <row r="1331" spans="2:29" x14ac:dyDescent="0.25">
      <c r="C1331">
        <v>41219949</v>
      </c>
      <c r="D1331" t="s">
        <v>609</v>
      </c>
      <c r="E1331">
        <v>43</v>
      </c>
      <c r="AC1331" t="s">
        <v>2032</v>
      </c>
    </row>
    <row r="1332" spans="2:29" x14ac:dyDescent="0.25">
      <c r="C1332">
        <v>41217314</v>
      </c>
      <c r="D1332" t="s">
        <v>606</v>
      </c>
      <c r="E1332">
        <v>10</v>
      </c>
      <c r="AC1332" t="s">
        <v>2033</v>
      </c>
    </row>
    <row r="1333" spans="2:29" x14ac:dyDescent="0.25">
      <c r="B1333">
        <v>8010061705028580</v>
      </c>
      <c r="C1333">
        <v>41217317</v>
      </c>
      <c r="D1333" t="s">
        <v>389</v>
      </c>
      <c r="E1333">
        <v>26</v>
      </c>
      <c r="G1333" t="s">
        <v>238</v>
      </c>
      <c r="H1333">
        <v>58</v>
      </c>
      <c r="I1333">
        <v>13.99</v>
      </c>
      <c r="J1333">
        <v>3.99</v>
      </c>
      <c r="K1333">
        <v>0.28520371694067193</v>
      </c>
      <c r="L1333" t="s">
        <v>834</v>
      </c>
      <c r="AC1333" t="s">
        <v>2034</v>
      </c>
    </row>
    <row r="1334" spans="2:29" x14ac:dyDescent="0.25">
      <c r="C1334">
        <v>41218896</v>
      </c>
      <c r="D1334" t="s">
        <v>607</v>
      </c>
      <c r="E1334">
        <v>16</v>
      </c>
      <c r="G1334" t="s">
        <v>369</v>
      </c>
      <c r="H1334">
        <v>102</v>
      </c>
      <c r="I1334">
        <v>13.99</v>
      </c>
      <c r="J1334">
        <v>363.74</v>
      </c>
      <c r="K1334">
        <v>26</v>
      </c>
      <c r="L1334" t="s">
        <v>834</v>
      </c>
      <c r="AC1334" t="s">
        <v>2035</v>
      </c>
    </row>
    <row r="1335" spans="2:29" x14ac:dyDescent="0.25">
      <c r="C1335">
        <v>41218405</v>
      </c>
      <c r="D1335" t="s">
        <v>608</v>
      </c>
      <c r="E1335">
        <v>18</v>
      </c>
      <c r="G1335" t="s">
        <v>236</v>
      </c>
      <c r="H1335">
        <v>172</v>
      </c>
      <c r="I1335">
        <v>13.99</v>
      </c>
      <c r="J1335">
        <v>3.99</v>
      </c>
      <c r="K1335">
        <v>0.28520371694067193</v>
      </c>
      <c r="L1335" t="s">
        <v>834</v>
      </c>
      <c r="AC1335" t="s">
        <v>2036</v>
      </c>
    </row>
    <row r="1336" spans="2:29" x14ac:dyDescent="0.25">
      <c r="C1336">
        <v>41217793</v>
      </c>
      <c r="D1336" t="s">
        <v>748</v>
      </c>
      <c r="E1336">
        <v>15</v>
      </c>
      <c r="G1336" t="s">
        <v>370</v>
      </c>
      <c r="H1336">
        <v>226</v>
      </c>
      <c r="I1336">
        <v>13.99</v>
      </c>
      <c r="J1336">
        <v>223.84</v>
      </c>
      <c r="K1336">
        <v>16</v>
      </c>
      <c r="L1336" t="s">
        <v>834</v>
      </c>
      <c r="AC1336" t="s">
        <v>2037</v>
      </c>
    </row>
    <row r="1337" spans="2:29" x14ac:dyDescent="0.25">
      <c r="C1337">
        <v>41217700</v>
      </c>
      <c r="D1337" t="s">
        <v>746</v>
      </c>
      <c r="E1337">
        <v>10</v>
      </c>
      <c r="G1337" t="s">
        <v>226</v>
      </c>
      <c r="H1337">
        <v>281</v>
      </c>
      <c r="I1337">
        <v>13.99</v>
      </c>
      <c r="J1337">
        <v>3.99</v>
      </c>
      <c r="K1337">
        <v>0.28520371694067193</v>
      </c>
      <c r="L1337" t="s">
        <v>834</v>
      </c>
      <c r="AC1337" t="s">
        <v>2038</v>
      </c>
    </row>
    <row r="1338" spans="2:29" x14ac:dyDescent="0.25">
      <c r="C1338">
        <v>41219872</v>
      </c>
      <c r="D1338" t="s">
        <v>614</v>
      </c>
      <c r="E1338">
        <v>26</v>
      </c>
      <c r="J1338">
        <v>3.99</v>
      </c>
      <c r="K1338">
        <v>0.28520371694067193</v>
      </c>
      <c r="L1338" t="s">
        <v>834</v>
      </c>
      <c r="AC1338" t="s">
        <v>2039</v>
      </c>
    </row>
    <row r="1339" spans="2:29" x14ac:dyDescent="0.25">
      <c r="C1339">
        <v>41219432</v>
      </c>
      <c r="D1339" t="s">
        <v>615</v>
      </c>
      <c r="E1339">
        <v>16</v>
      </c>
      <c r="J1339">
        <v>3.99</v>
      </c>
      <c r="K1339">
        <v>0.28520371694067193</v>
      </c>
      <c r="L1339" t="s">
        <v>834</v>
      </c>
      <c r="AC1339" t="s">
        <v>2040</v>
      </c>
    </row>
    <row r="1340" spans="2:29" x14ac:dyDescent="0.25">
      <c r="C1340" t="s">
        <v>1349</v>
      </c>
      <c r="D1340" t="s">
        <v>617</v>
      </c>
      <c r="E1340">
        <v>18</v>
      </c>
      <c r="AC1340" t="s">
        <v>2041</v>
      </c>
    </row>
    <row r="1341" spans="2:29" x14ac:dyDescent="0.25">
      <c r="C1341" t="s">
        <v>1350</v>
      </c>
      <c r="D1341" t="s">
        <v>1351</v>
      </c>
      <c r="E1341">
        <v>15</v>
      </c>
      <c r="AC1341" t="s">
        <v>2042</v>
      </c>
    </row>
    <row r="1342" spans="2:29" x14ac:dyDescent="0.25">
      <c r="C1342">
        <v>41219002</v>
      </c>
      <c r="D1342" t="s">
        <v>1352</v>
      </c>
      <c r="E1342">
        <v>10</v>
      </c>
      <c r="AC1342" t="s">
        <v>2043</v>
      </c>
    </row>
    <row r="1343" spans="2:29" x14ac:dyDescent="0.25">
      <c r="B1343">
        <v>8010061705028580</v>
      </c>
      <c r="C1343">
        <v>41219171</v>
      </c>
      <c r="D1343" t="s">
        <v>387</v>
      </c>
      <c r="E1343">
        <v>330</v>
      </c>
      <c r="G1343" t="s">
        <v>156</v>
      </c>
      <c r="H1343">
        <v>63</v>
      </c>
      <c r="I1343">
        <v>0.33</v>
      </c>
      <c r="J1343">
        <v>330</v>
      </c>
      <c r="K1343">
        <v>1000</v>
      </c>
      <c r="L1343" t="s">
        <v>834</v>
      </c>
      <c r="AC1343" t="s">
        <v>1912</v>
      </c>
    </row>
    <row r="1344" spans="2:29" x14ac:dyDescent="0.25">
      <c r="C1344">
        <v>41219042</v>
      </c>
      <c r="D1344" t="s">
        <v>620</v>
      </c>
      <c r="E1344">
        <v>1000</v>
      </c>
      <c r="AC1344" t="s">
        <v>2044</v>
      </c>
    </row>
    <row r="1345" spans="2:29" x14ac:dyDescent="0.25">
      <c r="C1345">
        <v>41220007</v>
      </c>
      <c r="D1345" t="s">
        <v>622</v>
      </c>
      <c r="E1345">
        <v>1000</v>
      </c>
      <c r="AC1345" t="s">
        <v>2045</v>
      </c>
    </row>
    <row r="1346" spans="2:29" x14ac:dyDescent="0.25">
      <c r="B1346">
        <v>1.00000050523944E+31</v>
      </c>
      <c r="C1346">
        <v>41218896</v>
      </c>
      <c r="D1346" t="s">
        <v>425</v>
      </c>
      <c r="E1346">
        <v>400</v>
      </c>
      <c r="G1346" t="s">
        <v>125</v>
      </c>
      <c r="H1346">
        <v>86</v>
      </c>
      <c r="I1346">
        <v>0.67</v>
      </c>
      <c r="J1346">
        <v>0.67</v>
      </c>
      <c r="K1346">
        <v>1</v>
      </c>
      <c r="L1346" t="s">
        <v>834</v>
      </c>
      <c r="AC1346" t="s">
        <v>2046</v>
      </c>
    </row>
    <row r="1347" spans="2:29" x14ac:dyDescent="0.25">
      <c r="C1347">
        <v>41220010</v>
      </c>
      <c r="D1347" t="s">
        <v>626</v>
      </c>
      <c r="E1347">
        <v>400</v>
      </c>
      <c r="J1347">
        <v>268</v>
      </c>
      <c r="K1347">
        <v>1</v>
      </c>
      <c r="L1347" t="s">
        <v>834</v>
      </c>
      <c r="AC1347" t="s">
        <v>2047</v>
      </c>
    </row>
    <row r="1348" spans="2:29" x14ac:dyDescent="0.25">
      <c r="B1348">
        <v>6.0100001000000503E+37</v>
      </c>
      <c r="C1348">
        <v>41218860</v>
      </c>
      <c r="D1348" t="s">
        <v>426</v>
      </c>
      <c r="E1348">
        <v>1100</v>
      </c>
      <c r="G1348" t="s">
        <v>125</v>
      </c>
      <c r="H1348">
        <v>112</v>
      </c>
      <c r="I1348">
        <v>0.67</v>
      </c>
      <c r="J1348">
        <v>0.67</v>
      </c>
      <c r="K1348">
        <v>1</v>
      </c>
      <c r="L1348" t="s">
        <v>834</v>
      </c>
      <c r="AC1348" t="s">
        <v>1913</v>
      </c>
    </row>
    <row r="1349" spans="2:29" x14ac:dyDescent="0.25">
      <c r="C1349">
        <v>41219377</v>
      </c>
      <c r="D1349" t="s">
        <v>627</v>
      </c>
      <c r="E1349">
        <v>1100</v>
      </c>
      <c r="J1349">
        <v>737</v>
      </c>
      <c r="K1349">
        <v>1</v>
      </c>
      <c r="L1349" t="s">
        <v>834</v>
      </c>
      <c r="AC1349" t="s">
        <v>2048</v>
      </c>
    </row>
    <row r="1350" spans="2:29" x14ac:dyDescent="0.25">
      <c r="B1350">
        <v>8010061705028580</v>
      </c>
      <c r="C1350">
        <v>41219425</v>
      </c>
      <c r="D1350" t="s">
        <v>167</v>
      </c>
      <c r="E1350">
        <v>1160</v>
      </c>
      <c r="G1350" t="s">
        <v>212</v>
      </c>
      <c r="H1350">
        <v>117</v>
      </c>
      <c r="I1350">
        <v>0.51</v>
      </c>
      <c r="J1350">
        <v>459</v>
      </c>
      <c r="K1350">
        <v>900</v>
      </c>
      <c r="L1350" t="s">
        <v>834</v>
      </c>
      <c r="AC1350" t="s">
        <v>2049</v>
      </c>
    </row>
    <row r="1351" spans="2:29" x14ac:dyDescent="0.25">
      <c r="C1351">
        <v>41218317</v>
      </c>
      <c r="D1351" t="s">
        <v>629</v>
      </c>
      <c r="E1351">
        <v>1160</v>
      </c>
      <c r="G1351">
        <v>81066</v>
      </c>
      <c r="H1351">
        <v>154</v>
      </c>
      <c r="I1351">
        <v>1.45</v>
      </c>
      <c r="J1351">
        <v>1160</v>
      </c>
      <c r="K1351">
        <v>800</v>
      </c>
      <c r="L1351" t="s">
        <v>834</v>
      </c>
      <c r="AC1351" t="s">
        <v>2050</v>
      </c>
    </row>
    <row r="1352" spans="2:29" x14ac:dyDescent="0.25">
      <c r="C1352">
        <v>41219386</v>
      </c>
      <c r="D1352" t="s">
        <v>628</v>
      </c>
      <c r="E1352">
        <v>900</v>
      </c>
      <c r="G1352">
        <v>81066</v>
      </c>
      <c r="H1352">
        <v>196</v>
      </c>
      <c r="I1352">
        <v>11.75</v>
      </c>
      <c r="J1352">
        <v>117.5</v>
      </c>
      <c r="K1352">
        <v>10</v>
      </c>
      <c r="L1352" t="s">
        <v>834</v>
      </c>
      <c r="AC1352" t="s">
        <v>2051</v>
      </c>
    </row>
    <row r="1353" spans="2:29" x14ac:dyDescent="0.25">
      <c r="C1353">
        <v>41217485</v>
      </c>
      <c r="D1353" t="s">
        <v>633</v>
      </c>
      <c r="E1353">
        <v>459</v>
      </c>
      <c r="AC1353" t="s">
        <v>2052</v>
      </c>
    </row>
    <row r="1354" spans="2:29" x14ac:dyDescent="0.25">
      <c r="C1354" t="s">
        <v>1349</v>
      </c>
      <c r="D1354" t="s">
        <v>646</v>
      </c>
      <c r="E1354">
        <v>800</v>
      </c>
      <c r="AC1354" t="s">
        <v>2053</v>
      </c>
    </row>
    <row r="1355" spans="2:29" x14ac:dyDescent="0.25">
      <c r="C1355">
        <v>41219425</v>
      </c>
      <c r="D1355" t="s">
        <v>643</v>
      </c>
      <c r="E1355">
        <v>10</v>
      </c>
      <c r="AC1355" t="s">
        <v>2054</v>
      </c>
    </row>
    <row r="1356" spans="2:29" x14ac:dyDescent="0.25">
      <c r="C1356">
        <v>41217777</v>
      </c>
      <c r="D1356" t="s">
        <v>635</v>
      </c>
      <c r="E1356">
        <v>900</v>
      </c>
      <c r="AC1356" t="s">
        <v>2055</v>
      </c>
    </row>
    <row r="1357" spans="2:29" x14ac:dyDescent="0.25">
      <c r="C1357">
        <v>41218064</v>
      </c>
      <c r="D1357" t="s">
        <v>634</v>
      </c>
      <c r="E1357">
        <v>459</v>
      </c>
      <c r="AC1357" t="s">
        <v>2056</v>
      </c>
    </row>
    <row r="1358" spans="2:29" x14ac:dyDescent="0.25">
      <c r="C1358">
        <v>41219949</v>
      </c>
      <c r="D1358" t="s">
        <v>640</v>
      </c>
      <c r="E1358">
        <v>800</v>
      </c>
      <c r="AC1358" t="s">
        <v>2057</v>
      </c>
    </row>
    <row r="1359" spans="2:29" x14ac:dyDescent="0.25">
      <c r="C1359">
        <v>41219252</v>
      </c>
      <c r="D1359" t="s">
        <v>641</v>
      </c>
      <c r="E1359">
        <v>10</v>
      </c>
      <c r="AC1359" t="s">
        <v>2058</v>
      </c>
    </row>
    <row r="1360" spans="2:29" x14ac:dyDescent="0.25">
      <c r="B1360">
        <v>8010061705028580</v>
      </c>
      <c r="C1360">
        <v>41218857</v>
      </c>
      <c r="D1360" t="s">
        <v>424</v>
      </c>
      <c r="E1360">
        <v>3132</v>
      </c>
      <c r="G1360" t="s">
        <v>117</v>
      </c>
      <c r="H1360">
        <v>59</v>
      </c>
      <c r="I1360">
        <v>0.27</v>
      </c>
      <c r="J1360">
        <v>3132</v>
      </c>
      <c r="K1360">
        <v>11600</v>
      </c>
      <c r="L1360" t="s">
        <v>834</v>
      </c>
      <c r="AC1360" t="s">
        <v>1914</v>
      </c>
    </row>
    <row r="1361" spans="2:29" x14ac:dyDescent="0.25">
      <c r="C1361">
        <v>41217314</v>
      </c>
      <c r="D1361" t="s">
        <v>637</v>
      </c>
      <c r="E1361">
        <v>11600</v>
      </c>
      <c r="AC1361" t="s">
        <v>2059</v>
      </c>
    </row>
    <row r="1362" spans="2:29" x14ac:dyDescent="0.25">
      <c r="C1362">
        <v>41219694</v>
      </c>
      <c r="D1362" t="s">
        <v>638</v>
      </c>
      <c r="E1362">
        <v>3132</v>
      </c>
      <c r="AC1362" t="s">
        <v>2060</v>
      </c>
    </row>
    <row r="1363" spans="2:29" x14ac:dyDescent="0.25">
      <c r="C1363">
        <v>41218860</v>
      </c>
      <c r="D1363" t="s">
        <v>642</v>
      </c>
      <c r="E1363">
        <v>11600</v>
      </c>
      <c r="AC1363" t="s">
        <v>2061</v>
      </c>
    </row>
    <row r="1364" spans="2:29" x14ac:dyDescent="0.25">
      <c r="B1364">
        <v>1.8010061705028499E+30</v>
      </c>
      <c r="C1364">
        <v>41219252</v>
      </c>
      <c r="D1364" t="s">
        <v>427</v>
      </c>
      <c r="E1364">
        <v>65</v>
      </c>
      <c r="G1364" t="s">
        <v>119</v>
      </c>
      <c r="H1364">
        <v>64</v>
      </c>
      <c r="I1364">
        <v>1.3</v>
      </c>
      <c r="J1364">
        <v>1.3</v>
      </c>
      <c r="K1364">
        <v>1</v>
      </c>
      <c r="L1364" t="s">
        <v>834</v>
      </c>
      <c r="AC1364" t="s">
        <v>2062</v>
      </c>
    </row>
    <row r="1365" spans="2:29" x14ac:dyDescent="0.25">
      <c r="C1365">
        <v>41219951</v>
      </c>
      <c r="D1365" t="s">
        <v>636</v>
      </c>
      <c r="E1365">
        <v>65</v>
      </c>
      <c r="G1365" t="s">
        <v>119</v>
      </c>
      <c r="H1365">
        <v>403</v>
      </c>
      <c r="J1365">
        <v>65</v>
      </c>
      <c r="K1365">
        <v>1</v>
      </c>
      <c r="L1365" t="s">
        <v>834</v>
      </c>
      <c r="AC1365" t="s">
        <v>2063</v>
      </c>
    </row>
    <row r="1366" spans="2:29" x14ac:dyDescent="0.25">
      <c r="C1366">
        <v>41220015</v>
      </c>
      <c r="D1366" t="s">
        <v>650</v>
      </c>
      <c r="E1366">
        <v>50</v>
      </c>
      <c r="AC1366" t="s">
        <v>2064</v>
      </c>
    </row>
    <row r="1367" spans="2:29" x14ac:dyDescent="0.25">
      <c r="C1367">
        <v>41219425</v>
      </c>
      <c r="D1367" t="s">
        <v>648</v>
      </c>
      <c r="E1367">
        <v>0</v>
      </c>
      <c r="AC1367" t="s">
        <v>2065</v>
      </c>
    </row>
    <row r="1368" spans="2:29" x14ac:dyDescent="0.25">
      <c r="B1368">
        <v>8010061705028580</v>
      </c>
      <c r="C1368">
        <v>41217317</v>
      </c>
      <c r="D1368" t="s">
        <v>431</v>
      </c>
      <c r="E1368">
        <v>1</v>
      </c>
      <c r="G1368" t="s">
        <v>370</v>
      </c>
      <c r="H1368">
        <v>112</v>
      </c>
      <c r="I1368">
        <v>13.99</v>
      </c>
      <c r="J1368">
        <v>13.99</v>
      </c>
      <c r="K1368">
        <v>1</v>
      </c>
      <c r="AC1368" t="s">
        <v>1915</v>
      </c>
    </row>
    <row r="1369" spans="2:29" x14ac:dyDescent="0.25">
      <c r="C1369">
        <v>41219444</v>
      </c>
      <c r="D1369" t="s">
        <v>657</v>
      </c>
      <c r="E1369">
        <v>13</v>
      </c>
      <c r="G1369" t="s">
        <v>62</v>
      </c>
      <c r="H1369">
        <v>165</v>
      </c>
      <c r="I1369">
        <v>13.99</v>
      </c>
      <c r="J1369">
        <v>13.99</v>
      </c>
      <c r="K1369">
        <v>1</v>
      </c>
      <c r="L1369" t="s">
        <v>834</v>
      </c>
      <c r="AC1369" t="s">
        <v>2066</v>
      </c>
    </row>
    <row r="1370" spans="2:29" x14ac:dyDescent="0.25">
      <c r="C1370">
        <v>41220007</v>
      </c>
      <c r="D1370" t="s">
        <v>656</v>
      </c>
      <c r="E1370">
        <v>25</v>
      </c>
      <c r="G1370" t="s">
        <v>238</v>
      </c>
      <c r="H1370">
        <v>218</v>
      </c>
      <c r="I1370">
        <v>13.99</v>
      </c>
      <c r="J1370">
        <v>13.99</v>
      </c>
      <c r="K1370">
        <v>1</v>
      </c>
      <c r="L1370" t="s">
        <v>834</v>
      </c>
      <c r="AC1370" t="s">
        <v>2067</v>
      </c>
    </row>
    <row r="1371" spans="2:29" x14ac:dyDescent="0.25">
      <c r="C1371">
        <v>41219872</v>
      </c>
      <c r="D1371" t="s">
        <v>655</v>
      </c>
      <c r="E1371">
        <v>10</v>
      </c>
      <c r="G1371" t="s">
        <v>227</v>
      </c>
      <c r="H1371">
        <v>254</v>
      </c>
      <c r="I1371">
        <v>13.99</v>
      </c>
      <c r="J1371">
        <v>181.87</v>
      </c>
      <c r="K1371">
        <v>13</v>
      </c>
      <c r="L1371" t="s">
        <v>834</v>
      </c>
      <c r="AC1371" t="s">
        <v>2068</v>
      </c>
    </row>
    <row r="1372" spans="2:29" x14ac:dyDescent="0.25">
      <c r="C1372">
        <v>41219432</v>
      </c>
      <c r="D1372" t="s">
        <v>654</v>
      </c>
      <c r="E1372">
        <v>1</v>
      </c>
      <c r="I1372">
        <v>13.99</v>
      </c>
      <c r="J1372">
        <v>13.99</v>
      </c>
      <c r="K1372">
        <v>1</v>
      </c>
      <c r="AC1372" t="s">
        <v>2069</v>
      </c>
    </row>
    <row r="1373" spans="2:29" x14ac:dyDescent="0.25">
      <c r="C1373">
        <v>41219254</v>
      </c>
      <c r="D1373" t="s">
        <v>653</v>
      </c>
      <c r="E1373">
        <v>13</v>
      </c>
      <c r="J1373">
        <v>349.75</v>
      </c>
      <c r="K1373">
        <v>1</v>
      </c>
      <c r="L1373" t="s">
        <v>834</v>
      </c>
      <c r="AC1373" t="s">
        <v>2070</v>
      </c>
    </row>
    <row r="1374" spans="2:29" x14ac:dyDescent="0.25">
      <c r="C1374">
        <v>41219002</v>
      </c>
      <c r="D1374" t="s">
        <v>651</v>
      </c>
      <c r="E1374">
        <v>25</v>
      </c>
      <c r="J1374">
        <v>13.99</v>
      </c>
      <c r="K1374">
        <v>1</v>
      </c>
      <c r="L1374" t="s">
        <v>834</v>
      </c>
      <c r="AC1374" t="s">
        <v>2071</v>
      </c>
    </row>
    <row r="1375" spans="2:29" x14ac:dyDescent="0.25">
      <c r="C1375">
        <v>41219444</v>
      </c>
      <c r="D1375" t="s">
        <v>672</v>
      </c>
      <c r="E1375">
        <v>10</v>
      </c>
      <c r="J1375">
        <v>139.9</v>
      </c>
      <c r="K1375">
        <v>1</v>
      </c>
      <c r="L1375" t="s">
        <v>834</v>
      </c>
      <c r="AC1375" t="s">
        <v>2072</v>
      </c>
    </row>
    <row r="1376" spans="2:29" x14ac:dyDescent="0.25">
      <c r="C1376">
        <v>41219432</v>
      </c>
      <c r="D1376" t="s">
        <v>671</v>
      </c>
      <c r="E1376">
        <v>349</v>
      </c>
      <c r="J1376">
        <v>13.99</v>
      </c>
      <c r="K1376">
        <v>1</v>
      </c>
      <c r="L1376" t="s">
        <v>834</v>
      </c>
      <c r="AC1376" t="s">
        <v>2073</v>
      </c>
    </row>
    <row r="1377" spans="2:29" x14ac:dyDescent="0.25">
      <c r="B1377">
        <v>8010061705028580</v>
      </c>
      <c r="C1377">
        <v>41217317</v>
      </c>
      <c r="D1377" t="s">
        <v>431</v>
      </c>
      <c r="E1377">
        <v>23</v>
      </c>
      <c r="G1377" t="s">
        <v>228</v>
      </c>
      <c r="H1377">
        <v>113</v>
      </c>
      <c r="I1377">
        <v>13.99</v>
      </c>
      <c r="J1377">
        <v>3.99</v>
      </c>
      <c r="K1377">
        <v>0.28520371694067193</v>
      </c>
      <c r="L1377" t="s">
        <v>834</v>
      </c>
      <c r="AC1377" t="s">
        <v>2074</v>
      </c>
    </row>
    <row r="1378" spans="2:29" x14ac:dyDescent="0.25">
      <c r="C1378">
        <v>41219872</v>
      </c>
      <c r="D1378" t="s">
        <v>673</v>
      </c>
      <c r="E1378">
        <v>10</v>
      </c>
      <c r="G1378" t="s">
        <v>369</v>
      </c>
      <c r="H1378">
        <v>168</v>
      </c>
      <c r="I1378">
        <v>13.99</v>
      </c>
      <c r="J1378">
        <v>321.77</v>
      </c>
      <c r="K1378">
        <v>23</v>
      </c>
      <c r="L1378" t="s">
        <v>834</v>
      </c>
      <c r="AC1378" t="s">
        <v>2075</v>
      </c>
    </row>
    <row r="1379" spans="2:29" x14ac:dyDescent="0.25">
      <c r="C1379">
        <v>41219425</v>
      </c>
      <c r="D1379" t="s">
        <v>669</v>
      </c>
      <c r="E1379">
        <v>44</v>
      </c>
      <c r="G1379" t="s">
        <v>229</v>
      </c>
      <c r="H1379">
        <v>206</v>
      </c>
      <c r="I1379">
        <v>13.99</v>
      </c>
      <c r="J1379">
        <v>3.99</v>
      </c>
      <c r="K1379">
        <v>0.28520371694067193</v>
      </c>
      <c r="L1379" t="s">
        <v>834</v>
      </c>
      <c r="AC1379" t="s">
        <v>2076</v>
      </c>
    </row>
    <row r="1380" spans="2:29" x14ac:dyDescent="0.25">
      <c r="C1380">
        <v>41217700</v>
      </c>
      <c r="D1380" t="s">
        <v>668</v>
      </c>
      <c r="E1380">
        <v>18</v>
      </c>
      <c r="I1380">
        <v>13.99</v>
      </c>
      <c r="J1380">
        <v>139.9</v>
      </c>
      <c r="K1380">
        <v>10</v>
      </c>
      <c r="L1380" t="s">
        <v>834</v>
      </c>
      <c r="AC1380" t="s">
        <v>2077</v>
      </c>
    </row>
    <row r="1381" spans="2:29" x14ac:dyDescent="0.25">
      <c r="C1381">
        <v>41220015</v>
      </c>
      <c r="D1381" t="s">
        <v>667</v>
      </c>
      <c r="E1381">
        <v>38</v>
      </c>
      <c r="I1381">
        <v>13.99</v>
      </c>
      <c r="J1381">
        <v>3.99</v>
      </c>
      <c r="K1381">
        <v>0.28520371694067193</v>
      </c>
      <c r="L1381" t="s">
        <v>834</v>
      </c>
      <c r="AC1381" t="s">
        <v>2078</v>
      </c>
    </row>
    <row r="1382" spans="2:29" x14ac:dyDescent="0.25">
      <c r="C1382">
        <v>41218064</v>
      </c>
      <c r="D1382" t="s">
        <v>666</v>
      </c>
      <c r="E1382">
        <v>23</v>
      </c>
      <c r="J1382">
        <v>615.55999999999995</v>
      </c>
      <c r="K1382">
        <v>0.28520371694067193</v>
      </c>
      <c r="L1382" t="s">
        <v>834</v>
      </c>
      <c r="AC1382" t="s">
        <v>2079</v>
      </c>
    </row>
    <row r="1383" spans="2:29" x14ac:dyDescent="0.25">
      <c r="C1383">
        <v>41217777</v>
      </c>
      <c r="D1383" t="s">
        <v>665</v>
      </c>
      <c r="E1383">
        <v>10</v>
      </c>
      <c r="J1383">
        <v>3.99</v>
      </c>
      <c r="K1383">
        <v>0.28520371694067193</v>
      </c>
      <c r="L1383" t="s">
        <v>834</v>
      </c>
      <c r="AC1383" t="s">
        <v>2080</v>
      </c>
    </row>
    <row r="1384" spans="2:29" x14ac:dyDescent="0.25">
      <c r="C1384">
        <v>41217314</v>
      </c>
      <c r="D1384" t="s">
        <v>664</v>
      </c>
      <c r="E1384">
        <v>44</v>
      </c>
      <c r="J1384">
        <v>251.82</v>
      </c>
      <c r="K1384">
        <v>0.28520371694067193</v>
      </c>
      <c r="L1384" t="s">
        <v>834</v>
      </c>
      <c r="AC1384" t="s">
        <v>2081</v>
      </c>
    </row>
    <row r="1385" spans="2:29" x14ac:dyDescent="0.25">
      <c r="C1385">
        <v>41219694</v>
      </c>
      <c r="D1385" t="s">
        <v>663</v>
      </c>
      <c r="E1385">
        <v>38</v>
      </c>
      <c r="J1385">
        <v>3.99</v>
      </c>
      <c r="K1385">
        <v>0.28520371694067193</v>
      </c>
      <c r="L1385" t="s">
        <v>834</v>
      </c>
      <c r="AC1385" t="s">
        <v>2082</v>
      </c>
    </row>
    <row r="1386" spans="2:29" x14ac:dyDescent="0.25">
      <c r="B1386">
        <v>7.8010061705028502E+32</v>
      </c>
      <c r="C1386">
        <v>41217317</v>
      </c>
      <c r="D1386" t="s">
        <v>431</v>
      </c>
      <c r="E1386">
        <v>23</v>
      </c>
      <c r="G1386" t="s">
        <v>64</v>
      </c>
      <c r="H1386">
        <v>44</v>
      </c>
      <c r="I1386">
        <v>13.99</v>
      </c>
      <c r="J1386">
        <v>13.99</v>
      </c>
      <c r="K1386">
        <v>1</v>
      </c>
      <c r="L1386" t="s">
        <v>834</v>
      </c>
      <c r="AC1386" t="s">
        <v>1917</v>
      </c>
    </row>
    <row r="1387" spans="2:29" x14ac:dyDescent="0.25">
      <c r="C1387">
        <v>41220022</v>
      </c>
      <c r="D1387" t="s">
        <v>661</v>
      </c>
      <c r="E1387">
        <v>10</v>
      </c>
      <c r="G1387" t="s">
        <v>228</v>
      </c>
      <c r="H1387">
        <v>97</v>
      </c>
      <c r="I1387">
        <v>13.99</v>
      </c>
      <c r="J1387">
        <v>13.99</v>
      </c>
      <c r="K1387">
        <v>1</v>
      </c>
      <c r="L1387" t="s">
        <v>834</v>
      </c>
      <c r="AC1387" t="s">
        <v>2083</v>
      </c>
    </row>
    <row r="1388" spans="2:29" x14ac:dyDescent="0.25">
      <c r="C1388">
        <v>41219432</v>
      </c>
      <c r="D1388" t="s">
        <v>678</v>
      </c>
      <c r="E1388">
        <v>44</v>
      </c>
      <c r="G1388" t="s">
        <v>369</v>
      </c>
      <c r="H1388">
        <v>153</v>
      </c>
      <c r="I1388">
        <v>13.99</v>
      </c>
      <c r="J1388">
        <v>13.99</v>
      </c>
      <c r="K1388">
        <v>1</v>
      </c>
      <c r="L1388" t="s">
        <v>834</v>
      </c>
      <c r="AC1388" t="s">
        <v>2084</v>
      </c>
    </row>
    <row r="1389" spans="2:29" x14ac:dyDescent="0.25">
      <c r="C1389">
        <v>41219872</v>
      </c>
      <c r="D1389" t="s">
        <v>674</v>
      </c>
      <c r="E1389">
        <v>18</v>
      </c>
      <c r="G1389" t="s">
        <v>64</v>
      </c>
      <c r="H1389">
        <v>667</v>
      </c>
      <c r="I1389">
        <v>13.99</v>
      </c>
      <c r="J1389">
        <v>13.99</v>
      </c>
      <c r="K1389">
        <v>1</v>
      </c>
      <c r="L1389" t="s">
        <v>834</v>
      </c>
      <c r="AC1389" t="s">
        <v>2085</v>
      </c>
    </row>
    <row r="1390" spans="2:29" x14ac:dyDescent="0.25">
      <c r="C1390">
        <v>41219002</v>
      </c>
      <c r="D1390" t="s">
        <v>677</v>
      </c>
      <c r="E1390">
        <v>38</v>
      </c>
      <c r="I1390">
        <v>13.99</v>
      </c>
      <c r="J1390">
        <v>13.99</v>
      </c>
      <c r="K1390">
        <v>1</v>
      </c>
      <c r="L1390" t="s">
        <v>834</v>
      </c>
      <c r="AC1390" t="s">
        <v>2086</v>
      </c>
    </row>
    <row r="1391" spans="2:29" x14ac:dyDescent="0.25">
      <c r="C1391">
        <v>41220007</v>
      </c>
      <c r="D1391" t="s">
        <v>1353</v>
      </c>
      <c r="E1391">
        <v>23</v>
      </c>
      <c r="AC1391" t="s">
        <v>2087</v>
      </c>
    </row>
    <row r="1392" spans="2:29" x14ac:dyDescent="0.25">
      <c r="C1392">
        <v>41219444</v>
      </c>
      <c r="D1392" t="s">
        <v>679</v>
      </c>
      <c r="E1392">
        <v>10</v>
      </c>
      <c r="AC1392" t="s">
        <v>2088</v>
      </c>
    </row>
    <row r="1393" spans="2:29" x14ac:dyDescent="0.25">
      <c r="C1393">
        <v>41220010</v>
      </c>
      <c r="D1393" t="s">
        <v>681</v>
      </c>
      <c r="E1393">
        <v>44</v>
      </c>
      <c r="AC1393" t="s">
        <v>2089</v>
      </c>
    </row>
    <row r="1394" spans="2:29" x14ac:dyDescent="0.25">
      <c r="C1394">
        <v>41217695</v>
      </c>
      <c r="D1394" t="s">
        <v>89</v>
      </c>
      <c r="E1394">
        <v>18</v>
      </c>
      <c r="AC1394" t="s">
        <v>2090</v>
      </c>
    </row>
    <row r="1395" spans="2:29" x14ac:dyDescent="0.25">
      <c r="C1395">
        <v>41219425</v>
      </c>
      <c r="D1395" t="s">
        <v>691</v>
      </c>
      <c r="E1395">
        <v>38</v>
      </c>
      <c r="AC1395" t="s">
        <v>2091</v>
      </c>
    </row>
    <row r="1396" spans="2:29" x14ac:dyDescent="0.25">
      <c r="B1396">
        <v>1.80100617050285E+34</v>
      </c>
      <c r="C1396">
        <v>41219432</v>
      </c>
      <c r="D1396" t="s">
        <v>433</v>
      </c>
      <c r="E1396">
        <v>2000</v>
      </c>
      <c r="G1396" t="s">
        <v>181</v>
      </c>
      <c r="H1396">
        <v>57</v>
      </c>
      <c r="I1396">
        <v>0.25</v>
      </c>
      <c r="J1396">
        <v>0.25</v>
      </c>
      <c r="K1396">
        <v>1</v>
      </c>
      <c r="L1396" t="s">
        <v>834</v>
      </c>
      <c r="AC1396" t="s">
        <v>2092</v>
      </c>
    </row>
    <row r="1397" spans="2:29" x14ac:dyDescent="0.25">
      <c r="C1397">
        <v>41217485</v>
      </c>
      <c r="D1397" t="s">
        <v>693</v>
      </c>
      <c r="E1397">
        <v>2000</v>
      </c>
      <c r="J1397">
        <v>500</v>
      </c>
      <c r="K1397">
        <v>1</v>
      </c>
      <c r="L1397" t="s">
        <v>834</v>
      </c>
      <c r="AC1397" t="s">
        <v>2093</v>
      </c>
    </row>
    <row r="1398" spans="2:29" x14ac:dyDescent="0.25">
      <c r="B1398">
        <v>8.0100617050285798E+34</v>
      </c>
      <c r="C1398">
        <v>41219444</v>
      </c>
      <c r="D1398" t="s">
        <v>434</v>
      </c>
      <c r="E1398">
        <v>1000</v>
      </c>
      <c r="G1398" t="s">
        <v>120</v>
      </c>
      <c r="H1398">
        <v>51</v>
      </c>
      <c r="I1398">
        <v>0.25</v>
      </c>
      <c r="J1398">
        <v>0.25</v>
      </c>
      <c r="K1398">
        <v>1</v>
      </c>
      <c r="L1398" t="s">
        <v>834</v>
      </c>
      <c r="AC1398" t="s">
        <v>1918</v>
      </c>
    </row>
    <row r="1399" spans="2:29" x14ac:dyDescent="0.25">
      <c r="C1399">
        <v>41219949</v>
      </c>
      <c r="D1399" t="s">
        <v>695</v>
      </c>
      <c r="E1399">
        <v>100000</v>
      </c>
      <c r="J1399">
        <v>250</v>
      </c>
      <c r="K1399">
        <v>1</v>
      </c>
      <c r="L1399" t="s">
        <v>834</v>
      </c>
      <c r="AC1399" t="s">
        <v>2094</v>
      </c>
    </row>
    <row r="1400" spans="2:29" x14ac:dyDescent="0.25">
      <c r="B1400">
        <v>8.0100617050285797E+37</v>
      </c>
      <c r="C1400">
        <v>41219377</v>
      </c>
      <c r="D1400" t="s">
        <v>435</v>
      </c>
      <c r="E1400">
        <v>6000</v>
      </c>
      <c r="G1400" t="s">
        <v>133</v>
      </c>
      <c r="H1400">
        <v>51</v>
      </c>
      <c r="I1400">
        <v>0.25</v>
      </c>
      <c r="J1400">
        <v>1500</v>
      </c>
      <c r="K1400">
        <v>6000</v>
      </c>
      <c r="AC1400" t="s">
        <v>1919</v>
      </c>
    </row>
    <row r="1401" spans="2:29" x14ac:dyDescent="0.25">
      <c r="C1401">
        <v>41219377</v>
      </c>
      <c r="D1401" t="s">
        <v>703</v>
      </c>
      <c r="E1401">
        <v>900</v>
      </c>
      <c r="G1401" t="s">
        <v>174</v>
      </c>
      <c r="H1401">
        <v>157</v>
      </c>
      <c r="I1401">
        <v>0.56000000000000005</v>
      </c>
      <c r="J1401">
        <v>504</v>
      </c>
      <c r="K1401">
        <v>899.99999999999989</v>
      </c>
      <c r="L1401" t="s">
        <v>834</v>
      </c>
      <c r="AC1401" t="s">
        <v>2095</v>
      </c>
    </row>
    <row r="1402" spans="2:29" x14ac:dyDescent="0.25">
      <c r="C1402">
        <v>41219872</v>
      </c>
      <c r="D1402" t="s">
        <v>702</v>
      </c>
      <c r="E1402">
        <v>200</v>
      </c>
      <c r="G1402" t="s">
        <v>212</v>
      </c>
      <c r="H1402">
        <v>181</v>
      </c>
      <c r="I1402">
        <v>1.45</v>
      </c>
      <c r="J1402">
        <v>290</v>
      </c>
      <c r="K1402">
        <v>200</v>
      </c>
      <c r="AC1402" t="s">
        <v>2096</v>
      </c>
    </row>
    <row r="1403" spans="2:29" x14ac:dyDescent="0.25">
      <c r="C1403">
        <v>41220007</v>
      </c>
      <c r="D1403" t="s">
        <v>701</v>
      </c>
      <c r="E1403">
        <v>60</v>
      </c>
      <c r="G1403">
        <v>6200</v>
      </c>
      <c r="H1403">
        <v>204</v>
      </c>
      <c r="I1403">
        <v>8.82</v>
      </c>
      <c r="J1403">
        <v>529.20000000000005</v>
      </c>
      <c r="K1403">
        <v>60</v>
      </c>
      <c r="AC1403" t="s">
        <v>2097</v>
      </c>
    </row>
    <row r="1404" spans="2:29" x14ac:dyDescent="0.25">
      <c r="C1404">
        <v>41219694</v>
      </c>
      <c r="D1404" t="s">
        <v>700</v>
      </c>
      <c r="E1404">
        <v>6000</v>
      </c>
      <c r="AC1404" t="s">
        <v>2098</v>
      </c>
    </row>
    <row r="1405" spans="2:29" x14ac:dyDescent="0.25">
      <c r="C1405">
        <v>41217401</v>
      </c>
      <c r="D1405" t="s">
        <v>699</v>
      </c>
      <c r="E1405">
        <v>900</v>
      </c>
      <c r="AC1405" t="s">
        <v>2099</v>
      </c>
    </row>
    <row r="1406" spans="2:29" x14ac:dyDescent="0.25">
      <c r="C1406">
        <v>41219252</v>
      </c>
      <c r="D1406" t="s">
        <v>698</v>
      </c>
      <c r="E1406">
        <v>200</v>
      </c>
      <c r="AC1406" t="s">
        <v>2100</v>
      </c>
    </row>
    <row r="1407" spans="2:29" x14ac:dyDescent="0.25">
      <c r="C1407">
        <v>41218896</v>
      </c>
      <c r="D1407" t="s">
        <v>697</v>
      </c>
      <c r="E1407">
        <v>60</v>
      </c>
      <c r="AC1407" t="s">
        <v>2101</v>
      </c>
    </row>
    <row r="1408" spans="2:29" x14ac:dyDescent="0.25">
      <c r="B1408">
        <v>8.0100617050285802E+30</v>
      </c>
      <c r="C1408">
        <v>41219002</v>
      </c>
      <c r="D1408" t="s">
        <v>437</v>
      </c>
      <c r="E1408">
        <v>8</v>
      </c>
      <c r="G1408" t="s">
        <v>141</v>
      </c>
      <c r="H1408">
        <v>58</v>
      </c>
      <c r="I1408">
        <v>3.4</v>
      </c>
      <c r="J1408">
        <v>3.4</v>
      </c>
      <c r="K1408">
        <v>1</v>
      </c>
      <c r="L1408" t="s">
        <v>834</v>
      </c>
      <c r="AC1408" t="s">
        <v>1920</v>
      </c>
    </row>
    <row r="1409" spans="1:29" x14ac:dyDescent="0.25">
      <c r="C1409">
        <v>41219444</v>
      </c>
      <c r="D1409" t="s">
        <v>729</v>
      </c>
      <c r="E1409">
        <v>8</v>
      </c>
      <c r="J1409">
        <v>27.2</v>
      </c>
      <c r="K1409">
        <v>1</v>
      </c>
      <c r="L1409" t="s">
        <v>834</v>
      </c>
      <c r="AC1409" t="s">
        <v>2102</v>
      </c>
    </row>
    <row r="1410" spans="1:29" x14ac:dyDescent="0.25">
      <c r="A1410" t="s">
        <v>680</v>
      </c>
      <c r="B1410">
        <v>1.80100617050285E+35</v>
      </c>
      <c r="C1410">
        <v>41218407</v>
      </c>
      <c r="D1410" t="s">
        <v>432</v>
      </c>
      <c r="E1410">
        <v>1200</v>
      </c>
      <c r="I1410">
        <v>0.25</v>
      </c>
      <c r="J1410">
        <v>300</v>
      </c>
      <c r="K1410">
        <v>1200</v>
      </c>
      <c r="AC1410" t="s">
        <v>2103</v>
      </c>
    </row>
    <row r="1411" spans="1:29" x14ac:dyDescent="0.25">
      <c r="C1411">
        <v>41219377</v>
      </c>
      <c r="D1411" t="s">
        <v>731</v>
      </c>
      <c r="E1411">
        <v>1200</v>
      </c>
      <c r="AC1411" t="s">
        <v>2104</v>
      </c>
    </row>
    <row r="1412" spans="1:29" x14ac:dyDescent="0.25">
      <c r="B1412">
        <v>1.80100617050285E+33</v>
      </c>
      <c r="C1412">
        <v>41218405</v>
      </c>
      <c r="D1412" t="s">
        <v>442</v>
      </c>
      <c r="E1412">
        <v>250</v>
      </c>
      <c r="G1412" t="s">
        <v>161</v>
      </c>
      <c r="H1412">
        <v>53</v>
      </c>
      <c r="I1412">
        <v>18</v>
      </c>
      <c r="J1412">
        <v>8</v>
      </c>
      <c r="K1412">
        <v>0.44444444444444442</v>
      </c>
      <c r="L1412" t="s">
        <v>834</v>
      </c>
      <c r="AC1412" t="s">
        <v>1922</v>
      </c>
    </row>
    <row r="1413" spans="1:29" x14ac:dyDescent="0.25">
      <c r="C1413">
        <v>41220007</v>
      </c>
      <c r="D1413" t="s">
        <v>749</v>
      </c>
      <c r="E1413">
        <v>250</v>
      </c>
      <c r="J1413">
        <v>4500</v>
      </c>
      <c r="K1413">
        <v>0.44444444444444442</v>
      </c>
      <c r="L1413" t="s">
        <v>834</v>
      </c>
      <c r="AC1413" t="s">
        <v>2105</v>
      </c>
    </row>
    <row r="1414" spans="1:29" x14ac:dyDescent="0.25">
      <c r="B1414">
        <v>1.80100617050285E+29</v>
      </c>
      <c r="C1414">
        <v>41218896</v>
      </c>
      <c r="D1414" t="s">
        <v>441</v>
      </c>
      <c r="E1414">
        <v>400</v>
      </c>
      <c r="G1414" t="s">
        <v>163</v>
      </c>
      <c r="H1414">
        <v>63</v>
      </c>
      <c r="I1414">
        <v>20.99</v>
      </c>
      <c r="J1414">
        <v>20.99</v>
      </c>
      <c r="K1414">
        <v>1</v>
      </c>
      <c r="L1414" t="s">
        <v>834</v>
      </c>
      <c r="AC1414" t="s">
        <v>2106</v>
      </c>
    </row>
    <row r="1415" spans="1:29" x14ac:dyDescent="0.25">
      <c r="C1415">
        <v>41219254</v>
      </c>
      <c r="D1415" t="s">
        <v>751</v>
      </c>
      <c r="E1415">
        <v>400</v>
      </c>
      <c r="J1415">
        <v>8396</v>
      </c>
      <c r="K1415">
        <v>1</v>
      </c>
      <c r="L1415" t="s">
        <v>834</v>
      </c>
      <c r="AC1415" t="s">
        <v>2107</v>
      </c>
    </row>
    <row r="1416" spans="1:29" x14ac:dyDescent="0.25">
      <c r="B1416">
        <v>1.8010061705028499E+32</v>
      </c>
      <c r="C1416">
        <v>41218860</v>
      </c>
      <c r="D1416" t="s">
        <v>439</v>
      </c>
      <c r="E1416">
        <v>900</v>
      </c>
      <c r="G1416" t="s">
        <v>125</v>
      </c>
      <c r="H1416">
        <v>84</v>
      </c>
      <c r="I1416">
        <v>0.67</v>
      </c>
      <c r="J1416">
        <v>603</v>
      </c>
      <c r="K1416">
        <v>900</v>
      </c>
      <c r="AC1416" t="s">
        <v>1923</v>
      </c>
    </row>
    <row r="1417" spans="1:29" x14ac:dyDescent="0.25">
      <c r="C1417">
        <v>41220289</v>
      </c>
      <c r="D1417" t="s">
        <v>720</v>
      </c>
      <c r="E1417">
        <v>30</v>
      </c>
      <c r="G1417" t="s">
        <v>177</v>
      </c>
      <c r="H1417">
        <v>114</v>
      </c>
      <c r="I1417">
        <v>3.8</v>
      </c>
      <c r="J1417">
        <v>3.8</v>
      </c>
      <c r="K1417">
        <v>1</v>
      </c>
      <c r="L1417" t="s">
        <v>834</v>
      </c>
      <c r="AC1417" t="s">
        <v>2108</v>
      </c>
    </row>
    <row r="1418" spans="1:29" x14ac:dyDescent="0.25">
      <c r="C1418">
        <v>41220281</v>
      </c>
      <c r="D1418" t="s">
        <v>721</v>
      </c>
      <c r="E1418">
        <v>30</v>
      </c>
      <c r="G1418">
        <v>6800</v>
      </c>
      <c r="H1418">
        <v>142</v>
      </c>
      <c r="I1418">
        <v>94</v>
      </c>
      <c r="J1418">
        <v>114</v>
      </c>
      <c r="K1418">
        <v>1.2127659574468086</v>
      </c>
      <c r="L1418" t="s">
        <v>834</v>
      </c>
      <c r="AC1418" t="s">
        <v>2109</v>
      </c>
    </row>
    <row r="1419" spans="1:29" x14ac:dyDescent="0.25">
      <c r="C1419">
        <v>41219377</v>
      </c>
      <c r="D1419" t="s">
        <v>717</v>
      </c>
      <c r="E1419">
        <v>900</v>
      </c>
      <c r="J1419">
        <v>4</v>
      </c>
      <c r="K1419">
        <v>1.2127659574468086</v>
      </c>
      <c r="L1419" t="s">
        <v>834</v>
      </c>
      <c r="AC1419" t="s">
        <v>2110</v>
      </c>
    </row>
    <row r="1420" spans="1:29" x14ac:dyDescent="0.25">
      <c r="C1420">
        <v>41220007</v>
      </c>
      <c r="D1420" t="s">
        <v>719</v>
      </c>
      <c r="E1420">
        <v>30</v>
      </c>
      <c r="J1420">
        <v>2820</v>
      </c>
      <c r="K1420">
        <v>1.2127659574468086</v>
      </c>
      <c r="L1420" t="s">
        <v>834</v>
      </c>
      <c r="AC1420" t="s">
        <v>2111</v>
      </c>
    </row>
    <row r="1421" spans="1:29" x14ac:dyDescent="0.25">
      <c r="C1421">
        <v>41219444</v>
      </c>
      <c r="D1421" t="s">
        <v>718</v>
      </c>
      <c r="E1421">
        <v>30</v>
      </c>
      <c r="AC1421" t="s">
        <v>2112</v>
      </c>
    </row>
    <row r="1422" spans="1:29" x14ac:dyDescent="0.25">
      <c r="B1422">
        <v>1.80100617050285E+29</v>
      </c>
      <c r="C1422">
        <v>41217334</v>
      </c>
      <c r="D1422" t="s">
        <v>438</v>
      </c>
      <c r="E1422">
        <v>756</v>
      </c>
      <c r="G1422" t="s">
        <v>174</v>
      </c>
      <c r="H1422">
        <v>65</v>
      </c>
      <c r="I1422">
        <v>0.56000000000000005</v>
      </c>
      <c r="J1422">
        <v>0.56000000000000005</v>
      </c>
      <c r="K1422">
        <v>1</v>
      </c>
      <c r="L1422" t="s">
        <v>834</v>
      </c>
      <c r="AC1422" t="s">
        <v>2113</v>
      </c>
    </row>
    <row r="1423" spans="1:29" x14ac:dyDescent="0.25">
      <c r="C1423">
        <v>41218860</v>
      </c>
      <c r="D1423" t="s">
        <v>788</v>
      </c>
      <c r="E1423">
        <v>756</v>
      </c>
      <c r="J1423">
        <v>423.36</v>
      </c>
      <c r="K1423">
        <v>1</v>
      </c>
      <c r="L1423" t="s">
        <v>834</v>
      </c>
      <c r="AC1423" t="s">
        <v>2114</v>
      </c>
    </row>
    <row r="1424" spans="1:29" x14ac:dyDescent="0.25">
      <c r="B1424">
        <v>1.80100617050285E+36</v>
      </c>
      <c r="C1424">
        <v>41219252</v>
      </c>
      <c r="D1424" t="s">
        <v>440</v>
      </c>
      <c r="E1424">
        <v>4400</v>
      </c>
      <c r="G1424" t="s">
        <v>190</v>
      </c>
      <c r="H1424">
        <v>80</v>
      </c>
      <c r="I1424">
        <v>0.15</v>
      </c>
      <c r="J1424">
        <v>660</v>
      </c>
      <c r="K1424">
        <v>4400</v>
      </c>
      <c r="AC1424" t="s">
        <v>1924</v>
      </c>
    </row>
    <row r="1425" spans="2:29" x14ac:dyDescent="0.25">
      <c r="C1425">
        <v>41219949</v>
      </c>
      <c r="D1425" t="s">
        <v>790</v>
      </c>
      <c r="E1425">
        <v>3900</v>
      </c>
      <c r="G1425" t="s">
        <v>156</v>
      </c>
      <c r="H1425">
        <v>107</v>
      </c>
      <c r="I1425">
        <v>0.33</v>
      </c>
      <c r="J1425">
        <v>1287</v>
      </c>
      <c r="K1425">
        <v>3900</v>
      </c>
      <c r="AC1425" t="s">
        <v>2115</v>
      </c>
    </row>
    <row r="1426" spans="2:29" x14ac:dyDescent="0.25">
      <c r="C1426">
        <v>41218896</v>
      </c>
      <c r="D1426" t="s">
        <v>791</v>
      </c>
      <c r="E1426">
        <v>4400</v>
      </c>
      <c r="AC1426" t="s">
        <v>2116</v>
      </c>
    </row>
    <row r="1427" spans="2:29" x14ac:dyDescent="0.25">
      <c r="C1427">
        <v>41219694</v>
      </c>
      <c r="D1427" t="s">
        <v>792</v>
      </c>
      <c r="E1427">
        <v>3900</v>
      </c>
      <c r="AC1427" t="s">
        <v>2117</v>
      </c>
    </row>
    <row r="1428" spans="2:29" x14ac:dyDescent="0.25">
      <c r="B1428">
        <v>1.7051668010061701E+27</v>
      </c>
      <c r="C1428">
        <v>41217485</v>
      </c>
      <c r="D1428" t="s">
        <v>448</v>
      </c>
      <c r="E1428">
        <v>300</v>
      </c>
      <c r="G1428" t="s">
        <v>161</v>
      </c>
      <c r="H1428">
        <v>34</v>
      </c>
      <c r="I1428">
        <v>18</v>
      </c>
      <c r="J1428">
        <v>5400</v>
      </c>
      <c r="K1428">
        <v>300</v>
      </c>
      <c r="AC1428" t="s">
        <v>2118</v>
      </c>
    </row>
    <row r="1429" spans="2:29" x14ac:dyDescent="0.25">
      <c r="C1429">
        <v>41219951</v>
      </c>
      <c r="D1429" t="s">
        <v>794</v>
      </c>
      <c r="E1429">
        <v>300</v>
      </c>
      <c r="G1429" t="s">
        <v>161</v>
      </c>
      <c r="H1429">
        <v>153</v>
      </c>
      <c r="AC1429" t="s">
        <v>2119</v>
      </c>
    </row>
    <row r="1430" spans="2:29" x14ac:dyDescent="0.25">
      <c r="B1430">
        <v>1.7050285848009999E+25</v>
      </c>
      <c r="C1430">
        <v>41218896</v>
      </c>
      <c r="D1430" t="s">
        <v>449</v>
      </c>
      <c r="E1430">
        <v>400</v>
      </c>
      <c r="G1430" t="s">
        <v>163</v>
      </c>
      <c r="H1430">
        <v>314</v>
      </c>
      <c r="I1430">
        <v>20.99</v>
      </c>
      <c r="J1430">
        <v>8396</v>
      </c>
      <c r="K1430">
        <v>400.00000000000006</v>
      </c>
      <c r="L1430" t="s">
        <v>834</v>
      </c>
      <c r="AC1430" t="s">
        <v>1925</v>
      </c>
    </row>
    <row r="1431" spans="2:29" x14ac:dyDescent="0.25">
      <c r="C1431">
        <v>41220015</v>
      </c>
      <c r="D1431" t="s">
        <v>796</v>
      </c>
      <c r="E1431">
        <v>400</v>
      </c>
      <c r="AC1431" t="s">
        <v>2120</v>
      </c>
    </row>
    <row r="1432" spans="2:29" x14ac:dyDescent="0.25">
      <c r="B1432">
        <v>8.01006170502858E+42</v>
      </c>
      <c r="C1432">
        <v>41218860</v>
      </c>
      <c r="D1432" t="s">
        <v>446</v>
      </c>
      <c r="E1432">
        <v>50</v>
      </c>
      <c r="G1432" t="s">
        <v>177</v>
      </c>
      <c r="H1432">
        <v>38</v>
      </c>
      <c r="I1432">
        <v>3.8</v>
      </c>
      <c r="J1432">
        <v>190</v>
      </c>
      <c r="K1432">
        <v>50</v>
      </c>
      <c r="AC1432" t="s">
        <v>1926</v>
      </c>
    </row>
    <row r="1433" spans="2:29" x14ac:dyDescent="0.25">
      <c r="C1433">
        <v>41214238</v>
      </c>
      <c r="D1433" t="s">
        <v>850</v>
      </c>
      <c r="E1433">
        <v>25000</v>
      </c>
      <c r="G1433" t="s">
        <v>113</v>
      </c>
      <c r="H1433">
        <v>48</v>
      </c>
      <c r="I1433">
        <v>0.25</v>
      </c>
      <c r="J1433">
        <v>6250</v>
      </c>
      <c r="K1433">
        <v>25000</v>
      </c>
      <c r="AC1433" t="s">
        <v>1397</v>
      </c>
    </row>
    <row r="1434" spans="2:29" x14ac:dyDescent="0.25">
      <c r="C1434">
        <v>41212496</v>
      </c>
      <c r="D1434" t="s">
        <v>833</v>
      </c>
      <c r="E1434">
        <v>50</v>
      </c>
      <c r="G1434" t="s">
        <v>177</v>
      </c>
      <c r="H1434">
        <v>373</v>
      </c>
      <c r="AC1434" t="s">
        <v>1383</v>
      </c>
    </row>
    <row r="1435" spans="2:29" x14ac:dyDescent="0.25">
      <c r="C1435">
        <v>41214239</v>
      </c>
      <c r="D1435" t="s">
        <v>905</v>
      </c>
      <c r="E1435">
        <v>25000</v>
      </c>
      <c r="G1435" t="s">
        <v>113</v>
      </c>
      <c r="H1435">
        <v>382</v>
      </c>
      <c r="AC1435" t="s">
        <v>1452</v>
      </c>
    </row>
    <row r="1436" spans="2:29" x14ac:dyDescent="0.25">
      <c r="B1436">
        <v>8.0100617050285799E+38</v>
      </c>
      <c r="C1436">
        <v>41218857</v>
      </c>
      <c r="D1436" t="s">
        <v>1331</v>
      </c>
      <c r="E1436">
        <v>20000</v>
      </c>
      <c r="G1436" t="s">
        <v>117</v>
      </c>
      <c r="H1436">
        <v>23</v>
      </c>
      <c r="I1436">
        <v>0.27</v>
      </c>
      <c r="J1436">
        <v>5400</v>
      </c>
      <c r="K1436">
        <v>20000</v>
      </c>
      <c r="AC1436" t="s">
        <v>1927</v>
      </c>
    </row>
    <row r="1437" spans="2:29" x14ac:dyDescent="0.25">
      <c r="C1437">
        <v>41213696</v>
      </c>
      <c r="D1437" t="s">
        <v>836</v>
      </c>
      <c r="E1437">
        <v>20000</v>
      </c>
      <c r="G1437" t="s">
        <v>117</v>
      </c>
      <c r="H1437">
        <v>332</v>
      </c>
      <c r="AC1437" t="s">
        <v>1385</v>
      </c>
    </row>
    <row r="1438" spans="2:29" x14ac:dyDescent="0.25">
      <c r="B1438">
        <v>8.0100617050285798E+33</v>
      </c>
      <c r="C1438">
        <v>41219252</v>
      </c>
      <c r="D1438" t="s">
        <v>1354</v>
      </c>
      <c r="E1438">
        <v>2000</v>
      </c>
      <c r="G1438" t="s">
        <v>190</v>
      </c>
      <c r="H1438">
        <v>23</v>
      </c>
      <c r="I1438">
        <v>0.15</v>
      </c>
      <c r="J1438">
        <v>300</v>
      </c>
      <c r="K1438">
        <v>2000</v>
      </c>
      <c r="AC1438" t="s">
        <v>2121</v>
      </c>
    </row>
    <row r="1439" spans="2:29" x14ac:dyDescent="0.25">
      <c r="C1439">
        <v>41214882</v>
      </c>
      <c r="D1439" t="s">
        <v>918</v>
      </c>
      <c r="E1439">
        <v>2000</v>
      </c>
      <c r="G1439" t="s">
        <v>190</v>
      </c>
      <c r="H1439">
        <v>307</v>
      </c>
      <c r="AC1439" t="s">
        <v>1387</v>
      </c>
    </row>
    <row r="1440" spans="2:29" x14ac:dyDescent="0.25">
      <c r="B1440">
        <v>1.8003801006170499E+25</v>
      </c>
      <c r="C1440">
        <v>41217334</v>
      </c>
      <c r="D1440" t="s">
        <v>1332</v>
      </c>
      <c r="E1440">
        <v>640</v>
      </c>
      <c r="G1440" t="s">
        <v>174</v>
      </c>
      <c r="H1440">
        <v>23</v>
      </c>
      <c r="I1440">
        <v>0.56000000000000005</v>
      </c>
      <c r="J1440">
        <v>358.4</v>
      </c>
      <c r="K1440">
        <v>639.99999999999989</v>
      </c>
      <c r="L1440" t="s">
        <v>834</v>
      </c>
      <c r="AC1440" t="s">
        <v>1929</v>
      </c>
    </row>
    <row r="1441" spans="1:29" x14ac:dyDescent="0.25">
      <c r="C1441">
        <v>41213296</v>
      </c>
      <c r="D1441" t="s">
        <v>842</v>
      </c>
      <c r="E1441">
        <v>640</v>
      </c>
      <c r="G1441" t="s">
        <v>174</v>
      </c>
      <c r="H1441">
        <v>127</v>
      </c>
      <c r="AC1441" t="s">
        <v>1389</v>
      </c>
    </row>
    <row r="1442" spans="1:29" x14ac:dyDescent="0.25">
      <c r="B1442">
        <v>8.0100617050285802E+30</v>
      </c>
      <c r="C1442">
        <v>41217698</v>
      </c>
      <c r="D1442" t="s">
        <v>1333</v>
      </c>
      <c r="E1442">
        <v>100</v>
      </c>
      <c r="G1442" t="s">
        <v>138</v>
      </c>
      <c r="H1442">
        <v>38</v>
      </c>
      <c r="I1442">
        <v>3.4</v>
      </c>
      <c r="J1442">
        <v>340</v>
      </c>
      <c r="K1442">
        <v>100</v>
      </c>
      <c r="AC1442" t="s">
        <v>1930</v>
      </c>
    </row>
    <row r="1443" spans="1:29" x14ac:dyDescent="0.25">
      <c r="C1443">
        <v>41214664</v>
      </c>
      <c r="D1443" t="s">
        <v>844</v>
      </c>
      <c r="E1443">
        <v>100</v>
      </c>
      <c r="AC1443" t="s">
        <v>1391</v>
      </c>
    </row>
    <row r="1444" spans="1:29" x14ac:dyDescent="0.25">
      <c r="B1444">
        <v>8.0100617050285795E+23</v>
      </c>
      <c r="C1444">
        <v>41218405</v>
      </c>
      <c r="D1444" t="s">
        <v>1334</v>
      </c>
      <c r="E1444">
        <v>50</v>
      </c>
      <c r="G1444" t="s">
        <v>138</v>
      </c>
      <c r="H1444">
        <v>40</v>
      </c>
      <c r="I1444">
        <v>3.4</v>
      </c>
      <c r="J1444">
        <v>170</v>
      </c>
      <c r="K1444">
        <v>50</v>
      </c>
      <c r="AC1444" t="s">
        <v>1931</v>
      </c>
    </row>
    <row r="1445" spans="1:29" x14ac:dyDescent="0.25">
      <c r="C1445">
        <v>41214882</v>
      </c>
      <c r="D1445" t="s">
        <v>846</v>
      </c>
      <c r="E1445">
        <v>50</v>
      </c>
      <c r="AC1445" t="s">
        <v>1393</v>
      </c>
    </row>
    <row r="1446" spans="1:29" x14ac:dyDescent="0.25">
      <c r="B1446">
        <v>8010061705028580</v>
      </c>
      <c r="C1446">
        <v>41217882</v>
      </c>
      <c r="D1446" t="s">
        <v>1355</v>
      </c>
      <c r="E1446">
        <v>1600</v>
      </c>
      <c r="G1446" t="s">
        <v>113</v>
      </c>
      <c r="H1446">
        <v>39</v>
      </c>
      <c r="I1446">
        <v>0.25</v>
      </c>
      <c r="J1446">
        <v>400</v>
      </c>
      <c r="K1446">
        <v>1600</v>
      </c>
      <c r="AC1446" t="s">
        <v>2122</v>
      </c>
    </row>
    <row r="1447" spans="1:29" x14ac:dyDescent="0.25">
      <c r="C1447">
        <v>41215642</v>
      </c>
      <c r="D1447" t="s">
        <v>848</v>
      </c>
      <c r="E1447">
        <v>1600</v>
      </c>
      <c r="AC1447" t="s">
        <v>1395</v>
      </c>
    </row>
    <row r="1448" spans="1:29" x14ac:dyDescent="0.25">
      <c r="B1448">
        <v>8.0100617050285799E+38</v>
      </c>
      <c r="C1448">
        <v>41218064</v>
      </c>
      <c r="D1448" t="s">
        <v>1335</v>
      </c>
      <c r="E1448">
        <v>30000</v>
      </c>
      <c r="G1448" t="s">
        <v>113</v>
      </c>
      <c r="H1448">
        <v>23</v>
      </c>
      <c r="I1448">
        <v>0.25</v>
      </c>
      <c r="J1448">
        <v>7500</v>
      </c>
      <c r="K1448">
        <v>30000</v>
      </c>
      <c r="AC1448" t="s">
        <v>1932</v>
      </c>
    </row>
    <row r="1449" spans="1:29" x14ac:dyDescent="0.25">
      <c r="C1449">
        <v>41213816</v>
      </c>
      <c r="D1449" t="s">
        <v>968</v>
      </c>
      <c r="E1449">
        <v>30000</v>
      </c>
      <c r="G1449" t="s">
        <v>113</v>
      </c>
      <c r="H1449">
        <v>322</v>
      </c>
      <c r="AC1449" t="s">
        <v>1513</v>
      </c>
    </row>
    <row r="1450" spans="1:29" x14ac:dyDescent="0.25">
      <c r="B1450">
        <v>8.0100617050285795E+23</v>
      </c>
      <c r="C1450">
        <v>41219444</v>
      </c>
      <c r="D1450" t="s">
        <v>456</v>
      </c>
      <c r="E1450">
        <v>20</v>
      </c>
      <c r="G1450">
        <v>6800</v>
      </c>
      <c r="H1450">
        <v>23</v>
      </c>
      <c r="I1450">
        <v>94</v>
      </c>
      <c r="J1450">
        <v>1880</v>
      </c>
      <c r="K1450">
        <v>20</v>
      </c>
      <c r="AC1450" t="s">
        <v>1933</v>
      </c>
    </row>
    <row r="1451" spans="1:29" x14ac:dyDescent="0.25">
      <c r="C1451">
        <v>41212496</v>
      </c>
      <c r="D1451" t="s">
        <v>852</v>
      </c>
      <c r="E1451">
        <v>20</v>
      </c>
      <c r="G1451">
        <v>6800</v>
      </c>
      <c r="H1451">
        <v>307</v>
      </c>
      <c r="AC1451" t="s">
        <v>1399</v>
      </c>
    </row>
    <row r="1452" spans="1:29" x14ac:dyDescent="0.25">
      <c r="B1452">
        <v>6.0008010061704999E+31</v>
      </c>
      <c r="C1452">
        <v>41218407</v>
      </c>
      <c r="D1452" t="s">
        <v>1336</v>
      </c>
      <c r="E1452">
        <v>60</v>
      </c>
      <c r="G1452">
        <v>6885</v>
      </c>
      <c r="H1452">
        <v>97</v>
      </c>
      <c r="I1452">
        <v>1.78</v>
      </c>
      <c r="J1452">
        <v>1.78</v>
      </c>
      <c r="K1452">
        <v>1</v>
      </c>
      <c r="L1452" t="s">
        <v>834</v>
      </c>
      <c r="AC1452" t="s">
        <v>1934</v>
      </c>
    </row>
    <row r="1453" spans="1:29" x14ac:dyDescent="0.25">
      <c r="C1453">
        <v>41215642</v>
      </c>
      <c r="D1453" t="s">
        <v>854</v>
      </c>
      <c r="E1453">
        <v>25</v>
      </c>
      <c r="G1453">
        <v>6200</v>
      </c>
      <c r="H1453">
        <v>120</v>
      </c>
      <c r="I1453">
        <v>8.82</v>
      </c>
      <c r="J1453">
        <v>106.8</v>
      </c>
      <c r="K1453">
        <v>12.108843537414966</v>
      </c>
      <c r="L1453" t="s">
        <v>834</v>
      </c>
      <c r="AC1453" t="s">
        <v>1401</v>
      </c>
    </row>
    <row r="1454" spans="1:29" x14ac:dyDescent="0.25">
      <c r="A1454" t="s">
        <v>837</v>
      </c>
      <c r="C1454">
        <v>41213296</v>
      </c>
      <c r="D1454" t="s">
        <v>977</v>
      </c>
      <c r="E1454">
        <v>60</v>
      </c>
      <c r="G1454">
        <v>6885</v>
      </c>
      <c r="H1454">
        <v>504</v>
      </c>
      <c r="J1454">
        <v>8.82</v>
      </c>
      <c r="K1454">
        <v>12.108843537414966</v>
      </c>
      <c r="L1454" t="s">
        <v>834</v>
      </c>
      <c r="AC1454" t="s">
        <v>1402</v>
      </c>
    </row>
    <row r="1455" spans="1:29" x14ac:dyDescent="0.25">
      <c r="C1455">
        <v>41213296</v>
      </c>
      <c r="D1455" t="s">
        <v>856</v>
      </c>
      <c r="E1455">
        <v>25</v>
      </c>
      <c r="J1455">
        <v>220.5</v>
      </c>
      <c r="K1455">
        <v>12.108843537414966</v>
      </c>
      <c r="L1455" t="s">
        <v>834</v>
      </c>
      <c r="AC1455" t="s">
        <v>1403</v>
      </c>
    </row>
    <row r="1456" spans="1:29" x14ac:dyDescent="0.25">
      <c r="B1456">
        <v>8010061705028580</v>
      </c>
      <c r="C1456">
        <v>41217265</v>
      </c>
      <c r="D1456" t="s">
        <v>1356</v>
      </c>
      <c r="E1456">
        <v>240</v>
      </c>
      <c r="G1456" t="s">
        <v>174</v>
      </c>
      <c r="H1456">
        <v>104</v>
      </c>
      <c r="I1456">
        <v>0.56000000000000005</v>
      </c>
      <c r="J1456">
        <v>0.56000000000000005</v>
      </c>
      <c r="K1456">
        <v>1</v>
      </c>
      <c r="L1456" t="s">
        <v>834</v>
      </c>
      <c r="AC1456" t="s">
        <v>2123</v>
      </c>
    </row>
    <row r="1457" spans="1:29" x14ac:dyDescent="0.25">
      <c r="A1457" t="s">
        <v>837</v>
      </c>
      <c r="C1457">
        <v>41212496</v>
      </c>
      <c r="D1457" t="s">
        <v>858</v>
      </c>
      <c r="E1457">
        <v>120</v>
      </c>
      <c r="G1457" t="s">
        <v>212</v>
      </c>
      <c r="H1457">
        <v>128</v>
      </c>
      <c r="I1457">
        <v>1.3</v>
      </c>
      <c r="J1457">
        <v>134.4</v>
      </c>
      <c r="K1457">
        <v>103.38461538461539</v>
      </c>
      <c r="L1457" t="s">
        <v>834</v>
      </c>
      <c r="AC1457" t="s">
        <v>1405</v>
      </c>
    </row>
    <row r="1458" spans="1:29" x14ac:dyDescent="0.25">
      <c r="C1458">
        <v>41215617</v>
      </c>
      <c r="D1458" t="s">
        <v>859</v>
      </c>
      <c r="E1458">
        <v>156</v>
      </c>
      <c r="I1458">
        <v>1.7</v>
      </c>
      <c r="J1458">
        <v>1.3</v>
      </c>
      <c r="K1458">
        <v>0.76470588235294124</v>
      </c>
      <c r="L1458" t="s">
        <v>834</v>
      </c>
      <c r="AC1458" t="s">
        <v>1406</v>
      </c>
    </row>
    <row r="1459" spans="1:29" x14ac:dyDescent="0.25">
      <c r="C1459">
        <v>41213296</v>
      </c>
      <c r="D1459" t="s">
        <v>860</v>
      </c>
      <c r="E1459">
        <v>288</v>
      </c>
      <c r="I1459">
        <v>1.7</v>
      </c>
      <c r="J1459">
        <v>156</v>
      </c>
      <c r="K1459">
        <v>91.764705882352942</v>
      </c>
      <c r="L1459" t="s">
        <v>834</v>
      </c>
      <c r="AC1459" t="s">
        <v>1407</v>
      </c>
    </row>
    <row r="1460" spans="1:29" x14ac:dyDescent="0.25">
      <c r="C1460">
        <v>41215642</v>
      </c>
      <c r="D1460" t="s">
        <v>861</v>
      </c>
      <c r="E1460">
        <v>120</v>
      </c>
      <c r="J1460">
        <v>1.7</v>
      </c>
      <c r="K1460">
        <v>91.764705882352942</v>
      </c>
      <c r="L1460" t="s">
        <v>834</v>
      </c>
      <c r="AC1460" t="s">
        <v>1408</v>
      </c>
    </row>
    <row r="1461" spans="1:29" x14ac:dyDescent="0.25">
      <c r="C1461">
        <v>41212496</v>
      </c>
      <c r="D1461" t="s">
        <v>862</v>
      </c>
      <c r="E1461">
        <v>204</v>
      </c>
      <c r="J1461">
        <v>489.6</v>
      </c>
      <c r="K1461">
        <v>91.764705882352942</v>
      </c>
      <c r="L1461" t="s">
        <v>834</v>
      </c>
      <c r="AC1461" t="s">
        <v>1409</v>
      </c>
    </row>
    <row r="1462" spans="1:29" x14ac:dyDescent="0.25">
      <c r="C1462">
        <v>41215617</v>
      </c>
      <c r="D1462" t="s">
        <v>863</v>
      </c>
      <c r="E1462">
        <v>240</v>
      </c>
      <c r="J1462">
        <v>1.7</v>
      </c>
      <c r="K1462">
        <v>91.764705882352942</v>
      </c>
      <c r="L1462" t="s">
        <v>834</v>
      </c>
      <c r="AC1462" t="s">
        <v>1410</v>
      </c>
    </row>
    <row r="1463" spans="1:29" x14ac:dyDescent="0.25">
      <c r="C1463">
        <v>41215642</v>
      </c>
      <c r="D1463" t="s">
        <v>984</v>
      </c>
      <c r="E1463">
        <v>156</v>
      </c>
      <c r="J1463">
        <v>204</v>
      </c>
      <c r="K1463">
        <v>91.764705882352942</v>
      </c>
      <c r="L1463" t="s">
        <v>834</v>
      </c>
      <c r="AC1463" t="s">
        <v>1528</v>
      </c>
    </row>
    <row r="1464" spans="1:29" x14ac:dyDescent="0.25">
      <c r="C1464">
        <v>41212496</v>
      </c>
      <c r="D1464" t="s">
        <v>864</v>
      </c>
      <c r="E1464">
        <v>288</v>
      </c>
      <c r="AC1464" t="s">
        <v>1411</v>
      </c>
    </row>
    <row r="1465" spans="1:29" x14ac:dyDescent="0.25">
      <c r="C1465">
        <v>41215642</v>
      </c>
      <c r="D1465" t="s">
        <v>865</v>
      </c>
      <c r="E1465">
        <v>120</v>
      </c>
      <c r="AC1465" t="s">
        <v>1412</v>
      </c>
    </row>
    <row r="1466" spans="1:29" x14ac:dyDescent="0.25">
      <c r="B1466">
        <v>8.0100617050285795E+32</v>
      </c>
      <c r="C1466">
        <v>41217265</v>
      </c>
      <c r="D1466" t="s">
        <v>1337</v>
      </c>
      <c r="E1466">
        <v>20</v>
      </c>
      <c r="G1466">
        <v>6800</v>
      </c>
      <c r="H1466">
        <v>67</v>
      </c>
      <c r="I1466">
        <v>94</v>
      </c>
      <c r="J1466">
        <v>1880</v>
      </c>
      <c r="K1466">
        <v>20</v>
      </c>
      <c r="AC1466" t="s">
        <v>1935</v>
      </c>
    </row>
    <row r="1467" spans="1:29" x14ac:dyDescent="0.25">
      <c r="C1467">
        <v>41212496</v>
      </c>
      <c r="D1467" t="s">
        <v>867</v>
      </c>
      <c r="E1467">
        <v>1880</v>
      </c>
      <c r="G1467">
        <v>6800</v>
      </c>
      <c r="H1467">
        <v>441</v>
      </c>
      <c r="AC1467" t="s">
        <v>1414</v>
      </c>
    </row>
    <row r="1468" spans="1:29" x14ac:dyDescent="0.25">
      <c r="C1468">
        <v>41215642</v>
      </c>
      <c r="D1468" t="s">
        <v>868</v>
      </c>
      <c r="E1468">
        <v>20</v>
      </c>
      <c r="AC1468" t="s">
        <v>1415</v>
      </c>
    </row>
    <row r="1469" spans="1:29" x14ac:dyDescent="0.25">
      <c r="C1469">
        <v>41215617</v>
      </c>
      <c r="D1469" t="s">
        <v>869</v>
      </c>
      <c r="E1469">
        <v>1880</v>
      </c>
      <c r="AC1469" t="s">
        <v>1416</v>
      </c>
    </row>
    <row r="1470" spans="1:29" x14ac:dyDescent="0.25">
      <c r="B1470">
        <v>8010061705028580</v>
      </c>
      <c r="C1470">
        <v>41217180</v>
      </c>
      <c r="D1470" t="s">
        <v>1338</v>
      </c>
      <c r="E1470">
        <v>2500</v>
      </c>
      <c r="G1470" t="s">
        <v>113</v>
      </c>
      <c r="H1470">
        <v>59</v>
      </c>
      <c r="I1470">
        <v>0.25</v>
      </c>
      <c r="J1470">
        <v>0.25</v>
      </c>
      <c r="K1470">
        <v>1</v>
      </c>
      <c r="L1470" t="s">
        <v>834</v>
      </c>
      <c r="AC1470" t="s">
        <v>1936</v>
      </c>
    </row>
    <row r="1471" spans="1:29" x14ac:dyDescent="0.25">
      <c r="C1471">
        <v>41216363</v>
      </c>
      <c r="D1471" t="s">
        <v>871</v>
      </c>
      <c r="E1471">
        <v>2500</v>
      </c>
      <c r="J1471">
        <v>2500</v>
      </c>
      <c r="K1471">
        <v>1</v>
      </c>
      <c r="L1471" t="s">
        <v>834</v>
      </c>
      <c r="AC1471" t="s">
        <v>1418</v>
      </c>
    </row>
    <row r="1472" spans="1:29" x14ac:dyDescent="0.25">
      <c r="C1472">
        <v>41212496</v>
      </c>
      <c r="D1472" t="s">
        <v>872</v>
      </c>
      <c r="E1472">
        <v>10000</v>
      </c>
      <c r="AC1472" t="s">
        <v>1419</v>
      </c>
    </row>
    <row r="1473" spans="1:29" x14ac:dyDescent="0.25">
      <c r="C1473">
        <v>41216349</v>
      </c>
      <c r="D1473" t="s">
        <v>873</v>
      </c>
      <c r="E1473">
        <v>10000</v>
      </c>
      <c r="AC1473" t="s">
        <v>1420</v>
      </c>
    </row>
    <row r="1474" spans="1:29" x14ac:dyDescent="0.25">
      <c r="A1474" t="s">
        <v>837</v>
      </c>
      <c r="B1474">
        <v>8010061705028580</v>
      </c>
      <c r="C1474">
        <v>41217223</v>
      </c>
      <c r="D1474" t="s">
        <v>1339</v>
      </c>
      <c r="E1474">
        <v>60</v>
      </c>
      <c r="G1474" t="s">
        <v>165</v>
      </c>
      <c r="H1474">
        <v>60</v>
      </c>
      <c r="I1474">
        <v>0.51</v>
      </c>
      <c r="J1474">
        <v>30.6</v>
      </c>
      <c r="K1474">
        <v>60</v>
      </c>
      <c r="AC1474" t="s">
        <v>1937</v>
      </c>
    </row>
    <row r="1475" spans="1:29" x14ac:dyDescent="0.25">
      <c r="C1475">
        <v>41212496</v>
      </c>
      <c r="D1475" t="s">
        <v>875</v>
      </c>
      <c r="E1475">
        <v>60</v>
      </c>
      <c r="AC1475" t="s">
        <v>1422</v>
      </c>
    </row>
    <row r="1476" spans="1:29" x14ac:dyDescent="0.25">
      <c r="B1476">
        <v>8010061705028580</v>
      </c>
      <c r="C1476">
        <v>41218301</v>
      </c>
      <c r="D1476" t="s">
        <v>1340</v>
      </c>
      <c r="E1476">
        <v>3000</v>
      </c>
      <c r="G1476" t="s">
        <v>156</v>
      </c>
      <c r="H1476">
        <v>49</v>
      </c>
      <c r="I1476">
        <v>0.33</v>
      </c>
      <c r="J1476">
        <v>0.33</v>
      </c>
      <c r="K1476">
        <v>1</v>
      </c>
      <c r="L1476" t="s">
        <v>834</v>
      </c>
      <c r="AC1476" t="s">
        <v>1938</v>
      </c>
    </row>
    <row r="1477" spans="1:29" x14ac:dyDescent="0.25">
      <c r="C1477">
        <v>41215617</v>
      </c>
      <c r="D1477" t="s">
        <v>877</v>
      </c>
      <c r="E1477">
        <v>3000</v>
      </c>
      <c r="AC1477" t="s">
        <v>1424</v>
      </c>
    </row>
    <row r="1478" spans="1:29" x14ac:dyDescent="0.25">
      <c r="B1478">
        <v>8010061705028580</v>
      </c>
      <c r="C1478">
        <v>41219377</v>
      </c>
      <c r="D1478" t="s">
        <v>1341</v>
      </c>
      <c r="E1478">
        <v>28</v>
      </c>
      <c r="G1478" t="s">
        <v>156</v>
      </c>
      <c r="H1478">
        <v>63</v>
      </c>
      <c r="I1478">
        <v>0.33</v>
      </c>
      <c r="J1478">
        <v>0.33</v>
      </c>
      <c r="K1478">
        <v>1</v>
      </c>
      <c r="L1478" t="s">
        <v>834</v>
      </c>
      <c r="AC1478" t="s">
        <v>1939</v>
      </c>
    </row>
    <row r="1479" spans="1:29" x14ac:dyDescent="0.25">
      <c r="C1479">
        <v>41216363</v>
      </c>
      <c r="D1479" t="s">
        <v>879</v>
      </c>
      <c r="E1479">
        <v>52</v>
      </c>
      <c r="G1479" t="s">
        <v>174</v>
      </c>
      <c r="H1479">
        <v>320</v>
      </c>
      <c r="I1479">
        <v>0.56000000000000005</v>
      </c>
      <c r="J1479">
        <v>1551</v>
      </c>
      <c r="K1479">
        <v>2769.6428571428569</v>
      </c>
      <c r="L1479" t="s">
        <v>834</v>
      </c>
      <c r="AC1479" t="s">
        <v>1426</v>
      </c>
    </row>
    <row r="1480" spans="1:29" x14ac:dyDescent="0.25">
      <c r="C1480">
        <v>41216363</v>
      </c>
      <c r="D1480" t="s">
        <v>880</v>
      </c>
      <c r="E1480">
        <v>28</v>
      </c>
      <c r="G1480" t="s">
        <v>150</v>
      </c>
      <c r="H1480">
        <v>363</v>
      </c>
      <c r="I1480">
        <v>1.3</v>
      </c>
      <c r="J1480">
        <v>0.56000000000000005</v>
      </c>
      <c r="K1480">
        <v>0.43076923076923079</v>
      </c>
      <c r="L1480" t="s">
        <v>834</v>
      </c>
      <c r="AC1480" t="s">
        <v>1427</v>
      </c>
    </row>
    <row r="1481" spans="1:29" x14ac:dyDescent="0.25">
      <c r="C1481">
        <v>41216349</v>
      </c>
      <c r="D1481" t="s">
        <v>881</v>
      </c>
      <c r="E1481">
        <v>52</v>
      </c>
      <c r="G1481" t="s">
        <v>149</v>
      </c>
      <c r="H1481">
        <v>539</v>
      </c>
      <c r="I1481">
        <v>1.45</v>
      </c>
      <c r="J1481">
        <v>28</v>
      </c>
      <c r="K1481">
        <v>19.310344827586206</v>
      </c>
      <c r="L1481" t="s">
        <v>834</v>
      </c>
      <c r="AC1481" t="s">
        <v>1428</v>
      </c>
    </row>
    <row r="1482" spans="1:29" x14ac:dyDescent="0.25">
      <c r="C1482">
        <v>41216347</v>
      </c>
      <c r="D1482" t="s">
        <v>882</v>
      </c>
      <c r="E1482">
        <v>4700</v>
      </c>
      <c r="G1482" t="s">
        <v>212</v>
      </c>
      <c r="H1482">
        <v>739</v>
      </c>
      <c r="I1482">
        <v>1.7</v>
      </c>
      <c r="J1482">
        <v>1.3</v>
      </c>
      <c r="K1482">
        <v>0.76470588235294124</v>
      </c>
      <c r="L1482" t="s">
        <v>834</v>
      </c>
      <c r="AC1482" t="s">
        <v>1429</v>
      </c>
    </row>
    <row r="1483" spans="1:29" x14ac:dyDescent="0.25">
      <c r="C1483">
        <v>41216347</v>
      </c>
      <c r="D1483" t="s">
        <v>883</v>
      </c>
      <c r="E1483">
        <v>50</v>
      </c>
      <c r="G1483" t="s">
        <v>119</v>
      </c>
      <c r="H1483">
        <v>976</v>
      </c>
      <c r="I1483">
        <v>1.7</v>
      </c>
      <c r="J1483">
        <v>52</v>
      </c>
      <c r="K1483">
        <v>30.588235294117649</v>
      </c>
      <c r="L1483" t="s">
        <v>834</v>
      </c>
      <c r="AC1483" t="s">
        <v>1430</v>
      </c>
    </row>
    <row r="1484" spans="1:29" x14ac:dyDescent="0.25">
      <c r="C1484">
        <v>41216363</v>
      </c>
      <c r="D1484" t="s">
        <v>1006</v>
      </c>
      <c r="E1484">
        <v>40</v>
      </c>
      <c r="J1484">
        <v>1.45</v>
      </c>
      <c r="K1484">
        <v>30.588235294117649</v>
      </c>
      <c r="L1484" t="s">
        <v>834</v>
      </c>
      <c r="AC1484" t="s">
        <v>1431</v>
      </c>
    </row>
    <row r="1485" spans="1:29" x14ac:dyDescent="0.25">
      <c r="C1485">
        <v>41217006</v>
      </c>
      <c r="D1485" t="s">
        <v>885</v>
      </c>
      <c r="E1485">
        <v>1300</v>
      </c>
      <c r="J1485">
        <v>1885</v>
      </c>
      <c r="K1485">
        <v>30.588235294117649</v>
      </c>
      <c r="L1485" t="s">
        <v>834</v>
      </c>
      <c r="AC1485" t="s">
        <v>1432</v>
      </c>
    </row>
    <row r="1486" spans="1:29" x14ac:dyDescent="0.25">
      <c r="C1486">
        <v>41216347</v>
      </c>
      <c r="D1486" t="s">
        <v>1009</v>
      </c>
      <c r="E1486">
        <v>760</v>
      </c>
      <c r="J1486">
        <v>1.7</v>
      </c>
      <c r="K1486">
        <v>30.588235294117649</v>
      </c>
      <c r="L1486" t="s">
        <v>834</v>
      </c>
      <c r="AC1486" t="s">
        <v>1433</v>
      </c>
    </row>
    <row r="1487" spans="1:29" x14ac:dyDescent="0.25">
      <c r="C1487">
        <v>41216363</v>
      </c>
      <c r="D1487" t="s">
        <v>887</v>
      </c>
      <c r="E1487">
        <v>670</v>
      </c>
      <c r="AC1487" t="s">
        <v>1434</v>
      </c>
    </row>
    <row r="1488" spans="1:29" x14ac:dyDescent="0.25">
      <c r="B1488">
        <v>8010061705028580</v>
      </c>
      <c r="C1488">
        <v>41219432</v>
      </c>
      <c r="D1488" t="s">
        <v>463</v>
      </c>
      <c r="E1488">
        <v>1600</v>
      </c>
      <c r="G1488" t="s">
        <v>181</v>
      </c>
      <c r="H1488">
        <v>56</v>
      </c>
      <c r="J1488">
        <v>0.25</v>
      </c>
      <c r="L1488" t="s">
        <v>834</v>
      </c>
      <c r="AC1488" t="s">
        <v>1940</v>
      </c>
    </row>
    <row r="1489" spans="2:29" x14ac:dyDescent="0.25">
      <c r="C1489">
        <v>41217006</v>
      </c>
      <c r="D1489" t="s">
        <v>889</v>
      </c>
      <c r="E1489">
        <v>1000</v>
      </c>
      <c r="G1489" t="s">
        <v>183</v>
      </c>
      <c r="H1489">
        <v>103</v>
      </c>
      <c r="J1489">
        <v>0.25</v>
      </c>
      <c r="L1489" t="s">
        <v>834</v>
      </c>
      <c r="AC1489" t="s">
        <v>1436</v>
      </c>
    </row>
    <row r="1490" spans="2:29" x14ac:dyDescent="0.25">
      <c r="C1490">
        <v>41217222</v>
      </c>
      <c r="D1490" t="s">
        <v>890</v>
      </c>
      <c r="E1490">
        <v>400</v>
      </c>
      <c r="AC1490" t="s">
        <v>1437</v>
      </c>
    </row>
    <row r="1491" spans="2:29" x14ac:dyDescent="0.25">
      <c r="C1491">
        <v>41217484</v>
      </c>
      <c r="D1491" t="s">
        <v>891</v>
      </c>
      <c r="E1491">
        <v>250</v>
      </c>
      <c r="AC1491" t="s">
        <v>1438</v>
      </c>
    </row>
    <row r="1492" spans="2:29" x14ac:dyDescent="0.25">
      <c r="C1492">
        <v>41217485</v>
      </c>
      <c r="D1492" t="s">
        <v>892</v>
      </c>
      <c r="E1492">
        <v>1600</v>
      </c>
      <c r="AC1492" t="s">
        <v>1439</v>
      </c>
    </row>
    <row r="1493" spans="2:29" x14ac:dyDescent="0.25">
      <c r="C1493">
        <v>41217312</v>
      </c>
      <c r="D1493" t="s">
        <v>893</v>
      </c>
      <c r="E1493">
        <v>400</v>
      </c>
      <c r="AC1493" t="s">
        <v>1440</v>
      </c>
    </row>
    <row r="1494" spans="2:29" x14ac:dyDescent="0.25">
      <c r="C1494">
        <v>41217605</v>
      </c>
      <c r="D1494" t="s">
        <v>894</v>
      </c>
      <c r="E1494">
        <v>1000</v>
      </c>
      <c r="AC1494" t="s">
        <v>1441</v>
      </c>
    </row>
    <row r="1495" spans="2:29" x14ac:dyDescent="0.25">
      <c r="C1495">
        <v>41217484</v>
      </c>
      <c r="D1495" t="s">
        <v>895</v>
      </c>
      <c r="E1495">
        <v>250</v>
      </c>
      <c r="AC1495" t="s">
        <v>1442</v>
      </c>
    </row>
    <row r="1496" spans="2:29" x14ac:dyDescent="0.25">
      <c r="B1496">
        <v>8010061705028580</v>
      </c>
      <c r="C1496">
        <v>41219444</v>
      </c>
      <c r="D1496" t="s">
        <v>466</v>
      </c>
      <c r="E1496">
        <v>2200</v>
      </c>
      <c r="G1496" t="s">
        <v>120</v>
      </c>
      <c r="H1496">
        <v>48</v>
      </c>
      <c r="I1496">
        <v>0.25</v>
      </c>
      <c r="J1496">
        <v>0.25</v>
      </c>
      <c r="K1496">
        <v>1</v>
      </c>
      <c r="L1496" t="s">
        <v>834</v>
      </c>
      <c r="AC1496" t="s">
        <v>1941</v>
      </c>
    </row>
    <row r="1497" spans="2:29" x14ac:dyDescent="0.25">
      <c r="C1497">
        <v>41217265</v>
      </c>
      <c r="D1497" t="s">
        <v>1023</v>
      </c>
      <c r="E1497">
        <v>2600</v>
      </c>
      <c r="G1497" t="s">
        <v>135</v>
      </c>
      <c r="H1497">
        <v>109</v>
      </c>
      <c r="I1497">
        <v>0.25</v>
      </c>
      <c r="J1497">
        <v>0.25</v>
      </c>
      <c r="K1497">
        <v>1</v>
      </c>
      <c r="L1497" t="s">
        <v>834</v>
      </c>
      <c r="AC1497" t="s">
        <v>1565</v>
      </c>
    </row>
    <row r="1498" spans="2:29" x14ac:dyDescent="0.25">
      <c r="C1498">
        <v>41217222</v>
      </c>
      <c r="D1498" t="s">
        <v>1025</v>
      </c>
      <c r="E1498">
        <v>35</v>
      </c>
      <c r="G1498">
        <v>6885</v>
      </c>
      <c r="H1498">
        <v>167</v>
      </c>
      <c r="I1498">
        <v>1.78</v>
      </c>
      <c r="J1498">
        <v>1.78</v>
      </c>
      <c r="K1498">
        <v>1</v>
      </c>
      <c r="L1498" t="s">
        <v>834</v>
      </c>
      <c r="AC1498" t="s">
        <v>1443</v>
      </c>
    </row>
    <row r="1499" spans="2:29" x14ac:dyDescent="0.25">
      <c r="C1499">
        <v>41217312</v>
      </c>
      <c r="D1499" t="s">
        <v>1027</v>
      </c>
      <c r="E1499">
        <v>2200</v>
      </c>
      <c r="AC1499" t="s">
        <v>1568</v>
      </c>
    </row>
    <row r="1500" spans="2:29" x14ac:dyDescent="0.25">
      <c r="C1500">
        <v>41217605</v>
      </c>
      <c r="D1500" t="s">
        <v>1028</v>
      </c>
      <c r="E1500">
        <v>2600</v>
      </c>
      <c r="AC1500" t="s">
        <v>1569</v>
      </c>
    </row>
    <row r="1501" spans="2:29" x14ac:dyDescent="0.25">
      <c r="C1501">
        <v>41217180</v>
      </c>
      <c r="D1501" t="s">
        <v>897</v>
      </c>
      <c r="E1501">
        <v>35</v>
      </c>
      <c r="AC1501" t="s">
        <v>1444</v>
      </c>
    </row>
    <row r="1502" spans="2:29" x14ac:dyDescent="0.25">
      <c r="B1502">
        <v>8010061705028580</v>
      </c>
      <c r="C1502">
        <v>41219002</v>
      </c>
      <c r="D1502" t="s">
        <v>467</v>
      </c>
      <c r="E1502">
        <v>34</v>
      </c>
      <c r="G1502" t="s">
        <v>131</v>
      </c>
      <c r="H1502">
        <v>52</v>
      </c>
      <c r="J1502">
        <v>0.25</v>
      </c>
      <c r="L1502" t="s">
        <v>834</v>
      </c>
      <c r="AC1502" t="s">
        <v>1942</v>
      </c>
    </row>
    <row r="1503" spans="2:29" x14ac:dyDescent="0.25">
      <c r="C1503">
        <v>41217484</v>
      </c>
      <c r="D1503" t="s">
        <v>899</v>
      </c>
      <c r="E1503">
        <v>34</v>
      </c>
      <c r="G1503" t="s">
        <v>143</v>
      </c>
      <c r="H1503">
        <v>139</v>
      </c>
      <c r="J1503">
        <v>3.4</v>
      </c>
      <c r="L1503" t="s">
        <v>834</v>
      </c>
      <c r="AC1503" t="s">
        <v>1446</v>
      </c>
    </row>
    <row r="1504" spans="2:29" x14ac:dyDescent="0.25">
      <c r="B1504">
        <v>8010061705028580</v>
      </c>
      <c r="C1504">
        <v>41218301</v>
      </c>
      <c r="D1504" t="s">
        <v>469</v>
      </c>
      <c r="E1504">
        <v>150</v>
      </c>
      <c r="G1504">
        <v>501</v>
      </c>
      <c r="H1504">
        <v>83</v>
      </c>
      <c r="I1504">
        <v>1.3</v>
      </c>
      <c r="J1504">
        <v>1.3</v>
      </c>
      <c r="K1504">
        <v>1</v>
      </c>
      <c r="L1504" t="s">
        <v>834</v>
      </c>
      <c r="AC1504" t="s">
        <v>1943</v>
      </c>
    </row>
    <row r="1505" spans="2:29" x14ac:dyDescent="0.25">
      <c r="C1505">
        <v>41217222</v>
      </c>
      <c r="D1505" t="s">
        <v>1040</v>
      </c>
      <c r="E1505">
        <v>150</v>
      </c>
      <c r="J1505">
        <v>195</v>
      </c>
      <c r="K1505">
        <v>1</v>
      </c>
      <c r="L1505" t="s">
        <v>834</v>
      </c>
      <c r="AC1505" t="s">
        <v>1584</v>
      </c>
    </row>
    <row r="1506" spans="2:29" x14ac:dyDescent="0.25">
      <c r="B1506">
        <v>8010061705028580</v>
      </c>
      <c r="C1506">
        <v>41218897</v>
      </c>
      <c r="D1506" t="s">
        <v>468</v>
      </c>
      <c r="E1506">
        <v>512</v>
      </c>
      <c r="G1506" t="s">
        <v>151</v>
      </c>
      <c r="H1506">
        <v>60</v>
      </c>
      <c r="I1506">
        <v>1.7</v>
      </c>
      <c r="J1506">
        <v>1.7</v>
      </c>
      <c r="K1506">
        <v>1</v>
      </c>
      <c r="L1506" t="s">
        <v>834</v>
      </c>
      <c r="AC1506" t="s">
        <v>2124</v>
      </c>
    </row>
    <row r="1507" spans="2:29" x14ac:dyDescent="0.25">
      <c r="C1507">
        <v>41217312</v>
      </c>
      <c r="D1507" t="s">
        <v>902</v>
      </c>
      <c r="E1507">
        <v>512</v>
      </c>
      <c r="J1507">
        <v>870.4</v>
      </c>
      <c r="K1507">
        <v>1</v>
      </c>
      <c r="L1507" t="s">
        <v>834</v>
      </c>
      <c r="AC1507" t="s">
        <v>1449</v>
      </c>
    </row>
    <row r="1508" spans="2:29" x14ac:dyDescent="0.25">
      <c r="B1508">
        <v>8010061705028580</v>
      </c>
      <c r="C1508">
        <v>41219386</v>
      </c>
      <c r="D1508" t="s">
        <v>464</v>
      </c>
      <c r="E1508">
        <v>400</v>
      </c>
      <c r="G1508" t="s">
        <v>127</v>
      </c>
      <c r="H1508">
        <v>62</v>
      </c>
      <c r="I1508">
        <v>0.25</v>
      </c>
      <c r="J1508">
        <v>0.25</v>
      </c>
      <c r="K1508">
        <v>1</v>
      </c>
      <c r="L1508" t="s">
        <v>834</v>
      </c>
      <c r="AC1508" t="s">
        <v>1945</v>
      </c>
    </row>
    <row r="1509" spans="2:29" x14ac:dyDescent="0.25">
      <c r="C1509">
        <v>41217265</v>
      </c>
      <c r="D1509" t="s">
        <v>904</v>
      </c>
      <c r="E1509">
        <v>400</v>
      </c>
      <c r="G1509" t="s">
        <v>129</v>
      </c>
      <c r="H1509">
        <v>191</v>
      </c>
      <c r="I1509">
        <v>0.25</v>
      </c>
      <c r="J1509">
        <v>100</v>
      </c>
      <c r="K1509">
        <v>400</v>
      </c>
      <c r="AC1509" t="s">
        <v>1451</v>
      </c>
    </row>
    <row r="1510" spans="2:29" x14ac:dyDescent="0.25">
      <c r="B1510">
        <v>8.0100617050285797E+36</v>
      </c>
      <c r="C1510">
        <v>41217223</v>
      </c>
      <c r="D1510" t="s">
        <v>470</v>
      </c>
      <c r="E1510">
        <v>180</v>
      </c>
      <c r="G1510" t="s">
        <v>186</v>
      </c>
      <c r="H1510">
        <v>62</v>
      </c>
      <c r="J1510">
        <v>2.86</v>
      </c>
      <c r="L1510" t="s">
        <v>834</v>
      </c>
      <c r="AC1510" t="s">
        <v>2125</v>
      </c>
    </row>
    <row r="1511" spans="2:29" x14ac:dyDescent="0.25">
      <c r="C1511">
        <v>41217679</v>
      </c>
      <c r="D1511" t="s">
        <v>908</v>
      </c>
      <c r="E1511">
        <v>180</v>
      </c>
      <c r="J1511">
        <v>100</v>
      </c>
      <c r="K1511">
        <v>400</v>
      </c>
      <c r="L1511" t="s">
        <v>834</v>
      </c>
      <c r="AC1511" t="s">
        <v>1454</v>
      </c>
    </row>
    <row r="1512" spans="2:29" x14ac:dyDescent="0.25">
      <c r="B1512">
        <v>8010061705028580</v>
      </c>
      <c r="C1512">
        <v>41217865</v>
      </c>
      <c r="D1512" t="s">
        <v>471</v>
      </c>
      <c r="E1512">
        <v>8100</v>
      </c>
      <c r="G1512" t="s">
        <v>133</v>
      </c>
      <c r="H1512">
        <v>61</v>
      </c>
      <c r="I1512">
        <v>0.25</v>
      </c>
      <c r="J1512">
        <v>2025</v>
      </c>
      <c r="K1512">
        <v>8100</v>
      </c>
      <c r="AC1512" t="s">
        <v>1946</v>
      </c>
    </row>
    <row r="1513" spans="2:29" x14ac:dyDescent="0.25">
      <c r="C1513">
        <v>41217679</v>
      </c>
      <c r="D1513" t="s">
        <v>910</v>
      </c>
      <c r="E1513">
        <v>8100</v>
      </c>
      <c r="AC1513" t="s">
        <v>1456</v>
      </c>
    </row>
    <row r="1514" spans="2:29" x14ac:dyDescent="0.25">
      <c r="C1514">
        <v>41217840</v>
      </c>
      <c r="D1514" t="s">
        <v>911</v>
      </c>
      <c r="E1514">
        <v>2025</v>
      </c>
      <c r="AC1514" t="s">
        <v>1457</v>
      </c>
    </row>
    <row r="1515" spans="2:29" x14ac:dyDescent="0.25">
      <c r="B1515">
        <v>8010061705028580</v>
      </c>
      <c r="C1515">
        <v>41218145</v>
      </c>
      <c r="D1515" t="s">
        <v>476</v>
      </c>
      <c r="E1515">
        <v>115</v>
      </c>
      <c r="G1515">
        <v>6885</v>
      </c>
      <c r="H1515">
        <v>45</v>
      </c>
      <c r="I1515">
        <v>1.78</v>
      </c>
      <c r="J1515">
        <v>1.78</v>
      </c>
      <c r="K1515">
        <v>1</v>
      </c>
      <c r="L1515" t="s">
        <v>834</v>
      </c>
      <c r="AC1515" t="s">
        <v>2126</v>
      </c>
    </row>
    <row r="1516" spans="2:29" x14ac:dyDescent="0.25">
      <c r="C1516">
        <v>41217312</v>
      </c>
      <c r="D1516" t="s">
        <v>913</v>
      </c>
      <c r="E1516">
        <v>115</v>
      </c>
      <c r="J1516">
        <v>204.7</v>
      </c>
      <c r="K1516">
        <v>1</v>
      </c>
      <c r="L1516" t="s">
        <v>834</v>
      </c>
      <c r="AC1516" t="s">
        <v>1459</v>
      </c>
    </row>
    <row r="1517" spans="2:29" x14ac:dyDescent="0.25">
      <c r="B1517">
        <v>8010061705028580</v>
      </c>
      <c r="C1517">
        <v>41219252</v>
      </c>
      <c r="D1517" t="s">
        <v>477</v>
      </c>
      <c r="E1517">
        <v>825</v>
      </c>
      <c r="G1517" t="s">
        <v>156</v>
      </c>
      <c r="H1517">
        <v>48</v>
      </c>
      <c r="I1517">
        <v>0.33</v>
      </c>
      <c r="J1517">
        <v>0.33</v>
      </c>
      <c r="K1517">
        <v>1</v>
      </c>
      <c r="L1517" t="s">
        <v>834</v>
      </c>
      <c r="AC1517" t="s">
        <v>1948</v>
      </c>
    </row>
    <row r="1518" spans="2:29" x14ac:dyDescent="0.25">
      <c r="C1518">
        <v>41217484</v>
      </c>
      <c r="D1518" t="s">
        <v>915</v>
      </c>
      <c r="E1518">
        <v>2500</v>
      </c>
      <c r="AC1518" t="s">
        <v>1461</v>
      </c>
    </row>
    <row r="1519" spans="2:29" x14ac:dyDescent="0.25">
      <c r="C1519">
        <v>41217222</v>
      </c>
      <c r="D1519" t="s">
        <v>916</v>
      </c>
      <c r="E1519">
        <v>2500</v>
      </c>
      <c r="AC1519" t="s">
        <v>1462</v>
      </c>
    </row>
    <row r="1520" spans="2:29" x14ac:dyDescent="0.25">
      <c r="B1520">
        <v>8010061705028580</v>
      </c>
      <c r="C1520">
        <v>41219694</v>
      </c>
      <c r="D1520" t="s">
        <v>482</v>
      </c>
      <c r="E1520">
        <v>120</v>
      </c>
      <c r="G1520" t="s">
        <v>143</v>
      </c>
      <c r="H1520">
        <v>56</v>
      </c>
      <c r="I1520">
        <v>3.4</v>
      </c>
      <c r="J1520">
        <v>3.4</v>
      </c>
      <c r="K1520">
        <v>1</v>
      </c>
      <c r="L1520" t="s">
        <v>834</v>
      </c>
      <c r="AC1520" t="s">
        <v>2127</v>
      </c>
    </row>
    <row r="1521" spans="2:29" x14ac:dyDescent="0.25">
      <c r="C1521">
        <v>41217180</v>
      </c>
      <c r="D1521" t="s">
        <v>919</v>
      </c>
      <c r="E1521">
        <v>408</v>
      </c>
      <c r="G1521" t="s">
        <v>138</v>
      </c>
      <c r="H1521">
        <v>162</v>
      </c>
      <c r="I1521">
        <v>3.4</v>
      </c>
      <c r="J1521">
        <v>408</v>
      </c>
      <c r="K1521">
        <v>120</v>
      </c>
      <c r="L1521" t="s">
        <v>834</v>
      </c>
      <c r="AC1521" t="s">
        <v>1464</v>
      </c>
    </row>
    <row r="1522" spans="2:29" x14ac:dyDescent="0.25">
      <c r="C1522">
        <v>41217679</v>
      </c>
      <c r="D1522" t="s">
        <v>920</v>
      </c>
      <c r="E1522">
        <v>60</v>
      </c>
      <c r="G1522" t="s">
        <v>141</v>
      </c>
      <c r="H1522">
        <v>190</v>
      </c>
      <c r="I1522">
        <v>3.4</v>
      </c>
      <c r="J1522">
        <v>3.4</v>
      </c>
      <c r="K1522">
        <v>1</v>
      </c>
      <c r="L1522" t="s">
        <v>834</v>
      </c>
      <c r="AC1522" t="s">
        <v>1465</v>
      </c>
    </row>
    <row r="1523" spans="2:29" x14ac:dyDescent="0.25">
      <c r="C1523">
        <v>41217882</v>
      </c>
      <c r="D1523" t="s">
        <v>921</v>
      </c>
      <c r="E1523">
        <v>204</v>
      </c>
      <c r="J1523">
        <v>204</v>
      </c>
      <c r="K1523">
        <v>1</v>
      </c>
      <c r="L1523" t="s">
        <v>834</v>
      </c>
      <c r="AC1523" t="s">
        <v>1466</v>
      </c>
    </row>
    <row r="1524" spans="2:29" x14ac:dyDescent="0.25">
      <c r="C1524">
        <v>41217605</v>
      </c>
      <c r="D1524" t="s">
        <v>922</v>
      </c>
      <c r="E1524">
        <v>60</v>
      </c>
      <c r="J1524">
        <v>3.4</v>
      </c>
      <c r="K1524">
        <v>1</v>
      </c>
      <c r="L1524" t="s">
        <v>834</v>
      </c>
      <c r="AC1524" t="s">
        <v>1467</v>
      </c>
    </row>
    <row r="1525" spans="2:29" x14ac:dyDescent="0.25">
      <c r="C1525">
        <v>41217865</v>
      </c>
      <c r="D1525" t="s">
        <v>923</v>
      </c>
      <c r="E1525">
        <v>204</v>
      </c>
      <c r="J1525">
        <v>204</v>
      </c>
      <c r="K1525">
        <v>1</v>
      </c>
      <c r="L1525" t="s">
        <v>834</v>
      </c>
      <c r="AC1525" t="s">
        <v>1468</v>
      </c>
    </row>
    <row r="1526" spans="2:29" x14ac:dyDescent="0.25">
      <c r="C1526">
        <v>41217700</v>
      </c>
      <c r="D1526" t="s">
        <v>924</v>
      </c>
      <c r="E1526">
        <v>120</v>
      </c>
      <c r="AC1526" t="s">
        <v>1469</v>
      </c>
    </row>
    <row r="1527" spans="2:29" x14ac:dyDescent="0.25">
      <c r="C1527">
        <v>41217679</v>
      </c>
      <c r="D1527" t="s">
        <v>925</v>
      </c>
      <c r="E1527">
        <v>408</v>
      </c>
      <c r="AC1527" t="s">
        <v>1470</v>
      </c>
    </row>
    <row r="1528" spans="2:29" x14ac:dyDescent="0.25">
      <c r="C1528">
        <v>41217331</v>
      </c>
      <c r="D1528" t="s">
        <v>1098</v>
      </c>
      <c r="E1528">
        <v>60</v>
      </c>
      <c r="AC1528" t="s">
        <v>1471</v>
      </c>
    </row>
    <row r="1529" spans="2:29" x14ac:dyDescent="0.25">
      <c r="C1529">
        <v>41217700</v>
      </c>
      <c r="D1529" t="s">
        <v>927</v>
      </c>
      <c r="E1529">
        <v>204</v>
      </c>
      <c r="AC1529" t="s">
        <v>1472</v>
      </c>
    </row>
    <row r="1530" spans="2:29" x14ac:dyDescent="0.25">
      <c r="B1530">
        <v>8010061705028580</v>
      </c>
      <c r="C1530">
        <v>41217605</v>
      </c>
      <c r="D1530" t="s">
        <v>481</v>
      </c>
      <c r="E1530">
        <v>25</v>
      </c>
      <c r="G1530" t="s">
        <v>177</v>
      </c>
      <c r="H1530">
        <v>81</v>
      </c>
      <c r="I1530">
        <v>4.1500000000000004</v>
      </c>
      <c r="J1530">
        <v>4.1500000000000004</v>
      </c>
      <c r="K1530">
        <v>1</v>
      </c>
      <c r="L1530" t="s">
        <v>834</v>
      </c>
      <c r="AC1530" t="s">
        <v>1949</v>
      </c>
    </row>
    <row r="1531" spans="2:29" x14ac:dyDescent="0.25">
      <c r="C1531">
        <v>41217180</v>
      </c>
      <c r="D1531" t="s">
        <v>929</v>
      </c>
      <c r="E1531">
        <v>25</v>
      </c>
      <c r="J1531">
        <v>103.82</v>
      </c>
      <c r="K1531">
        <v>1</v>
      </c>
      <c r="L1531" t="s">
        <v>834</v>
      </c>
      <c r="AC1531" t="s">
        <v>1474</v>
      </c>
    </row>
    <row r="1532" spans="2:29" x14ac:dyDescent="0.25">
      <c r="B1532">
        <v>8010061705028580</v>
      </c>
      <c r="C1532">
        <v>41218860</v>
      </c>
      <c r="D1532" t="s">
        <v>479</v>
      </c>
      <c r="E1532">
        <v>256</v>
      </c>
      <c r="G1532" t="s">
        <v>193</v>
      </c>
      <c r="H1532">
        <v>161</v>
      </c>
      <c r="I1532">
        <v>0.87</v>
      </c>
      <c r="J1532">
        <v>4.3499999999999996</v>
      </c>
      <c r="K1532">
        <v>5</v>
      </c>
      <c r="L1532" t="s">
        <v>834</v>
      </c>
      <c r="AC1532" t="s">
        <v>1950</v>
      </c>
    </row>
    <row r="1533" spans="2:29" x14ac:dyDescent="0.25">
      <c r="C1533">
        <v>41217695</v>
      </c>
      <c r="D1533" t="s">
        <v>931</v>
      </c>
      <c r="E1533">
        <v>256</v>
      </c>
      <c r="G1533" t="s">
        <v>170</v>
      </c>
      <c r="H1533">
        <v>196</v>
      </c>
      <c r="I1533">
        <v>1.28</v>
      </c>
      <c r="J1533">
        <v>1.28</v>
      </c>
      <c r="K1533">
        <v>1</v>
      </c>
      <c r="L1533" t="s">
        <v>834</v>
      </c>
      <c r="AC1533" t="s">
        <v>1476</v>
      </c>
    </row>
    <row r="1534" spans="2:29" x14ac:dyDescent="0.25">
      <c r="C1534">
        <v>41217882</v>
      </c>
      <c r="D1534" t="s">
        <v>932</v>
      </c>
      <c r="E1534">
        <v>5</v>
      </c>
      <c r="G1534">
        <v>6885</v>
      </c>
      <c r="H1534">
        <v>219</v>
      </c>
      <c r="I1534">
        <v>1.78</v>
      </c>
      <c r="J1534">
        <v>256</v>
      </c>
      <c r="K1534">
        <v>143.82022471910113</v>
      </c>
      <c r="L1534" t="s">
        <v>834</v>
      </c>
      <c r="AC1534" t="s">
        <v>1477</v>
      </c>
    </row>
    <row r="1535" spans="2:29" x14ac:dyDescent="0.25">
      <c r="C1535">
        <v>41217882</v>
      </c>
      <c r="D1535" t="s">
        <v>933</v>
      </c>
      <c r="E1535">
        <v>200</v>
      </c>
      <c r="G1535" t="s">
        <v>177</v>
      </c>
      <c r="H1535">
        <v>241</v>
      </c>
      <c r="I1535">
        <v>3.8</v>
      </c>
      <c r="J1535">
        <v>1.78</v>
      </c>
      <c r="K1535">
        <v>0.46842105263157896</v>
      </c>
      <c r="L1535" t="s">
        <v>834</v>
      </c>
      <c r="AC1535" t="s">
        <v>1478</v>
      </c>
    </row>
    <row r="1536" spans="2:29" x14ac:dyDescent="0.25">
      <c r="C1536">
        <v>41217180</v>
      </c>
      <c r="D1536" t="s">
        <v>934</v>
      </c>
      <c r="E1536">
        <v>30</v>
      </c>
      <c r="G1536">
        <v>6800</v>
      </c>
      <c r="H1536">
        <v>269</v>
      </c>
      <c r="I1536">
        <v>94</v>
      </c>
      <c r="J1536">
        <v>53.4</v>
      </c>
      <c r="K1536">
        <v>0.56808510638297871</v>
      </c>
      <c r="L1536" t="s">
        <v>834</v>
      </c>
      <c r="AC1536" t="s">
        <v>1479</v>
      </c>
    </row>
    <row r="1537" spans="1:29" x14ac:dyDescent="0.25">
      <c r="C1537">
        <v>41217840</v>
      </c>
      <c r="D1537" t="s">
        <v>935</v>
      </c>
      <c r="E1537">
        <v>24</v>
      </c>
      <c r="J1537">
        <v>3.8</v>
      </c>
      <c r="K1537">
        <v>0.56808510638297871</v>
      </c>
      <c r="L1537" t="s">
        <v>834</v>
      </c>
      <c r="AC1537" t="s">
        <v>1480</v>
      </c>
    </row>
    <row r="1538" spans="1:29" x14ac:dyDescent="0.25">
      <c r="C1538">
        <v>41217871</v>
      </c>
      <c r="D1538" t="s">
        <v>936</v>
      </c>
      <c r="E1538">
        <v>24</v>
      </c>
      <c r="J1538">
        <v>91.2</v>
      </c>
      <c r="K1538">
        <v>0.56808510638297871</v>
      </c>
      <c r="L1538" t="s">
        <v>834</v>
      </c>
      <c r="AC1538" t="s">
        <v>1481</v>
      </c>
    </row>
    <row r="1539" spans="1:29" x14ac:dyDescent="0.25">
      <c r="C1539">
        <v>41217679</v>
      </c>
      <c r="D1539" t="s">
        <v>937</v>
      </c>
      <c r="E1539">
        <v>5</v>
      </c>
      <c r="J1539">
        <v>34</v>
      </c>
      <c r="K1539">
        <v>0.56808510638297871</v>
      </c>
      <c r="L1539" t="s">
        <v>834</v>
      </c>
      <c r="AC1539" t="s">
        <v>1482</v>
      </c>
    </row>
    <row r="1540" spans="1:29" x14ac:dyDescent="0.25">
      <c r="C1540">
        <v>41217336</v>
      </c>
      <c r="D1540" t="s">
        <v>1112</v>
      </c>
      <c r="E1540">
        <v>200</v>
      </c>
      <c r="J1540">
        <v>2256</v>
      </c>
      <c r="K1540">
        <v>0.56808510638297871</v>
      </c>
      <c r="L1540" t="s">
        <v>834</v>
      </c>
      <c r="AC1540" t="s">
        <v>1653</v>
      </c>
    </row>
    <row r="1541" spans="1:29" x14ac:dyDescent="0.25">
      <c r="C1541">
        <v>41217331</v>
      </c>
      <c r="D1541" t="s">
        <v>938</v>
      </c>
      <c r="E1541">
        <v>30</v>
      </c>
      <c r="AC1541" t="s">
        <v>1483</v>
      </c>
    </row>
    <row r="1542" spans="1:29" x14ac:dyDescent="0.25">
      <c r="B1542">
        <v>8010061705028580</v>
      </c>
      <c r="C1542">
        <v>41219377</v>
      </c>
      <c r="D1542" t="s">
        <v>490</v>
      </c>
      <c r="E1542">
        <v>1551</v>
      </c>
      <c r="G1542" t="s">
        <v>156</v>
      </c>
      <c r="H1542">
        <v>60</v>
      </c>
      <c r="I1542">
        <v>0.33</v>
      </c>
      <c r="J1542">
        <v>0.33</v>
      </c>
      <c r="K1542">
        <v>1</v>
      </c>
      <c r="L1542" t="s">
        <v>834</v>
      </c>
      <c r="AC1542" t="s">
        <v>1951</v>
      </c>
    </row>
    <row r="1543" spans="1:29" x14ac:dyDescent="0.25">
      <c r="C1543">
        <v>41217222</v>
      </c>
      <c r="D1543" t="s">
        <v>940</v>
      </c>
      <c r="E1543">
        <v>4700</v>
      </c>
      <c r="J1543">
        <v>1551</v>
      </c>
      <c r="K1543">
        <v>1</v>
      </c>
      <c r="L1543" t="s">
        <v>834</v>
      </c>
      <c r="AC1543" t="s">
        <v>1485</v>
      </c>
    </row>
    <row r="1544" spans="1:29" x14ac:dyDescent="0.25">
      <c r="C1544">
        <v>41217605</v>
      </c>
      <c r="D1544" t="s">
        <v>941</v>
      </c>
      <c r="E1544">
        <v>4700</v>
      </c>
      <c r="AC1544" t="s">
        <v>1486</v>
      </c>
    </row>
    <row r="1545" spans="1:29" x14ac:dyDescent="0.25">
      <c r="B1545">
        <v>8010061705028580</v>
      </c>
      <c r="C1545">
        <v>41219002</v>
      </c>
      <c r="D1545" t="s">
        <v>491</v>
      </c>
      <c r="E1545">
        <v>1275</v>
      </c>
      <c r="G1545" t="s">
        <v>131</v>
      </c>
      <c r="H1545">
        <v>37</v>
      </c>
      <c r="I1545">
        <v>0.25</v>
      </c>
      <c r="J1545">
        <v>0.25</v>
      </c>
      <c r="K1545">
        <v>1</v>
      </c>
      <c r="L1545" t="s">
        <v>834</v>
      </c>
      <c r="AC1545" t="s">
        <v>2128</v>
      </c>
    </row>
    <row r="1546" spans="1:29" x14ac:dyDescent="0.25">
      <c r="C1546">
        <v>41217703</v>
      </c>
      <c r="D1546" t="s">
        <v>943</v>
      </c>
      <c r="E1546">
        <v>1275</v>
      </c>
      <c r="G1546" t="s">
        <v>141</v>
      </c>
      <c r="H1546">
        <v>120</v>
      </c>
      <c r="I1546">
        <v>3.4</v>
      </c>
      <c r="J1546">
        <v>1275</v>
      </c>
      <c r="K1546">
        <v>375</v>
      </c>
      <c r="L1546" t="s">
        <v>834</v>
      </c>
      <c r="AC1546" t="s">
        <v>1488</v>
      </c>
    </row>
    <row r="1547" spans="1:29" x14ac:dyDescent="0.25">
      <c r="C1547">
        <v>41217700</v>
      </c>
      <c r="D1547" t="s">
        <v>944</v>
      </c>
      <c r="E1547">
        <v>5100</v>
      </c>
      <c r="J1547">
        <v>3.4</v>
      </c>
      <c r="K1547">
        <v>375</v>
      </c>
      <c r="L1547" t="s">
        <v>834</v>
      </c>
      <c r="AC1547" t="s">
        <v>1489</v>
      </c>
    </row>
    <row r="1548" spans="1:29" x14ac:dyDescent="0.25">
      <c r="C1548">
        <v>41217265</v>
      </c>
      <c r="D1548" t="s">
        <v>945</v>
      </c>
      <c r="E1548">
        <v>34</v>
      </c>
      <c r="J1548">
        <v>115.6</v>
      </c>
      <c r="K1548">
        <v>375</v>
      </c>
      <c r="L1548" t="s">
        <v>834</v>
      </c>
      <c r="AC1548" t="s">
        <v>1490</v>
      </c>
    </row>
    <row r="1549" spans="1:29" x14ac:dyDescent="0.25">
      <c r="C1549">
        <v>41217882</v>
      </c>
      <c r="D1549" t="s">
        <v>946</v>
      </c>
      <c r="E1549">
        <v>5100</v>
      </c>
      <c r="AC1549" t="s">
        <v>1491</v>
      </c>
    </row>
    <row r="1550" spans="1:29" x14ac:dyDescent="0.25">
      <c r="C1550">
        <v>41217700</v>
      </c>
      <c r="D1550" t="s">
        <v>947</v>
      </c>
      <c r="E1550">
        <v>34</v>
      </c>
      <c r="AC1550" t="s">
        <v>1492</v>
      </c>
    </row>
    <row r="1551" spans="1:29" x14ac:dyDescent="0.25">
      <c r="A1551" t="s">
        <v>680</v>
      </c>
      <c r="B1551">
        <v>8010061705028580</v>
      </c>
      <c r="C1551">
        <v>41219425</v>
      </c>
      <c r="D1551" t="s">
        <v>489</v>
      </c>
      <c r="E1551">
        <v>1150</v>
      </c>
      <c r="I1551">
        <v>0.51</v>
      </c>
      <c r="J1551">
        <v>586.5</v>
      </c>
      <c r="K1551">
        <v>1150</v>
      </c>
      <c r="AC1551" t="s">
        <v>1953</v>
      </c>
    </row>
    <row r="1552" spans="1:29" x14ac:dyDescent="0.25">
      <c r="C1552">
        <v>41217312</v>
      </c>
      <c r="D1552" t="s">
        <v>949</v>
      </c>
      <c r="E1552">
        <v>1150</v>
      </c>
      <c r="AC1552" t="s">
        <v>1494</v>
      </c>
    </row>
    <row r="1553" spans="2:29" x14ac:dyDescent="0.25">
      <c r="B1553">
        <v>8010061705028580</v>
      </c>
      <c r="C1553">
        <v>41219425</v>
      </c>
      <c r="D1553" t="s">
        <v>504</v>
      </c>
      <c r="E1553">
        <v>3000</v>
      </c>
      <c r="G1553" t="s">
        <v>133</v>
      </c>
      <c r="H1553">
        <v>73</v>
      </c>
      <c r="I1553">
        <v>0.25</v>
      </c>
      <c r="J1553">
        <v>3000</v>
      </c>
      <c r="K1553">
        <v>12000</v>
      </c>
      <c r="L1553" t="s">
        <v>834</v>
      </c>
      <c r="AC1553" t="s">
        <v>2129</v>
      </c>
    </row>
    <row r="1554" spans="2:29" x14ac:dyDescent="0.25">
      <c r="C1554">
        <v>41217331</v>
      </c>
      <c r="D1554" t="s">
        <v>951</v>
      </c>
      <c r="E1554">
        <v>12000</v>
      </c>
      <c r="G1554">
        <v>81066</v>
      </c>
      <c r="H1554">
        <v>110</v>
      </c>
      <c r="I1554">
        <v>11.75</v>
      </c>
      <c r="J1554">
        <v>23.5</v>
      </c>
      <c r="K1554">
        <v>2</v>
      </c>
      <c r="L1554" t="s">
        <v>834</v>
      </c>
      <c r="AC1554" t="s">
        <v>1496</v>
      </c>
    </row>
    <row r="1555" spans="2:29" x14ac:dyDescent="0.25">
      <c r="C1555">
        <v>41217317</v>
      </c>
      <c r="D1555" t="s">
        <v>952</v>
      </c>
      <c r="E1555">
        <v>3000</v>
      </c>
      <c r="G1555">
        <v>81066</v>
      </c>
      <c r="H1555">
        <v>151</v>
      </c>
      <c r="AC1555" t="s">
        <v>1497</v>
      </c>
    </row>
    <row r="1556" spans="2:29" x14ac:dyDescent="0.25">
      <c r="C1556">
        <v>41217180</v>
      </c>
      <c r="D1556" t="s">
        <v>1122</v>
      </c>
      <c r="E1556">
        <v>2</v>
      </c>
      <c r="AC1556" t="s">
        <v>1663</v>
      </c>
    </row>
    <row r="1557" spans="2:29" x14ac:dyDescent="0.25">
      <c r="C1557">
        <v>41217265</v>
      </c>
      <c r="D1557" t="s">
        <v>1123</v>
      </c>
      <c r="E1557">
        <v>12000</v>
      </c>
      <c r="AC1557" t="s">
        <v>1664</v>
      </c>
    </row>
    <row r="1558" spans="2:29" x14ac:dyDescent="0.25">
      <c r="C1558">
        <v>41217679</v>
      </c>
      <c r="D1558" t="s">
        <v>953</v>
      </c>
      <c r="E1558">
        <v>2</v>
      </c>
      <c r="AC1558" t="s">
        <v>1498</v>
      </c>
    </row>
    <row r="1559" spans="2:29" x14ac:dyDescent="0.25">
      <c r="B1559">
        <v>8010061705028580</v>
      </c>
      <c r="C1559">
        <v>41218860</v>
      </c>
      <c r="D1559" t="s">
        <v>505</v>
      </c>
      <c r="E1559">
        <v>2</v>
      </c>
      <c r="G1559" t="s">
        <v>193</v>
      </c>
      <c r="H1559">
        <v>123</v>
      </c>
      <c r="I1559">
        <v>0.87</v>
      </c>
      <c r="J1559">
        <v>1.74</v>
      </c>
      <c r="K1559">
        <v>2</v>
      </c>
      <c r="AC1559" t="s">
        <v>1954</v>
      </c>
    </row>
    <row r="1560" spans="2:29" x14ac:dyDescent="0.25">
      <c r="C1560">
        <v>41217698</v>
      </c>
      <c r="D1560" t="s">
        <v>955</v>
      </c>
      <c r="E1560">
        <v>120</v>
      </c>
      <c r="G1560" t="s">
        <v>212</v>
      </c>
      <c r="H1560">
        <v>160</v>
      </c>
      <c r="I1560">
        <v>1.45</v>
      </c>
      <c r="J1560">
        <v>174</v>
      </c>
      <c r="K1560">
        <v>120</v>
      </c>
      <c r="AC1560" t="s">
        <v>1500</v>
      </c>
    </row>
    <row r="1561" spans="2:29" x14ac:dyDescent="0.25">
      <c r="C1561">
        <v>41217699</v>
      </c>
      <c r="D1561" t="s">
        <v>956</v>
      </c>
      <c r="E1561">
        <v>174</v>
      </c>
      <c r="G1561">
        <v>6001</v>
      </c>
      <c r="H1561">
        <v>182</v>
      </c>
      <c r="I1561">
        <v>3.97</v>
      </c>
      <c r="J1561">
        <v>3.97</v>
      </c>
      <c r="K1561">
        <v>1</v>
      </c>
      <c r="L1561" t="s">
        <v>834</v>
      </c>
      <c r="AC1561" t="s">
        <v>1501</v>
      </c>
    </row>
    <row r="1562" spans="2:29" x14ac:dyDescent="0.25">
      <c r="C1562">
        <v>41217605</v>
      </c>
      <c r="D1562" t="s">
        <v>957</v>
      </c>
      <c r="E1562">
        <v>120</v>
      </c>
      <c r="J1562">
        <v>476.4</v>
      </c>
      <c r="K1562">
        <v>1</v>
      </c>
      <c r="L1562" t="s">
        <v>834</v>
      </c>
      <c r="AC1562" t="s">
        <v>1502</v>
      </c>
    </row>
    <row r="1563" spans="2:29" x14ac:dyDescent="0.25">
      <c r="C1563">
        <v>41217331</v>
      </c>
      <c r="D1563" t="s">
        <v>958</v>
      </c>
      <c r="E1563">
        <v>2</v>
      </c>
      <c r="AC1563" t="s">
        <v>1503</v>
      </c>
    </row>
    <row r="1564" spans="2:29" x14ac:dyDescent="0.25">
      <c r="C1564">
        <v>41217312</v>
      </c>
      <c r="D1564" t="s">
        <v>959</v>
      </c>
      <c r="E1564">
        <v>120</v>
      </c>
      <c r="AC1564" t="s">
        <v>1504</v>
      </c>
    </row>
    <row r="1565" spans="2:29" x14ac:dyDescent="0.25">
      <c r="C1565">
        <v>41217918</v>
      </c>
      <c r="D1565" t="s">
        <v>960</v>
      </c>
      <c r="E1565">
        <v>174</v>
      </c>
      <c r="AC1565" t="s">
        <v>1505</v>
      </c>
    </row>
    <row r="1566" spans="2:29" x14ac:dyDescent="0.25">
      <c r="C1566">
        <v>41217265</v>
      </c>
      <c r="D1566" t="s">
        <v>961</v>
      </c>
      <c r="E1566">
        <v>120</v>
      </c>
      <c r="AC1566" t="s">
        <v>1506</v>
      </c>
    </row>
    <row r="1567" spans="2:29" x14ac:dyDescent="0.25">
      <c r="B1567">
        <v>8010061705028580</v>
      </c>
      <c r="C1567">
        <v>41219252</v>
      </c>
      <c r="D1567" t="s">
        <v>494</v>
      </c>
      <c r="E1567">
        <v>800</v>
      </c>
      <c r="G1567" t="s">
        <v>190</v>
      </c>
      <c r="H1567">
        <v>90</v>
      </c>
      <c r="J1567">
        <v>0.15</v>
      </c>
      <c r="L1567" t="s">
        <v>834</v>
      </c>
      <c r="AC1567" t="s">
        <v>1955</v>
      </c>
    </row>
    <row r="1568" spans="2:29" x14ac:dyDescent="0.25">
      <c r="C1568">
        <v>41217336</v>
      </c>
      <c r="D1568" t="s">
        <v>963</v>
      </c>
      <c r="E1568">
        <v>2500</v>
      </c>
      <c r="G1568" t="s">
        <v>156</v>
      </c>
      <c r="H1568">
        <v>117</v>
      </c>
      <c r="J1568">
        <v>0.33</v>
      </c>
      <c r="L1568" t="s">
        <v>834</v>
      </c>
      <c r="AC1568" t="s">
        <v>1508</v>
      </c>
    </row>
    <row r="1569" spans="2:29" x14ac:dyDescent="0.25">
      <c r="C1569">
        <v>41217700</v>
      </c>
      <c r="D1569" t="s">
        <v>964</v>
      </c>
      <c r="E1569">
        <v>500</v>
      </c>
      <c r="G1569" t="s">
        <v>165</v>
      </c>
      <c r="H1569">
        <v>455</v>
      </c>
      <c r="J1569">
        <v>0.51</v>
      </c>
      <c r="L1569" t="s">
        <v>834</v>
      </c>
      <c r="AC1569" t="s">
        <v>1509</v>
      </c>
    </row>
    <row r="1570" spans="2:29" x14ac:dyDescent="0.25">
      <c r="C1570">
        <v>41217334</v>
      </c>
      <c r="D1570" t="s">
        <v>965</v>
      </c>
      <c r="E1570">
        <v>800</v>
      </c>
      <c r="AC1570" t="s">
        <v>1510</v>
      </c>
    </row>
    <row r="1571" spans="2:29" x14ac:dyDescent="0.25">
      <c r="C1571">
        <v>41217484</v>
      </c>
      <c r="D1571" t="s">
        <v>966</v>
      </c>
      <c r="E1571">
        <v>2500</v>
      </c>
      <c r="AC1571" t="s">
        <v>1511</v>
      </c>
    </row>
    <row r="1572" spans="2:29" x14ac:dyDescent="0.25">
      <c r="C1572">
        <v>41217331</v>
      </c>
      <c r="D1572" t="s">
        <v>967</v>
      </c>
      <c r="E1572">
        <v>500</v>
      </c>
      <c r="AC1572" t="s">
        <v>1512</v>
      </c>
    </row>
    <row r="1573" spans="2:29" x14ac:dyDescent="0.25">
      <c r="B1573">
        <v>8010061705028580</v>
      </c>
      <c r="C1573">
        <v>41219694</v>
      </c>
      <c r="D1573" t="s">
        <v>495</v>
      </c>
      <c r="E1573">
        <v>120</v>
      </c>
      <c r="G1573" t="s">
        <v>143</v>
      </c>
      <c r="H1573">
        <v>62</v>
      </c>
      <c r="I1573">
        <v>3.4</v>
      </c>
      <c r="J1573">
        <v>3.4</v>
      </c>
      <c r="K1573">
        <v>1</v>
      </c>
      <c r="L1573" t="s">
        <v>834</v>
      </c>
      <c r="AC1573" t="s">
        <v>2130</v>
      </c>
    </row>
    <row r="1574" spans="2:29" x14ac:dyDescent="0.25">
      <c r="C1574">
        <v>41218090</v>
      </c>
      <c r="D1574" t="s">
        <v>970</v>
      </c>
      <c r="E1574">
        <v>60</v>
      </c>
      <c r="G1574" t="s">
        <v>138</v>
      </c>
      <c r="H1574">
        <v>162</v>
      </c>
      <c r="I1574">
        <v>3.4</v>
      </c>
      <c r="J1574">
        <v>408</v>
      </c>
      <c r="K1574">
        <v>120</v>
      </c>
      <c r="L1574" t="s">
        <v>834</v>
      </c>
      <c r="AC1574" t="s">
        <v>1515</v>
      </c>
    </row>
    <row r="1575" spans="2:29" x14ac:dyDescent="0.25">
      <c r="C1575">
        <v>41217679</v>
      </c>
      <c r="D1575" t="s">
        <v>971</v>
      </c>
      <c r="E1575">
        <v>60</v>
      </c>
      <c r="G1575" t="s">
        <v>141</v>
      </c>
      <c r="H1575">
        <v>189</v>
      </c>
      <c r="I1575">
        <v>3.4</v>
      </c>
      <c r="J1575">
        <v>3.4</v>
      </c>
      <c r="K1575">
        <v>1</v>
      </c>
      <c r="L1575" t="s">
        <v>834</v>
      </c>
      <c r="AC1575" t="s">
        <v>1516</v>
      </c>
    </row>
    <row r="1576" spans="2:29" x14ac:dyDescent="0.25">
      <c r="C1576">
        <v>41218145</v>
      </c>
      <c r="D1576" t="s">
        <v>972</v>
      </c>
      <c r="E1576">
        <v>120</v>
      </c>
      <c r="J1576">
        <v>204</v>
      </c>
      <c r="K1576">
        <v>1</v>
      </c>
      <c r="L1576" t="s">
        <v>834</v>
      </c>
      <c r="AC1576" t="s">
        <v>1517</v>
      </c>
    </row>
    <row r="1577" spans="2:29" x14ac:dyDescent="0.25">
      <c r="C1577">
        <v>41217312</v>
      </c>
      <c r="D1577" t="s">
        <v>973</v>
      </c>
      <c r="E1577">
        <v>60</v>
      </c>
      <c r="J1577">
        <v>3.4</v>
      </c>
      <c r="K1577">
        <v>1</v>
      </c>
      <c r="L1577" t="s">
        <v>834</v>
      </c>
      <c r="AC1577" t="s">
        <v>1518</v>
      </c>
    </row>
    <row r="1578" spans="2:29" x14ac:dyDescent="0.25">
      <c r="C1578">
        <v>41217336</v>
      </c>
      <c r="D1578" t="s">
        <v>974</v>
      </c>
      <c r="E1578">
        <v>60</v>
      </c>
      <c r="J1578">
        <v>204</v>
      </c>
      <c r="K1578">
        <v>1</v>
      </c>
      <c r="L1578" t="s">
        <v>834</v>
      </c>
      <c r="AC1578" t="s">
        <v>1519</v>
      </c>
    </row>
    <row r="1579" spans="2:29" x14ac:dyDescent="0.25">
      <c r="B1579">
        <v>8010061705028580</v>
      </c>
      <c r="C1579">
        <v>41217314</v>
      </c>
      <c r="D1579" t="s">
        <v>496</v>
      </c>
      <c r="E1579">
        <v>144</v>
      </c>
      <c r="G1579" t="s">
        <v>150</v>
      </c>
      <c r="H1579">
        <v>37</v>
      </c>
      <c r="I1579">
        <v>1.7</v>
      </c>
      <c r="J1579">
        <v>244.8</v>
      </c>
      <c r="K1579">
        <v>144</v>
      </c>
      <c r="AC1579" t="s">
        <v>1956</v>
      </c>
    </row>
    <row r="1580" spans="2:29" x14ac:dyDescent="0.25">
      <c r="C1580">
        <v>41217334</v>
      </c>
      <c r="D1580" t="s">
        <v>976</v>
      </c>
      <c r="E1580">
        <v>144</v>
      </c>
      <c r="AC1580" t="s">
        <v>1521</v>
      </c>
    </row>
    <row r="1581" spans="2:29" x14ac:dyDescent="0.25">
      <c r="B1581">
        <v>1.00000050523944E+31</v>
      </c>
      <c r="C1581">
        <v>41219744</v>
      </c>
      <c r="D1581" t="s">
        <v>498</v>
      </c>
      <c r="E1581">
        <v>36</v>
      </c>
      <c r="G1581" t="s">
        <v>177</v>
      </c>
      <c r="H1581">
        <v>93</v>
      </c>
      <c r="I1581">
        <v>3.8</v>
      </c>
      <c r="J1581">
        <v>3.8</v>
      </c>
      <c r="K1581">
        <v>1</v>
      </c>
      <c r="L1581" t="s">
        <v>834</v>
      </c>
      <c r="AC1581" t="s">
        <v>1957</v>
      </c>
    </row>
    <row r="1582" spans="2:29" x14ac:dyDescent="0.25">
      <c r="C1582">
        <v>41217331</v>
      </c>
      <c r="D1582" t="s">
        <v>979</v>
      </c>
      <c r="E1582">
        <v>36</v>
      </c>
      <c r="J1582">
        <v>136.80000000000001</v>
      </c>
      <c r="K1582">
        <v>1</v>
      </c>
      <c r="L1582" t="s">
        <v>834</v>
      </c>
      <c r="AC1582" t="s">
        <v>1523</v>
      </c>
    </row>
    <row r="1583" spans="2:29" x14ac:dyDescent="0.25">
      <c r="B1583">
        <v>8010061705028580</v>
      </c>
      <c r="C1583">
        <v>41218896</v>
      </c>
      <c r="D1583" t="s">
        <v>499</v>
      </c>
      <c r="E1583">
        <v>6</v>
      </c>
      <c r="G1583">
        <v>6200</v>
      </c>
      <c r="H1583">
        <v>110</v>
      </c>
      <c r="I1583">
        <v>8.82</v>
      </c>
      <c r="J1583">
        <v>8.82</v>
      </c>
      <c r="K1583">
        <v>1</v>
      </c>
      <c r="L1583" t="s">
        <v>834</v>
      </c>
      <c r="AC1583" t="s">
        <v>1958</v>
      </c>
    </row>
    <row r="1584" spans="2:29" x14ac:dyDescent="0.25">
      <c r="C1584">
        <v>41217918</v>
      </c>
      <c r="D1584" t="s">
        <v>981</v>
      </c>
      <c r="E1584">
        <v>150</v>
      </c>
      <c r="G1584" t="s">
        <v>163</v>
      </c>
      <c r="H1584">
        <v>133</v>
      </c>
      <c r="I1584">
        <v>20.99</v>
      </c>
      <c r="J1584">
        <v>52.92</v>
      </c>
      <c r="K1584">
        <v>2.5212005717008101</v>
      </c>
      <c r="L1584" t="s">
        <v>834</v>
      </c>
      <c r="AC1584" t="s">
        <v>1525</v>
      </c>
    </row>
    <row r="1585" spans="2:29" x14ac:dyDescent="0.25">
      <c r="C1585">
        <v>41217697</v>
      </c>
      <c r="D1585" t="s">
        <v>982</v>
      </c>
      <c r="E1585">
        <v>6</v>
      </c>
      <c r="J1585">
        <v>0.99</v>
      </c>
      <c r="K1585">
        <v>2.5212005717008101</v>
      </c>
      <c r="L1585" t="s">
        <v>834</v>
      </c>
      <c r="AC1585" t="s">
        <v>1526</v>
      </c>
    </row>
    <row r="1586" spans="2:29" x14ac:dyDescent="0.25">
      <c r="C1586">
        <v>41217938</v>
      </c>
      <c r="D1586" t="s">
        <v>983</v>
      </c>
      <c r="E1586">
        <v>150</v>
      </c>
      <c r="J1586">
        <v>3148.5</v>
      </c>
      <c r="K1586">
        <v>2.5212005717008101</v>
      </c>
      <c r="L1586" t="s">
        <v>834</v>
      </c>
      <c r="AC1586" t="s">
        <v>1527</v>
      </c>
    </row>
    <row r="1587" spans="2:29" x14ac:dyDescent="0.25">
      <c r="C1587">
        <v>41217265</v>
      </c>
      <c r="D1587" t="s">
        <v>985</v>
      </c>
      <c r="E1587">
        <v>3148</v>
      </c>
      <c r="AC1587" t="s">
        <v>1529</v>
      </c>
    </row>
    <row r="1588" spans="2:29" x14ac:dyDescent="0.25">
      <c r="B1588">
        <v>8010061705028580</v>
      </c>
      <c r="C1588">
        <v>41218857</v>
      </c>
      <c r="D1588" t="s">
        <v>500</v>
      </c>
      <c r="E1588">
        <v>6000</v>
      </c>
      <c r="G1588" t="s">
        <v>117</v>
      </c>
      <c r="H1588">
        <v>55</v>
      </c>
      <c r="I1588">
        <v>0.27</v>
      </c>
      <c r="J1588">
        <v>0.27</v>
      </c>
      <c r="K1588">
        <v>1</v>
      </c>
      <c r="L1588" t="s">
        <v>834</v>
      </c>
      <c r="AC1588" t="s">
        <v>2131</v>
      </c>
    </row>
    <row r="1589" spans="2:29" x14ac:dyDescent="0.25">
      <c r="C1589">
        <v>41217871</v>
      </c>
      <c r="D1589" t="s">
        <v>987</v>
      </c>
      <c r="E1589">
        <v>6000</v>
      </c>
      <c r="J1589">
        <v>1620</v>
      </c>
      <c r="K1589">
        <v>1</v>
      </c>
      <c r="L1589" t="s">
        <v>834</v>
      </c>
      <c r="AC1589" t="s">
        <v>1531</v>
      </c>
    </row>
    <row r="1590" spans="2:29" x14ac:dyDescent="0.25">
      <c r="B1590">
        <v>1.00000050523944E+31</v>
      </c>
      <c r="C1590">
        <v>41218405</v>
      </c>
      <c r="D1590" t="s">
        <v>501</v>
      </c>
      <c r="E1590">
        <v>300</v>
      </c>
      <c r="G1590" t="s">
        <v>170</v>
      </c>
      <c r="H1590">
        <v>116</v>
      </c>
      <c r="I1590">
        <v>1.28</v>
      </c>
      <c r="J1590">
        <v>1.28</v>
      </c>
      <c r="K1590">
        <v>1</v>
      </c>
      <c r="L1590" t="s">
        <v>834</v>
      </c>
      <c r="AC1590" t="s">
        <v>1959</v>
      </c>
    </row>
    <row r="1591" spans="2:29" x14ac:dyDescent="0.25">
      <c r="C1591">
        <v>41217331</v>
      </c>
      <c r="D1591" t="s">
        <v>989</v>
      </c>
      <c r="E1591">
        <v>10</v>
      </c>
      <c r="G1591">
        <v>6800</v>
      </c>
      <c r="H1591">
        <v>139</v>
      </c>
      <c r="I1591">
        <v>94</v>
      </c>
      <c r="J1591">
        <v>384</v>
      </c>
      <c r="K1591">
        <v>4.0851063829787231</v>
      </c>
      <c r="L1591" t="s">
        <v>834</v>
      </c>
      <c r="AC1591" t="s">
        <v>1533</v>
      </c>
    </row>
    <row r="1592" spans="2:29" x14ac:dyDescent="0.25">
      <c r="C1592">
        <v>41217918</v>
      </c>
      <c r="D1592" t="s">
        <v>990</v>
      </c>
      <c r="E1592">
        <v>300</v>
      </c>
      <c r="J1592">
        <v>4</v>
      </c>
      <c r="K1592">
        <v>4.0851063829787231</v>
      </c>
      <c r="L1592" t="s">
        <v>834</v>
      </c>
      <c r="AC1592" t="s">
        <v>1534</v>
      </c>
    </row>
    <row r="1593" spans="2:29" x14ac:dyDescent="0.25">
      <c r="C1593">
        <v>41217334</v>
      </c>
      <c r="D1593" t="s">
        <v>991</v>
      </c>
      <c r="E1593">
        <v>10</v>
      </c>
      <c r="J1593">
        <v>940</v>
      </c>
      <c r="K1593">
        <v>4.0851063829787231</v>
      </c>
      <c r="L1593" t="s">
        <v>834</v>
      </c>
      <c r="AC1593" t="s">
        <v>1535</v>
      </c>
    </row>
    <row r="1594" spans="2:29" x14ac:dyDescent="0.25">
      <c r="C1594">
        <v>41217314</v>
      </c>
      <c r="D1594" t="s">
        <v>992</v>
      </c>
      <c r="E1594">
        <v>384</v>
      </c>
      <c r="AC1594" t="s">
        <v>1536</v>
      </c>
    </row>
    <row r="1595" spans="2:29" x14ac:dyDescent="0.25">
      <c r="C1595">
        <v>41217699</v>
      </c>
      <c r="D1595" t="s">
        <v>993</v>
      </c>
      <c r="E1595">
        <v>940</v>
      </c>
      <c r="AC1595" t="s">
        <v>1537</v>
      </c>
    </row>
    <row r="1596" spans="2:29" x14ac:dyDescent="0.25">
      <c r="B1596">
        <v>8.0100617050285797E+36</v>
      </c>
      <c r="C1596">
        <v>41218064</v>
      </c>
      <c r="D1596" t="s">
        <v>503</v>
      </c>
      <c r="E1596">
        <v>12000</v>
      </c>
      <c r="G1596" t="s">
        <v>113</v>
      </c>
      <c r="H1596">
        <v>50</v>
      </c>
      <c r="I1596">
        <v>0.25</v>
      </c>
      <c r="J1596">
        <v>0.25</v>
      </c>
      <c r="K1596">
        <v>1</v>
      </c>
      <c r="L1596" t="s">
        <v>834</v>
      </c>
      <c r="AC1596" t="s">
        <v>2132</v>
      </c>
    </row>
    <row r="1597" spans="2:29" x14ac:dyDescent="0.25">
      <c r="C1597">
        <v>41217864</v>
      </c>
      <c r="D1597" t="s">
        <v>995</v>
      </c>
      <c r="E1597">
        <v>3</v>
      </c>
      <c r="AC1597" t="s">
        <v>1539</v>
      </c>
    </row>
    <row r="1598" spans="2:29" x14ac:dyDescent="0.25">
      <c r="C1598">
        <v>41218090</v>
      </c>
      <c r="D1598" t="s">
        <v>996</v>
      </c>
      <c r="E1598">
        <v>12000</v>
      </c>
      <c r="AC1598" t="s">
        <v>1540</v>
      </c>
    </row>
    <row r="1599" spans="2:29" x14ac:dyDescent="0.25">
      <c r="C1599">
        <v>41217918</v>
      </c>
      <c r="D1599" t="s">
        <v>997</v>
      </c>
      <c r="E1599">
        <v>3</v>
      </c>
      <c r="AC1599" t="s">
        <v>1541</v>
      </c>
    </row>
    <row r="1600" spans="2:29" x14ac:dyDescent="0.25">
      <c r="B1600">
        <v>8010061705028580</v>
      </c>
      <c r="C1600">
        <v>41219432</v>
      </c>
      <c r="D1600" t="s">
        <v>508</v>
      </c>
      <c r="E1600">
        <v>1600</v>
      </c>
      <c r="G1600" t="s">
        <v>181</v>
      </c>
      <c r="H1600">
        <v>64</v>
      </c>
      <c r="I1600">
        <v>0.25</v>
      </c>
      <c r="J1600">
        <v>0.25</v>
      </c>
      <c r="K1600">
        <v>1</v>
      </c>
      <c r="L1600" t="s">
        <v>834</v>
      </c>
      <c r="AC1600" t="s">
        <v>1960</v>
      </c>
    </row>
    <row r="1601" spans="1:29" x14ac:dyDescent="0.25">
      <c r="C1601">
        <v>41217697</v>
      </c>
      <c r="D1601" t="s">
        <v>999</v>
      </c>
      <c r="E1601">
        <v>1600</v>
      </c>
      <c r="AC1601" t="s">
        <v>1543</v>
      </c>
    </row>
    <row r="1602" spans="1:29" x14ac:dyDescent="0.25">
      <c r="B1602">
        <v>8010061705028580</v>
      </c>
      <c r="C1602">
        <v>41219377</v>
      </c>
      <c r="D1602" t="s">
        <v>507</v>
      </c>
      <c r="E1602">
        <v>1400</v>
      </c>
      <c r="G1602" t="s">
        <v>133</v>
      </c>
      <c r="H1602">
        <v>44</v>
      </c>
      <c r="I1602">
        <v>0.25</v>
      </c>
      <c r="J1602">
        <v>0.25</v>
      </c>
      <c r="K1602">
        <v>1</v>
      </c>
      <c r="L1602" t="s">
        <v>834</v>
      </c>
      <c r="AC1602" t="s">
        <v>2133</v>
      </c>
    </row>
    <row r="1603" spans="1:29" x14ac:dyDescent="0.25">
      <c r="C1603">
        <v>41218164</v>
      </c>
      <c r="D1603" t="s">
        <v>1001</v>
      </c>
      <c r="E1603">
        <v>5600</v>
      </c>
      <c r="G1603" t="s">
        <v>149</v>
      </c>
      <c r="H1603">
        <v>127</v>
      </c>
      <c r="I1603">
        <v>1.7</v>
      </c>
      <c r="J1603">
        <v>1400</v>
      </c>
      <c r="K1603">
        <v>823.52941176470586</v>
      </c>
      <c r="L1603" t="s">
        <v>834</v>
      </c>
      <c r="AC1603" t="s">
        <v>1545</v>
      </c>
    </row>
    <row r="1604" spans="1:29" x14ac:dyDescent="0.25">
      <c r="C1604">
        <v>41217485</v>
      </c>
      <c r="D1604" t="s">
        <v>1002</v>
      </c>
      <c r="E1604">
        <v>760</v>
      </c>
      <c r="J1604">
        <v>1.7</v>
      </c>
      <c r="K1604">
        <v>823.52941176470586</v>
      </c>
      <c r="L1604" t="s">
        <v>834</v>
      </c>
      <c r="AC1604" t="s">
        <v>1546</v>
      </c>
    </row>
    <row r="1605" spans="1:29" x14ac:dyDescent="0.25">
      <c r="C1605">
        <v>41217006</v>
      </c>
      <c r="D1605" t="s">
        <v>1003</v>
      </c>
      <c r="E1605">
        <v>5600</v>
      </c>
      <c r="J1605">
        <v>1292</v>
      </c>
      <c r="K1605">
        <v>823.52941176470586</v>
      </c>
      <c r="L1605" t="s">
        <v>834</v>
      </c>
      <c r="AC1605" t="s">
        <v>1547</v>
      </c>
    </row>
    <row r="1606" spans="1:29" x14ac:dyDescent="0.25">
      <c r="C1606">
        <v>41218164</v>
      </c>
      <c r="D1606" t="s">
        <v>1004</v>
      </c>
      <c r="E1606">
        <v>760</v>
      </c>
      <c r="AC1606" t="s">
        <v>1548</v>
      </c>
    </row>
    <row r="1607" spans="1:29" x14ac:dyDescent="0.25">
      <c r="B1607">
        <v>8010061705028580</v>
      </c>
      <c r="C1607">
        <v>41219444</v>
      </c>
      <c r="D1607" t="s">
        <v>506</v>
      </c>
      <c r="E1607">
        <v>940</v>
      </c>
      <c r="G1607">
        <v>6800</v>
      </c>
      <c r="H1607">
        <v>126</v>
      </c>
      <c r="I1607">
        <v>1.78</v>
      </c>
      <c r="J1607">
        <v>1.78</v>
      </c>
      <c r="K1607">
        <v>1</v>
      </c>
      <c r="L1607" t="s">
        <v>834</v>
      </c>
      <c r="AC1607" t="s">
        <v>1961</v>
      </c>
    </row>
    <row r="1608" spans="1:29" x14ac:dyDescent="0.25">
      <c r="C1608">
        <v>41214312</v>
      </c>
      <c r="D1608" t="s">
        <v>1007</v>
      </c>
      <c r="E1608">
        <v>35</v>
      </c>
      <c r="I1608">
        <v>94</v>
      </c>
      <c r="J1608">
        <v>62.3</v>
      </c>
      <c r="K1608">
        <v>0.66276595744680844</v>
      </c>
      <c r="L1608" t="s">
        <v>834</v>
      </c>
      <c r="AC1608" t="s">
        <v>1550</v>
      </c>
    </row>
    <row r="1609" spans="1:29" x14ac:dyDescent="0.25">
      <c r="C1609">
        <v>41217222</v>
      </c>
      <c r="D1609" t="s">
        <v>1008</v>
      </c>
      <c r="E1609">
        <v>10</v>
      </c>
      <c r="J1609">
        <v>4</v>
      </c>
      <c r="K1609">
        <v>0.66276595744680844</v>
      </c>
      <c r="L1609" t="s">
        <v>834</v>
      </c>
      <c r="AC1609" t="s">
        <v>1551</v>
      </c>
    </row>
    <row r="1610" spans="1:29" x14ac:dyDescent="0.25">
      <c r="C1610">
        <v>41217679</v>
      </c>
      <c r="D1610" t="s">
        <v>1010</v>
      </c>
      <c r="E1610">
        <v>940</v>
      </c>
      <c r="J1610">
        <v>940</v>
      </c>
      <c r="K1610">
        <v>0.66276595744680844</v>
      </c>
      <c r="L1610" t="s">
        <v>834</v>
      </c>
      <c r="AC1610" t="s">
        <v>1552</v>
      </c>
    </row>
    <row r="1611" spans="1:29" x14ac:dyDescent="0.25">
      <c r="C1611">
        <v>41217700</v>
      </c>
      <c r="D1611" t="s">
        <v>1011</v>
      </c>
      <c r="E1611">
        <v>35</v>
      </c>
      <c r="AC1611" t="s">
        <v>1553</v>
      </c>
    </row>
    <row r="1612" spans="1:29" x14ac:dyDescent="0.25">
      <c r="C1612">
        <v>41217698</v>
      </c>
      <c r="D1612" t="s">
        <v>1012</v>
      </c>
      <c r="E1612">
        <v>10</v>
      </c>
      <c r="AC1612" t="s">
        <v>1554</v>
      </c>
    </row>
    <row r="1613" spans="1:29" x14ac:dyDescent="0.25">
      <c r="A1613" t="s">
        <v>837</v>
      </c>
      <c r="B1613">
        <v>8010061705028580</v>
      </c>
      <c r="C1613">
        <v>41219000</v>
      </c>
      <c r="D1613" t="s">
        <v>510</v>
      </c>
      <c r="E1613">
        <v>670</v>
      </c>
      <c r="G1613">
        <v>6001</v>
      </c>
      <c r="H1613">
        <v>74</v>
      </c>
      <c r="I1613">
        <v>7.94</v>
      </c>
      <c r="J1613">
        <v>5319.8</v>
      </c>
      <c r="K1613">
        <v>670</v>
      </c>
      <c r="AC1613" t="s">
        <v>2134</v>
      </c>
    </row>
    <row r="1614" spans="1:29" x14ac:dyDescent="0.25">
      <c r="C1614">
        <v>41217698</v>
      </c>
      <c r="D1614" t="s">
        <v>1014</v>
      </c>
      <c r="E1614">
        <v>670</v>
      </c>
      <c r="AC1614" t="s">
        <v>1556</v>
      </c>
    </row>
    <row r="1615" spans="1:29" x14ac:dyDescent="0.25">
      <c r="B1615">
        <v>1.00000050523944E+31</v>
      </c>
      <c r="C1615">
        <v>41219432</v>
      </c>
      <c r="D1615" t="s">
        <v>515</v>
      </c>
      <c r="E1615">
        <v>1600</v>
      </c>
      <c r="G1615" t="s">
        <v>181</v>
      </c>
      <c r="H1615">
        <v>91</v>
      </c>
      <c r="J1615">
        <v>0.25</v>
      </c>
      <c r="L1615" t="s">
        <v>834</v>
      </c>
      <c r="AC1615" t="s">
        <v>1962</v>
      </c>
    </row>
    <row r="1616" spans="1:29" x14ac:dyDescent="0.25">
      <c r="C1616">
        <v>41218145</v>
      </c>
      <c r="D1616" t="s">
        <v>1016</v>
      </c>
      <c r="E1616">
        <v>1600</v>
      </c>
      <c r="AC1616" t="s">
        <v>1558</v>
      </c>
    </row>
    <row r="1617" spans="2:29" x14ac:dyDescent="0.25">
      <c r="B1617">
        <v>1.00000050523944E+32</v>
      </c>
      <c r="C1617">
        <v>41219042</v>
      </c>
      <c r="D1617" t="s">
        <v>516</v>
      </c>
      <c r="E1617">
        <v>1000</v>
      </c>
      <c r="G1617" t="s">
        <v>174</v>
      </c>
      <c r="H1617">
        <v>96</v>
      </c>
      <c r="J1617">
        <v>0.56000000000000005</v>
      </c>
      <c r="L1617" t="s">
        <v>834</v>
      </c>
      <c r="AC1617" t="s">
        <v>1963</v>
      </c>
    </row>
    <row r="1618" spans="2:29" x14ac:dyDescent="0.25">
      <c r="C1618">
        <v>41217314</v>
      </c>
      <c r="D1618" t="s">
        <v>1018</v>
      </c>
      <c r="E1618">
        <v>288</v>
      </c>
      <c r="G1618" t="s">
        <v>146</v>
      </c>
      <c r="H1618">
        <v>119</v>
      </c>
      <c r="J1618">
        <v>1.7</v>
      </c>
      <c r="L1618" t="s">
        <v>834</v>
      </c>
      <c r="AC1618" t="s">
        <v>1560</v>
      </c>
    </row>
    <row r="1619" spans="2:29" x14ac:dyDescent="0.25">
      <c r="C1619">
        <v>41217696</v>
      </c>
      <c r="D1619" t="s">
        <v>1019</v>
      </c>
      <c r="E1619">
        <v>1000</v>
      </c>
      <c r="AC1619" t="s">
        <v>1561</v>
      </c>
    </row>
    <row r="1620" spans="2:29" x14ac:dyDescent="0.25">
      <c r="C1620">
        <v>41217180</v>
      </c>
      <c r="D1620" t="s">
        <v>1020</v>
      </c>
      <c r="E1620">
        <v>288</v>
      </c>
      <c r="AC1620" t="s">
        <v>1562</v>
      </c>
    </row>
    <row r="1621" spans="2:29" x14ac:dyDescent="0.25">
      <c r="B1621">
        <v>1.00000050523944E+31</v>
      </c>
      <c r="C1621">
        <v>41219002</v>
      </c>
      <c r="D1621" t="s">
        <v>517</v>
      </c>
      <c r="E1621">
        <v>700</v>
      </c>
      <c r="G1621">
        <v>6001</v>
      </c>
      <c r="H1621">
        <v>90</v>
      </c>
      <c r="J1621">
        <v>7.94</v>
      </c>
      <c r="L1621" t="s">
        <v>834</v>
      </c>
      <c r="AC1621" t="s">
        <v>1964</v>
      </c>
    </row>
    <row r="1622" spans="2:29" x14ac:dyDescent="0.25">
      <c r="C1622">
        <v>41217265</v>
      </c>
      <c r="D1622" t="s">
        <v>1024</v>
      </c>
      <c r="E1622">
        <v>700</v>
      </c>
      <c r="AC1622" t="s">
        <v>1566</v>
      </c>
    </row>
    <row r="1623" spans="2:29" x14ac:dyDescent="0.25">
      <c r="B1623">
        <v>1.00000050523944E+31</v>
      </c>
      <c r="C1623">
        <v>41219444</v>
      </c>
      <c r="D1623" t="s">
        <v>514</v>
      </c>
      <c r="E1623">
        <v>40</v>
      </c>
      <c r="G1623">
        <v>6885</v>
      </c>
      <c r="H1623">
        <v>86</v>
      </c>
      <c r="J1623">
        <v>1.78</v>
      </c>
      <c r="L1623" t="s">
        <v>834</v>
      </c>
      <c r="AC1623" t="s">
        <v>1965</v>
      </c>
    </row>
    <row r="1624" spans="2:29" x14ac:dyDescent="0.25">
      <c r="C1624">
        <v>41217223</v>
      </c>
      <c r="D1624" t="s">
        <v>1029</v>
      </c>
      <c r="E1624">
        <v>40</v>
      </c>
      <c r="AC1624" t="s">
        <v>1570</v>
      </c>
    </row>
    <row r="1625" spans="2:29" x14ac:dyDescent="0.25">
      <c r="B1625">
        <v>1.00000050523944E+31</v>
      </c>
      <c r="C1625">
        <v>41219744</v>
      </c>
      <c r="D1625" t="s">
        <v>520</v>
      </c>
      <c r="E1625">
        <v>36</v>
      </c>
      <c r="G1625" t="s">
        <v>177</v>
      </c>
      <c r="H1625">
        <v>70</v>
      </c>
      <c r="I1625">
        <v>3.8</v>
      </c>
      <c r="J1625">
        <v>136.80000000000001</v>
      </c>
      <c r="K1625">
        <v>36.000000000000007</v>
      </c>
      <c r="L1625" t="s">
        <v>834</v>
      </c>
      <c r="AC1625" t="s">
        <v>2135</v>
      </c>
    </row>
    <row r="1626" spans="2:29" x14ac:dyDescent="0.25">
      <c r="C1626">
        <v>41217698</v>
      </c>
      <c r="D1626" t="s">
        <v>1030</v>
      </c>
      <c r="E1626">
        <v>36</v>
      </c>
      <c r="AC1626" t="s">
        <v>1571</v>
      </c>
    </row>
    <row r="1627" spans="2:29" x14ac:dyDescent="0.25">
      <c r="B1627">
        <v>8010061705028580</v>
      </c>
      <c r="C1627">
        <v>41218064</v>
      </c>
      <c r="D1627" t="s">
        <v>529</v>
      </c>
      <c r="E1627">
        <v>12000</v>
      </c>
      <c r="G1627" t="s">
        <v>113</v>
      </c>
      <c r="H1627">
        <v>67</v>
      </c>
      <c r="I1627">
        <v>0.25</v>
      </c>
      <c r="J1627">
        <v>0.25</v>
      </c>
      <c r="K1627">
        <v>1</v>
      </c>
      <c r="L1627" t="s">
        <v>834</v>
      </c>
      <c r="AC1627" t="s">
        <v>1966</v>
      </c>
    </row>
    <row r="1628" spans="2:29" x14ac:dyDescent="0.25">
      <c r="C1628">
        <v>41217679</v>
      </c>
      <c r="D1628" t="s">
        <v>1031</v>
      </c>
      <c r="E1628">
        <v>3</v>
      </c>
      <c r="J1628">
        <v>3000</v>
      </c>
      <c r="K1628">
        <v>1</v>
      </c>
      <c r="L1628" t="s">
        <v>834</v>
      </c>
      <c r="AC1628" t="s">
        <v>1573</v>
      </c>
    </row>
    <row r="1629" spans="2:29" x14ac:dyDescent="0.25">
      <c r="C1629">
        <v>41217679</v>
      </c>
      <c r="D1629" t="s">
        <v>1031</v>
      </c>
      <c r="E1629">
        <v>12000</v>
      </c>
      <c r="AC1629" t="s">
        <v>1574</v>
      </c>
    </row>
    <row r="1630" spans="2:29" x14ac:dyDescent="0.25">
      <c r="C1630">
        <v>41217698</v>
      </c>
      <c r="D1630" t="s">
        <v>1032</v>
      </c>
      <c r="E1630">
        <v>3</v>
      </c>
      <c r="AC1630" t="s">
        <v>1575</v>
      </c>
    </row>
    <row r="1631" spans="2:29" x14ac:dyDescent="0.25">
      <c r="B1631">
        <v>4.8010061705028496E+16</v>
      </c>
      <c r="C1631">
        <v>41219425</v>
      </c>
      <c r="D1631" t="s">
        <v>521</v>
      </c>
      <c r="E1631">
        <v>3000</v>
      </c>
      <c r="G1631" t="s">
        <v>133</v>
      </c>
      <c r="H1631">
        <v>60</v>
      </c>
      <c r="I1631">
        <v>0.25</v>
      </c>
      <c r="J1631">
        <v>3000</v>
      </c>
      <c r="K1631">
        <v>12000</v>
      </c>
      <c r="L1631" t="s">
        <v>834</v>
      </c>
      <c r="AC1631" t="s">
        <v>2136</v>
      </c>
    </row>
    <row r="1632" spans="2:29" x14ac:dyDescent="0.25">
      <c r="C1632">
        <v>41217702</v>
      </c>
      <c r="D1632" t="s">
        <v>1033</v>
      </c>
      <c r="E1632">
        <v>3000</v>
      </c>
      <c r="G1632">
        <v>81066</v>
      </c>
      <c r="H1632">
        <v>145</v>
      </c>
      <c r="I1632">
        <v>11.75</v>
      </c>
      <c r="J1632">
        <v>1.75</v>
      </c>
      <c r="K1632">
        <v>0.14893617021276595</v>
      </c>
      <c r="L1632" t="s">
        <v>834</v>
      </c>
      <c r="AC1632" t="s">
        <v>1577</v>
      </c>
    </row>
    <row r="1633" spans="2:29" x14ac:dyDescent="0.25">
      <c r="C1633">
        <v>41217866</v>
      </c>
      <c r="D1633" t="s">
        <v>1034</v>
      </c>
      <c r="E1633">
        <v>12000</v>
      </c>
      <c r="J1633">
        <v>23.5</v>
      </c>
      <c r="K1633">
        <v>0.14893617021276595</v>
      </c>
      <c r="L1633" t="s">
        <v>834</v>
      </c>
      <c r="AC1633" t="s">
        <v>1578</v>
      </c>
    </row>
    <row r="1634" spans="2:29" x14ac:dyDescent="0.25">
      <c r="C1634">
        <v>41217918</v>
      </c>
      <c r="D1634" t="s">
        <v>1035</v>
      </c>
      <c r="E1634">
        <v>2</v>
      </c>
      <c r="AC1634" t="s">
        <v>1579</v>
      </c>
    </row>
    <row r="1635" spans="2:29" x14ac:dyDescent="0.25">
      <c r="C1635">
        <v>41217006</v>
      </c>
      <c r="D1635" t="s">
        <v>1036</v>
      </c>
      <c r="E1635">
        <v>12000</v>
      </c>
      <c r="AC1635" t="s">
        <v>1580</v>
      </c>
    </row>
    <row r="1636" spans="2:29" x14ac:dyDescent="0.25">
      <c r="C1636">
        <v>41217485</v>
      </c>
      <c r="D1636" t="s">
        <v>1037</v>
      </c>
      <c r="E1636">
        <v>2</v>
      </c>
      <c r="AC1636" t="s">
        <v>1581</v>
      </c>
    </row>
    <row r="1637" spans="2:29" x14ac:dyDescent="0.25">
      <c r="B1637">
        <v>8.0100617050285795E+23</v>
      </c>
      <c r="C1637">
        <v>41218860</v>
      </c>
      <c r="D1637" t="s">
        <v>522</v>
      </c>
      <c r="E1637">
        <v>2</v>
      </c>
      <c r="G1637" t="s">
        <v>193</v>
      </c>
      <c r="H1637">
        <v>42</v>
      </c>
      <c r="I1637">
        <v>0.87</v>
      </c>
      <c r="J1637">
        <v>0.87</v>
      </c>
      <c r="K1637">
        <v>1</v>
      </c>
      <c r="L1637" t="s">
        <v>834</v>
      </c>
      <c r="AC1637" t="s">
        <v>1968</v>
      </c>
    </row>
    <row r="1638" spans="2:29" x14ac:dyDescent="0.25">
      <c r="C1638">
        <v>41217331</v>
      </c>
      <c r="D1638" t="s">
        <v>1039</v>
      </c>
      <c r="E1638">
        <v>120</v>
      </c>
      <c r="G1638" t="s">
        <v>212</v>
      </c>
      <c r="H1638">
        <v>75</v>
      </c>
      <c r="I1638">
        <v>1.45</v>
      </c>
      <c r="J1638">
        <v>1.45</v>
      </c>
      <c r="K1638">
        <v>1</v>
      </c>
      <c r="L1638" t="s">
        <v>834</v>
      </c>
      <c r="AC1638" t="s">
        <v>1583</v>
      </c>
    </row>
    <row r="1639" spans="2:29" x14ac:dyDescent="0.25">
      <c r="C1639">
        <v>41217699</v>
      </c>
      <c r="D1639" t="s">
        <v>1041</v>
      </c>
      <c r="E1639">
        <v>120</v>
      </c>
      <c r="G1639">
        <v>6001</v>
      </c>
      <c r="H1639">
        <v>96</v>
      </c>
      <c r="I1639">
        <v>3.97</v>
      </c>
      <c r="J1639">
        <v>3.97</v>
      </c>
      <c r="K1639">
        <v>1</v>
      </c>
      <c r="L1639" t="s">
        <v>834</v>
      </c>
      <c r="AC1639" t="s">
        <v>1585</v>
      </c>
    </row>
    <row r="1640" spans="2:29" x14ac:dyDescent="0.25">
      <c r="C1640">
        <v>41217336</v>
      </c>
      <c r="D1640" t="s">
        <v>1042</v>
      </c>
      <c r="E1640">
        <v>2</v>
      </c>
      <c r="AC1640" t="s">
        <v>1586</v>
      </c>
    </row>
    <row r="1641" spans="2:29" x14ac:dyDescent="0.25">
      <c r="C1641">
        <v>41217697</v>
      </c>
      <c r="D1641" t="s">
        <v>1043</v>
      </c>
      <c r="E1641">
        <v>120</v>
      </c>
      <c r="AC1641" t="s">
        <v>1587</v>
      </c>
    </row>
    <row r="1642" spans="2:29" x14ac:dyDescent="0.25">
      <c r="C1642">
        <v>41217866</v>
      </c>
      <c r="D1642" t="s">
        <v>1045</v>
      </c>
      <c r="E1642">
        <v>120</v>
      </c>
      <c r="AC1642" t="s">
        <v>1588</v>
      </c>
    </row>
    <row r="1643" spans="2:29" x14ac:dyDescent="0.25">
      <c r="B1643">
        <v>8010061705028580</v>
      </c>
      <c r="C1643">
        <v>41218405</v>
      </c>
      <c r="D1643" t="s">
        <v>523</v>
      </c>
      <c r="E1643">
        <v>384</v>
      </c>
      <c r="G1643" t="s">
        <v>170</v>
      </c>
      <c r="H1643">
        <v>109</v>
      </c>
      <c r="I1643">
        <v>1.28</v>
      </c>
      <c r="J1643">
        <v>1.28</v>
      </c>
      <c r="K1643">
        <v>1</v>
      </c>
      <c r="L1643" t="s">
        <v>834</v>
      </c>
      <c r="AC1643" t="s">
        <v>1969</v>
      </c>
    </row>
    <row r="1644" spans="2:29" x14ac:dyDescent="0.25">
      <c r="C1644">
        <v>41217698</v>
      </c>
      <c r="D1644" t="s">
        <v>1047</v>
      </c>
      <c r="E1644">
        <v>940</v>
      </c>
      <c r="G1644">
        <v>6800</v>
      </c>
      <c r="H1644">
        <v>132</v>
      </c>
      <c r="I1644">
        <v>94</v>
      </c>
      <c r="J1644">
        <v>384</v>
      </c>
      <c r="K1644">
        <v>4.0851063829787231</v>
      </c>
      <c r="L1644" t="s">
        <v>834</v>
      </c>
      <c r="AC1644" t="s">
        <v>1590</v>
      </c>
    </row>
    <row r="1645" spans="2:29" x14ac:dyDescent="0.25">
      <c r="C1645">
        <v>41217696</v>
      </c>
      <c r="D1645" t="s">
        <v>1048</v>
      </c>
      <c r="E1645">
        <v>384</v>
      </c>
      <c r="J1645">
        <v>4</v>
      </c>
      <c r="K1645">
        <v>4.0851063829787231</v>
      </c>
      <c r="L1645" t="s">
        <v>834</v>
      </c>
      <c r="AC1645" t="s">
        <v>1591</v>
      </c>
    </row>
    <row r="1646" spans="2:29" x14ac:dyDescent="0.25">
      <c r="C1646">
        <v>41217334</v>
      </c>
      <c r="D1646" t="s">
        <v>1049</v>
      </c>
      <c r="E1646">
        <v>300</v>
      </c>
      <c r="J1646">
        <v>940</v>
      </c>
      <c r="K1646">
        <v>4.0851063829787231</v>
      </c>
      <c r="L1646" t="s">
        <v>834</v>
      </c>
      <c r="AC1646" t="s">
        <v>1592</v>
      </c>
    </row>
    <row r="1647" spans="2:29" x14ac:dyDescent="0.25">
      <c r="C1647">
        <v>41217485</v>
      </c>
      <c r="D1647" t="s">
        <v>1050</v>
      </c>
      <c r="E1647">
        <v>10</v>
      </c>
      <c r="AC1647" t="s">
        <v>1593</v>
      </c>
    </row>
    <row r="1648" spans="2:29" x14ac:dyDescent="0.25">
      <c r="C1648">
        <v>41217702</v>
      </c>
      <c r="D1648" t="s">
        <v>1051</v>
      </c>
      <c r="E1648">
        <v>300</v>
      </c>
      <c r="AC1648" t="s">
        <v>1594</v>
      </c>
    </row>
    <row r="1649" spans="2:29" x14ac:dyDescent="0.25">
      <c r="C1649">
        <v>41217331</v>
      </c>
      <c r="D1649" t="s">
        <v>1052</v>
      </c>
      <c r="E1649">
        <v>10</v>
      </c>
      <c r="AC1649" t="s">
        <v>1595</v>
      </c>
    </row>
    <row r="1650" spans="2:29" x14ac:dyDescent="0.25">
      <c r="B1650">
        <v>8010061705028580</v>
      </c>
      <c r="C1650">
        <v>41219252</v>
      </c>
      <c r="D1650" t="s">
        <v>524</v>
      </c>
      <c r="E1650">
        <v>2500</v>
      </c>
      <c r="G1650" t="s">
        <v>156</v>
      </c>
      <c r="H1650">
        <v>59</v>
      </c>
      <c r="I1650">
        <v>0.33</v>
      </c>
      <c r="J1650">
        <v>0.33</v>
      </c>
      <c r="K1650">
        <v>1</v>
      </c>
      <c r="L1650" t="s">
        <v>834</v>
      </c>
      <c r="AC1650" t="s">
        <v>1970</v>
      </c>
    </row>
    <row r="1651" spans="2:29" x14ac:dyDescent="0.25">
      <c r="C1651">
        <v>41217223</v>
      </c>
      <c r="D1651" t="s">
        <v>1054</v>
      </c>
      <c r="E1651">
        <v>825</v>
      </c>
      <c r="J1651">
        <v>825</v>
      </c>
      <c r="K1651">
        <v>1</v>
      </c>
      <c r="L1651" t="s">
        <v>834</v>
      </c>
      <c r="AC1651" t="s">
        <v>1597</v>
      </c>
    </row>
    <row r="1652" spans="2:29" x14ac:dyDescent="0.25">
      <c r="C1652">
        <v>41217265</v>
      </c>
      <c r="D1652" t="s">
        <v>1055</v>
      </c>
      <c r="E1652">
        <v>2500</v>
      </c>
      <c r="AC1652" t="s">
        <v>1598</v>
      </c>
    </row>
    <row r="1653" spans="2:29" x14ac:dyDescent="0.25">
      <c r="C1653">
        <v>41217180</v>
      </c>
      <c r="D1653" t="s">
        <v>1056</v>
      </c>
      <c r="E1653">
        <v>825</v>
      </c>
      <c r="AC1653" t="s">
        <v>1599</v>
      </c>
    </row>
    <row r="1654" spans="2:29" x14ac:dyDescent="0.25">
      <c r="B1654">
        <v>8010061705028580</v>
      </c>
      <c r="C1654">
        <v>41218896</v>
      </c>
      <c r="D1654" t="s">
        <v>525</v>
      </c>
      <c r="E1654">
        <v>6</v>
      </c>
      <c r="G1654">
        <v>6200</v>
      </c>
      <c r="H1654">
        <v>110</v>
      </c>
      <c r="I1654">
        <v>8.82</v>
      </c>
      <c r="J1654">
        <v>52.92</v>
      </c>
      <c r="K1654">
        <v>6</v>
      </c>
      <c r="AC1654" t="s">
        <v>2137</v>
      </c>
    </row>
    <row r="1655" spans="2:29" x14ac:dyDescent="0.25">
      <c r="C1655">
        <v>41218362</v>
      </c>
      <c r="D1655" t="s">
        <v>1059</v>
      </c>
      <c r="E1655">
        <v>150</v>
      </c>
      <c r="G1655" t="s">
        <v>163</v>
      </c>
      <c r="H1655">
        <v>133</v>
      </c>
      <c r="I1655">
        <v>20.99</v>
      </c>
      <c r="J1655">
        <v>0.99</v>
      </c>
      <c r="K1655">
        <v>4.7165316817532159E-2</v>
      </c>
      <c r="L1655" t="s">
        <v>834</v>
      </c>
      <c r="AC1655" t="s">
        <v>1601</v>
      </c>
    </row>
    <row r="1656" spans="2:29" x14ac:dyDescent="0.25">
      <c r="C1656">
        <v>41217699</v>
      </c>
      <c r="D1656" t="s">
        <v>1060</v>
      </c>
      <c r="E1656">
        <v>6</v>
      </c>
      <c r="J1656">
        <v>3148.5</v>
      </c>
      <c r="K1656">
        <v>4.7165316817532159E-2</v>
      </c>
      <c r="L1656" t="s">
        <v>834</v>
      </c>
      <c r="AC1656" t="s">
        <v>1602</v>
      </c>
    </row>
    <row r="1657" spans="2:29" x14ac:dyDescent="0.25">
      <c r="C1657">
        <v>41217864</v>
      </c>
      <c r="D1657" t="s">
        <v>1061</v>
      </c>
      <c r="E1657">
        <v>150</v>
      </c>
      <c r="J1657">
        <v>8.82</v>
      </c>
      <c r="K1657">
        <v>4.7165316817532159E-2</v>
      </c>
      <c r="L1657" t="s">
        <v>834</v>
      </c>
      <c r="AC1657" t="s">
        <v>1603</v>
      </c>
    </row>
    <row r="1658" spans="2:29" x14ac:dyDescent="0.25">
      <c r="B1658">
        <v>8010061705028580</v>
      </c>
      <c r="C1658">
        <v>41219694</v>
      </c>
      <c r="D1658" t="s">
        <v>526</v>
      </c>
      <c r="E1658">
        <v>408</v>
      </c>
      <c r="G1658" t="s">
        <v>143</v>
      </c>
      <c r="H1658">
        <v>60</v>
      </c>
      <c r="I1658">
        <v>3.4</v>
      </c>
      <c r="J1658">
        <v>3.4</v>
      </c>
      <c r="K1658">
        <v>1</v>
      </c>
      <c r="L1658" t="s">
        <v>834</v>
      </c>
      <c r="AC1658" t="s">
        <v>1971</v>
      </c>
    </row>
    <row r="1659" spans="2:29" x14ac:dyDescent="0.25">
      <c r="C1659">
        <v>41217679</v>
      </c>
      <c r="D1659" t="s">
        <v>1063</v>
      </c>
      <c r="E1659">
        <v>204</v>
      </c>
      <c r="G1659" t="s">
        <v>138</v>
      </c>
      <c r="H1659">
        <v>166</v>
      </c>
      <c r="I1659">
        <v>3.4</v>
      </c>
      <c r="J1659">
        <v>408</v>
      </c>
      <c r="K1659">
        <v>120</v>
      </c>
      <c r="L1659" t="s">
        <v>834</v>
      </c>
      <c r="AC1659" t="s">
        <v>1605</v>
      </c>
    </row>
    <row r="1660" spans="2:29" x14ac:dyDescent="0.25">
      <c r="C1660">
        <v>41218064</v>
      </c>
      <c r="D1660" t="s">
        <v>1064</v>
      </c>
      <c r="E1660">
        <v>408</v>
      </c>
      <c r="G1660" t="s">
        <v>141</v>
      </c>
      <c r="H1660">
        <v>193</v>
      </c>
      <c r="I1660">
        <v>3.4</v>
      </c>
      <c r="J1660">
        <v>3.4</v>
      </c>
      <c r="K1660">
        <v>1</v>
      </c>
      <c r="L1660" t="s">
        <v>834</v>
      </c>
      <c r="AC1660" t="s">
        <v>1606</v>
      </c>
    </row>
    <row r="1661" spans="2:29" x14ac:dyDescent="0.25">
      <c r="C1661">
        <v>41217698</v>
      </c>
      <c r="D1661" t="s">
        <v>1065</v>
      </c>
      <c r="E1661">
        <v>204</v>
      </c>
      <c r="J1661">
        <v>204</v>
      </c>
      <c r="K1661">
        <v>1</v>
      </c>
      <c r="L1661" t="s">
        <v>834</v>
      </c>
      <c r="AC1661" t="s">
        <v>1607</v>
      </c>
    </row>
    <row r="1662" spans="2:29" x14ac:dyDescent="0.25">
      <c r="C1662">
        <v>41218164</v>
      </c>
      <c r="D1662" t="s">
        <v>1066</v>
      </c>
      <c r="E1662">
        <v>204</v>
      </c>
      <c r="J1662">
        <v>3.4</v>
      </c>
      <c r="K1662">
        <v>1</v>
      </c>
      <c r="L1662" t="s">
        <v>834</v>
      </c>
      <c r="AC1662" t="s">
        <v>1608</v>
      </c>
    </row>
    <row r="1663" spans="2:29" x14ac:dyDescent="0.25">
      <c r="C1663">
        <v>41217697</v>
      </c>
      <c r="D1663" t="s">
        <v>1067</v>
      </c>
      <c r="E1663">
        <v>120</v>
      </c>
      <c r="J1663">
        <v>204</v>
      </c>
      <c r="K1663">
        <v>1</v>
      </c>
      <c r="L1663" t="s">
        <v>834</v>
      </c>
      <c r="AC1663" t="s">
        <v>1609</v>
      </c>
    </row>
    <row r="1664" spans="2:29" x14ac:dyDescent="0.25">
      <c r="C1664">
        <v>41217222</v>
      </c>
      <c r="D1664" t="s">
        <v>1068</v>
      </c>
      <c r="E1664">
        <v>60</v>
      </c>
      <c r="AC1664" t="s">
        <v>1610</v>
      </c>
    </row>
    <row r="1665" spans="1:29" x14ac:dyDescent="0.25">
      <c r="E1665">
        <v>60</v>
      </c>
    </row>
    <row r="1666" spans="1:29" x14ac:dyDescent="0.25">
      <c r="E1666">
        <v>204</v>
      </c>
    </row>
    <row r="1667" spans="1:29" x14ac:dyDescent="0.25">
      <c r="E1667">
        <v>120</v>
      </c>
    </row>
    <row r="1668" spans="1:29" x14ac:dyDescent="0.25">
      <c r="B1668">
        <v>8.0100617050285802E+28</v>
      </c>
      <c r="C1668">
        <v>41217314</v>
      </c>
      <c r="D1668" t="s">
        <v>527</v>
      </c>
      <c r="E1668">
        <v>204</v>
      </c>
      <c r="G1668" t="s">
        <v>150</v>
      </c>
      <c r="H1668">
        <v>46</v>
      </c>
      <c r="I1668">
        <v>1.7</v>
      </c>
      <c r="J1668">
        <v>204</v>
      </c>
      <c r="K1668">
        <v>120</v>
      </c>
      <c r="L1668" t="s">
        <v>834</v>
      </c>
      <c r="AC1668" t="s">
        <v>1972</v>
      </c>
    </row>
    <row r="1669" spans="1:29" x14ac:dyDescent="0.25">
      <c r="E1669">
        <v>204</v>
      </c>
    </row>
    <row r="1670" spans="1:29" x14ac:dyDescent="0.25">
      <c r="E1670">
        <v>120</v>
      </c>
    </row>
    <row r="1671" spans="1:29" x14ac:dyDescent="0.25">
      <c r="E1671">
        <v>120</v>
      </c>
    </row>
    <row r="1672" spans="1:29" x14ac:dyDescent="0.25">
      <c r="B1672">
        <v>8010061705028580</v>
      </c>
      <c r="C1672">
        <v>41218857</v>
      </c>
      <c r="D1672" t="s">
        <v>528</v>
      </c>
      <c r="E1672">
        <v>1620</v>
      </c>
      <c r="G1672" t="s">
        <v>117</v>
      </c>
      <c r="H1672">
        <v>44</v>
      </c>
      <c r="I1672">
        <v>0.27</v>
      </c>
      <c r="J1672">
        <v>1620</v>
      </c>
      <c r="K1672">
        <v>6000</v>
      </c>
      <c r="L1672" t="s">
        <v>834</v>
      </c>
      <c r="AC1672" t="s">
        <v>1973</v>
      </c>
    </row>
    <row r="1673" spans="1:29" x14ac:dyDescent="0.25">
      <c r="E1673">
        <v>1620</v>
      </c>
    </row>
    <row r="1674" spans="1:29" x14ac:dyDescent="0.25">
      <c r="E1674">
        <v>6000</v>
      </c>
    </row>
    <row r="1675" spans="1:29" x14ac:dyDescent="0.25">
      <c r="E1675">
        <v>6000</v>
      </c>
    </row>
    <row r="1676" spans="1:29" x14ac:dyDescent="0.25">
      <c r="A1676" t="s">
        <v>837</v>
      </c>
      <c r="B1676">
        <v>8.0124870001010104E+18</v>
      </c>
      <c r="C1676" t="s">
        <v>1244</v>
      </c>
      <c r="D1676" t="s">
        <v>1357</v>
      </c>
      <c r="E1676">
        <v>5000</v>
      </c>
      <c r="G1676" t="s">
        <v>152</v>
      </c>
      <c r="H1676">
        <v>88</v>
      </c>
      <c r="I1676">
        <v>2.1</v>
      </c>
      <c r="J1676">
        <v>2.1</v>
      </c>
      <c r="K1676">
        <v>1</v>
      </c>
      <c r="L1676" t="s">
        <v>834</v>
      </c>
      <c r="AC1676" t="s">
        <v>2138</v>
      </c>
    </row>
    <row r="1677" spans="1:29" x14ac:dyDescent="0.25">
      <c r="E1677">
        <v>5000</v>
      </c>
      <c r="J1677">
        <v>10500</v>
      </c>
      <c r="K1677">
        <v>1</v>
      </c>
      <c r="L1677" t="s">
        <v>834</v>
      </c>
    </row>
    <row r="1678" spans="1:29" x14ac:dyDescent="0.25">
      <c r="E1678">
        <v>10500</v>
      </c>
    </row>
    <row r="1679" spans="1:29" x14ac:dyDescent="0.25">
      <c r="B1679">
        <v>8.0100617050285796E+49</v>
      </c>
      <c r="C1679">
        <v>41218317</v>
      </c>
      <c r="D1679" t="s">
        <v>531</v>
      </c>
      <c r="E1679">
        <v>400</v>
      </c>
      <c r="G1679" t="s">
        <v>129</v>
      </c>
      <c r="H1679">
        <v>45</v>
      </c>
      <c r="I1679">
        <v>0.25</v>
      </c>
      <c r="J1679">
        <v>100</v>
      </c>
      <c r="K1679">
        <v>400</v>
      </c>
      <c r="AC1679" t="s">
        <v>1975</v>
      </c>
    </row>
    <row r="1680" spans="1:29" x14ac:dyDescent="0.25">
      <c r="E1680">
        <v>200</v>
      </c>
      <c r="G1680" t="s">
        <v>123</v>
      </c>
      <c r="H1680">
        <v>61</v>
      </c>
      <c r="I1680">
        <v>0.35</v>
      </c>
      <c r="J1680">
        <v>70</v>
      </c>
      <c r="K1680">
        <v>200</v>
      </c>
    </row>
    <row r="1681" spans="2:29" x14ac:dyDescent="0.25">
      <c r="E1681">
        <v>400</v>
      </c>
      <c r="G1681" t="s">
        <v>127</v>
      </c>
      <c r="H1681">
        <v>77</v>
      </c>
      <c r="I1681">
        <v>0.35</v>
      </c>
      <c r="J1681">
        <v>140</v>
      </c>
      <c r="K1681">
        <v>400</v>
      </c>
    </row>
    <row r="1682" spans="2:29" x14ac:dyDescent="0.25">
      <c r="E1682">
        <v>5500</v>
      </c>
      <c r="G1682" t="s">
        <v>131</v>
      </c>
      <c r="H1682">
        <v>96</v>
      </c>
      <c r="I1682">
        <v>0.25</v>
      </c>
      <c r="J1682">
        <v>1375</v>
      </c>
      <c r="K1682">
        <v>5500</v>
      </c>
    </row>
    <row r="1683" spans="2:29" x14ac:dyDescent="0.25">
      <c r="E1683">
        <v>400</v>
      </c>
      <c r="G1683" t="s">
        <v>129</v>
      </c>
      <c r="H1683">
        <v>474</v>
      </c>
    </row>
    <row r="1684" spans="2:29" x14ac:dyDescent="0.25">
      <c r="E1684">
        <v>200</v>
      </c>
      <c r="G1684" t="s">
        <v>123</v>
      </c>
      <c r="H1684">
        <v>489</v>
      </c>
    </row>
    <row r="1685" spans="2:29" x14ac:dyDescent="0.25">
      <c r="E1685">
        <v>400</v>
      </c>
    </row>
    <row r="1686" spans="2:29" x14ac:dyDescent="0.25">
      <c r="E1686">
        <v>5500</v>
      </c>
    </row>
    <row r="1687" spans="2:29" x14ac:dyDescent="0.25">
      <c r="B1687">
        <v>1.8010061705028501E+23</v>
      </c>
      <c r="C1687">
        <v>41219002</v>
      </c>
      <c r="D1687" t="s">
        <v>549</v>
      </c>
      <c r="E1687">
        <v>34</v>
      </c>
      <c r="G1687" t="s">
        <v>177</v>
      </c>
      <c r="H1687">
        <v>46</v>
      </c>
      <c r="I1687">
        <v>3.8</v>
      </c>
      <c r="J1687">
        <v>760</v>
      </c>
      <c r="K1687">
        <v>200</v>
      </c>
      <c r="L1687" t="s">
        <v>834</v>
      </c>
      <c r="AC1687" t="s">
        <v>1976</v>
      </c>
    </row>
    <row r="1688" spans="2:29" x14ac:dyDescent="0.25">
      <c r="E1688">
        <v>34</v>
      </c>
      <c r="G1688" t="s">
        <v>141</v>
      </c>
      <c r="H1688">
        <v>57</v>
      </c>
      <c r="I1688">
        <v>3.4</v>
      </c>
      <c r="J1688">
        <v>115.6</v>
      </c>
      <c r="K1688">
        <v>34</v>
      </c>
    </row>
    <row r="1689" spans="2:29" x14ac:dyDescent="0.25">
      <c r="B1689">
        <v>8.0100617050285805E+22</v>
      </c>
      <c r="C1689">
        <v>41219042</v>
      </c>
      <c r="D1689" t="s">
        <v>547</v>
      </c>
      <c r="E1689">
        <v>1000</v>
      </c>
      <c r="G1689" t="s">
        <v>174</v>
      </c>
      <c r="H1689">
        <v>55</v>
      </c>
      <c r="I1689">
        <v>0.56000000000000005</v>
      </c>
      <c r="J1689">
        <v>560</v>
      </c>
      <c r="K1689">
        <v>999.99999999999989</v>
      </c>
      <c r="L1689" t="s">
        <v>834</v>
      </c>
      <c r="AC1689" t="s">
        <v>1977</v>
      </c>
    </row>
    <row r="1690" spans="2:29" x14ac:dyDescent="0.25">
      <c r="E1690">
        <v>1000</v>
      </c>
    </row>
    <row r="1691" spans="2:29" x14ac:dyDescent="0.25">
      <c r="B1691">
        <v>8.0100617050285795E+23</v>
      </c>
      <c r="C1691">
        <v>41219444</v>
      </c>
      <c r="D1691" t="s">
        <v>546</v>
      </c>
      <c r="E1691">
        <v>10</v>
      </c>
      <c r="G1691">
        <v>6800</v>
      </c>
      <c r="H1691">
        <v>23</v>
      </c>
      <c r="I1691">
        <v>94</v>
      </c>
      <c r="J1691">
        <v>94</v>
      </c>
      <c r="K1691">
        <v>1</v>
      </c>
      <c r="L1691" t="s">
        <v>834</v>
      </c>
      <c r="AC1691" t="s">
        <v>1978</v>
      </c>
    </row>
    <row r="1692" spans="2:29" x14ac:dyDescent="0.25">
      <c r="E1692">
        <v>10</v>
      </c>
      <c r="G1692">
        <v>6800</v>
      </c>
      <c r="H1692">
        <v>365</v>
      </c>
    </row>
    <row r="1693" spans="2:29" x14ac:dyDescent="0.25">
      <c r="B1693">
        <v>8.0100617050285803E+24</v>
      </c>
      <c r="C1693">
        <v>41219377</v>
      </c>
      <c r="D1693" t="s">
        <v>545</v>
      </c>
      <c r="E1693">
        <v>1200</v>
      </c>
      <c r="G1693" t="s">
        <v>212</v>
      </c>
      <c r="H1693">
        <v>64</v>
      </c>
      <c r="I1693">
        <v>1.45</v>
      </c>
      <c r="J1693">
        <v>1.45</v>
      </c>
      <c r="K1693">
        <v>1</v>
      </c>
      <c r="L1693" t="s">
        <v>834</v>
      </c>
      <c r="AC1693" t="s">
        <v>1979</v>
      </c>
    </row>
    <row r="1694" spans="2:29" x14ac:dyDescent="0.25">
      <c r="E1694">
        <v>1200</v>
      </c>
      <c r="G1694" t="s">
        <v>212</v>
      </c>
      <c r="H1694">
        <v>386</v>
      </c>
    </row>
    <row r="1695" spans="2:29" x14ac:dyDescent="0.25">
      <c r="B1695">
        <v>8010061705028580</v>
      </c>
      <c r="C1695">
        <v>41219432</v>
      </c>
      <c r="D1695" t="s">
        <v>548</v>
      </c>
      <c r="E1695">
        <v>1600</v>
      </c>
      <c r="G1695" t="s">
        <v>181</v>
      </c>
      <c r="H1695">
        <v>23</v>
      </c>
      <c r="I1695">
        <v>0.25</v>
      </c>
      <c r="J1695">
        <v>400</v>
      </c>
      <c r="K1695">
        <v>1600</v>
      </c>
      <c r="AC1695" t="s">
        <v>1980</v>
      </c>
    </row>
    <row r="1696" spans="2:29" x14ac:dyDescent="0.25">
      <c r="E1696">
        <v>1600</v>
      </c>
    </row>
    <row r="1697" spans="2:29" x14ac:dyDescent="0.25">
      <c r="B1697">
        <v>8.0100617050285795E+23</v>
      </c>
      <c r="C1697">
        <v>41217695</v>
      </c>
      <c r="D1697" t="s">
        <v>544</v>
      </c>
      <c r="E1697">
        <v>14</v>
      </c>
      <c r="G1697" t="s">
        <v>62</v>
      </c>
      <c r="H1697">
        <v>38</v>
      </c>
      <c r="I1697">
        <v>13.99</v>
      </c>
      <c r="J1697">
        <v>139.9</v>
      </c>
      <c r="K1697">
        <v>10</v>
      </c>
      <c r="L1697" t="s">
        <v>834</v>
      </c>
      <c r="AC1697" t="s">
        <v>1981</v>
      </c>
    </row>
    <row r="1698" spans="2:29" x14ac:dyDescent="0.25">
      <c r="E1698">
        <v>15</v>
      </c>
      <c r="G1698" t="s">
        <v>62</v>
      </c>
      <c r="H1698">
        <v>46</v>
      </c>
      <c r="I1698">
        <v>13.99</v>
      </c>
      <c r="J1698">
        <v>139.9</v>
      </c>
      <c r="K1698">
        <v>10</v>
      </c>
      <c r="L1698" t="s">
        <v>834</v>
      </c>
    </row>
    <row r="1699" spans="2:29" x14ac:dyDescent="0.25">
      <c r="E1699">
        <v>5</v>
      </c>
      <c r="G1699" t="s">
        <v>227</v>
      </c>
      <c r="H1699">
        <v>54</v>
      </c>
      <c r="I1699">
        <v>13.99</v>
      </c>
      <c r="J1699">
        <v>209.85</v>
      </c>
      <c r="K1699">
        <v>15</v>
      </c>
      <c r="L1699" t="s">
        <v>834</v>
      </c>
    </row>
    <row r="1700" spans="2:29" x14ac:dyDescent="0.25">
      <c r="E1700">
        <v>5</v>
      </c>
      <c r="G1700" t="s">
        <v>64</v>
      </c>
      <c r="H1700">
        <v>63</v>
      </c>
      <c r="I1700">
        <v>13.99</v>
      </c>
      <c r="J1700">
        <v>195.86</v>
      </c>
      <c r="K1700">
        <v>14</v>
      </c>
      <c r="L1700" t="s">
        <v>834</v>
      </c>
    </row>
    <row r="1701" spans="2:29" x14ac:dyDescent="0.25">
      <c r="E1701">
        <v>5</v>
      </c>
      <c r="G1701" t="s">
        <v>64</v>
      </c>
      <c r="H1701">
        <v>71</v>
      </c>
      <c r="I1701">
        <v>13.99</v>
      </c>
      <c r="J1701">
        <v>209.85</v>
      </c>
      <c r="K1701">
        <v>15</v>
      </c>
      <c r="L1701" t="s">
        <v>834</v>
      </c>
    </row>
    <row r="1702" spans="2:29" x14ac:dyDescent="0.25">
      <c r="E1702">
        <v>2</v>
      </c>
      <c r="G1702" t="s">
        <v>369</v>
      </c>
      <c r="H1702">
        <v>79</v>
      </c>
      <c r="I1702">
        <v>13.99</v>
      </c>
      <c r="J1702">
        <v>69.95</v>
      </c>
      <c r="K1702">
        <v>5</v>
      </c>
      <c r="L1702" t="s">
        <v>834</v>
      </c>
    </row>
    <row r="1703" spans="2:29" x14ac:dyDescent="0.25">
      <c r="E1703">
        <v>14</v>
      </c>
      <c r="G1703" t="s">
        <v>65</v>
      </c>
      <c r="H1703">
        <v>88</v>
      </c>
      <c r="I1703">
        <v>13.99</v>
      </c>
      <c r="J1703">
        <v>69.95</v>
      </c>
      <c r="K1703">
        <v>5</v>
      </c>
      <c r="L1703" t="s">
        <v>834</v>
      </c>
    </row>
    <row r="1704" spans="2:29" x14ac:dyDescent="0.25">
      <c r="E1704">
        <v>15</v>
      </c>
      <c r="G1704" t="s">
        <v>65</v>
      </c>
      <c r="H1704">
        <v>96</v>
      </c>
      <c r="I1704">
        <v>13.99</v>
      </c>
      <c r="J1704">
        <v>69.95</v>
      </c>
      <c r="K1704">
        <v>5</v>
      </c>
      <c r="L1704" t="s">
        <v>834</v>
      </c>
    </row>
    <row r="1705" spans="2:29" x14ac:dyDescent="0.25">
      <c r="E1705">
        <v>5</v>
      </c>
      <c r="G1705" t="s">
        <v>63</v>
      </c>
      <c r="H1705">
        <v>104</v>
      </c>
      <c r="I1705">
        <v>13.99</v>
      </c>
      <c r="J1705">
        <v>27.98</v>
      </c>
      <c r="K1705">
        <v>2</v>
      </c>
      <c r="L1705" t="s">
        <v>834</v>
      </c>
    </row>
    <row r="1706" spans="2:29" x14ac:dyDescent="0.25">
      <c r="E1706">
        <v>5</v>
      </c>
    </row>
    <row r="1707" spans="2:29" x14ac:dyDescent="0.25">
      <c r="B1707">
        <v>8.0100617050285803E+24</v>
      </c>
      <c r="C1707">
        <v>41217314</v>
      </c>
      <c r="D1707" t="s">
        <v>553</v>
      </c>
      <c r="E1707">
        <v>600</v>
      </c>
      <c r="G1707" t="s">
        <v>150</v>
      </c>
      <c r="H1707">
        <v>54</v>
      </c>
      <c r="I1707">
        <v>1.7</v>
      </c>
      <c r="J1707">
        <v>1020</v>
      </c>
      <c r="K1707">
        <v>600</v>
      </c>
      <c r="AC1707" t="s">
        <v>1982</v>
      </c>
    </row>
    <row r="1708" spans="2:29" x14ac:dyDescent="0.25">
      <c r="E1708">
        <v>600</v>
      </c>
      <c r="G1708" t="s">
        <v>150</v>
      </c>
      <c r="H1708">
        <v>382</v>
      </c>
    </row>
    <row r="1709" spans="2:29" x14ac:dyDescent="0.25">
      <c r="B1709">
        <v>8.0100617050285804E+31</v>
      </c>
      <c r="C1709">
        <v>41217700</v>
      </c>
      <c r="D1709" t="s">
        <v>555</v>
      </c>
      <c r="E1709">
        <v>4200</v>
      </c>
      <c r="G1709" t="s">
        <v>131</v>
      </c>
      <c r="H1709">
        <v>64</v>
      </c>
      <c r="I1709">
        <v>0.25</v>
      </c>
      <c r="J1709">
        <v>0.25</v>
      </c>
      <c r="K1709">
        <v>1</v>
      </c>
      <c r="L1709" t="s">
        <v>834</v>
      </c>
      <c r="AC1709" t="s">
        <v>2139</v>
      </c>
    </row>
    <row r="1710" spans="2:29" x14ac:dyDescent="0.25">
      <c r="E1710">
        <v>4200</v>
      </c>
    </row>
    <row r="1711" spans="2:29" x14ac:dyDescent="0.25">
      <c r="B1711">
        <v>8010061705028580</v>
      </c>
      <c r="C1711">
        <v>41219432</v>
      </c>
      <c r="D1711" t="s">
        <v>556</v>
      </c>
      <c r="E1711">
        <v>1600</v>
      </c>
      <c r="G1711" t="s">
        <v>181</v>
      </c>
      <c r="H1711">
        <v>23</v>
      </c>
      <c r="I1711">
        <v>0.25</v>
      </c>
      <c r="J1711">
        <v>0.25</v>
      </c>
      <c r="K1711">
        <v>1</v>
      </c>
      <c r="L1711" t="s">
        <v>834</v>
      </c>
      <c r="AC1711" t="s">
        <v>1983</v>
      </c>
    </row>
    <row r="1712" spans="2:29" x14ac:dyDescent="0.25">
      <c r="E1712">
        <v>1600</v>
      </c>
      <c r="J1712">
        <v>400</v>
      </c>
      <c r="K1712">
        <v>1</v>
      </c>
      <c r="L1712" t="s">
        <v>834</v>
      </c>
    </row>
    <row r="1713" spans="2:29" x14ac:dyDescent="0.25">
      <c r="B1713">
        <v>8010061705028580</v>
      </c>
      <c r="C1713">
        <v>41219444</v>
      </c>
      <c r="D1713" t="s">
        <v>557</v>
      </c>
      <c r="E1713">
        <v>10</v>
      </c>
      <c r="G1713">
        <v>6800</v>
      </c>
      <c r="H1713">
        <v>62</v>
      </c>
      <c r="I1713">
        <v>94</v>
      </c>
      <c r="J1713">
        <v>940</v>
      </c>
      <c r="K1713">
        <v>10</v>
      </c>
      <c r="AC1713" t="s">
        <v>2140</v>
      </c>
    </row>
    <row r="1714" spans="2:29" x14ac:dyDescent="0.25">
      <c r="B1714">
        <v>8.0100617050285803E+24</v>
      </c>
      <c r="C1714">
        <v>41219425</v>
      </c>
      <c r="D1714" t="s">
        <v>571</v>
      </c>
      <c r="E1714">
        <v>2</v>
      </c>
      <c r="G1714">
        <v>81066</v>
      </c>
      <c r="H1714">
        <v>51</v>
      </c>
      <c r="I1714">
        <v>11.75</v>
      </c>
      <c r="J1714">
        <v>23.5</v>
      </c>
      <c r="K1714">
        <v>2</v>
      </c>
      <c r="AC1714" t="s">
        <v>1985</v>
      </c>
    </row>
    <row r="1715" spans="2:29" x14ac:dyDescent="0.25">
      <c r="E1715">
        <v>120</v>
      </c>
      <c r="G1715" t="s">
        <v>133</v>
      </c>
      <c r="H1715">
        <v>62</v>
      </c>
      <c r="I1715">
        <v>1.45</v>
      </c>
      <c r="J1715">
        <v>174</v>
      </c>
      <c r="K1715">
        <v>120</v>
      </c>
    </row>
    <row r="1716" spans="2:29" x14ac:dyDescent="0.25">
      <c r="E1716">
        <v>12000</v>
      </c>
      <c r="G1716">
        <v>81066</v>
      </c>
      <c r="H1716">
        <v>80</v>
      </c>
      <c r="I1716">
        <v>0.25</v>
      </c>
      <c r="J1716">
        <v>3000</v>
      </c>
      <c r="K1716">
        <v>12000</v>
      </c>
    </row>
    <row r="1717" spans="2:29" x14ac:dyDescent="0.25">
      <c r="E1717">
        <v>2</v>
      </c>
      <c r="G1717">
        <v>81066</v>
      </c>
      <c r="H1717">
        <v>409</v>
      </c>
    </row>
    <row r="1718" spans="2:29" x14ac:dyDescent="0.25">
      <c r="E1718">
        <v>120</v>
      </c>
    </row>
    <row r="1719" spans="2:29" x14ac:dyDescent="0.25">
      <c r="E1719">
        <v>12000</v>
      </c>
    </row>
    <row r="1720" spans="2:29" x14ac:dyDescent="0.25">
      <c r="B1720">
        <v>8.0100617050285798E+33</v>
      </c>
      <c r="C1720">
        <v>41218064</v>
      </c>
      <c r="D1720" t="s">
        <v>570</v>
      </c>
      <c r="E1720">
        <v>12000</v>
      </c>
      <c r="G1720" t="s">
        <v>113</v>
      </c>
      <c r="H1720">
        <v>50</v>
      </c>
      <c r="I1720">
        <v>0.25</v>
      </c>
      <c r="J1720">
        <v>3000</v>
      </c>
      <c r="K1720">
        <v>12000</v>
      </c>
      <c r="AC1720" t="s">
        <v>1986</v>
      </c>
    </row>
    <row r="1721" spans="2:29" x14ac:dyDescent="0.25">
      <c r="E1721">
        <v>12000</v>
      </c>
    </row>
    <row r="1722" spans="2:29" x14ac:dyDescent="0.25">
      <c r="B1722">
        <v>8.0100617050285803E+24</v>
      </c>
      <c r="C1722">
        <v>41218405</v>
      </c>
      <c r="D1722" t="s">
        <v>569</v>
      </c>
      <c r="E1722">
        <v>300</v>
      </c>
      <c r="G1722" t="s">
        <v>170</v>
      </c>
      <c r="H1722">
        <v>61</v>
      </c>
      <c r="I1722">
        <v>1.28</v>
      </c>
      <c r="J1722">
        <v>384</v>
      </c>
      <c r="K1722">
        <v>300</v>
      </c>
      <c r="AC1722" t="s">
        <v>2141</v>
      </c>
    </row>
    <row r="1723" spans="2:29" x14ac:dyDescent="0.25">
      <c r="E1723">
        <v>10</v>
      </c>
      <c r="G1723">
        <v>6800</v>
      </c>
      <c r="H1723">
        <v>67</v>
      </c>
      <c r="I1723">
        <v>96</v>
      </c>
      <c r="J1723">
        <v>960</v>
      </c>
      <c r="K1723">
        <v>10</v>
      </c>
    </row>
    <row r="1724" spans="2:29" x14ac:dyDescent="0.25">
      <c r="E1724">
        <v>300</v>
      </c>
      <c r="G1724" t="s">
        <v>170</v>
      </c>
      <c r="H1724">
        <v>390</v>
      </c>
    </row>
    <row r="1725" spans="2:29" x14ac:dyDescent="0.25">
      <c r="E1725">
        <v>10</v>
      </c>
    </row>
    <row r="1726" spans="2:29" x14ac:dyDescent="0.25">
      <c r="B1726">
        <v>8010061705028580</v>
      </c>
      <c r="C1726">
        <v>41217777</v>
      </c>
      <c r="D1726" t="s">
        <v>562</v>
      </c>
      <c r="E1726">
        <v>2600</v>
      </c>
      <c r="G1726" t="s">
        <v>117</v>
      </c>
      <c r="H1726">
        <v>47</v>
      </c>
      <c r="I1726">
        <v>0.27</v>
      </c>
      <c r="J1726">
        <v>702</v>
      </c>
      <c r="K1726">
        <v>2600</v>
      </c>
      <c r="AC1726" t="s">
        <v>1987</v>
      </c>
    </row>
    <row r="1727" spans="2:29" x14ac:dyDescent="0.25">
      <c r="E1727">
        <v>2600</v>
      </c>
    </row>
    <row r="1728" spans="2:29" x14ac:dyDescent="0.25">
      <c r="B1728">
        <v>6.2008010061704996E+22</v>
      </c>
      <c r="C1728">
        <v>41218896</v>
      </c>
      <c r="D1728" t="s">
        <v>564</v>
      </c>
      <c r="E1728">
        <v>6</v>
      </c>
      <c r="G1728">
        <v>6200</v>
      </c>
      <c r="H1728">
        <v>65</v>
      </c>
      <c r="I1728">
        <v>8.82</v>
      </c>
      <c r="J1728">
        <v>8.82</v>
      </c>
      <c r="K1728">
        <v>1</v>
      </c>
      <c r="L1728" t="s">
        <v>834</v>
      </c>
      <c r="AC1728" t="s">
        <v>1989</v>
      </c>
    </row>
    <row r="1729" spans="2:29" x14ac:dyDescent="0.25">
      <c r="E1729">
        <v>150</v>
      </c>
      <c r="G1729" t="s">
        <v>163</v>
      </c>
      <c r="H1729">
        <v>71</v>
      </c>
      <c r="I1729">
        <v>20.99</v>
      </c>
      <c r="J1729">
        <v>0.99</v>
      </c>
      <c r="K1729">
        <v>4.7165316817532159E-2</v>
      </c>
      <c r="L1729" t="s">
        <v>834</v>
      </c>
    </row>
    <row r="1730" spans="2:29" x14ac:dyDescent="0.25">
      <c r="E1730">
        <v>6</v>
      </c>
      <c r="G1730">
        <v>6200</v>
      </c>
      <c r="H1730">
        <v>230</v>
      </c>
    </row>
    <row r="1731" spans="2:29" x14ac:dyDescent="0.25">
      <c r="E1731">
        <v>150</v>
      </c>
    </row>
    <row r="1732" spans="2:29" x14ac:dyDescent="0.25">
      <c r="B1732">
        <v>8010061705028580</v>
      </c>
      <c r="C1732">
        <v>41217314</v>
      </c>
      <c r="D1732" t="s">
        <v>565</v>
      </c>
      <c r="E1732">
        <v>144</v>
      </c>
      <c r="G1732" t="s">
        <v>150</v>
      </c>
      <c r="H1732">
        <v>65</v>
      </c>
      <c r="I1732">
        <v>1.7</v>
      </c>
      <c r="J1732">
        <v>244.8</v>
      </c>
      <c r="K1732">
        <v>144</v>
      </c>
      <c r="AC1732" t="s">
        <v>1990</v>
      </c>
    </row>
    <row r="1733" spans="2:29" x14ac:dyDescent="0.25">
      <c r="E1733">
        <v>144</v>
      </c>
    </row>
    <row r="1734" spans="2:29" x14ac:dyDescent="0.25">
      <c r="B1734">
        <v>1.80100617050285E+24</v>
      </c>
      <c r="C1734">
        <v>41218860</v>
      </c>
      <c r="D1734" t="s">
        <v>566</v>
      </c>
      <c r="E1734">
        <v>15</v>
      </c>
      <c r="G1734" t="s">
        <v>193</v>
      </c>
      <c r="H1734">
        <v>55</v>
      </c>
      <c r="I1734">
        <v>0.87</v>
      </c>
      <c r="J1734">
        <v>13.05</v>
      </c>
      <c r="K1734">
        <v>15.000000000000002</v>
      </c>
      <c r="L1734" t="s">
        <v>834</v>
      </c>
      <c r="AC1734" t="s">
        <v>1991</v>
      </c>
    </row>
    <row r="1735" spans="2:29" x14ac:dyDescent="0.25">
      <c r="E1735">
        <v>120</v>
      </c>
      <c r="G1735">
        <v>6001</v>
      </c>
      <c r="H1735">
        <v>70</v>
      </c>
      <c r="I1735">
        <v>3.97</v>
      </c>
      <c r="J1735">
        <v>476.4</v>
      </c>
      <c r="K1735">
        <v>119.99999999999999</v>
      </c>
      <c r="L1735" t="s">
        <v>834</v>
      </c>
    </row>
    <row r="1736" spans="2:29" x14ac:dyDescent="0.25">
      <c r="E1736">
        <v>15</v>
      </c>
      <c r="G1736" t="s">
        <v>193</v>
      </c>
      <c r="H1736">
        <v>386</v>
      </c>
    </row>
    <row r="1737" spans="2:29" x14ac:dyDescent="0.25">
      <c r="E1737">
        <v>120</v>
      </c>
    </row>
    <row r="1738" spans="2:29" x14ac:dyDescent="0.25">
      <c r="B1738">
        <v>8010061705028580</v>
      </c>
      <c r="C1738">
        <v>41219252</v>
      </c>
      <c r="D1738" t="s">
        <v>774</v>
      </c>
      <c r="E1738">
        <v>2500</v>
      </c>
      <c r="G1738" t="s">
        <v>156</v>
      </c>
      <c r="H1738">
        <v>23</v>
      </c>
      <c r="I1738">
        <v>0.33</v>
      </c>
      <c r="J1738">
        <v>825</v>
      </c>
      <c r="K1738">
        <v>2500</v>
      </c>
      <c r="AC1738" t="s">
        <v>1992</v>
      </c>
    </row>
    <row r="1739" spans="2:29" x14ac:dyDescent="0.25">
      <c r="E1739">
        <v>2500</v>
      </c>
    </row>
    <row r="1740" spans="2:29" x14ac:dyDescent="0.25">
      <c r="B1740">
        <v>8.0100617050285795E+23</v>
      </c>
      <c r="C1740">
        <v>41219694</v>
      </c>
      <c r="D1740" t="s">
        <v>567</v>
      </c>
      <c r="E1740">
        <v>195</v>
      </c>
      <c r="G1740" t="s">
        <v>143</v>
      </c>
      <c r="H1740">
        <v>70</v>
      </c>
      <c r="I1740">
        <v>3.4</v>
      </c>
      <c r="J1740">
        <v>3.4</v>
      </c>
      <c r="K1740">
        <v>1</v>
      </c>
      <c r="L1740" t="s">
        <v>834</v>
      </c>
      <c r="AC1740" t="s">
        <v>1993</v>
      </c>
    </row>
    <row r="1741" spans="2:29" x14ac:dyDescent="0.25">
      <c r="E1741">
        <v>98</v>
      </c>
      <c r="G1741" t="s">
        <v>138</v>
      </c>
      <c r="H1741">
        <v>81</v>
      </c>
      <c r="I1741">
        <v>3.4</v>
      </c>
      <c r="J1741">
        <v>3.4</v>
      </c>
      <c r="K1741">
        <v>1</v>
      </c>
      <c r="L1741" t="s">
        <v>834</v>
      </c>
    </row>
    <row r="1742" spans="2:29" x14ac:dyDescent="0.25">
      <c r="E1742">
        <v>98</v>
      </c>
      <c r="G1742" t="s">
        <v>141</v>
      </c>
      <c r="H1742">
        <v>91</v>
      </c>
      <c r="I1742">
        <v>3.4</v>
      </c>
      <c r="J1742">
        <v>3.4</v>
      </c>
      <c r="K1742">
        <v>1</v>
      </c>
      <c r="L1742" t="s">
        <v>834</v>
      </c>
    </row>
    <row r="1743" spans="2:29" x14ac:dyDescent="0.25">
      <c r="E1743">
        <v>195</v>
      </c>
      <c r="J1743">
        <v>663</v>
      </c>
      <c r="K1743">
        <v>1</v>
      </c>
      <c r="L1743" t="s">
        <v>834</v>
      </c>
    </row>
    <row r="1744" spans="2:29" x14ac:dyDescent="0.25">
      <c r="E1744">
        <v>98</v>
      </c>
      <c r="J1744">
        <v>333.2</v>
      </c>
      <c r="K1744">
        <v>1</v>
      </c>
      <c r="L1744" t="s">
        <v>834</v>
      </c>
    </row>
    <row r="1745" spans="2:29" x14ac:dyDescent="0.25">
      <c r="E1745">
        <v>98</v>
      </c>
      <c r="J1745">
        <v>333.2</v>
      </c>
      <c r="K1745">
        <v>1</v>
      </c>
      <c r="L1745" t="s">
        <v>834</v>
      </c>
    </row>
    <row r="1746" spans="2:29" x14ac:dyDescent="0.25">
      <c r="B1746">
        <v>8.0100617050285795E+23</v>
      </c>
      <c r="C1746">
        <v>41219744</v>
      </c>
      <c r="D1746" t="s">
        <v>568</v>
      </c>
      <c r="E1746">
        <v>36</v>
      </c>
      <c r="G1746" t="s">
        <v>177</v>
      </c>
      <c r="H1746">
        <v>53</v>
      </c>
      <c r="I1746">
        <v>3.8</v>
      </c>
      <c r="J1746">
        <v>136.80000000000001</v>
      </c>
      <c r="K1746">
        <v>36.000000000000007</v>
      </c>
      <c r="L1746" t="s">
        <v>834</v>
      </c>
      <c r="AC1746" t="s">
        <v>1994</v>
      </c>
    </row>
    <row r="1747" spans="2:29" x14ac:dyDescent="0.25">
      <c r="E1747">
        <v>36</v>
      </c>
    </row>
    <row r="1748" spans="2:29" x14ac:dyDescent="0.25">
      <c r="B1748">
        <v>8010061705028580</v>
      </c>
      <c r="C1748">
        <v>41219444</v>
      </c>
      <c r="D1748" t="s">
        <v>1342</v>
      </c>
      <c r="E1748">
        <v>10</v>
      </c>
      <c r="G1748">
        <v>6800</v>
      </c>
      <c r="H1748">
        <v>57</v>
      </c>
      <c r="I1748">
        <v>94</v>
      </c>
      <c r="J1748">
        <v>94</v>
      </c>
      <c r="K1748">
        <v>1</v>
      </c>
      <c r="L1748" t="s">
        <v>834</v>
      </c>
      <c r="AC1748" t="s">
        <v>1995</v>
      </c>
    </row>
    <row r="1749" spans="2:29" x14ac:dyDescent="0.25">
      <c r="E1749">
        <v>10</v>
      </c>
    </row>
    <row r="1750" spans="2:29" x14ac:dyDescent="0.25">
      <c r="B1750">
        <v>8010061705028580</v>
      </c>
      <c r="C1750">
        <v>41218317</v>
      </c>
      <c r="D1750" t="s">
        <v>577</v>
      </c>
      <c r="E1750">
        <v>400</v>
      </c>
      <c r="G1750" t="s">
        <v>129</v>
      </c>
      <c r="H1750">
        <v>47</v>
      </c>
      <c r="I1750">
        <v>0.25</v>
      </c>
      <c r="AC1750" t="s">
        <v>2142</v>
      </c>
    </row>
    <row r="1751" spans="2:29" x14ac:dyDescent="0.25">
      <c r="E1751">
        <v>200</v>
      </c>
      <c r="G1751" t="s">
        <v>123</v>
      </c>
      <c r="H1751">
        <v>63</v>
      </c>
      <c r="I1751">
        <v>0.35</v>
      </c>
    </row>
    <row r="1752" spans="2:29" x14ac:dyDescent="0.25">
      <c r="E1752">
        <v>400</v>
      </c>
    </row>
    <row r="1753" spans="2:29" x14ac:dyDescent="0.25">
      <c r="E1753">
        <v>200</v>
      </c>
    </row>
    <row r="1754" spans="2:29" x14ac:dyDescent="0.25">
      <c r="B1754">
        <v>8010061705028580</v>
      </c>
      <c r="C1754">
        <v>41219872</v>
      </c>
      <c r="D1754" t="s">
        <v>576</v>
      </c>
      <c r="E1754">
        <v>900</v>
      </c>
      <c r="G1754">
        <v>501</v>
      </c>
      <c r="H1754">
        <v>44</v>
      </c>
      <c r="I1754">
        <v>1.3</v>
      </c>
      <c r="J1754">
        <v>1170</v>
      </c>
      <c r="K1754">
        <v>900</v>
      </c>
      <c r="AC1754" t="s">
        <v>1996</v>
      </c>
    </row>
    <row r="1755" spans="2:29" x14ac:dyDescent="0.25">
      <c r="E1755">
        <v>200</v>
      </c>
      <c r="G1755" t="s">
        <v>152</v>
      </c>
      <c r="H1755">
        <v>48</v>
      </c>
      <c r="I1755">
        <v>2.1</v>
      </c>
      <c r="J1755">
        <v>420</v>
      </c>
      <c r="K1755">
        <v>200</v>
      </c>
    </row>
    <row r="1756" spans="2:29" x14ac:dyDescent="0.25">
      <c r="E1756">
        <v>120</v>
      </c>
      <c r="G1756" t="s">
        <v>161</v>
      </c>
      <c r="H1756">
        <v>55</v>
      </c>
      <c r="I1756">
        <v>18</v>
      </c>
      <c r="J1756">
        <v>2160</v>
      </c>
      <c r="K1756">
        <v>120</v>
      </c>
    </row>
    <row r="1757" spans="2:29" x14ac:dyDescent="0.25">
      <c r="E1757">
        <v>900</v>
      </c>
    </row>
    <row r="1758" spans="2:29" x14ac:dyDescent="0.25">
      <c r="E1758">
        <v>200</v>
      </c>
    </row>
    <row r="1759" spans="2:29" x14ac:dyDescent="0.25">
      <c r="E1759">
        <v>120</v>
      </c>
    </row>
    <row r="1760" spans="2:29" x14ac:dyDescent="0.25">
      <c r="B1760">
        <v>8010061705028580</v>
      </c>
      <c r="C1760">
        <v>41219444</v>
      </c>
      <c r="D1760" t="s">
        <v>574</v>
      </c>
      <c r="E1760">
        <v>10</v>
      </c>
      <c r="G1760">
        <v>6800</v>
      </c>
      <c r="H1760">
        <v>46</v>
      </c>
      <c r="I1760">
        <v>94</v>
      </c>
      <c r="J1760">
        <v>940</v>
      </c>
      <c r="K1760">
        <v>10</v>
      </c>
      <c r="AC1760" t="s">
        <v>2143</v>
      </c>
    </row>
    <row r="1761" spans="2:29" x14ac:dyDescent="0.25">
      <c r="E1761">
        <v>10</v>
      </c>
    </row>
    <row r="1762" spans="2:29" x14ac:dyDescent="0.25">
      <c r="B1762">
        <v>8010061705028580</v>
      </c>
      <c r="C1762">
        <v>41219254</v>
      </c>
      <c r="D1762" t="s">
        <v>573</v>
      </c>
      <c r="E1762">
        <v>5600</v>
      </c>
      <c r="G1762" t="s">
        <v>133</v>
      </c>
      <c r="H1762">
        <v>37</v>
      </c>
      <c r="I1762">
        <v>0.25</v>
      </c>
      <c r="J1762">
        <v>1400</v>
      </c>
      <c r="K1762">
        <v>5600</v>
      </c>
      <c r="AC1762" t="s">
        <v>1997</v>
      </c>
    </row>
    <row r="1763" spans="2:29" x14ac:dyDescent="0.25">
      <c r="E1763">
        <v>50</v>
      </c>
      <c r="G1763">
        <v>6200</v>
      </c>
      <c r="H1763">
        <v>54</v>
      </c>
      <c r="I1763">
        <v>8.82</v>
      </c>
      <c r="J1763">
        <v>441</v>
      </c>
      <c r="K1763">
        <v>50</v>
      </c>
    </row>
    <row r="1764" spans="2:29" x14ac:dyDescent="0.25">
      <c r="E1764">
        <v>5600</v>
      </c>
    </row>
    <row r="1765" spans="2:29" x14ac:dyDescent="0.25">
      <c r="E1765">
        <v>50</v>
      </c>
    </row>
    <row r="1766" spans="2:29" x14ac:dyDescent="0.25">
      <c r="B1766">
        <v>8010061705028580</v>
      </c>
      <c r="C1766">
        <v>41218317</v>
      </c>
      <c r="D1766" t="s">
        <v>1343</v>
      </c>
      <c r="E1766">
        <v>400</v>
      </c>
      <c r="G1766" t="s">
        <v>129</v>
      </c>
      <c r="H1766">
        <v>41</v>
      </c>
      <c r="I1766">
        <v>0.25</v>
      </c>
      <c r="J1766">
        <v>100</v>
      </c>
      <c r="K1766">
        <v>400</v>
      </c>
      <c r="AC1766" t="s">
        <v>1998</v>
      </c>
    </row>
    <row r="1767" spans="2:29" x14ac:dyDescent="0.25">
      <c r="E1767">
        <v>200</v>
      </c>
      <c r="G1767" t="s">
        <v>123</v>
      </c>
      <c r="H1767">
        <v>57</v>
      </c>
      <c r="I1767">
        <v>0.35</v>
      </c>
      <c r="J1767">
        <v>70</v>
      </c>
      <c r="K1767">
        <v>200</v>
      </c>
    </row>
    <row r="1768" spans="2:29" x14ac:dyDescent="0.25">
      <c r="E1768">
        <v>400</v>
      </c>
    </row>
    <row r="1769" spans="2:29" x14ac:dyDescent="0.25">
      <c r="E1769">
        <v>200</v>
      </c>
    </row>
    <row r="1770" spans="2:29" x14ac:dyDescent="0.25">
      <c r="B1770">
        <v>8010061705028580</v>
      </c>
      <c r="C1770">
        <v>41219872</v>
      </c>
      <c r="D1770" t="s">
        <v>1344</v>
      </c>
      <c r="E1770">
        <v>900</v>
      </c>
      <c r="G1770" t="s">
        <v>212</v>
      </c>
      <c r="H1770">
        <v>46</v>
      </c>
      <c r="I1770">
        <v>1.3</v>
      </c>
      <c r="AC1770" t="s">
        <v>1999</v>
      </c>
    </row>
    <row r="1771" spans="2:29" x14ac:dyDescent="0.25">
      <c r="E1771">
        <v>200</v>
      </c>
      <c r="G1771" t="s">
        <v>152</v>
      </c>
      <c r="H1771">
        <v>51</v>
      </c>
      <c r="I1771">
        <v>2.1</v>
      </c>
    </row>
    <row r="1772" spans="2:29" x14ac:dyDescent="0.25">
      <c r="E1772">
        <v>120</v>
      </c>
      <c r="G1772" t="s">
        <v>161</v>
      </c>
      <c r="H1772">
        <v>58</v>
      </c>
      <c r="I1772">
        <v>18</v>
      </c>
    </row>
    <row r="1773" spans="2:29" x14ac:dyDescent="0.25">
      <c r="E1773">
        <v>900</v>
      </c>
    </row>
    <row r="1774" spans="2:29" x14ac:dyDescent="0.25">
      <c r="E1774">
        <v>200</v>
      </c>
    </row>
    <row r="1775" spans="2:29" x14ac:dyDescent="0.25">
      <c r="E1775">
        <v>120</v>
      </c>
    </row>
    <row r="1776" spans="2:29" x14ac:dyDescent="0.25">
      <c r="B1776">
        <v>8010061705028580</v>
      </c>
      <c r="C1776">
        <v>41219444</v>
      </c>
      <c r="D1776" t="s">
        <v>1345</v>
      </c>
      <c r="E1776">
        <v>10</v>
      </c>
      <c r="G1776">
        <v>6800</v>
      </c>
      <c r="H1776">
        <v>43</v>
      </c>
      <c r="I1776">
        <v>94</v>
      </c>
      <c r="J1776">
        <v>940</v>
      </c>
      <c r="K1776">
        <v>10</v>
      </c>
      <c r="AC1776" t="s">
        <v>2000</v>
      </c>
    </row>
    <row r="1777" spans="2:29" x14ac:dyDescent="0.25">
      <c r="E1777">
        <v>40</v>
      </c>
      <c r="G1777">
        <v>6885</v>
      </c>
      <c r="H1777">
        <v>48</v>
      </c>
      <c r="I1777">
        <v>1.78</v>
      </c>
      <c r="J1777">
        <v>71.2</v>
      </c>
      <c r="K1777">
        <v>40</v>
      </c>
    </row>
    <row r="1778" spans="2:29" x14ac:dyDescent="0.25">
      <c r="E1778">
        <v>10</v>
      </c>
    </row>
    <row r="1779" spans="2:29" x14ac:dyDescent="0.25">
      <c r="E1779">
        <v>40</v>
      </c>
    </row>
    <row r="1780" spans="2:29" x14ac:dyDescent="0.25">
      <c r="B1780">
        <v>8010061705028580</v>
      </c>
      <c r="C1780">
        <v>41219254</v>
      </c>
      <c r="D1780" t="s">
        <v>1346</v>
      </c>
      <c r="E1780">
        <v>5600</v>
      </c>
      <c r="G1780" t="s">
        <v>133</v>
      </c>
      <c r="H1780">
        <v>43</v>
      </c>
      <c r="I1780">
        <v>0.25</v>
      </c>
      <c r="J1780">
        <v>1400</v>
      </c>
      <c r="K1780">
        <v>5600</v>
      </c>
      <c r="AC1780" t="s">
        <v>2001</v>
      </c>
    </row>
    <row r="1781" spans="2:29" x14ac:dyDescent="0.25">
      <c r="E1781">
        <v>50</v>
      </c>
      <c r="G1781">
        <v>6200</v>
      </c>
      <c r="H1781">
        <v>60</v>
      </c>
      <c r="I1781">
        <v>8.82</v>
      </c>
      <c r="J1781">
        <v>441</v>
      </c>
      <c r="K1781">
        <v>50</v>
      </c>
    </row>
    <row r="1782" spans="2:29" x14ac:dyDescent="0.25">
      <c r="E1782">
        <v>5600</v>
      </c>
    </row>
    <row r="1783" spans="2:29" x14ac:dyDescent="0.25">
      <c r="E1783">
        <v>50</v>
      </c>
    </row>
    <row r="1784" spans="2:29" x14ac:dyDescent="0.25">
      <c r="B1784">
        <v>8010061705028580</v>
      </c>
      <c r="C1784">
        <v>41219252</v>
      </c>
      <c r="D1784" t="s">
        <v>1347</v>
      </c>
      <c r="E1784">
        <v>100</v>
      </c>
      <c r="G1784" t="s">
        <v>119</v>
      </c>
      <c r="H1784">
        <v>48</v>
      </c>
      <c r="I1784">
        <v>1.3</v>
      </c>
      <c r="J1784">
        <v>1.3</v>
      </c>
      <c r="K1784">
        <v>1</v>
      </c>
      <c r="L1784" t="s">
        <v>834</v>
      </c>
      <c r="AC1784" t="s">
        <v>2002</v>
      </c>
    </row>
    <row r="1785" spans="2:29" x14ac:dyDescent="0.25">
      <c r="E1785">
        <v>100</v>
      </c>
    </row>
    <row r="1786" spans="2:29" x14ac:dyDescent="0.25">
      <c r="B1786">
        <v>8010061705028580</v>
      </c>
      <c r="C1786">
        <v>41217695</v>
      </c>
      <c r="D1786" t="s">
        <v>1348</v>
      </c>
      <c r="E1786">
        <v>20</v>
      </c>
      <c r="G1786" t="s">
        <v>64</v>
      </c>
      <c r="H1786">
        <v>46</v>
      </c>
      <c r="I1786">
        <v>13.99</v>
      </c>
      <c r="J1786">
        <v>279.8</v>
      </c>
      <c r="K1786">
        <v>20</v>
      </c>
      <c r="AC1786" t="s">
        <v>2003</v>
      </c>
    </row>
    <row r="1787" spans="2:29" x14ac:dyDescent="0.25">
      <c r="E1787">
        <v>20</v>
      </c>
    </row>
    <row r="1788" spans="2:29" x14ac:dyDescent="0.25">
      <c r="E1788">
        <v>0</v>
      </c>
    </row>
    <row r="1789" spans="2:29" x14ac:dyDescent="0.25">
      <c r="B1789">
        <v>1.00000050523944E+31</v>
      </c>
      <c r="C1789">
        <v>41219744</v>
      </c>
      <c r="D1789" t="s">
        <v>591</v>
      </c>
      <c r="E1789">
        <v>36</v>
      </c>
      <c r="G1789" t="s">
        <v>177</v>
      </c>
      <c r="H1789">
        <v>87</v>
      </c>
      <c r="I1789">
        <v>3.8</v>
      </c>
      <c r="J1789">
        <v>3.8</v>
      </c>
      <c r="K1789">
        <v>1</v>
      </c>
      <c r="L1789" t="s">
        <v>834</v>
      </c>
      <c r="AC1789" t="s">
        <v>2004</v>
      </c>
    </row>
    <row r="1790" spans="2:29" x14ac:dyDescent="0.25">
      <c r="E1790">
        <v>36</v>
      </c>
    </row>
    <row r="1791" spans="2:29" x14ac:dyDescent="0.25">
      <c r="B1791">
        <v>1.00000050523944E+31</v>
      </c>
      <c r="C1791">
        <v>41218064</v>
      </c>
      <c r="D1791" t="s">
        <v>590</v>
      </c>
      <c r="E1791">
        <v>3</v>
      </c>
      <c r="G1791" t="s">
        <v>113</v>
      </c>
      <c r="H1791">
        <v>93</v>
      </c>
      <c r="J1791">
        <v>0.25</v>
      </c>
      <c r="L1791" t="s">
        <v>834</v>
      </c>
      <c r="AC1791" t="s">
        <v>2005</v>
      </c>
    </row>
    <row r="1792" spans="2:29" x14ac:dyDescent="0.25">
      <c r="E1792">
        <v>3</v>
      </c>
    </row>
    <row r="1793" spans="2:29" x14ac:dyDescent="0.25">
      <c r="E1793">
        <v>12000</v>
      </c>
    </row>
    <row r="1794" spans="2:29" x14ac:dyDescent="0.25">
      <c r="E1794">
        <v>12000</v>
      </c>
    </row>
    <row r="1795" spans="2:29" x14ac:dyDescent="0.25">
      <c r="B1795">
        <v>1.00000050523944E+31</v>
      </c>
      <c r="C1795">
        <v>41217777</v>
      </c>
      <c r="D1795" t="s">
        <v>589</v>
      </c>
      <c r="E1795">
        <v>6000</v>
      </c>
      <c r="G1795" t="s">
        <v>117</v>
      </c>
      <c r="H1795">
        <v>70</v>
      </c>
      <c r="J1795">
        <v>0.27</v>
      </c>
      <c r="L1795" t="s">
        <v>834</v>
      </c>
      <c r="AC1795" t="s">
        <v>2144</v>
      </c>
    </row>
    <row r="1796" spans="2:29" x14ac:dyDescent="0.25">
      <c r="E1796">
        <v>6000</v>
      </c>
    </row>
    <row r="1797" spans="2:29" x14ac:dyDescent="0.25">
      <c r="B1797">
        <v>1.00000050523944E+31</v>
      </c>
      <c r="C1797">
        <v>41219949</v>
      </c>
      <c r="D1797" t="s">
        <v>588</v>
      </c>
      <c r="E1797">
        <v>240</v>
      </c>
      <c r="G1797" t="s">
        <v>174</v>
      </c>
      <c r="H1797">
        <v>88</v>
      </c>
      <c r="J1797">
        <v>0.56000000000000005</v>
      </c>
      <c r="L1797" t="s">
        <v>834</v>
      </c>
      <c r="AC1797" t="s">
        <v>2007</v>
      </c>
    </row>
    <row r="1798" spans="2:29" x14ac:dyDescent="0.25">
      <c r="E1798">
        <v>240</v>
      </c>
    </row>
    <row r="1799" spans="2:29" x14ac:dyDescent="0.25">
      <c r="B1799">
        <v>1.00000050523944E+31</v>
      </c>
      <c r="C1799">
        <v>41219951</v>
      </c>
      <c r="D1799" t="s">
        <v>586</v>
      </c>
      <c r="E1799">
        <v>6</v>
      </c>
      <c r="G1799" t="s">
        <v>168</v>
      </c>
      <c r="H1799">
        <v>65</v>
      </c>
      <c r="I1799">
        <v>1.3</v>
      </c>
      <c r="J1799">
        <v>1.3</v>
      </c>
      <c r="K1799">
        <v>1</v>
      </c>
      <c r="L1799" t="s">
        <v>834</v>
      </c>
      <c r="AC1799" t="s">
        <v>2145</v>
      </c>
    </row>
    <row r="1800" spans="2:29" x14ac:dyDescent="0.25">
      <c r="E1800">
        <v>200</v>
      </c>
      <c r="G1800" t="s">
        <v>163</v>
      </c>
      <c r="H1800">
        <v>143</v>
      </c>
      <c r="I1800">
        <v>20.99</v>
      </c>
      <c r="J1800">
        <v>20.99</v>
      </c>
      <c r="K1800">
        <v>1</v>
      </c>
      <c r="L1800" t="s">
        <v>834</v>
      </c>
    </row>
    <row r="1801" spans="2:29" x14ac:dyDescent="0.25">
      <c r="E1801">
        <v>6</v>
      </c>
    </row>
    <row r="1802" spans="2:29" x14ac:dyDescent="0.25">
      <c r="E1802">
        <v>200</v>
      </c>
    </row>
    <row r="1803" spans="2:29" x14ac:dyDescent="0.25">
      <c r="E1803">
        <v>4198</v>
      </c>
    </row>
    <row r="1804" spans="2:29" x14ac:dyDescent="0.25">
      <c r="B1804">
        <v>1.00000050523944E+31</v>
      </c>
      <c r="C1804">
        <v>41217314</v>
      </c>
      <c r="D1804" t="s">
        <v>584</v>
      </c>
      <c r="E1804">
        <v>144</v>
      </c>
      <c r="G1804" t="s">
        <v>150</v>
      </c>
      <c r="H1804">
        <v>74</v>
      </c>
      <c r="J1804">
        <v>1.7</v>
      </c>
      <c r="L1804" t="s">
        <v>834</v>
      </c>
      <c r="AC1804" t="s">
        <v>2008</v>
      </c>
    </row>
    <row r="1805" spans="2:29" x14ac:dyDescent="0.25">
      <c r="E1805">
        <v>144</v>
      </c>
    </row>
    <row r="1806" spans="2:29" x14ac:dyDescent="0.25">
      <c r="B1806">
        <v>1.00000050523944E+31</v>
      </c>
      <c r="C1806">
        <v>41219694</v>
      </c>
      <c r="D1806" t="s">
        <v>583</v>
      </c>
      <c r="E1806">
        <v>120</v>
      </c>
      <c r="G1806" t="s">
        <v>143</v>
      </c>
      <c r="H1806">
        <v>128</v>
      </c>
      <c r="J1806">
        <v>3.4</v>
      </c>
      <c r="L1806" t="s">
        <v>834</v>
      </c>
      <c r="AC1806" t="s">
        <v>2146</v>
      </c>
    </row>
    <row r="1807" spans="2:29" x14ac:dyDescent="0.25">
      <c r="E1807">
        <v>60</v>
      </c>
      <c r="G1807" t="s">
        <v>138</v>
      </c>
      <c r="H1807">
        <v>158</v>
      </c>
      <c r="J1807">
        <v>3.4</v>
      </c>
      <c r="L1807" t="s">
        <v>834</v>
      </c>
    </row>
    <row r="1808" spans="2:29" x14ac:dyDescent="0.25">
      <c r="E1808">
        <v>60</v>
      </c>
      <c r="G1808" t="s">
        <v>141</v>
      </c>
      <c r="H1808">
        <v>185</v>
      </c>
      <c r="J1808">
        <v>3.4</v>
      </c>
      <c r="L1808" t="s">
        <v>834</v>
      </c>
    </row>
    <row r="1809" spans="2:29" x14ac:dyDescent="0.25">
      <c r="E1809">
        <v>120</v>
      </c>
    </row>
    <row r="1810" spans="2:29" x14ac:dyDescent="0.25">
      <c r="E1810">
        <v>60</v>
      </c>
    </row>
    <row r="1811" spans="2:29" x14ac:dyDescent="0.25">
      <c r="E1811">
        <v>60</v>
      </c>
    </row>
    <row r="1812" spans="2:29" x14ac:dyDescent="0.25">
      <c r="B1812">
        <v>1.00000050523944E+31</v>
      </c>
      <c r="C1812">
        <v>41218896</v>
      </c>
      <c r="D1812" t="s">
        <v>582</v>
      </c>
      <c r="E1812">
        <v>6</v>
      </c>
      <c r="G1812">
        <v>6200</v>
      </c>
      <c r="H1812">
        <v>83</v>
      </c>
      <c r="J1812">
        <v>8.82</v>
      </c>
      <c r="L1812" t="s">
        <v>834</v>
      </c>
      <c r="AC1812" t="s">
        <v>2009</v>
      </c>
    </row>
    <row r="1813" spans="2:29" x14ac:dyDescent="0.25">
      <c r="E1813">
        <v>6</v>
      </c>
    </row>
    <row r="1814" spans="2:29" x14ac:dyDescent="0.25">
      <c r="B1814">
        <v>1.00000050523944E+31</v>
      </c>
      <c r="C1814">
        <v>41218405</v>
      </c>
      <c r="D1814" t="s">
        <v>581</v>
      </c>
      <c r="E1814">
        <v>940</v>
      </c>
      <c r="G1814">
        <v>6800</v>
      </c>
      <c r="H1814">
        <v>85</v>
      </c>
      <c r="I1814">
        <v>94</v>
      </c>
      <c r="J1814">
        <v>94</v>
      </c>
      <c r="K1814">
        <v>1</v>
      </c>
      <c r="L1814" t="s">
        <v>834</v>
      </c>
      <c r="AC1814" t="s">
        <v>2010</v>
      </c>
    </row>
    <row r="1815" spans="2:29" x14ac:dyDescent="0.25">
      <c r="E1815">
        <v>940</v>
      </c>
    </row>
    <row r="1816" spans="2:29" x14ac:dyDescent="0.25">
      <c r="E1816">
        <v>10</v>
      </c>
    </row>
    <row r="1817" spans="2:29" x14ac:dyDescent="0.25">
      <c r="E1817">
        <v>10</v>
      </c>
    </row>
    <row r="1818" spans="2:29" x14ac:dyDescent="0.25">
      <c r="B1818">
        <v>1.00000050523944E+31</v>
      </c>
      <c r="C1818">
        <v>41218860</v>
      </c>
      <c r="D1818" t="s">
        <v>580</v>
      </c>
      <c r="E1818">
        <v>2</v>
      </c>
      <c r="G1818" t="s">
        <v>193</v>
      </c>
      <c r="H1818">
        <v>54</v>
      </c>
      <c r="J1818">
        <v>0.87</v>
      </c>
      <c r="L1818" t="s">
        <v>834</v>
      </c>
      <c r="AC1818" t="s">
        <v>2011</v>
      </c>
    </row>
    <row r="1819" spans="2:29" x14ac:dyDescent="0.25">
      <c r="E1819">
        <v>120</v>
      </c>
      <c r="G1819">
        <v>6001</v>
      </c>
      <c r="H1819">
        <v>87</v>
      </c>
      <c r="J1819">
        <v>3.97</v>
      </c>
      <c r="L1819" t="s">
        <v>834</v>
      </c>
    </row>
    <row r="1820" spans="2:29" x14ac:dyDescent="0.25">
      <c r="E1820">
        <v>2</v>
      </c>
    </row>
    <row r="1821" spans="2:29" x14ac:dyDescent="0.25">
      <c r="E1821">
        <v>120</v>
      </c>
    </row>
    <row r="1822" spans="2:29" x14ac:dyDescent="0.25">
      <c r="B1822">
        <v>1.00000050523944E+31</v>
      </c>
      <c r="C1822">
        <v>41219252</v>
      </c>
      <c r="D1822" t="s">
        <v>579</v>
      </c>
      <c r="E1822">
        <v>2500</v>
      </c>
      <c r="G1822" t="s">
        <v>156</v>
      </c>
      <c r="H1822">
        <v>75</v>
      </c>
      <c r="J1822">
        <v>0.33</v>
      </c>
      <c r="L1822" t="s">
        <v>834</v>
      </c>
      <c r="AC1822" t="s">
        <v>2012</v>
      </c>
    </row>
    <row r="1823" spans="2:29" x14ac:dyDescent="0.25">
      <c r="E1823">
        <v>80</v>
      </c>
      <c r="G1823" t="s">
        <v>119</v>
      </c>
      <c r="H1823">
        <v>323</v>
      </c>
      <c r="J1823">
        <v>1.3</v>
      </c>
      <c r="L1823" t="s">
        <v>834</v>
      </c>
    </row>
    <row r="1824" spans="2:29" x14ac:dyDescent="0.25">
      <c r="E1824">
        <v>2500</v>
      </c>
    </row>
    <row r="1825" spans="2:29" x14ac:dyDescent="0.25">
      <c r="E1825">
        <v>80</v>
      </c>
    </row>
    <row r="1826" spans="2:29" x14ac:dyDescent="0.25">
      <c r="B1826">
        <v>1.00000050523944E+31</v>
      </c>
      <c r="C1826">
        <v>41219425</v>
      </c>
      <c r="D1826" t="s">
        <v>578</v>
      </c>
      <c r="E1826">
        <v>12000</v>
      </c>
      <c r="G1826" t="s">
        <v>133</v>
      </c>
      <c r="H1826">
        <v>75</v>
      </c>
      <c r="J1826">
        <v>0.25</v>
      </c>
      <c r="L1826" t="s">
        <v>834</v>
      </c>
      <c r="AC1826" t="s">
        <v>2013</v>
      </c>
    </row>
    <row r="1827" spans="2:29" x14ac:dyDescent="0.25">
      <c r="E1827">
        <v>3</v>
      </c>
      <c r="G1827" t="s">
        <v>212</v>
      </c>
      <c r="H1827">
        <v>167</v>
      </c>
      <c r="J1827">
        <v>3</v>
      </c>
      <c r="L1827" t="s">
        <v>834</v>
      </c>
    </row>
    <row r="1828" spans="2:29" x14ac:dyDescent="0.25">
      <c r="E1828">
        <v>120</v>
      </c>
      <c r="G1828">
        <v>81066</v>
      </c>
      <c r="H1828">
        <v>189</v>
      </c>
      <c r="J1828">
        <v>1.45</v>
      </c>
      <c r="L1828" t="s">
        <v>834</v>
      </c>
    </row>
    <row r="1829" spans="2:29" x14ac:dyDescent="0.25">
      <c r="E1829">
        <v>2</v>
      </c>
      <c r="J1829">
        <v>11.75</v>
      </c>
      <c r="L1829" t="s">
        <v>834</v>
      </c>
    </row>
    <row r="1830" spans="2:29" x14ac:dyDescent="0.25">
      <c r="E1830">
        <v>12000</v>
      </c>
    </row>
    <row r="1831" spans="2:29" x14ac:dyDescent="0.25">
      <c r="E1831">
        <v>3</v>
      </c>
    </row>
    <row r="1832" spans="2:29" x14ac:dyDescent="0.25">
      <c r="E1832">
        <v>120</v>
      </c>
    </row>
    <row r="1833" spans="2:29" x14ac:dyDescent="0.25">
      <c r="E1833">
        <v>2</v>
      </c>
    </row>
    <row r="1834" spans="2:29" x14ac:dyDescent="0.25">
      <c r="B1834">
        <v>1.00000050523944E+31</v>
      </c>
      <c r="C1834">
        <v>41219002</v>
      </c>
      <c r="D1834" t="s">
        <v>593</v>
      </c>
      <c r="E1834">
        <v>33</v>
      </c>
      <c r="G1834" t="s">
        <v>141</v>
      </c>
      <c r="H1834">
        <v>87</v>
      </c>
      <c r="J1834">
        <v>3.4</v>
      </c>
      <c r="L1834" t="s">
        <v>834</v>
      </c>
      <c r="AC1834" t="s">
        <v>2014</v>
      </c>
    </row>
    <row r="1835" spans="2:29" x14ac:dyDescent="0.25">
      <c r="E1835">
        <v>53</v>
      </c>
    </row>
    <row r="1836" spans="2:29" x14ac:dyDescent="0.25">
      <c r="B1836">
        <v>1.00000050523944E+31</v>
      </c>
      <c r="C1836">
        <v>41218317</v>
      </c>
      <c r="D1836" t="s">
        <v>594</v>
      </c>
      <c r="E1836">
        <v>200</v>
      </c>
      <c r="G1836" t="s">
        <v>123</v>
      </c>
      <c r="H1836">
        <v>61</v>
      </c>
      <c r="I1836">
        <v>0.35</v>
      </c>
      <c r="J1836">
        <v>0.35</v>
      </c>
      <c r="K1836">
        <v>1</v>
      </c>
      <c r="L1836" t="s">
        <v>834</v>
      </c>
      <c r="AC1836" t="s">
        <v>2015</v>
      </c>
    </row>
    <row r="1837" spans="2:29" x14ac:dyDescent="0.25">
      <c r="E1837">
        <v>70</v>
      </c>
      <c r="J1837">
        <v>70</v>
      </c>
      <c r="K1837">
        <v>1</v>
      </c>
      <c r="L1837" t="s">
        <v>834</v>
      </c>
    </row>
    <row r="1838" spans="2:29" x14ac:dyDescent="0.25">
      <c r="E1838">
        <v>200</v>
      </c>
    </row>
    <row r="1839" spans="2:29" x14ac:dyDescent="0.25">
      <c r="E1839">
        <v>70</v>
      </c>
    </row>
    <row r="1840" spans="2:29" x14ac:dyDescent="0.25">
      <c r="B1840">
        <v>1.00000050523944E+31</v>
      </c>
      <c r="C1840">
        <v>41219872</v>
      </c>
      <c r="D1840" t="s">
        <v>592</v>
      </c>
      <c r="E1840">
        <v>200</v>
      </c>
      <c r="G1840" t="s">
        <v>152</v>
      </c>
      <c r="H1840">
        <v>86</v>
      </c>
      <c r="I1840">
        <v>2.1</v>
      </c>
      <c r="J1840">
        <v>2.1</v>
      </c>
      <c r="K1840">
        <v>1</v>
      </c>
      <c r="L1840" t="s">
        <v>834</v>
      </c>
      <c r="AC1840" t="s">
        <v>2016</v>
      </c>
    </row>
    <row r="1841" spans="2:29" x14ac:dyDescent="0.25">
      <c r="E1841">
        <v>420</v>
      </c>
      <c r="J1841">
        <v>420</v>
      </c>
      <c r="K1841">
        <v>1</v>
      </c>
      <c r="L1841" t="s">
        <v>834</v>
      </c>
    </row>
    <row r="1842" spans="2:29" x14ac:dyDescent="0.25">
      <c r="E1842">
        <v>200</v>
      </c>
    </row>
    <row r="1843" spans="2:29" x14ac:dyDescent="0.25">
      <c r="E1843">
        <v>420</v>
      </c>
    </row>
    <row r="1844" spans="2:29" x14ac:dyDescent="0.25">
      <c r="B1844">
        <v>1.00000050523944E+31</v>
      </c>
      <c r="C1844">
        <v>41219694</v>
      </c>
      <c r="D1844" t="s">
        <v>601</v>
      </c>
      <c r="E1844">
        <v>250</v>
      </c>
      <c r="G1844" t="s">
        <v>138</v>
      </c>
      <c r="H1844">
        <v>74</v>
      </c>
      <c r="J1844">
        <v>3.4</v>
      </c>
      <c r="L1844" t="s">
        <v>834</v>
      </c>
      <c r="AC1844" t="s">
        <v>2017</v>
      </c>
    </row>
    <row r="1845" spans="2:29" x14ac:dyDescent="0.25">
      <c r="E1845">
        <v>120</v>
      </c>
      <c r="G1845" t="s">
        <v>141</v>
      </c>
      <c r="H1845">
        <v>150</v>
      </c>
      <c r="J1845">
        <v>3.4</v>
      </c>
      <c r="L1845" t="s">
        <v>834</v>
      </c>
    </row>
    <row r="1846" spans="2:29" x14ac:dyDescent="0.25">
      <c r="E1846">
        <v>130</v>
      </c>
      <c r="G1846" t="s">
        <v>143</v>
      </c>
      <c r="H1846">
        <v>179</v>
      </c>
      <c r="J1846">
        <v>3.4</v>
      </c>
      <c r="L1846" t="s">
        <v>834</v>
      </c>
    </row>
    <row r="1847" spans="2:29" x14ac:dyDescent="0.25">
      <c r="E1847">
        <v>250</v>
      </c>
    </row>
    <row r="1848" spans="2:29" x14ac:dyDescent="0.25">
      <c r="E1848">
        <v>120</v>
      </c>
    </row>
    <row r="1849" spans="2:29" x14ac:dyDescent="0.25">
      <c r="E1849">
        <v>130</v>
      </c>
    </row>
    <row r="1850" spans="2:29" x14ac:dyDescent="0.25">
      <c r="B1850">
        <v>1.00000050523944E+31</v>
      </c>
      <c r="C1850">
        <v>41219432</v>
      </c>
      <c r="D1850" t="s">
        <v>599</v>
      </c>
      <c r="E1850">
        <v>400</v>
      </c>
      <c r="G1850" t="s">
        <v>181</v>
      </c>
      <c r="H1850">
        <v>78</v>
      </c>
      <c r="I1850">
        <v>0.25</v>
      </c>
      <c r="AC1850" t="s">
        <v>2147</v>
      </c>
    </row>
    <row r="1851" spans="2:29" x14ac:dyDescent="0.25">
      <c r="E1851">
        <v>1600</v>
      </c>
    </row>
    <row r="1852" spans="2:29" x14ac:dyDescent="0.25">
      <c r="E1852">
        <v>400</v>
      </c>
    </row>
    <row r="1853" spans="2:29" x14ac:dyDescent="0.25">
      <c r="E1853">
        <v>1600</v>
      </c>
    </row>
    <row r="1854" spans="2:29" x14ac:dyDescent="0.25">
      <c r="B1854">
        <v>1.00000050523944E+31</v>
      </c>
      <c r="C1854">
        <v>41219377</v>
      </c>
      <c r="D1854" t="s">
        <v>600</v>
      </c>
      <c r="E1854">
        <v>1600</v>
      </c>
      <c r="G1854" t="s">
        <v>156</v>
      </c>
      <c r="H1854">
        <v>65</v>
      </c>
      <c r="I1854">
        <v>0.33</v>
      </c>
      <c r="J1854">
        <v>0.33</v>
      </c>
      <c r="K1854">
        <v>1</v>
      </c>
      <c r="L1854" t="s">
        <v>834</v>
      </c>
      <c r="AC1854" t="s">
        <v>2018</v>
      </c>
    </row>
    <row r="1855" spans="2:29" x14ac:dyDescent="0.25">
      <c r="E1855">
        <v>528</v>
      </c>
    </row>
    <row r="1856" spans="2:29" x14ac:dyDescent="0.25">
      <c r="E1856">
        <v>1600</v>
      </c>
    </row>
    <row r="1857" spans="2:29" x14ac:dyDescent="0.25">
      <c r="E1857">
        <v>528</v>
      </c>
    </row>
    <row r="1858" spans="2:29" x14ac:dyDescent="0.25">
      <c r="B1858">
        <v>1.00000050523944E+31</v>
      </c>
      <c r="C1858">
        <v>41219042</v>
      </c>
      <c r="D1858" t="s">
        <v>597</v>
      </c>
      <c r="E1858">
        <v>1190</v>
      </c>
      <c r="G1858" t="s">
        <v>146</v>
      </c>
      <c r="H1858">
        <v>99</v>
      </c>
      <c r="I1858">
        <v>1.7</v>
      </c>
      <c r="J1858">
        <v>1.7</v>
      </c>
      <c r="K1858">
        <v>1</v>
      </c>
      <c r="L1858" t="s">
        <v>834</v>
      </c>
      <c r="AC1858" t="s">
        <v>2148</v>
      </c>
    </row>
    <row r="1859" spans="2:29" x14ac:dyDescent="0.25">
      <c r="E1859">
        <v>1190</v>
      </c>
      <c r="G1859" t="s">
        <v>150</v>
      </c>
      <c r="H1859">
        <v>122</v>
      </c>
      <c r="I1859">
        <v>1.7</v>
      </c>
      <c r="J1859">
        <v>1.7</v>
      </c>
      <c r="K1859">
        <v>1</v>
      </c>
      <c r="L1859" t="s">
        <v>834</v>
      </c>
    </row>
    <row r="1860" spans="2:29" x14ac:dyDescent="0.25">
      <c r="E1860">
        <v>500</v>
      </c>
    </row>
    <row r="1861" spans="2:29" x14ac:dyDescent="0.25">
      <c r="E1861">
        <v>950</v>
      </c>
    </row>
    <row r="1862" spans="2:29" x14ac:dyDescent="0.25">
      <c r="E1862">
        <v>700</v>
      </c>
    </row>
    <row r="1863" spans="2:29" x14ac:dyDescent="0.25">
      <c r="E1863">
        <v>500</v>
      </c>
    </row>
    <row r="1864" spans="2:29" x14ac:dyDescent="0.25">
      <c r="E1864">
        <v>250</v>
      </c>
    </row>
    <row r="1865" spans="2:29" x14ac:dyDescent="0.25">
      <c r="E1865">
        <v>700</v>
      </c>
    </row>
    <row r="1866" spans="2:29" x14ac:dyDescent="0.25">
      <c r="B1866">
        <v>1.00000050523944E+31</v>
      </c>
      <c r="C1866">
        <v>41217180</v>
      </c>
      <c r="D1866" t="s">
        <v>596</v>
      </c>
      <c r="E1866">
        <v>400</v>
      </c>
      <c r="G1866" t="s">
        <v>289</v>
      </c>
      <c r="H1866">
        <v>48</v>
      </c>
      <c r="I1866">
        <v>0.25</v>
      </c>
      <c r="J1866">
        <v>0.25</v>
      </c>
      <c r="K1866">
        <v>1</v>
      </c>
      <c r="L1866" t="s">
        <v>834</v>
      </c>
      <c r="AC1866" t="s">
        <v>2020</v>
      </c>
    </row>
    <row r="1867" spans="2:29" x14ac:dyDescent="0.25">
      <c r="E1867">
        <v>100</v>
      </c>
    </row>
    <row r="1868" spans="2:29" x14ac:dyDescent="0.25">
      <c r="E1868">
        <v>400</v>
      </c>
    </row>
    <row r="1869" spans="2:29" x14ac:dyDescent="0.25">
      <c r="E1869">
        <v>100</v>
      </c>
    </row>
    <row r="1870" spans="2:29" x14ac:dyDescent="0.25">
      <c r="B1870">
        <v>1.00000050523944E+31</v>
      </c>
      <c r="C1870">
        <v>41218317</v>
      </c>
      <c r="D1870" t="s">
        <v>595</v>
      </c>
      <c r="E1870">
        <v>210</v>
      </c>
      <c r="G1870" t="s">
        <v>127</v>
      </c>
      <c r="H1870">
        <v>67</v>
      </c>
      <c r="I1870">
        <v>0.35</v>
      </c>
      <c r="J1870">
        <v>0.35</v>
      </c>
      <c r="K1870">
        <v>1</v>
      </c>
      <c r="L1870" t="s">
        <v>834</v>
      </c>
      <c r="AC1870" t="s">
        <v>2149</v>
      </c>
    </row>
    <row r="1871" spans="2:29" x14ac:dyDescent="0.25">
      <c r="E1871">
        <v>210</v>
      </c>
    </row>
    <row r="1872" spans="2:29" x14ac:dyDescent="0.25">
      <c r="E1872">
        <v>600</v>
      </c>
    </row>
    <row r="1873" spans="2:29" x14ac:dyDescent="0.25">
      <c r="E1873">
        <v>600</v>
      </c>
    </row>
    <row r="1874" spans="2:29" x14ac:dyDescent="0.25">
      <c r="B1874">
        <v>1.00000050523944E+31</v>
      </c>
      <c r="C1874">
        <v>41219444</v>
      </c>
      <c r="D1874" t="s">
        <v>598</v>
      </c>
      <c r="E1874">
        <v>2500</v>
      </c>
      <c r="G1874" t="s">
        <v>135</v>
      </c>
      <c r="H1874">
        <v>63</v>
      </c>
      <c r="I1874">
        <v>0.25</v>
      </c>
      <c r="J1874">
        <v>0.25</v>
      </c>
      <c r="K1874">
        <v>1</v>
      </c>
      <c r="L1874" t="s">
        <v>834</v>
      </c>
      <c r="AC1874" t="s">
        <v>2021</v>
      </c>
    </row>
    <row r="1875" spans="2:29" x14ac:dyDescent="0.25">
      <c r="E1875">
        <v>625</v>
      </c>
      <c r="G1875">
        <v>6885</v>
      </c>
      <c r="H1875">
        <v>146</v>
      </c>
      <c r="I1875">
        <v>1.78</v>
      </c>
      <c r="J1875">
        <v>1.78</v>
      </c>
      <c r="K1875">
        <v>1</v>
      </c>
      <c r="L1875" t="s">
        <v>834</v>
      </c>
    </row>
    <row r="1876" spans="2:29" x14ac:dyDescent="0.25">
      <c r="E1876">
        <v>40</v>
      </c>
    </row>
    <row r="1877" spans="2:29" x14ac:dyDescent="0.25">
      <c r="E1877">
        <v>2500</v>
      </c>
    </row>
    <row r="1878" spans="2:29" x14ac:dyDescent="0.25">
      <c r="E1878">
        <v>625</v>
      </c>
    </row>
    <row r="1879" spans="2:29" x14ac:dyDescent="0.25">
      <c r="E1879">
        <v>40</v>
      </c>
    </row>
    <row r="1880" spans="2:29" x14ac:dyDescent="0.25">
      <c r="B1880">
        <v>1.00000050523944E+31</v>
      </c>
      <c r="C1880">
        <v>41219432</v>
      </c>
      <c r="D1880" t="s">
        <v>744</v>
      </c>
      <c r="E1880">
        <v>1600</v>
      </c>
      <c r="G1880" t="s">
        <v>181</v>
      </c>
      <c r="H1880">
        <v>71</v>
      </c>
      <c r="J1880">
        <v>0.25</v>
      </c>
      <c r="L1880" t="s">
        <v>834</v>
      </c>
      <c r="AC1880" t="s">
        <v>2022</v>
      </c>
    </row>
    <row r="1881" spans="2:29" x14ac:dyDescent="0.25">
      <c r="E1881">
        <v>1600</v>
      </c>
    </row>
    <row r="1882" spans="2:29" x14ac:dyDescent="0.25">
      <c r="B1882">
        <v>1.00000050523944E+31</v>
      </c>
      <c r="C1882">
        <v>41219444</v>
      </c>
      <c r="D1882" t="s">
        <v>745</v>
      </c>
      <c r="E1882">
        <v>2500</v>
      </c>
      <c r="G1882" t="s">
        <v>135</v>
      </c>
      <c r="H1882">
        <v>65</v>
      </c>
      <c r="I1882">
        <v>0.25</v>
      </c>
      <c r="J1882">
        <v>0.25</v>
      </c>
      <c r="K1882">
        <v>1</v>
      </c>
      <c r="L1882" t="s">
        <v>834</v>
      </c>
      <c r="AC1882" t="s">
        <v>2023</v>
      </c>
    </row>
    <row r="1883" spans="2:29" x14ac:dyDescent="0.25">
      <c r="E1883">
        <v>625</v>
      </c>
      <c r="G1883">
        <v>6885</v>
      </c>
      <c r="H1883">
        <v>146</v>
      </c>
      <c r="I1883">
        <v>1.78</v>
      </c>
      <c r="J1883">
        <v>1.78</v>
      </c>
      <c r="K1883">
        <v>1</v>
      </c>
      <c r="L1883" t="s">
        <v>834</v>
      </c>
    </row>
    <row r="1884" spans="2:29" x14ac:dyDescent="0.25">
      <c r="E1884">
        <v>40</v>
      </c>
    </row>
    <row r="1885" spans="2:29" x14ac:dyDescent="0.25">
      <c r="E1885">
        <v>2500</v>
      </c>
    </row>
    <row r="1886" spans="2:29" x14ac:dyDescent="0.25">
      <c r="E1886">
        <v>625</v>
      </c>
    </row>
    <row r="1887" spans="2:29" x14ac:dyDescent="0.25">
      <c r="E1887">
        <v>40</v>
      </c>
    </row>
    <row r="1888" spans="2:29" x14ac:dyDescent="0.25">
      <c r="B1888">
        <v>1.00000050523944E+31</v>
      </c>
      <c r="C1888">
        <v>41219377</v>
      </c>
      <c r="D1888" t="s">
        <v>743</v>
      </c>
      <c r="E1888">
        <v>220</v>
      </c>
      <c r="G1888" t="s">
        <v>146</v>
      </c>
      <c r="H1888">
        <v>69</v>
      </c>
      <c r="J1888">
        <v>1.7</v>
      </c>
      <c r="L1888" t="s">
        <v>834</v>
      </c>
      <c r="AC1888" t="s">
        <v>2150</v>
      </c>
    </row>
    <row r="1889" spans="2:29" x14ac:dyDescent="0.25">
      <c r="E1889">
        <v>800</v>
      </c>
      <c r="G1889" t="s">
        <v>150</v>
      </c>
      <c r="H1889">
        <v>147</v>
      </c>
      <c r="J1889">
        <v>1.7</v>
      </c>
      <c r="L1889" t="s">
        <v>834</v>
      </c>
    </row>
    <row r="1890" spans="2:29" x14ac:dyDescent="0.25">
      <c r="E1890">
        <v>700</v>
      </c>
      <c r="G1890" t="s">
        <v>149</v>
      </c>
      <c r="H1890">
        <v>176</v>
      </c>
      <c r="J1890">
        <v>1.7</v>
      </c>
      <c r="L1890" t="s">
        <v>834</v>
      </c>
    </row>
    <row r="1891" spans="2:29" x14ac:dyDescent="0.25">
      <c r="E1891">
        <v>220</v>
      </c>
    </row>
    <row r="1892" spans="2:29" x14ac:dyDescent="0.25">
      <c r="E1892">
        <v>800</v>
      </c>
    </row>
    <row r="1893" spans="2:29" x14ac:dyDescent="0.25">
      <c r="E1893">
        <v>700</v>
      </c>
    </row>
    <row r="1894" spans="2:29" x14ac:dyDescent="0.25">
      <c r="B1894">
        <v>1.00000050523944E+31</v>
      </c>
      <c r="C1894">
        <v>41219252</v>
      </c>
      <c r="D1894" t="s">
        <v>610</v>
      </c>
      <c r="E1894">
        <v>2500</v>
      </c>
      <c r="G1894" t="s">
        <v>156</v>
      </c>
      <c r="H1894">
        <v>73</v>
      </c>
      <c r="J1894">
        <v>0.33</v>
      </c>
      <c r="L1894" t="s">
        <v>834</v>
      </c>
      <c r="AC1894" t="s">
        <v>2025</v>
      </c>
    </row>
    <row r="1895" spans="2:29" x14ac:dyDescent="0.25">
      <c r="E1895">
        <v>2500</v>
      </c>
    </row>
    <row r="1896" spans="2:29" x14ac:dyDescent="0.25">
      <c r="B1896">
        <v>1.00000050523944E+31</v>
      </c>
      <c r="C1896">
        <v>41217777</v>
      </c>
      <c r="D1896" t="s">
        <v>604</v>
      </c>
      <c r="E1896">
        <v>2160</v>
      </c>
      <c r="G1896" t="s">
        <v>117</v>
      </c>
      <c r="H1896">
        <v>65</v>
      </c>
      <c r="I1896">
        <v>0.27</v>
      </c>
      <c r="AC1896" t="s">
        <v>2026</v>
      </c>
    </row>
    <row r="1897" spans="2:29" x14ac:dyDescent="0.25">
      <c r="E1897">
        <v>2160</v>
      </c>
    </row>
    <row r="1898" spans="2:29" x14ac:dyDescent="0.25">
      <c r="E1898">
        <v>8000</v>
      </c>
    </row>
    <row r="1899" spans="2:29" x14ac:dyDescent="0.25">
      <c r="E1899">
        <v>8000</v>
      </c>
    </row>
    <row r="1900" spans="2:29" x14ac:dyDescent="0.25">
      <c r="B1900">
        <v>1.00000050523944E+31</v>
      </c>
      <c r="C1900">
        <v>41218064</v>
      </c>
      <c r="D1900" t="s">
        <v>603</v>
      </c>
      <c r="E1900">
        <v>12000</v>
      </c>
      <c r="G1900" t="s">
        <v>113</v>
      </c>
      <c r="H1900">
        <v>74</v>
      </c>
      <c r="J1900">
        <v>0.25</v>
      </c>
      <c r="L1900" t="s">
        <v>834</v>
      </c>
      <c r="AC1900" t="s">
        <v>2027</v>
      </c>
    </row>
    <row r="1901" spans="2:29" x14ac:dyDescent="0.25">
      <c r="E1901">
        <v>3</v>
      </c>
      <c r="J1901">
        <v>3</v>
      </c>
      <c r="L1901" t="s">
        <v>834</v>
      </c>
    </row>
    <row r="1902" spans="2:29" x14ac:dyDescent="0.25">
      <c r="E1902">
        <v>12000</v>
      </c>
    </row>
    <row r="1903" spans="2:29" x14ac:dyDescent="0.25">
      <c r="E1903">
        <v>3</v>
      </c>
    </row>
    <row r="1904" spans="2:29" x14ac:dyDescent="0.25">
      <c r="B1904">
        <v>1.00000050523944E+31</v>
      </c>
      <c r="C1904">
        <v>41219425</v>
      </c>
      <c r="D1904" t="s">
        <v>612</v>
      </c>
      <c r="E1904">
        <v>12000</v>
      </c>
      <c r="G1904" t="s">
        <v>133</v>
      </c>
      <c r="H1904">
        <v>61</v>
      </c>
      <c r="I1904">
        <v>0.25</v>
      </c>
      <c r="J1904">
        <v>0.25</v>
      </c>
      <c r="K1904">
        <v>1</v>
      </c>
      <c r="L1904" t="s">
        <v>834</v>
      </c>
      <c r="AC1904" t="s">
        <v>2028</v>
      </c>
    </row>
    <row r="1905" spans="2:29" x14ac:dyDescent="0.25">
      <c r="E1905">
        <v>3000</v>
      </c>
      <c r="G1905">
        <v>81066</v>
      </c>
      <c r="H1905">
        <v>140</v>
      </c>
      <c r="I1905">
        <v>1.45</v>
      </c>
      <c r="J1905">
        <v>3000</v>
      </c>
      <c r="K1905">
        <v>2068.9655172413795</v>
      </c>
      <c r="L1905" t="s">
        <v>834</v>
      </c>
    </row>
    <row r="1906" spans="2:29" x14ac:dyDescent="0.25">
      <c r="E1906">
        <v>120</v>
      </c>
      <c r="G1906" t="s">
        <v>212</v>
      </c>
      <c r="H1906">
        <v>180</v>
      </c>
      <c r="I1906">
        <v>11.75</v>
      </c>
      <c r="J1906">
        <v>1.45</v>
      </c>
      <c r="K1906">
        <v>0.12340425531914893</v>
      </c>
      <c r="L1906" t="s">
        <v>834</v>
      </c>
    </row>
    <row r="1907" spans="2:29" x14ac:dyDescent="0.25">
      <c r="E1907">
        <v>174</v>
      </c>
      <c r="G1907">
        <v>81066</v>
      </c>
      <c r="H1907">
        <v>194</v>
      </c>
      <c r="J1907">
        <v>174</v>
      </c>
      <c r="K1907">
        <v>0.12340425531914893</v>
      </c>
      <c r="L1907" t="s">
        <v>834</v>
      </c>
    </row>
    <row r="1908" spans="2:29" x14ac:dyDescent="0.25">
      <c r="E1908">
        <v>2</v>
      </c>
      <c r="J1908">
        <v>1.75</v>
      </c>
      <c r="K1908">
        <v>0.12340425531914893</v>
      </c>
      <c r="L1908" t="s">
        <v>834</v>
      </c>
    </row>
    <row r="1909" spans="2:29" x14ac:dyDescent="0.25">
      <c r="E1909">
        <v>12000</v>
      </c>
      <c r="J1909">
        <v>23.5</v>
      </c>
      <c r="K1909">
        <v>0.12340425531914893</v>
      </c>
      <c r="L1909" t="s">
        <v>834</v>
      </c>
    </row>
    <row r="1910" spans="2:29" x14ac:dyDescent="0.25">
      <c r="E1910">
        <v>3000</v>
      </c>
    </row>
    <row r="1911" spans="2:29" x14ac:dyDescent="0.25">
      <c r="E1911">
        <v>120</v>
      </c>
    </row>
    <row r="1912" spans="2:29" x14ac:dyDescent="0.25">
      <c r="E1912">
        <v>174</v>
      </c>
    </row>
    <row r="1913" spans="2:29" x14ac:dyDescent="0.25">
      <c r="E1913">
        <v>2</v>
      </c>
    </row>
    <row r="1914" spans="2:29" x14ac:dyDescent="0.25">
      <c r="B1914">
        <v>1.00000050523944E+31</v>
      </c>
      <c r="C1914">
        <v>41219951</v>
      </c>
      <c r="D1914" t="s">
        <v>605</v>
      </c>
      <c r="E1914">
        <v>30</v>
      </c>
      <c r="G1914" t="s">
        <v>168</v>
      </c>
      <c r="H1914">
        <v>71</v>
      </c>
      <c r="J1914">
        <v>1.3</v>
      </c>
      <c r="L1914" t="s">
        <v>834</v>
      </c>
      <c r="AC1914" t="s">
        <v>2029</v>
      </c>
    </row>
    <row r="1915" spans="2:29" x14ac:dyDescent="0.25">
      <c r="E1915">
        <v>150</v>
      </c>
      <c r="G1915" t="s">
        <v>163</v>
      </c>
      <c r="H1915">
        <v>138</v>
      </c>
      <c r="J1915">
        <v>20.99</v>
      </c>
      <c r="L1915" t="s">
        <v>834</v>
      </c>
    </row>
    <row r="1916" spans="2:29" x14ac:dyDescent="0.25">
      <c r="E1916">
        <v>30</v>
      </c>
    </row>
    <row r="1917" spans="2:29" x14ac:dyDescent="0.25">
      <c r="E1917">
        <v>150</v>
      </c>
    </row>
    <row r="1918" spans="2:29" x14ac:dyDescent="0.25">
      <c r="B1918">
        <v>1.00000050523944E+31</v>
      </c>
      <c r="C1918">
        <v>41217485</v>
      </c>
      <c r="D1918" t="s">
        <v>602</v>
      </c>
      <c r="E1918">
        <v>1800</v>
      </c>
      <c r="G1918" t="s">
        <v>161</v>
      </c>
      <c r="H1918">
        <v>65</v>
      </c>
      <c r="I1918">
        <v>18</v>
      </c>
      <c r="J1918">
        <v>18</v>
      </c>
      <c r="K1918">
        <v>1</v>
      </c>
      <c r="L1918" t="s">
        <v>834</v>
      </c>
      <c r="AC1918" t="s">
        <v>2030</v>
      </c>
    </row>
    <row r="1919" spans="2:29" x14ac:dyDescent="0.25">
      <c r="E1919">
        <v>1800</v>
      </c>
    </row>
    <row r="1920" spans="2:29" x14ac:dyDescent="0.25">
      <c r="E1920">
        <v>100</v>
      </c>
    </row>
    <row r="1921" spans="2:29" x14ac:dyDescent="0.25">
      <c r="E1921">
        <v>100</v>
      </c>
    </row>
    <row r="1922" spans="2:29" x14ac:dyDescent="0.25">
      <c r="B1922">
        <v>1.00000050523944E+31</v>
      </c>
      <c r="C1922">
        <v>41219744</v>
      </c>
      <c r="D1922" t="s">
        <v>613</v>
      </c>
      <c r="E1922">
        <v>36</v>
      </c>
      <c r="G1922" t="s">
        <v>177</v>
      </c>
      <c r="H1922">
        <v>84</v>
      </c>
      <c r="I1922">
        <v>3.8</v>
      </c>
      <c r="J1922">
        <v>3.8</v>
      </c>
      <c r="K1922">
        <v>1</v>
      </c>
      <c r="L1922" t="s">
        <v>834</v>
      </c>
      <c r="AC1922" t="s">
        <v>2031</v>
      </c>
    </row>
    <row r="1923" spans="2:29" x14ac:dyDescent="0.25">
      <c r="E1923">
        <v>36</v>
      </c>
    </row>
    <row r="1924" spans="2:29" x14ac:dyDescent="0.25">
      <c r="B1924">
        <v>1.00000050523944E+31</v>
      </c>
      <c r="C1924">
        <v>41219949</v>
      </c>
      <c r="D1924" t="s">
        <v>609</v>
      </c>
      <c r="E1924">
        <v>240</v>
      </c>
      <c r="G1924" t="s">
        <v>174</v>
      </c>
      <c r="H1924">
        <v>109</v>
      </c>
      <c r="J1924">
        <v>0.56000000000000005</v>
      </c>
      <c r="L1924" t="s">
        <v>834</v>
      </c>
      <c r="AC1924" t="s">
        <v>2032</v>
      </c>
    </row>
    <row r="1925" spans="2:29" x14ac:dyDescent="0.25">
      <c r="E1925">
        <v>50</v>
      </c>
      <c r="G1925">
        <v>6885</v>
      </c>
      <c r="H1925">
        <v>132</v>
      </c>
      <c r="J1925">
        <v>1.78</v>
      </c>
      <c r="L1925" t="s">
        <v>834</v>
      </c>
    </row>
    <row r="1926" spans="2:29" x14ac:dyDescent="0.25">
      <c r="E1926">
        <v>240</v>
      </c>
    </row>
    <row r="1927" spans="2:29" x14ac:dyDescent="0.25">
      <c r="E1927">
        <v>50</v>
      </c>
    </row>
    <row r="1928" spans="2:29" x14ac:dyDescent="0.25">
      <c r="B1928">
        <v>1.00000050523944E+31</v>
      </c>
      <c r="C1928">
        <v>41217314</v>
      </c>
      <c r="D1928" t="s">
        <v>606</v>
      </c>
      <c r="E1928">
        <v>144</v>
      </c>
      <c r="G1928" t="s">
        <v>150</v>
      </c>
      <c r="H1928">
        <v>67</v>
      </c>
      <c r="I1928">
        <v>1.7</v>
      </c>
      <c r="J1928">
        <v>1.7</v>
      </c>
      <c r="K1928">
        <v>1</v>
      </c>
      <c r="L1928" t="s">
        <v>834</v>
      </c>
      <c r="AC1928" t="s">
        <v>2033</v>
      </c>
    </row>
    <row r="1929" spans="2:29" x14ac:dyDescent="0.25">
      <c r="E1929">
        <v>144</v>
      </c>
    </row>
    <row r="1930" spans="2:29" x14ac:dyDescent="0.25">
      <c r="B1930">
        <v>1.00000050523944E+31</v>
      </c>
      <c r="C1930">
        <v>41218860</v>
      </c>
      <c r="D1930" t="s">
        <v>611</v>
      </c>
      <c r="E1930">
        <v>2</v>
      </c>
      <c r="G1930" t="s">
        <v>193</v>
      </c>
      <c r="H1930">
        <v>49</v>
      </c>
      <c r="I1930">
        <v>0.87</v>
      </c>
      <c r="J1930">
        <v>0.87</v>
      </c>
      <c r="K1930">
        <v>1</v>
      </c>
      <c r="L1930" t="s">
        <v>834</v>
      </c>
      <c r="AC1930" t="s">
        <v>2151</v>
      </c>
    </row>
    <row r="1931" spans="2:29" x14ac:dyDescent="0.25">
      <c r="E1931">
        <v>120</v>
      </c>
      <c r="G1931">
        <v>6001</v>
      </c>
      <c r="H1931">
        <v>83</v>
      </c>
      <c r="I1931">
        <v>3.97</v>
      </c>
      <c r="J1931">
        <v>3.97</v>
      </c>
      <c r="K1931">
        <v>1</v>
      </c>
      <c r="L1931" t="s">
        <v>834</v>
      </c>
    </row>
    <row r="1932" spans="2:29" x14ac:dyDescent="0.25">
      <c r="E1932">
        <v>2</v>
      </c>
    </row>
    <row r="1933" spans="2:29" x14ac:dyDescent="0.25">
      <c r="E1933">
        <v>120</v>
      </c>
    </row>
    <row r="1934" spans="2:29" x14ac:dyDescent="0.25">
      <c r="B1934">
        <v>1.00000050523944E+31</v>
      </c>
      <c r="C1934">
        <v>41218896</v>
      </c>
      <c r="D1934" t="s">
        <v>607</v>
      </c>
      <c r="E1934">
        <v>6</v>
      </c>
      <c r="G1934">
        <v>6200</v>
      </c>
      <c r="H1934">
        <v>80</v>
      </c>
      <c r="J1934">
        <v>8.82</v>
      </c>
      <c r="L1934" t="s">
        <v>834</v>
      </c>
      <c r="AC1934" t="s">
        <v>2035</v>
      </c>
    </row>
    <row r="1935" spans="2:29" x14ac:dyDescent="0.25">
      <c r="E1935">
        <v>6</v>
      </c>
    </row>
    <row r="1936" spans="2:29" x14ac:dyDescent="0.25">
      <c r="B1936">
        <v>1.00000050523944E+31</v>
      </c>
      <c r="C1936">
        <v>41218405</v>
      </c>
      <c r="D1936" t="s">
        <v>608</v>
      </c>
      <c r="E1936">
        <v>27</v>
      </c>
      <c r="G1936">
        <v>6800</v>
      </c>
      <c r="H1936">
        <v>88</v>
      </c>
      <c r="J1936">
        <v>96</v>
      </c>
      <c r="L1936" t="s">
        <v>834</v>
      </c>
      <c r="AC1936" t="s">
        <v>2036</v>
      </c>
    </row>
    <row r="1937" spans="1:29" x14ac:dyDescent="0.25">
      <c r="E1937">
        <v>27</v>
      </c>
    </row>
    <row r="1938" spans="1:29" x14ac:dyDescent="0.25">
      <c r="B1938">
        <v>1.00000050523944E+31</v>
      </c>
      <c r="C1938">
        <v>41217793</v>
      </c>
      <c r="D1938" t="s">
        <v>748</v>
      </c>
      <c r="E1938">
        <v>500</v>
      </c>
      <c r="G1938" t="s">
        <v>125</v>
      </c>
      <c r="H1938">
        <v>71</v>
      </c>
      <c r="J1938">
        <v>0.67</v>
      </c>
      <c r="L1938" t="s">
        <v>834</v>
      </c>
      <c r="AC1938" t="s">
        <v>2037</v>
      </c>
    </row>
    <row r="1939" spans="1:29" x14ac:dyDescent="0.25">
      <c r="E1939">
        <v>500</v>
      </c>
    </row>
    <row r="1940" spans="1:29" x14ac:dyDescent="0.25">
      <c r="B1940">
        <v>1.00000050523944E+31</v>
      </c>
      <c r="C1940">
        <v>41217700</v>
      </c>
      <c r="D1940" t="s">
        <v>746</v>
      </c>
      <c r="E1940">
        <v>600</v>
      </c>
      <c r="G1940" t="s">
        <v>135</v>
      </c>
      <c r="H1940">
        <v>62</v>
      </c>
      <c r="I1940">
        <v>0.25</v>
      </c>
      <c r="J1940">
        <v>0.25</v>
      </c>
      <c r="K1940">
        <v>1</v>
      </c>
      <c r="L1940" t="s">
        <v>834</v>
      </c>
      <c r="AC1940" t="s">
        <v>2038</v>
      </c>
    </row>
    <row r="1941" spans="1:29" x14ac:dyDescent="0.25">
      <c r="E1941">
        <v>150</v>
      </c>
    </row>
    <row r="1942" spans="1:29" x14ac:dyDescent="0.25">
      <c r="E1942">
        <v>600</v>
      </c>
    </row>
    <row r="1943" spans="1:29" x14ac:dyDescent="0.25">
      <c r="E1943">
        <v>150</v>
      </c>
    </row>
    <row r="1944" spans="1:29" x14ac:dyDescent="0.25">
      <c r="B1944">
        <v>1.00000050523944E+31</v>
      </c>
      <c r="C1944">
        <v>41219872</v>
      </c>
      <c r="D1944" t="s">
        <v>614</v>
      </c>
      <c r="E1944">
        <v>200</v>
      </c>
      <c r="G1944" t="s">
        <v>152</v>
      </c>
      <c r="H1944">
        <v>67</v>
      </c>
      <c r="I1944">
        <v>2.1</v>
      </c>
      <c r="J1944">
        <v>2.1</v>
      </c>
      <c r="K1944">
        <v>1</v>
      </c>
      <c r="L1944" t="s">
        <v>834</v>
      </c>
      <c r="AC1944" t="s">
        <v>2039</v>
      </c>
    </row>
    <row r="1945" spans="1:29" x14ac:dyDescent="0.25">
      <c r="E1945">
        <v>420</v>
      </c>
    </row>
    <row r="1946" spans="1:29" x14ac:dyDescent="0.25">
      <c r="E1946">
        <v>200</v>
      </c>
    </row>
    <row r="1947" spans="1:29" x14ac:dyDescent="0.25">
      <c r="E1947">
        <v>420</v>
      </c>
    </row>
    <row r="1948" spans="1:29" x14ac:dyDescent="0.25">
      <c r="B1948">
        <v>1.00000050523944E+31</v>
      </c>
      <c r="C1948">
        <v>41219432</v>
      </c>
      <c r="D1948" t="s">
        <v>615</v>
      </c>
      <c r="E1948">
        <v>1000</v>
      </c>
      <c r="G1948" t="s">
        <v>117</v>
      </c>
      <c r="H1948">
        <v>65</v>
      </c>
      <c r="I1948">
        <v>0.25</v>
      </c>
      <c r="J1948">
        <v>0.25</v>
      </c>
      <c r="K1948">
        <v>1</v>
      </c>
      <c r="L1948" t="s">
        <v>834</v>
      </c>
      <c r="AC1948" t="s">
        <v>2040</v>
      </c>
    </row>
    <row r="1949" spans="1:29" x14ac:dyDescent="0.25">
      <c r="E1949">
        <v>250</v>
      </c>
    </row>
    <row r="1950" spans="1:29" x14ac:dyDescent="0.25">
      <c r="E1950">
        <v>1000</v>
      </c>
    </row>
    <row r="1951" spans="1:29" x14ac:dyDescent="0.25">
      <c r="E1951">
        <v>250</v>
      </c>
    </row>
    <row r="1952" spans="1:29" x14ac:dyDescent="0.25">
      <c r="A1952" t="s">
        <v>837</v>
      </c>
      <c r="B1952">
        <v>801006170502858</v>
      </c>
      <c r="C1952" t="s">
        <v>1349</v>
      </c>
      <c r="D1952" t="s">
        <v>617</v>
      </c>
      <c r="E1952">
        <v>1000</v>
      </c>
      <c r="G1952" t="s">
        <v>170</v>
      </c>
      <c r="H1952">
        <v>56</v>
      </c>
      <c r="I1952">
        <v>1.28</v>
      </c>
      <c r="J1952">
        <v>1.28</v>
      </c>
      <c r="K1952">
        <v>1</v>
      </c>
      <c r="L1952" t="s">
        <v>834</v>
      </c>
      <c r="AC1952" t="s">
        <v>2041</v>
      </c>
    </row>
    <row r="1953" spans="1:29" x14ac:dyDescent="0.25">
      <c r="E1953">
        <v>1000</v>
      </c>
    </row>
    <row r="1954" spans="1:29" x14ac:dyDescent="0.25">
      <c r="A1954" t="s">
        <v>837</v>
      </c>
      <c r="B1954">
        <v>8.0100617050285805E+25</v>
      </c>
      <c r="C1954" t="s">
        <v>1350</v>
      </c>
      <c r="D1954" t="s">
        <v>1351</v>
      </c>
      <c r="E1954">
        <v>5000</v>
      </c>
      <c r="G1954" t="s">
        <v>156</v>
      </c>
      <c r="H1954">
        <v>24</v>
      </c>
      <c r="J1954">
        <v>0.33</v>
      </c>
      <c r="L1954" t="s">
        <v>834</v>
      </c>
      <c r="AC1954" t="s">
        <v>2042</v>
      </c>
    </row>
    <row r="1955" spans="1:29" x14ac:dyDescent="0.25">
      <c r="E1955">
        <v>5000</v>
      </c>
    </row>
    <row r="1956" spans="1:29" x14ac:dyDescent="0.25">
      <c r="B1956">
        <v>1.00000050523944E+30</v>
      </c>
      <c r="C1956">
        <v>41219002</v>
      </c>
      <c r="D1956" t="s">
        <v>1352</v>
      </c>
      <c r="E1956">
        <v>340</v>
      </c>
      <c r="G1956">
        <v>6001</v>
      </c>
      <c r="H1956">
        <v>91</v>
      </c>
      <c r="J1956">
        <v>7.94</v>
      </c>
      <c r="L1956" t="s">
        <v>834</v>
      </c>
      <c r="AC1956" t="s">
        <v>2043</v>
      </c>
    </row>
    <row r="1957" spans="1:29" x14ac:dyDescent="0.25">
      <c r="E1957">
        <v>340</v>
      </c>
    </row>
    <row r="1958" spans="1:29" x14ac:dyDescent="0.25">
      <c r="B1958">
        <v>1.00000050523944E+31</v>
      </c>
      <c r="C1958">
        <v>41219872</v>
      </c>
      <c r="D1958" t="s">
        <v>619</v>
      </c>
      <c r="E1958">
        <v>200</v>
      </c>
      <c r="G1958" t="s">
        <v>152</v>
      </c>
      <c r="H1958">
        <v>76</v>
      </c>
      <c r="I1958">
        <v>2.1</v>
      </c>
      <c r="J1958">
        <v>2.1</v>
      </c>
      <c r="K1958">
        <v>1</v>
      </c>
      <c r="L1958" t="s">
        <v>834</v>
      </c>
      <c r="AC1958" t="s">
        <v>2152</v>
      </c>
    </row>
    <row r="1959" spans="1:29" x14ac:dyDescent="0.25">
      <c r="E1959">
        <v>420</v>
      </c>
    </row>
    <row r="1960" spans="1:29" x14ac:dyDescent="0.25">
      <c r="E1960">
        <v>200</v>
      </c>
    </row>
    <row r="1961" spans="1:29" x14ac:dyDescent="0.25">
      <c r="E1961">
        <v>420</v>
      </c>
    </row>
    <row r="1962" spans="1:29" x14ac:dyDescent="0.25">
      <c r="B1962">
        <v>1.00000050523944E+31</v>
      </c>
      <c r="C1962">
        <v>41219042</v>
      </c>
      <c r="D1962" t="s">
        <v>620</v>
      </c>
      <c r="E1962">
        <v>1360</v>
      </c>
      <c r="G1962" t="s">
        <v>174</v>
      </c>
      <c r="H1962">
        <v>51</v>
      </c>
      <c r="I1962">
        <v>0.61</v>
      </c>
      <c r="J1962">
        <v>0.61</v>
      </c>
      <c r="K1962">
        <v>1</v>
      </c>
      <c r="L1962" t="s">
        <v>834</v>
      </c>
      <c r="AC1962" t="s">
        <v>2044</v>
      </c>
    </row>
    <row r="1963" spans="1:29" x14ac:dyDescent="0.25">
      <c r="E1963">
        <v>1000</v>
      </c>
      <c r="G1963" t="s">
        <v>149</v>
      </c>
      <c r="H1963">
        <v>74</v>
      </c>
      <c r="I1963">
        <v>1.7</v>
      </c>
      <c r="J1963">
        <v>1.7</v>
      </c>
      <c r="K1963">
        <v>1</v>
      </c>
      <c r="L1963" t="s">
        <v>834</v>
      </c>
    </row>
    <row r="1964" spans="1:29" x14ac:dyDescent="0.25">
      <c r="E1964">
        <v>800</v>
      </c>
    </row>
    <row r="1965" spans="1:29" x14ac:dyDescent="0.25">
      <c r="E1965">
        <v>1360</v>
      </c>
    </row>
    <row r="1966" spans="1:29" x14ac:dyDescent="0.25">
      <c r="E1966">
        <v>1000</v>
      </c>
    </row>
    <row r="1967" spans="1:29" x14ac:dyDescent="0.25">
      <c r="E1967">
        <v>800</v>
      </c>
    </row>
    <row r="1968" spans="1:29" x14ac:dyDescent="0.25">
      <c r="B1968">
        <v>1.00000050523944E+31</v>
      </c>
      <c r="C1968">
        <v>41220007</v>
      </c>
      <c r="D1968" t="s">
        <v>622</v>
      </c>
      <c r="E1968">
        <v>1200</v>
      </c>
      <c r="G1968" t="s">
        <v>113</v>
      </c>
      <c r="H1968">
        <v>140</v>
      </c>
      <c r="J1968">
        <v>0.25</v>
      </c>
      <c r="L1968" t="s">
        <v>834</v>
      </c>
      <c r="AC1968" t="s">
        <v>2045</v>
      </c>
    </row>
    <row r="1969" spans="2:29" x14ac:dyDescent="0.25">
      <c r="E1969">
        <v>200</v>
      </c>
      <c r="G1969" t="s">
        <v>138</v>
      </c>
      <c r="H1969">
        <v>174</v>
      </c>
      <c r="J1969">
        <v>3.4</v>
      </c>
      <c r="L1969" t="s">
        <v>834</v>
      </c>
    </row>
    <row r="1970" spans="2:29" x14ac:dyDescent="0.25">
      <c r="E1970">
        <v>20</v>
      </c>
      <c r="G1970" t="s">
        <v>143</v>
      </c>
      <c r="H1970">
        <v>201</v>
      </c>
      <c r="J1970">
        <v>3.4</v>
      </c>
      <c r="L1970" t="s">
        <v>834</v>
      </c>
    </row>
    <row r="1971" spans="2:29" x14ac:dyDescent="0.25">
      <c r="E1971">
        <v>34</v>
      </c>
      <c r="G1971" t="s">
        <v>141</v>
      </c>
      <c r="H1971">
        <v>229</v>
      </c>
      <c r="J1971">
        <v>3.4</v>
      </c>
      <c r="L1971" t="s">
        <v>834</v>
      </c>
    </row>
    <row r="1972" spans="2:29" x14ac:dyDescent="0.25">
      <c r="E1972">
        <v>1200</v>
      </c>
    </row>
    <row r="1973" spans="2:29" x14ac:dyDescent="0.25">
      <c r="E1973">
        <v>200</v>
      </c>
    </row>
    <row r="1974" spans="2:29" x14ac:dyDescent="0.25">
      <c r="E1974">
        <v>20</v>
      </c>
    </row>
    <row r="1975" spans="2:29" x14ac:dyDescent="0.25">
      <c r="E1975">
        <v>34</v>
      </c>
    </row>
    <row r="1976" spans="2:29" x14ac:dyDescent="0.25">
      <c r="B1976">
        <v>1.00000050523944E+31</v>
      </c>
      <c r="C1976">
        <v>41219432</v>
      </c>
      <c r="D1976" t="s">
        <v>623</v>
      </c>
      <c r="E1976">
        <v>1600</v>
      </c>
      <c r="G1976" t="s">
        <v>181</v>
      </c>
      <c r="H1976">
        <v>78</v>
      </c>
      <c r="J1976">
        <v>0.25</v>
      </c>
      <c r="L1976" t="s">
        <v>834</v>
      </c>
      <c r="AC1976" t="s">
        <v>2153</v>
      </c>
    </row>
    <row r="1977" spans="2:29" x14ac:dyDescent="0.25">
      <c r="E1977">
        <v>1000</v>
      </c>
      <c r="G1977" t="s">
        <v>117</v>
      </c>
      <c r="H1977">
        <v>135</v>
      </c>
      <c r="J1977">
        <v>0.25</v>
      </c>
      <c r="L1977" t="s">
        <v>834</v>
      </c>
    </row>
    <row r="1978" spans="2:29" x14ac:dyDescent="0.25">
      <c r="E1978">
        <v>1600</v>
      </c>
    </row>
    <row r="1979" spans="2:29" x14ac:dyDescent="0.25">
      <c r="E1979">
        <v>1000</v>
      </c>
    </row>
    <row r="1980" spans="2:29" x14ac:dyDescent="0.25">
      <c r="B1980">
        <v>1.00000050523944E+31</v>
      </c>
      <c r="C1980">
        <v>41220010</v>
      </c>
      <c r="D1980" t="s">
        <v>626</v>
      </c>
      <c r="E1980">
        <v>5000</v>
      </c>
      <c r="G1980" t="s">
        <v>156</v>
      </c>
      <c r="H1980">
        <v>69</v>
      </c>
      <c r="J1980">
        <v>0.33</v>
      </c>
      <c r="L1980" t="s">
        <v>834</v>
      </c>
      <c r="AC1980" t="s">
        <v>2047</v>
      </c>
    </row>
    <row r="1981" spans="2:29" x14ac:dyDescent="0.25">
      <c r="E1981">
        <v>5000</v>
      </c>
    </row>
    <row r="1982" spans="2:29" x14ac:dyDescent="0.25">
      <c r="B1982">
        <v>1.00000050523944E+31</v>
      </c>
      <c r="C1982">
        <v>41219444</v>
      </c>
      <c r="D1982" t="s">
        <v>624</v>
      </c>
      <c r="E1982">
        <v>40</v>
      </c>
      <c r="G1982">
        <v>6885</v>
      </c>
      <c r="H1982">
        <v>105</v>
      </c>
      <c r="J1982">
        <v>1.78</v>
      </c>
      <c r="L1982" t="s">
        <v>834</v>
      </c>
      <c r="AC1982" t="s">
        <v>2154</v>
      </c>
    </row>
    <row r="1983" spans="2:29" x14ac:dyDescent="0.25">
      <c r="E1983">
        <v>10</v>
      </c>
      <c r="G1983">
        <v>6800</v>
      </c>
      <c r="H1983">
        <v>128</v>
      </c>
      <c r="J1983">
        <v>94</v>
      </c>
      <c r="L1983" t="s">
        <v>834</v>
      </c>
    </row>
    <row r="1984" spans="2:29" x14ac:dyDescent="0.25">
      <c r="E1984">
        <v>40</v>
      </c>
    </row>
    <row r="1985" spans="2:29" x14ac:dyDescent="0.25">
      <c r="E1985">
        <v>10</v>
      </c>
    </row>
    <row r="1986" spans="2:29" x14ac:dyDescent="0.25">
      <c r="B1986">
        <v>1.00000050523944E+31</v>
      </c>
      <c r="C1986">
        <v>41219377</v>
      </c>
      <c r="D1986" t="s">
        <v>627</v>
      </c>
      <c r="E1986">
        <v>1740</v>
      </c>
      <c r="G1986" t="s">
        <v>212</v>
      </c>
      <c r="H1986">
        <v>87</v>
      </c>
      <c r="I1986">
        <v>1.45</v>
      </c>
      <c r="J1986">
        <v>1.45</v>
      </c>
      <c r="K1986">
        <v>1</v>
      </c>
      <c r="L1986" t="s">
        <v>834</v>
      </c>
      <c r="AC1986" t="s">
        <v>2048</v>
      </c>
    </row>
    <row r="1987" spans="2:29" x14ac:dyDescent="0.25">
      <c r="E1987">
        <v>1200</v>
      </c>
    </row>
    <row r="1988" spans="2:29" x14ac:dyDescent="0.25">
      <c r="E1988">
        <v>1740</v>
      </c>
    </row>
    <row r="1989" spans="2:29" x14ac:dyDescent="0.25">
      <c r="E1989">
        <v>1200</v>
      </c>
    </row>
    <row r="1990" spans="2:29" x14ac:dyDescent="0.25">
      <c r="B1990">
        <v>1.00000050523944E+31</v>
      </c>
      <c r="C1990">
        <v>41217317</v>
      </c>
      <c r="D1990" t="s">
        <v>630</v>
      </c>
      <c r="E1990">
        <v>3</v>
      </c>
      <c r="G1990" t="s">
        <v>228</v>
      </c>
      <c r="H1990">
        <v>63</v>
      </c>
      <c r="I1990">
        <v>13.99</v>
      </c>
      <c r="J1990">
        <v>13.99</v>
      </c>
      <c r="K1990">
        <v>1</v>
      </c>
      <c r="L1990" t="s">
        <v>834</v>
      </c>
      <c r="AC1990" t="s">
        <v>2155</v>
      </c>
    </row>
    <row r="1991" spans="2:29" x14ac:dyDescent="0.25">
      <c r="E1991">
        <v>5</v>
      </c>
      <c r="G1991" t="s">
        <v>229</v>
      </c>
      <c r="H1991">
        <v>117</v>
      </c>
      <c r="I1991">
        <v>13.99</v>
      </c>
      <c r="J1991">
        <v>13.99</v>
      </c>
      <c r="K1991">
        <v>1</v>
      </c>
      <c r="L1991" t="s">
        <v>834</v>
      </c>
    </row>
    <row r="1992" spans="2:29" x14ac:dyDescent="0.25">
      <c r="E1992">
        <v>5</v>
      </c>
    </row>
    <row r="1993" spans="2:29" x14ac:dyDescent="0.25">
      <c r="E1993">
        <v>5</v>
      </c>
    </row>
    <row r="1994" spans="2:29" x14ac:dyDescent="0.25">
      <c r="B1994">
        <v>1.00000050523944E+31</v>
      </c>
      <c r="C1994">
        <v>41218317</v>
      </c>
      <c r="D1994" t="s">
        <v>629</v>
      </c>
      <c r="E1994">
        <v>210</v>
      </c>
      <c r="G1994" t="s">
        <v>127</v>
      </c>
      <c r="H1994">
        <v>76</v>
      </c>
      <c r="I1994">
        <v>0.35</v>
      </c>
      <c r="J1994">
        <v>0.35</v>
      </c>
      <c r="K1994">
        <v>1</v>
      </c>
      <c r="L1994" t="s">
        <v>834</v>
      </c>
      <c r="AC1994" t="s">
        <v>2050</v>
      </c>
    </row>
    <row r="1995" spans="2:29" x14ac:dyDescent="0.25">
      <c r="E1995">
        <v>600</v>
      </c>
    </row>
    <row r="1996" spans="2:29" x14ac:dyDescent="0.25">
      <c r="E1996">
        <v>210</v>
      </c>
    </row>
    <row r="1997" spans="2:29" x14ac:dyDescent="0.25">
      <c r="E1997">
        <v>600</v>
      </c>
    </row>
    <row r="1998" spans="2:29" x14ac:dyDescent="0.25">
      <c r="B1998">
        <v>1.00000050523944E+31</v>
      </c>
      <c r="C1998">
        <v>41219386</v>
      </c>
      <c r="D1998" t="s">
        <v>628</v>
      </c>
      <c r="E1998">
        <v>400</v>
      </c>
      <c r="G1998" t="s">
        <v>129</v>
      </c>
      <c r="H1998">
        <v>63</v>
      </c>
      <c r="I1998">
        <v>0.25</v>
      </c>
      <c r="J1998">
        <v>0.25</v>
      </c>
      <c r="K1998">
        <v>1</v>
      </c>
      <c r="L1998" t="s">
        <v>834</v>
      </c>
      <c r="AC1998" t="s">
        <v>2051</v>
      </c>
    </row>
    <row r="1999" spans="2:29" x14ac:dyDescent="0.25">
      <c r="E1999">
        <v>100</v>
      </c>
    </row>
    <row r="2000" spans="2:29" x14ac:dyDescent="0.25">
      <c r="E2000">
        <v>400</v>
      </c>
    </row>
    <row r="2001" spans="1:29" x14ac:dyDescent="0.25">
      <c r="E2001">
        <v>100</v>
      </c>
    </row>
    <row r="2002" spans="1:29" x14ac:dyDescent="0.25">
      <c r="B2002">
        <v>1.00000050523944E+31</v>
      </c>
      <c r="C2002">
        <v>41217485</v>
      </c>
      <c r="D2002" t="s">
        <v>633</v>
      </c>
      <c r="E2002">
        <v>100</v>
      </c>
      <c r="G2002" t="s">
        <v>161</v>
      </c>
      <c r="H2002">
        <v>60</v>
      </c>
      <c r="I2002">
        <v>18</v>
      </c>
      <c r="J2002">
        <v>8</v>
      </c>
      <c r="K2002">
        <v>0.44444444444444442</v>
      </c>
      <c r="L2002" t="s">
        <v>834</v>
      </c>
      <c r="AC2002" t="s">
        <v>2052</v>
      </c>
    </row>
    <row r="2003" spans="1:29" x14ac:dyDescent="0.25">
      <c r="E2003">
        <v>1800</v>
      </c>
      <c r="J2003">
        <v>1800</v>
      </c>
      <c r="K2003">
        <v>0.44444444444444442</v>
      </c>
      <c r="L2003" t="s">
        <v>834</v>
      </c>
    </row>
    <row r="2004" spans="1:29" x14ac:dyDescent="0.25">
      <c r="E2004">
        <v>100</v>
      </c>
    </row>
    <row r="2005" spans="1:29" x14ac:dyDescent="0.25">
      <c r="E2005">
        <v>1800</v>
      </c>
    </row>
    <row r="2006" spans="1:29" x14ac:dyDescent="0.25">
      <c r="A2006" t="s">
        <v>837</v>
      </c>
      <c r="B2006">
        <v>801006170502858</v>
      </c>
      <c r="C2006" t="s">
        <v>1349</v>
      </c>
      <c r="D2006" t="s">
        <v>646</v>
      </c>
      <c r="E2006">
        <v>300</v>
      </c>
      <c r="G2006" t="s">
        <v>170</v>
      </c>
      <c r="H2006">
        <v>44</v>
      </c>
      <c r="I2006">
        <v>1.28</v>
      </c>
      <c r="J2006">
        <v>384</v>
      </c>
      <c r="K2006">
        <v>300</v>
      </c>
      <c r="AC2006" t="s">
        <v>2053</v>
      </c>
    </row>
    <row r="2007" spans="1:29" x14ac:dyDescent="0.25">
      <c r="E2007">
        <v>300</v>
      </c>
    </row>
    <row r="2008" spans="1:29" x14ac:dyDescent="0.25">
      <c r="B2008">
        <v>1.00000050523944E+31</v>
      </c>
      <c r="C2008">
        <v>41219425</v>
      </c>
      <c r="D2008" t="s">
        <v>643</v>
      </c>
      <c r="E2008">
        <v>12000</v>
      </c>
      <c r="G2008" t="s">
        <v>133</v>
      </c>
      <c r="H2008">
        <v>64</v>
      </c>
      <c r="I2008">
        <v>0.25</v>
      </c>
      <c r="J2008">
        <v>0.25</v>
      </c>
      <c r="K2008">
        <v>1</v>
      </c>
      <c r="L2008" t="s">
        <v>834</v>
      </c>
      <c r="AC2008" t="s">
        <v>2054</v>
      </c>
    </row>
    <row r="2009" spans="1:29" x14ac:dyDescent="0.25">
      <c r="E2009">
        <v>3000</v>
      </c>
      <c r="G2009" t="s">
        <v>212</v>
      </c>
      <c r="H2009">
        <v>178</v>
      </c>
      <c r="I2009">
        <v>1.45</v>
      </c>
      <c r="J2009">
        <v>1.45</v>
      </c>
      <c r="K2009">
        <v>1</v>
      </c>
      <c r="L2009" t="s">
        <v>834</v>
      </c>
    </row>
    <row r="2010" spans="1:29" x14ac:dyDescent="0.25">
      <c r="E2010">
        <v>120</v>
      </c>
      <c r="G2010">
        <v>81066</v>
      </c>
      <c r="H2010">
        <v>200</v>
      </c>
      <c r="I2010">
        <v>11.75</v>
      </c>
      <c r="J2010">
        <v>11.75</v>
      </c>
      <c r="K2010">
        <v>1</v>
      </c>
      <c r="L2010" t="s">
        <v>834</v>
      </c>
    </row>
    <row r="2011" spans="1:29" x14ac:dyDescent="0.25">
      <c r="E2011">
        <v>174</v>
      </c>
    </row>
    <row r="2012" spans="1:29" x14ac:dyDescent="0.25">
      <c r="E2012">
        <v>2</v>
      </c>
    </row>
    <row r="2013" spans="1:29" x14ac:dyDescent="0.25">
      <c r="E2013">
        <v>12000</v>
      </c>
    </row>
    <row r="2014" spans="1:29" x14ac:dyDescent="0.25">
      <c r="E2014">
        <v>3000</v>
      </c>
    </row>
    <row r="2015" spans="1:29" x14ac:dyDescent="0.25">
      <c r="E2015">
        <v>120</v>
      </c>
    </row>
    <row r="2016" spans="1:29" x14ac:dyDescent="0.25">
      <c r="E2016">
        <v>174</v>
      </c>
    </row>
    <row r="2017" spans="2:29" x14ac:dyDescent="0.25">
      <c r="E2017">
        <v>2</v>
      </c>
    </row>
    <row r="2018" spans="2:29" x14ac:dyDescent="0.25">
      <c r="B2018">
        <v>1.00000050523944E+31</v>
      </c>
      <c r="C2018">
        <v>41217777</v>
      </c>
      <c r="D2018" t="s">
        <v>635</v>
      </c>
      <c r="E2018">
        <v>6000</v>
      </c>
      <c r="G2018" t="s">
        <v>117</v>
      </c>
      <c r="H2018">
        <v>68</v>
      </c>
      <c r="J2018">
        <v>0.27</v>
      </c>
      <c r="L2018" t="s">
        <v>834</v>
      </c>
      <c r="AC2018" t="s">
        <v>2055</v>
      </c>
    </row>
    <row r="2019" spans="2:29" x14ac:dyDescent="0.25">
      <c r="E2019">
        <v>6000</v>
      </c>
    </row>
    <row r="2020" spans="2:29" x14ac:dyDescent="0.25">
      <c r="E2020">
        <v>1620</v>
      </c>
    </row>
    <row r="2021" spans="2:29" x14ac:dyDescent="0.25">
      <c r="B2021">
        <v>1.00000050523944E+31</v>
      </c>
      <c r="C2021">
        <v>41218064</v>
      </c>
      <c r="D2021" t="s">
        <v>634</v>
      </c>
      <c r="E2021">
        <v>12000</v>
      </c>
      <c r="G2021" t="s">
        <v>113</v>
      </c>
      <c r="H2021">
        <v>86</v>
      </c>
      <c r="J2021">
        <v>0.25</v>
      </c>
      <c r="L2021" t="s">
        <v>834</v>
      </c>
      <c r="AC2021" t="s">
        <v>2056</v>
      </c>
    </row>
    <row r="2022" spans="2:29" x14ac:dyDescent="0.25">
      <c r="E2022">
        <v>12000</v>
      </c>
    </row>
    <row r="2023" spans="2:29" x14ac:dyDescent="0.25">
      <c r="E2023">
        <v>3</v>
      </c>
    </row>
    <row r="2024" spans="2:29" x14ac:dyDescent="0.25">
      <c r="B2024">
        <v>1.00000050523944E+31</v>
      </c>
      <c r="C2024">
        <v>41219949</v>
      </c>
      <c r="D2024" t="s">
        <v>640</v>
      </c>
      <c r="E2024">
        <v>89</v>
      </c>
      <c r="G2024" t="s">
        <v>174</v>
      </c>
      <c r="H2024">
        <v>133</v>
      </c>
      <c r="J2024">
        <v>0.56000000000000005</v>
      </c>
      <c r="L2024" t="s">
        <v>834</v>
      </c>
      <c r="AC2024" t="s">
        <v>2057</v>
      </c>
    </row>
    <row r="2025" spans="2:29" x14ac:dyDescent="0.25">
      <c r="E2025">
        <v>940</v>
      </c>
      <c r="G2025">
        <v>6885</v>
      </c>
      <c r="H2025">
        <v>156</v>
      </c>
      <c r="J2025">
        <v>1.78</v>
      </c>
      <c r="L2025" t="s">
        <v>834</v>
      </c>
    </row>
    <row r="2026" spans="2:29" x14ac:dyDescent="0.25">
      <c r="E2026">
        <v>89</v>
      </c>
      <c r="G2026">
        <v>6800</v>
      </c>
      <c r="H2026">
        <v>178</v>
      </c>
      <c r="J2026">
        <v>94</v>
      </c>
      <c r="L2026" t="s">
        <v>834</v>
      </c>
    </row>
    <row r="2027" spans="2:29" x14ac:dyDescent="0.25">
      <c r="E2027">
        <v>240</v>
      </c>
    </row>
    <row r="2028" spans="2:29" x14ac:dyDescent="0.25">
      <c r="E2028">
        <v>50</v>
      </c>
    </row>
    <row r="2029" spans="2:29" x14ac:dyDescent="0.25">
      <c r="E2029">
        <v>10</v>
      </c>
    </row>
    <row r="2030" spans="2:29" x14ac:dyDescent="0.25">
      <c r="E2030">
        <v>240</v>
      </c>
    </row>
    <row r="2031" spans="2:29" x14ac:dyDescent="0.25">
      <c r="E2031">
        <v>50</v>
      </c>
    </row>
    <row r="2032" spans="2:29" x14ac:dyDescent="0.25">
      <c r="E2032">
        <v>10</v>
      </c>
    </row>
    <row r="2033" spans="2:29" x14ac:dyDescent="0.25">
      <c r="B2033">
        <v>1.00000050523944E+31</v>
      </c>
      <c r="C2033">
        <v>41219252</v>
      </c>
      <c r="D2033" t="s">
        <v>641</v>
      </c>
      <c r="E2033">
        <v>2500</v>
      </c>
      <c r="G2033" t="s">
        <v>156</v>
      </c>
      <c r="H2033">
        <v>59</v>
      </c>
      <c r="I2033">
        <v>0.33</v>
      </c>
      <c r="J2033">
        <v>0.33</v>
      </c>
      <c r="K2033">
        <v>1</v>
      </c>
      <c r="L2033" t="s">
        <v>834</v>
      </c>
      <c r="AC2033" t="s">
        <v>2058</v>
      </c>
    </row>
    <row r="2034" spans="2:29" x14ac:dyDescent="0.25">
      <c r="E2034">
        <v>825</v>
      </c>
      <c r="J2034">
        <v>825</v>
      </c>
      <c r="K2034">
        <v>1</v>
      </c>
      <c r="L2034" t="s">
        <v>834</v>
      </c>
    </row>
    <row r="2035" spans="2:29" x14ac:dyDescent="0.25">
      <c r="E2035">
        <v>2500</v>
      </c>
    </row>
    <row r="2036" spans="2:29" x14ac:dyDescent="0.25">
      <c r="E2036">
        <v>825</v>
      </c>
    </row>
    <row r="2037" spans="2:29" x14ac:dyDescent="0.25">
      <c r="B2037">
        <v>1.00000050523944E+31</v>
      </c>
      <c r="C2037">
        <v>41218896</v>
      </c>
      <c r="D2037" t="s">
        <v>639</v>
      </c>
      <c r="E2037">
        <v>6</v>
      </c>
      <c r="G2037">
        <v>6200</v>
      </c>
      <c r="H2037">
        <v>85</v>
      </c>
      <c r="J2037">
        <v>8.82</v>
      </c>
      <c r="L2037" t="s">
        <v>834</v>
      </c>
      <c r="AC2037" t="s">
        <v>2156</v>
      </c>
    </row>
    <row r="2038" spans="2:29" x14ac:dyDescent="0.25">
      <c r="E2038">
        <v>6</v>
      </c>
    </row>
    <row r="2039" spans="2:29" x14ac:dyDescent="0.25">
      <c r="B2039">
        <v>1.00000050523944E+31</v>
      </c>
      <c r="C2039">
        <v>41217314</v>
      </c>
      <c r="D2039" t="s">
        <v>637</v>
      </c>
      <c r="E2039">
        <v>144</v>
      </c>
      <c r="G2039" t="s">
        <v>150</v>
      </c>
      <c r="H2039">
        <v>63</v>
      </c>
      <c r="I2039">
        <v>1.7</v>
      </c>
      <c r="J2039">
        <v>1.7</v>
      </c>
      <c r="K2039">
        <v>1</v>
      </c>
      <c r="L2039" t="s">
        <v>834</v>
      </c>
      <c r="AC2039" t="s">
        <v>2059</v>
      </c>
    </row>
    <row r="2040" spans="2:29" x14ac:dyDescent="0.25">
      <c r="E2040">
        <v>144</v>
      </c>
    </row>
    <row r="2041" spans="2:29" x14ac:dyDescent="0.25">
      <c r="B2041">
        <v>1.00000050523944E+31</v>
      </c>
      <c r="C2041">
        <v>41219694</v>
      </c>
      <c r="D2041" t="s">
        <v>638</v>
      </c>
      <c r="E2041">
        <v>150</v>
      </c>
      <c r="G2041" t="s">
        <v>143</v>
      </c>
      <c r="H2041">
        <v>63</v>
      </c>
      <c r="I2041">
        <v>3.4</v>
      </c>
      <c r="J2041">
        <v>3.4</v>
      </c>
      <c r="K2041">
        <v>1</v>
      </c>
      <c r="L2041" t="s">
        <v>834</v>
      </c>
      <c r="AC2041" t="s">
        <v>2060</v>
      </c>
    </row>
    <row r="2042" spans="2:29" x14ac:dyDescent="0.25">
      <c r="E2042">
        <v>510</v>
      </c>
      <c r="G2042" t="s">
        <v>138</v>
      </c>
      <c r="H2042">
        <v>167</v>
      </c>
      <c r="I2042">
        <v>3.4</v>
      </c>
      <c r="J2042">
        <v>3.4</v>
      </c>
      <c r="K2042">
        <v>1</v>
      </c>
      <c r="L2042" t="s">
        <v>834</v>
      </c>
    </row>
    <row r="2043" spans="2:29" x14ac:dyDescent="0.25">
      <c r="E2043">
        <v>70</v>
      </c>
      <c r="G2043" t="s">
        <v>141</v>
      </c>
      <c r="H2043">
        <v>194</v>
      </c>
      <c r="I2043">
        <v>3.4</v>
      </c>
      <c r="J2043">
        <v>3.4</v>
      </c>
      <c r="K2043">
        <v>1</v>
      </c>
      <c r="L2043" t="s">
        <v>834</v>
      </c>
    </row>
    <row r="2044" spans="2:29" x14ac:dyDescent="0.25">
      <c r="E2044">
        <v>238</v>
      </c>
    </row>
    <row r="2045" spans="2:29" x14ac:dyDescent="0.25">
      <c r="E2045">
        <v>80</v>
      </c>
    </row>
    <row r="2046" spans="2:29" x14ac:dyDescent="0.25">
      <c r="E2046">
        <v>272</v>
      </c>
    </row>
    <row r="2047" spans="2:29" x14ac:dyDescent="0.25">
      <c r="E2047">
        <v>150</v>
      </c>
    </row>
    <row r="2048" spans="2:29" x14ac:dyDescent="0.25">
      <c r="E2048">
        <v>510</v>
      </c>
    </row>
    <row r="2049" spans="2:29" x14ac:dyDescent="0.25">
      <c r="E2049">
        <v>70</v>
      </c>
    </row>
    <row r="2050" spans="2:29" x14ac:dyDescent="0.25">
      <c r="E2050">
        <v>238</v>
      </c>
    </row>
    <row r="2051" spans="2:29" x14ac:dyDescent="0.25">
      <c r="B2051">
        <v>1.00000050523944E+31</v>
      </c>
      <c r="C2051">
        <v>41218860</v>
      </c>
      <c r="D2051" t="s">
        <v>642</v>
      </c>
      <c r="E2051">
        <v>2</v>
      </c>
      <c r="G2051" t="s">
        <v>193</v>
      </c>
      <c r="H2051">
        <v>101</v>
      </c>
      <c r="I2051">
        <v>0.87</v>
      </c>
      <c r="J2051">
        <v>0.87</v>
      </c>
      <c r="K2051">
        <v>1</v>
      </c>
      <c r="L2051" t="s">
        <v>834</v>
      </c>
      <c r="AC2051" t="s">
        <v>2061</v>
      </c>
    </row>
    <row r="2052" spans="2:29" x14ac:dyDescent="0.25">
      <c r="E2052">
        <v>120</v>
      </c>
      <c r="G2052">
        <v>6001</v>
      </c>
      <c r="H2052">
        <v>135</v>
      </c>
      <c r="I2052">
        <v>3.97</v>
      </c>
      <c r="J2052">
        <v>3.97</v>
      </c>
      <c r="K2052">
        <v>1</v>
      </c>
      <c r="L2052" t="s">
        <v>834</v>
      </c>
    </row>
    <row r="2053" spans="2:29" x14ac:dyDescent="0.25">
      <c r="E2053">
        <v>2</v>
      </c>
    </row>
    <row r="2054" spans="2:29" x14ac:dyDescent="0.25">
      <c r="E2054">
        <v>120</v>
      </c>
    </row>
    <row r="2055" spans="2:29" x14ac:dyDescent="0.25">
      <c r="B2055">
        <v>1.00000050523944E+31</v>
      </c>
      <c r="C2055">
        <v>41219744</v>
      </c>
      <c r="D2055" t="s">
        <v>644</v>
      </c>
      <c r="E2055">
        <v>36</v>
      </c>
      <c r="G2055" t="s">
        <v>177</v>
      </c>
      <c r="H2055">
        <v>63</v>
      </c>
      <c r="I2055">
        <v>3.8</v>
      </c>
      <c r="J2055">
        <v>3.8</v>
      </c>
      <c r="K2055">
        <v>1</v>
      </c>
      <c r="L2055" t="s">
        <v>834</v>
      </c>
      <c r="AC2055" t="s">
        <v>2157</v>
      </c>
    </row>
    <row r="2056" spans="2:29" x14ac:dyDescent="0.25">
      <c r="E2056">
        <v>36</v>
      </c>
    </row>
    <row r="2057" spans="2:29" x14ac:dyDescent="0.25">
      <c r="B2057">
        <v>1.00000050523944E+31</v>
      </c>
      <c r="C2057">
        <v>41219951</v>
      </c>
      <c r="D2057" t="s">
        <v>636</v>
      </c>
      <c r="E2057">
        <v>10</v>
      </c>
      <c r="G2057" t="s">
        <v>168</v>
      </c>
      <c r="H2057">
        <v>62</v>
      </c>
      <c r="I2057">
        <v>1.3</v>
      </c>
      <c r="J2057">
        <v>1.3</v>
      </c>
      <c r="K2057">
        <v>1</v>
      </c>
      <c r="L2057" t="s">
        <v>834</v>
      </c>
      <c r="AC2057" t="s">
        <v>2063</v>
      </c>
    </row>
    <row r="2058" spans="2:29" x14ac:dyDescent="0.25">
      <c r="E2058">
        <v>13</v>
      </c>
      <c r="G2058" t="s">
        <v>163</v>
      </c>
      <c r="H2058">
        <v>143</v>
      </c>
      <c r="I2058">
        <v>20.99</v>
      </c>
      <c r="J2058">
        <v>20.99</v>
      </c>
      <c r="K2058">
        <v>1</v>
      </c>
      <c r="L2058" t="s">
        <v>834</v>
      </c>
    </row>
    <row r="2059" spans="2:29" x14ac:dyDescent="0.25">
      <c r="E2059">
        <v>150</v>
      </c>
    </row>
    <row r="2060" spans="2:29" x14ac:dyDescent="0.25">
      <c r="E2060">
        <v>10</v>
      </c>
    </row>
    <row r="2061" spans="2:29" x14ac:dyDescent="0.25">
      <c r="E2061">
        <v>13</v>
      </c>
    </row>
    <row r="2062" spans="2:29" x14ac:dyDescent="0.25">
      <c r="E2062">
        <v>150</v>
      </c>
    </row>
    <row r="2063" spans="2:29" x14ac:dyDescent="0.25">
      <c r="B2063">
        <v>1.00000050523944E+31</v>
      </c>
      <c r="C2063">
        <v>41220015</v>
      </c>
      <c r="D2063" t="s">
        <v>650</v>
      </c>
      <c r="E2063">
        <v>500</v>
      </c>
      <c r="G2063" t="s">
        <v>125</v>
      </c>
      <c r="H2063">
        <v>59</v>
      </c>
      <c r="I2063">
        <v>0.67</v>
      </c>
      <c r="J2063">
        <v>0.67</v>
      </c>
      <c r="K2063">
        <v>1</v>
      </c>
      <c r="L2063" t="s">
        <v>834</v>
      </c>
      <c r="AC2063" t="s">
        <v>2064</v>
      </c>
    </row>
    <row r="2064" spans="2:29" x14ac:dyDescent="0.25">
      <c r="E2064">
        <v>335</v>
      </c>
    </row>
    <row r="2065" spans="1:29" x14ac:dyDescent="0.25">
      <c r="E2065">
        <v>500</v>
      </c>
    </row>
    <row r="2066" spans="1:29" x14ac:dyDescent="0.25">
      <c r="E2066">
        <v>335</v>
      </c>
    </row>
    <row r="2067" spans="1:29" x14ac:dyDescent="0.25">
      <c r="A2067" t="s">
        <v>680</v>
      </c>
      <c r="B2067">
        <v>1.00000050523944E+31</v>
      </c>
      <c r="C2067">
        <v>41219425</v>
      </c>
      <c r="D2067" t="s">
        <v>648</v>
      </c>
      <c r="E2067">
        <v>250</v>
      </c>
      <c r="I2067">
        <v>0.51</v>
      </c>
      <c r="J2067">
        <v>0.51</v>
      </c>
      <c r="K2067">
        <v>1</v>
      </c>
      <c r="L2067" t="s">
        <v>834</v>
      </c>
      <c r="AC2067" t="s">
        <v>2065</v>
      </c>
    </row>
    <row r="2068" spans="1:29" x14ac:dyDescent="0.25">
      <c r="E2068">
        <v>250</v>
      </c>
      <c r="J2068">
        <v>127.5</v>
      </c>
      <c r="K2068">
        <v>1</v>
      </c>
      <c r="L2068" t="s">
        <v>834</v>
      </c>
    </row>
    <row r="2069" spans="1:29" x14ac:dyDescent="0.25">
      <c r="B2069">
        <v>1.00000050523944E+31</v>
      </c>
      <c r="C2069">
        <v>41219042</v>
      </c>
      <c r="D2069" t="s">
        <v>658</v>
      </c>
      <c r="E2069">
        <v>120</v>
      </c>
      <c r="G2069" t="s">
        <v>174</v>
      </c>
      <c r="H2069">
        <v>82</v>
      </c>
      <c r="J2069">
        <v>0.56000000000000005</v>
      </c>
      <c r="L2069" t="s">
        <v>834</v>
      </c>
      <c r="AC2069" t="s">
        <v>2158</v>
      </c>
    </row>
    <row r="2070" spans="1:29" x14ac:dyDescent="0.25">
      <c r="E2070">
        <v>120</v>
      </c>
    </row>
    <row r="2071" spans="1:29" x14ac:dyDescent="0.25">
      <c r="B2071">
        <v>1.00000050523944E+31</v>
      </c>
      <c r="C2071">
        <v>41219444</v>
      </c>
      <c r="D2071" t="s">
        <v>657</v>
      </c>
      <c r="E2071">
        <v>10</v>
      </c>
      <c r="G2071">
        <v>6800</v>
      </c>
      <c r="H2071">
        <v>83</v>
      </c>
      <c r="I2071">
        <v>94</v>
      </c>
      <c r="AC2071" t="s">
        <v>2066</v>
      </c>
    </row>
    <row r="2072" spans="1:29" x14ac:dyDescent="0.25">
      <c r="E2072">
        <v>940</v>
      </c>
    </row>
    <row r="2073" spans="1:29" x14ac:dyDescent="0.25">
      <c r="E2073">
        <v>10</v>
      </c>
    </row>
    <row r="2074" spans="1:29" x14ac:dyDescent="0.25">
      <c r="E2074">
        <v>940</v>
      </c>
    </row>
    <row r="2075" spans="1:29" x14ac:dyDescent="0.25">
      <c r="B2075">
        <v>1.00000050523944E+31</v>
      </c>
      <c r="C2075">
        <v>41220007</v>
      </c>
      <c r="D2075" t="s">
        <v>656</v>
      </c>
      <c r="E2075">
        <v>300</v>
      </c>
      <c r="G2075" t="s">
        <v>113</v>
      </c>
      <c r="H2075">
        <v>70</v>
      </c>
      <c r="J2075">
        <v>0.25</v>
      </c>
      <c r="L2075" t="s">
        <v>834</v>
      </c>
      <c r="AC2075" t="s">
        <v>2067</v>
      </c>
    </row>
    <row r="2076" spans="1:29" x14ac:dyDescent="0.25">
      <c r="E2076">
        <v>68</v>
      </c>
      <c r="G2076" t="s">
        <v>138</v>
      </c>
      <c r="H2076">
        <v>198</v>
      </c>
      <c r="J2076">
        <v>3.4</v>
      </c>
      <c r="L2076" t="s">
        <v>834</v>
      </c>
    </row>
    <row r="2077" spans="1:29" x14ac:dyDescent="0.25">
      <c r="E2077">
        <v>68</v>
      </c>
      <c r="G2077" t="s">
        <v>138</v>
      </c>
      <c r="H2077">
        <v>226</v>
      </c>
      <c r="J2077">
        <v>3.4</v>
      </c>
      <c r="L2077" t="s">
        <v>834</v>
      </c>
    </row>
    <row r="2078" spans="1:29" x14ac:dyDescent="0.25">
      <c r="E2078">
        <v>1200</v>
      </c>
      <c r="G2078" t="s">
        <v>141</v>
      </c>
      <c r="H2078">
        <v>252</v>
      </c>
      <c r="J2078">
        <v>3.4</v>
      </c>
      <c r="L2078" t="s">
        <v>834</v>
      </c>
    </row>
    <row r="2079" spans="1:29" x14ac:dyDescent="0.25">
      <c r="E2079">
        <v>200</v>
      </c>
    </row>
    <row r="2080" spans="1:29" x14ac:dyDescent="0.25">
      <c r="E2080">
        <v>20</v>
      </c>
    </row>
    <row r="2081" spans="2:29" x14ac:dyDescent="0.25">
      <c r="E2081">
        <v>34</v>
      </c>
    </row>
    <row r="2082" spans="2:29" x14ac:dyDescent="0.25">
      <c r="E2082">
        <v>1200</v>
      </c>
    </row>
    <row r="2083" spans="2:29" x14ac:dyDescent="0.25">
      <c r="E2083">
        <v>200</v>
      </c>
    </row>
    <row r="2084" spans="2:29" x14ac:dyDescent="0.25">
      <c r="E2084">
        <v>20</v>
      </c>
    </row>
    <row r="2085" spans="2:29" x14ac:dyDescent="0.25">
      <c r="B2085">
        <v>1.00000050523944E+31</v>
      </c>
      <c r="C2085">
        <v>41219872</v>
      </c>
      <c r="D2085" t="s">
        <v>655</v>
      </c>
      <c r="E2085">
        <v>200</v>
      </c>
      <c r="G2085" t="s">
        <v>152</v>
      </c>
      <c r="H2085">
        <v>88</v>
      </c>
      <c r="J2085">
        <v>2.1</v>
      </c>
      <c r="L2085" t="s">
        <v>834</v>
      </c>
      <c r="AC2085" t="s">
        <v>2068</v>
      </c>
    </row>
    <row r="2086" spans="2:29" x14ac:dyDescent="0.25">
      <c r="E2086">
        <v>200</v>
      </c>
    </row>
    <row r="2087" spans="2:29" x14ac:dyDescent="0.25">
      <c r="B2087">
        <v>1.00000050523944E+31</v>
      </c>
      <c r="C2087">
        <v>41219432</v>
      </c>
      <c r="D2087" t="s">
        <v>654</v>
      </c>
      <c r="E2087">
        <v>250</v>
      </c>
      <c r="G2087" t="s">
        <v>117</v>
      </c>
      <c r="H2087">
        <v>66</v>
      </c>
      <c r="I2087">
        <v>0.25</v>
      </c>
      <c r="J2087">
        <v>0.25</v>
      </c>
      <c r="K2087">
        <v>1</v>
      </c>
      <c r="L2087" t="s">
        <v>834</v>
      </c>
      <c r="AC2087" t="s">
        <v>2069</v>
      </c>
    </row>
    <row r="2088" spans="2:29" x14ac:dyDescent="0.25">
      <c r="E2088">
        <v>400</v>
      </c>
      <c r="G2088" t="s">
        <v>181</v>
      </c>
      <c r="H2088">
        <v>128</v>
      </c>
      <c r="I2088">
        <v>0.25</v>
      </c>
      <c r="J2088">
        <v>0.25</v>
      </c>
      <c r="K2088">
        <v>1</v>
      </c>
      <c r="L2088" t="s">
        <v>834</v>
      </c>
    </row>
    <row r="2089" spans="2:29" x14ac:dyDescent="0.25">
      <c r="E2089">
        <v>1000</v>
      </c>
    </row>
    <row r="2090" spans="2:29" x14ac:dyDescent="0.25">
      <c r="E2090">
        <v>250</v>
      </c>
    </row>
    <row r="2091" spans="2:29" x14ac:dyDescent="0.25">
      <c r="E2091">
        <v>1600</v>
      </c>
    </row>
    <row r="2092" spans="2:29" x14ac:dyDescent="0.25">
      <c r="E2092">
        <v>400</v>
      </c>
    </row>
    <row r="2093" spans="2:29" x14ac:dyDescent="0.25">
      <c r="E2093">
        <v>1000</v>
      </c>
    </row>
    <row r="2094" spans="2:29" x14ac:dyDescent="0.25">
      <c r="E2094">
        <v>1600</v>
      </c>
    </row>
    <row r="2095" spans="2:29" x14ac:dyDescent="0.25">
      <c r="B2095">
        <v>1.00000050523944E+31</v>
      </c>
      <c r="C2095">
        <v>41219254</v>
      </c>
      <c r="D2095" t="s">
        <v>653</v>
      </c>
      <c r="E2095">
        <v>5600</v>
      </c>
      <c r="G2095" t="s">
        <v>133</v>
      </c>
      <c r="H2095">
        <v>75</v>
      </c>
      <c r="J2095">
        <v>0.25</v>
      </c>
      <c r="L2095" t="s">
        <v>834</v>
      </c>
      <c r="AC2095" t="s">
        <v>2070</v>
      </c>
    </row>
    <row r="2096" spans="2:29" x14ac:dyDescent="0.25">
      <c r="E2096">
        <v>5600</v>
      </c>
    </row>
    <row r="2097" spans="1:29" x14ac:dyDescent="0.25">
      <c r="B2097">
        <v>1.00000050523944E+31</v>
      </c>
      <c r="C2097">
        <v>41219002</v>
      </c>
      <c r="D2097" t="s">
        <v>651</v>
      </c>
      <c r="E2097">
        <v>100</v>
      </c>
      <c r="G2097" t="s">
        <v>177</v>
      </c>
      <c r="H2097">
        <v>60</v>
      </c>
      <c r="I2097">
        <v>3.8</v>
      </c>
      <c r="J2097">
        <v>3.8</v>
      </c>
      <c r="K2097">
        <v>1</v>
      </c>
      <c r="L2097" t="s">
        <v>834</v>
      </c>
      <c r="AC2097" t="s">
        <v>2071</v>
      </c>
    </row>
    <row r="2098" spans="1:29" x14ac:dyDescent="0.25">
      <c r="E2098">
        <v>380</v>
      </c>
    </row>
    <row r="2099" spans="1:29" x14ac:dyDescent="0.25">
      <c r="E2099">
        <v>100</v>
      </c>
    </row>
    <row r="2100" spans="1:29" x14ac:dyDescent="0.25">
      <c r="E2100">
        <v>380</v>
      </c>
    </row>
    <row r="2101" spans="1:29" x14ac:dyDescent="0.25">
      <c r="B2101">
        <v>8.0100617050285802E+30</v>
      </c>
      <c r="C2101">
        <v>41219444</v>
      </c>
      <c r="D2101" t="s">
        <v>672</v>
      </c>
      <c r="E2101">
        <v>20</v>
      </c>
      <c r="G2101">
        <v>6800</v>
      </c>
      <c r="H2101">
        <v>297</v>
      </c>
      <c r="I2101">
        <v>94</v>
      </c>
      <c r="J2101">
        <v>4</v>
      </c>
      <c r="K2101">
        <v>4.2553191489361701E-2</v>
      </c>
      <c r="L2101" t="s">
        <v>834</v>
      </c>
      <c r="AC2101" t="s">
        <v>2072</v>
      </c>
    </row>
    <row r="2102" spans="1:29" x14ac:dyDescent="0.25">
      <c r="E2102">
        <v>20</v>
      </c>
    </row>
    <row r="2103" spans="1:29" x14ac:dyDescent="0.25">
      <c r="A2103" t="s">
        <v>680</v>
      </c>
      <c r="B2103">
        <v>8.0100617050285798E+34</v>
      </c>
      <c r="C2103">
        <v>41219432</v>
      </c>
      <c r="D2103" t="s">
        <v>671</v>
      </c>
      <c r="E2103">
        <v>1600</v>
      </c>
      <c r="I2103">
        <v>0.25</v>
      </c>
      <c r="AC2103" t="s">
        <v>2073</v>
      </c>
    </row>
    <row r="2104" spans="1:29" x14ac:dyDescent="0.25">
      <c r="B2104">
        <v>8.0100617050285803E+24</v>
      </c>
      <c r="C2104">
        <v>41220007</v>
      </c>
      <c r="D2104" t="s">
        <v>670</v>
      </c>
      <c r="E2104">
        <v>20</v>
      </c>
      <c r="G2104" t="s">
        <v>143</v>
      </c>
      <c r="H2104">
        <v>352</v>
      </c>
      <c r="I2104">
        <v>3.4</v>
      </c>
      <c r="J2104">
        <v>3.4</v>
      </c>
      <c r="K2104">
        <v>1</v>
      </c>
      <c r="L2104" t="s">
        <v>834</v>
      </c>
      <c r="AC2104" t="s">
        <v>2159</v>
      </c>
    </row>
    <row r="2105" spans="1:29" x14ac:dyDescent="0.25">
      <c r="E2105">
        <v>34</v>
      </c>
      <c r="I2105">
        <v>3.4</v>
      </c>
      <c r="J2105">
        <v>8.4</v>
      </c>
      <c r="K2105">
        <v>2.4705882352941178</v>
      </c>
      <c r="L2105" t="s">
        <v>834</v>
      </c>
    </row>
    <row r="2106" spans="1:29" x14ac:dyDescent="0.25">
      <c r="E2106">
        <v>20</v>
      </c>
    </row>
    <row r="2107" spans="1:29" x14ac:dyDescent="0.25">
      <c r="E2107">
        <v>34</v>
      </c>
    </row>
    <row r="2108" spans="1:29" x14ac:dyDescent="0.25">
      <c r="B2108">
        <v>8.0100617050285797E+36</v>
      </c>
      <c r="C2108">
        <v>41219872</v>
      </c>
      <c r="D2108" t="s">
        <v>673</v>
      </c>
      <c r="E2108">
        <v>200</v>
      </c>
      <c r="G2108" t="s">
        <v>152</v>
      </c>
      <c r="H2108">
        <v>343</v>
      </c>
      <c r="I2108">
        <v>2.1</v>
      </c>
      <c r="J2108">
        <v>2.1</v>
      </c>
      <c r="K2108">
        <v>1</v>
      </c>
      <c r="L2108" t="s">
        <v>834</v>
      </c>
      <c r="AC2108" t="s">
        <v>2075</v>
      </c>
    </row>
    <row r="2109" spans="1:29" x14ac:dyDescent="0.25">
      <c r="E2109">
        <v>900</v>
      </c>
      <c r="I2109">
        <v>1.3</v>
      </c>
      <c r="J2109">
        <v>1.3</v>
      </c>
      <c r="K2109">
        <v>1</v>
      </c>
      <c r="L2109" t="s">
        <v>834</v>
      </c>
    </row>
    <row r="2110" spans="1:29" x14ac:dyDescent="0.25">
      <c r="E2110">
        <v>200</v>
      </c>
    </row>
    <row r="2111" spans="1:29" x14ac:dyDescent="0.25">
      <c r="E2111">
        <v>900</v>
      </c>
    </row>
    <row r="2112" spans="1:29" x14ac:dyDescent="0.25">
      <c r="A2112" t="s">
        <v>680</v>
      </c>
      <c r="B2112">
        <v>1.8010061705028499E+39</v>
      </c>
      <c r="C2112">
        <v>41219425</v>
      </c>
      <c r="D2112" t="s">
        <v>669</v>
      </c>
      <c r="E2112">
        <v>12000</v>
      </c>
      <c r="I2112">
        <v>0.25</v>
      </c>
      <c r="J2112">
        <v>0.25</v>
      </c>
      <c r="K2112">
        <v>1</v>
      </c>
      <c r="L2112" t="s">
        <v>834</v>
      </c>
      <c r="AC2112" t="s">
        <v>2076</v>
      </c>
    </row>
    <row r="2113" spans="1:29" x14ac:dyDescent="0.25">
      <c r="E2113">
        <v>12000</v>
      </c>
    </row>
    <row r="2114" spans="1:29" x14ac:dyDescent="0.25">
      <c r="B2114">
        <v>8.0100617050285799E+38</v>
      </c>
      <c r="C2114">
        <v>41217700</v>
      </c>
      <c r="D2114" t="s">
        <v>668</v>
      </c>
      <c r="E2114">
        <v>1400</v>
      </c>
      <c r="G2114" t="s">
        <v>135</v>
      </c>
      <c r="H2114">
        <v>313</v>
      </c>
      <c r="I2114">
        <v>0.25</v>
      </c>
      <c r="J2114">
        <v>0.25</v>
      </c>
      <c r="K2114">
        <v>1</v>
      </c>
      <c r="L2114" t="s">
        <v>834</v>
      </c>
      <c r="AC2114" t="s">
        <v>2077</v>
      </c>
    </row>
    <row r="2115" spans="1:29" x14ac:dyDescent="0.25">
      <c r="E2115">
        <v>1400</v>
      </c>
    </row>
    <row r="2116" spans="1:29" x14ac:dyDescent="0.25">
      <c r="A2116" t="s">
        <v>680</v>
      </c>
      <c r="B2116">
        <v>1.7050285842E+39</v>
      </c>
      <c r="C2116">
        <v>41220015</v>
      </c>
      <c r="D2116" t="s">
        <v>667</v>
      </c>
      <c r="E2116">
        <v>20000</v>
      </c>
      <c r="I2116">
        <v>0.25</v>
      </c>
      <c r="J2116">
        <v>0.25</v>
      </c>
      <c r="K2116">
        <v>1</v>
      </c>
      <c r="L2116" t="s">
        <v>834</v>
      </c>
      <c r="AC2116" t="s">
        <v>2078</v>
      </c>
    </row>
    <row r="2117" spans="1:29" x14ac:dyDescent="0.25">
      <c r="E2117">
        <v>1250</v>
      </c>
      <c r="I2117">
        <v>0.67</v>
      </c>
      <c r="J2117">
        <v>0.67</v>
      </c>
      <c r="K2117">
        <v>1</v>
      </c>
      <c r="L2117" t="s">
        <v>834</v>
      </c>
    </row>
    <row r="2118" spans="1:29" x14ac:dyDescent="0.25">
      <c r="E2118">
        <v>20000</v>
      </c>
      <c r="J2118">
        <v>5</v>
      </c>
      <c r="K2118">
        <v>1</v>
      </c>
      <c r="L2118" t="s">
        <v>834</v>
      </c>
    </row>
    <row r="2119" spans="1:29" x14ac:dyDescent="0.25">
      <c r="E2119">
        <v>1250</v>
      </c>
    </row>
    <row r="2120" spans="1:29" x14ac:dyDescent="0.25">
      <c r="B2120">
        <v>8.0100617050285799E+38</v>
      </c>
      <c r="C2120">
        <v>41218064</v>
      </c>
      <c r="D2120" t="s">
        <v>666</v>
      </c>
      <c r="E2120">
        <v>5600</v>
      </c>
      <c r="G2120" t="s">
        <v>113</v>
      </c>
      <c r="H2120">
        <v>321</v>
      </c>
      <c r="I2120">
        <v>0.25</v>
      </c>
      <c r="J2120">
        <v>0.25</v>
      </c>
      <c r="K2120">
        <v>1</v>
      </c>
      <c r="L2120" t="s">
        <v>834</v>
      </c>
      <c r="AC2120" t="s">
        <v>2079</v>
      </c>
    </row>
    <row r="2121" spans="1:29" x14ac:dyDescent="0.25">
      <c r="E2121">
        <v>5600</v>
      </c>
    </row>
    <row r="2122" spans="1:29" x14ac:dyDescent="0.25">
      <c r="B2122">
        <v>1.1119801006170501E+31</v>
      </c>
      <c r="C2122">
        <v>41217314</v>
      </c>
      <c r="D2122" t="s">
        <v>664</v>
      </c>
      <c r="E2122">
        <v>600</v>
      </c>
      <c r="G2122" t="s">
        <v>150</v>
      </c>
      <c r="H2122">
        <v>155</v>
      </c>
      <c r="I2122">
        <v>1.7</v>
      </c>
      <c r="J2122">
        <v>1.7</v>
      </c>
      <c r="K2122">
        <v>1</v>
      </c>
      <c r="L2122" t="s">
        <v>834</v>
      </c>
      <c r="AC2122" t="s">
        <v>2081</v>
      </c>
    </row>
    <row r="2123" spans="1:29" x14ac:dyDescent="0.25">
      <c r="E2123">
        <v>600</v>
      </c>
      <c r="G2123" t="s">
        <v>117</v>
      </c>
      <c r="H2123">
        <v>325</v>
      </c>
    </row>
    <row r="2124" spans="1:29" x14ac:dyDescent="0.25">
      <c r="B2124">
        <v>8.0100617050285802E+29</v>
      </c>
      <c r="C2124">
        <v>41219694</v>
      </c>
      <c r="D2124" t="s">
        <v>663</v>
      </c>
      <c r="E2124">
        <v>500</v>
      </c>
      <c r="G2124" t="s">
        <v>138</v>
      </c>
      <c r="H2124">
        <v>316</v>
      </c>
      <c r="I2124">
        <v>3.4</v>
      </c>
      <c r="J2124">
        <v>3.4</v>
      </c>
      <c r="K2124">
        <v>1</v>
      </c>
      <c r="L2124" t="s">
        <v>834</v>
      </c>
      <c r="AC2124" t="s">
        <v>2082</v>
      </c>
    </row>
    <row r="2125" spans="1:29" x14ac:dyDescent="0.25">
      <c r="E2125">
        <v>500</v>
      </c>
    </row>
    <row r="2126" spans="1:29" x14ac:dyDescent="0.25">
      <c r="E2126">
        <v>60</v>
      </c>
    </row>
    <row r="2127" spans="1:29" x14ac:dyDescent="0.25">
      <c r="B2127">
        <v>8.0100617050285799E+39</v>
      </c>
      <c r="C2127">
        <v>41219949</v>
      </c>
      <c r="D2127" t="s">
        <v>662</v>
      </c>
      <c r="E2127">
        <v>170</v>
      </c>
      <c r="G2127" t="s">
        <v>174</v>
      </c>
      <c r="H2127">
        <v>344</v>
      </c>
      <c r="I2127">
        <v>0.56000000000000005</v>
      </c>
      <c r="J2127">
        <v>0.56000000000000005</v>
      </c>
      <c r="K2127">
        <v>1</v>
      </c>
      <c r="L2127" t="s">
        <v>834</v>
      </c>
      <c r="AC2127" t="s">
        <v>2160</v>
      </c>
    </row>
    <row r="2128" spans="1:29" x14ac:dyDescent="0.25">
      <c r="E2128">
        <v>20</v>
      </c>
      <c r="G2128">
        <v>6800</v>
      </c>
      <c r="H2128">
        <v>350</v>
      </c>
      <c r="I2128">
        <v>94</v>
      </c>
      <c r="J2128">
        <v>94</v>
      </c>
      <c r="K2128">
        <v>1</v>
      </c>
      <c r="L2128" t="s">
        <v>834</v>
      </c>
    </row>
    <row r="2129" spans="2:29" x14ac:dyDescent="0.25">
      <c r="E2129">
        <v>170</v>
      </c>
    </row>
    <row r="2130" spans="2:29" x14ac:dyDescent="0.25">
      <c r="E2130">
        <v>20</v>
      </c>
    </row>
    <row r="2131" spans="2:29" x14ac:dyDescent="0.25">
      <c r="B2131">
        <v>8.0100617050285802E+29</v>
      </c>
      <c r="C2131">
        <v>41220022</v>
      </c>
      <c r="D2131" t="s">
        <v>661</v>
      </c>
      <c r="E2131">
        <v>812</v>
      </c>
      <c r="G2131" t="s">
        <v>170</v>
      </c>
      <c r="H2131">
        <v>303</v>
      </c>
      <c r="I2131">
        <v>1.28</v>
      </c>
      <c r="J2131">
        <v>1.28</v>
      </c>
      <c r="K2131">
        <v>1</v>
      </c>
      <c r="L2131" t="s">
        <v>834</v>
      </c>
      <c r="AC2131" t="s">
        <v>2083</v>
      </c>
    </row>
    <row r="2132" spans="2:29" x14ac:dyDescent="0.25">
      <c r="E2132">
        <v>812</v>
      </c>
    </row>
    <row r="2133" spans="2:29" x14ac:dyDescent="0.25">
      <c r="B2133">
        <v>8010061705028580</v>
      </c>
      <c r="C2133">
        <v>41219432</v>
      </c>
      <c r="D2133" t="s">
        <v>678</v>
      </c>
      <c r="E2133">
        <v>1000</v>
      </c>
      <c r="G2133" t="s">
        <v>117</v>
      </c>
      <c r="H2133">
        <v>46</v>
      </c>
      <c r="I2133">
        <v>0.25</v>
      </c>
      <c r="AC2133" t="s">
        <v>2084</v>
      </c>
    </row>
    <row r="2134" spans="2:29" x14ac:dyDescent="0.25">
      <c r="E2134">
        <v>1600</v>
      </c>
      <c r="G2134" t="s">
        <v>181</v>
      </c>
      <c r="H2134">
        <v>62</v>
      </c>
      <c r="I2134">
        <v>0.25</v>
      </c>
    </row>
    <row r="2135" spans="2:29" x14ac:dyDescent="0.25">
      <c r="E2135">
        <v>1000</v>
      </c>
    </row>
    <row r="2136" spans="2:29" x14ac:dyDescent="0.25">
      <c r="E2136">
        <v>1600</v>
      </c>
    </row>
    <row r="2137" spans="2:29" x14ac:dyDescent="0.25">
      <c r="B2137">
        <v>8010061705028580</v>
      </c>
      <c r="C2137">
        <v>41219872</v>
      </c>
      <c r="D2137" t="s">
        <v>674</v>
      </c>
      <c r="E2137">
        <v>900</v>
      </c>
      <c r="G2137">
        <v>501</v>
      </c>
      <c r="H2137">
        <v>44</v>
      </c>
      <c r="I2137">
        <v>1.3</v>
      </c>
      <c r="J2137">
        <v>1170</v>
      </c>
      <c r="K2137">
        <v>900</v>
      </c>
      <c r="AC2137" t="s">
        <v>2085</v>
      </c>
    </row>
    <row r="2138" spans="2:29" x14ac:dyDescent="0.25">
      <c r="E2138">
        <v>400</v>
      </c>
      <c r="G2138" t="s">
        <v>152</v>
      </c>
      <c r="H2138">
        <v>48</v>
      </c>
      <c r="I2138">
        <v>2.1</v>
      </c>
      <c r="J2138">
        <v>840</v>
      </c>
      <c r="K2138">
        <v>400</v>
      </c>
    </row>
    <row r="2139" spans="2:29" x14ac:dyDescent="0.25">
      <c r="E2139">
        <v>900</v>
      </c>
    </row>
    <row r="2140" spans="2:29" x14ac:dyDescent="0.25">
      <c r="E2140">
        <v>400</v>
      </c>
    </row>
    <row r="2141" spans="2:29" x14ac:dyDescent="0.25">
      <c r="B2141">
        <v>8010061705028580</v>
      </c>
      <c r="C2141">
        <v>41219002</v>
      </c>
      <c r="D2141" t="s">
        <v>677</v>
      </c>
      <c r="E2141">
        <v>200</v>
      </c>
      <c r="G2141" t="s">
        <v>177</v>
      </c>
      <c r="H2141">
        <v>44</v>
      </c>
      <c r="I2141">
        <v>3.8</v>
      </c>
      <c r="J2141">
        <v>760</v>
      </c>
      <c r="K2141">
        <v>200</v>
      </c>
      <c r="AC2141" t="s">
        <v>2086</v>
      </c>
    </row>
    <row r="2142" spans="2:29" x14ac:dyDescent="0.25">
      <c r="E2142">
        <v>200</v>
      </c>
    </row>
    <row r="2143" spans="2:29" x14ac:dyDescent="0.25">
      <c r="B2143">
        <v>8010061705028580</v>
      </c>
      <c r="C2143">
        <v>41220007</v>
      </c>
      <c r="D2143" t="s">
        <v>1353</v>
      </c>
      <c r="E2143">
        <v>200</v>
      </c>
      <c r="G2143" t="s">
        <v>143</v>
      </c>
      <c r="H2143">
        <v>48</v>
      </c>
      <c r="I2143">
        <v>3.4</v>
      </c>
      <c r="J2143">
        <v>3.4</v>
      </c>
      <c r="K2143">
        <v>1</v>
      </c>
      <c r="L2143" t="s">
        <v>834</v>
      </c>
      <c r="AC2143" t="s">
        <v>2087</v>
      </c>
    </row>
    <row r="2144" spans="2:29" x14ac:dyDescent="0.25">
      <c r="E2144">
        <v>300</v>
      </c>
      <c r="G2144" t="s">
        <v>141</v>
      </c>
      <c r="H2144">
        <v>59</v>
      </c>
      <c r="I2144">
        <v>3.4</v>
      </c>
      <c r="J2144">
        <v>3.4</v>
      </c>
      <c r="K2144">
        <v>1</v>
      </c>
      <c r="L2144" t="s">
        <v>834</v>
      </c>
    </row>
    <row r="2145" spans="2:29" x14ac:dyDescent="0.25">
      <c r="E2145">
        <v>1200</v>
      </c>
      <c r="G2145" t="s">
        <v>113</v>
      </c>
      <c r="H2145">
        <v>69</v>
      </c>
      <c r="I2145">
        <v>0.25</v>
      </c>
      <c r="J2145">
        <v>0.25</v>
      </c>
      <c r="K2145">
        <v>1</v>
      </c>
      <c r="L2145" t="s">
        <v>834</v>
      </c>
    </row>
    <row r="2146" spans="2:29" x14ac:dyDescent="0.25">
      <c r="E2146">
        <v>200</v>
      </c>
    </row>
    <row r="2147" spans="2:29" x14ac:dyDescent="0.25">
      <c r="E2147">
        <v>300</v>
      </c>
    </row>
    <row r="2148" spans="2:29" x14ac:dyDescent="0.25">
      <c r="E2148">
        <v>1200</v>
      </c>
    </row>
    <row r="2149" spans="2:29" x14ac:dyDescent="0.25">
      <c r="B2149">
        <v>8010061705028580</v>
      </c>
      <c r="C2149">
        <v>41219444</v>
      </c>
      <c r="D2149" t="s">
        <v>679</v>
      </c>
      <c r="E2149">
        <v>20</v>
      </c>
      <c r="G2149">
        <v>6800</v>
      </c>
      <c r="H2149">
        <v>86</v>
      </c>
      <c r="I2149">
        <v>94</v>
      </c>
      <c r="J2149">
        <v>94</v>
      </c>
      <c r="K2149">
        <v>1</v>
      </c>
      <c r="L2149" t="s">
        <v>834</v>
      </c>
      <c r="AC2149" t="s">
        <v>2088</v>
      </c>
    </row>
    <row r="2150" spans="2:29" x14ac:dyDescent="0.25">
      <c r="E2150">
        <v>40</v>
      </c>
      <c r="G2150">
        <v>6885</v>
      </c>
      <c r="H2150">
        <v>91</v>
      </c>
      <c r="I2150">
        <v>1.78</v>
      </c>
      <c r="J2150">
        <v>1.78</v>
      </c>
      <c r="K2150">
        <v>1</v>
      </c>
      <c r="L2150" t="s">
        <v>834</v>
      </c>
    </row>
    <row r="2151" spans="2:29" x14ac:dyDescent="0.25">
      <c r="E2151">
        <v>20</v>
      </c>
      <c r="J2151">
        <v>1.88</v>
      </c>
      <c r="K2151">
        <v>1</v>
      </c>
      <c r="L2151" t="s">
        <v>834</v>
      </c>
    </row>
    <row r="2152" spans="2:29" x14ac:dyDescent="0.25">
      <c r="E2152">
        <v>40</v>
      </c>
    </row>
    <row r="2153" spans="2:29" x14ac:dyDescent="0.25">
      <c r="B2153">
        <v>8010061705028580</v>
      </c>
      <c r="C2153">
        <v>41220010</v>
      </c>
      <c r="D2153" t="s">
        <v>681</v>
      </c>
      <c r="E2153">
        <v>2000</v>
      </c>
      <c r="G2153" t="s">
        <v>156</v>
      </c>
      <c r="H2153">
        <v>48</v>
      </c>
      <c r="I2153">
        <v>0.33</v>
      </c>
      <c r="J2153">
        <v>0.33</v>
      </c>
      <c r="K2153">
        <v>1</v>
      </c>
      <c r="L2153" t="s">
        <v>834</v>
      </c>
      <c r="AC2153" t="s">
        <v>2089</v>
      </c>
    </row>
    <row r="2154" spans="2:29" x14ac:dyDescent="0.25">
      <c r="E2154">
        <v>2000</v>
      </c>
    </row>
    <row r="2155" spans="2:29" x14ac:dyDescent="0.25">
      <c r="E2155">
        <v>60</v>
      </c>
    </row>
    <row r="2156" spans="2:29" x14ac:dyDescent="0.25">
      <c r="B2156">
        <v>8010061705028580</v>
      </c>
      <c r="C2156">
        <v>41217695</v>
      </c>
      <c r="D2156" t="s">
        <v>89</v>
      </c>
      <c r="E2156">
        <v>20</v>
      </c>
      <c r="G2156" t="s">
        <v>62</v>
      </c>
      <c r="H2156">
        <v>44</v>
      </c>
      <c r="I2156">
        <v>13.99</v>
      </c>
      <c r="J2156">
        <v>279.8</v>
      </c>
      <c r="K2156">
        <v>20</v>
      </c>
      <c r="AC2156" t="s">
        <v>2090</v>
      </c>
    </row>
    <row r="2157" spans="2:29" x14ac:dyDescent="0.25">
      <c r="E2157">
        <v>15</v>
      </c>
      <c r="G2157" t="s">
        <v>227</v>
      </c>
      <c r="H2157">
        <v>51</v>
      </c>
      <c r="I2157">
        <v>13.99</v>
      </c>
      <c r="J2157">
        <v>209.85</v>
      </c>
      <c r="K2157">
        <v>15</v>
      </c>
    </row>
    <row r="2158" spans="2:29" x14ac:dyDescent="0.25">
      <c r="E2158">
        <v>30</v>
      </c>
      <c r="G2158" t="s">
        <v>64</v>
      </c>
      <c r="H2158">
        <v>58</v>
      </c>
      <c r="I2158">
        <v>13.99</v>
      </c>
      <c r="J2158">
        <v>419.7</v>
      </c>
      <c r="K2158">
        <v>30</v>
      </c>
    </row>
    <row r="2159" spans="2:29" x14ac:dyDescent="0.25">
      <c r="E2159">
        <v>12</v>
      </c>
      <c r="G2159" t="s">
        <v>369</v>
      </c>
      <c r="H2159">
        <v>65</v>
      </c>
      <c r="I2159">
        <v>13.99</v>
      </c>
      <c r="J2159">
        <v>167.88</v>
      </c>
      <c r="K2159">
        <v>12</v>
      </c>
    </row>
    <row r="2160" spans="2:29" x14ac:dyDescent="0.25">
      <c r="E2160">
        <v>5</v>
      </c>
      <c r="G2160" t="s">
        <v>65</v>
      </c>
      <c r="H2160">
        <v>72</v>
      </c>
      <c r="I2160">
        <v>13.99</v>
      </c>
      <c r="J2160">
        <v>69.95</v>
      </c>
      <c r="K2160">
        <v>5</v>
      </c>
    </row>
    <row r="2161" spans="2:29" x14ac:dyDescent="0.25">
      <c r="E2161">
        <v>2</v>
      </c>
      <c r="G2161" t="s">
        <v>231</v>
      </c>
      <c r="H2161">
        <v>79</v>
      </c>
      <c r="I2161">
        <v>13.99</v>
      </c>
      <c r="J2161">
        <v>27.98</v>
      </c>
      <c r="K2161">
        <v>2</v>
      </c>
    </row>
    <row r="2162" spans="2:29" x14ac:dyDescent="0.25">
      <c r="E2162">
        <v>2</v>
      </c>
      <c r="G2162" t="s">
        <v>63</v>
      </c>
      <c r="H2162">
        <v>87</v>
      </c>
      <c r="I2162">
        <v>13.99</v>
      </c>
      <c r="J2162">
        <v>27.98</v>
      </c>
      <c r="K2162">
        <v>2</v>
      </c>
    </row>
    <row r="2163" spans="2:29" x14ac:dyDescent="0.25">
      <c r="E2163">
        <v>2</v>
      </c>
      <c r="G2163" t="s">
        <v>239</v>
      </c>
      <c r="H2163">
        <v>97</v>
      </c>
      <c r="I2163">
        <v>13.99</v>
      </c>
      <c r="J2163">
        <v>27.98</v>
      </c>
      <c r="K2163">
        <v>2</v>
      </c>
    </row>
    <row r="2164" spans="2:29" x14ac:dyDescent="0.25">
      <c r="E2164">
        <v>20</v>
      </c>
    </row>
    <row r="2165" spans="2:29" x14ac:dyDescent="0.25">
      <c r="E2165">
        <v>15</v>
      </c>
    </row>
    <row r="2166" spans="2:29" x14ac:dyDescent="0.25">
      <c r="B2166">
        <v>8010061705028580</v>
      </c>
      <c r="C2166">
        <v>41219425</v>
      </c>
      <c r="D2166" t="s">
        <v>691</v>
      </c>
      <c r="E2166">
        <v>250</v>
      </c>
      <c r="G2166" t="s">
        <v>165</v>
      </c>
      <c r="H2166">
        <v>44</v>
      </c>
      <c r="I2166">
        <v>0.51</v>
      </c>
      <c r="J2166">
        <v>127.5</v>
      </c>
      <c r="K2166">
        <v>250</v>
      </c>
      <c r="AC2166" t="s">
        <v>2091</v>
      </c>
    </row>
    <row r="2167" spans="2:29" x14ac:dyDescent="0.25">
      <c r="E2167">
        <v>250</v>
      </c>
    </row>
    <row r="2168" spans="2:29" x14ac:dyDescent="0.25">
      <c r="B2168">
        <v>8010061705028580</v>
      </c>
      <c r="C2168">
        <v>41217777</v>
      </c>
      <c r="D2168" t="s">
        <v>692</v>
      </c>
      <c r="E2168">
        <v>10000</v>
      </c>
      <c r="G2168" t="s">
        <v>117</v>
      </c>
      <c r="H2168">
        <v>55</v>
      </c>
      <c r="I2168">
        <v>0.27</v>
      </c>
      <c r="J2168">
        <v>0.27</v>
      </c>
      <c r="K2168">
        <v>1</v>
      </c>
      <c r="L2168" t="s">
        <v>834</v>
      </c>
      <c r="AC2168" t="s">
        <v>2161</v>
      </c>
    </row>
    <row r="2169" spans="2:29" x14ac:dyDescent="0.25">
      <c r="E2169">
        <v>10000</v>
      </c>
      <c r="J2169">
        <v>2.7</v>
      </c>
      <c r="K2169">
        <v>1</v>
      </c>
      <c r="L2169" t="s">
        <v>834</v>
      </c>
    </row>
    <row r="2170" spans="2:29" x14ac:dyDescent="0.25">
      <c r="B2170">
        <v>8010061705028580</v>
      </c>
      <c r="C2170">
        <v>41217485</v>
      </c>
      <c r="D2170" t="s">
        <v>693</v>
      </c>
      <c r="E2170">
        <v>200</v>
      </c>
      <c r="G2170" t="s">
        <v>161</v>
      </c>
      <c r="H2170">
        <v>45</v>
      </c>
      <c r="I2170">
        <v>18</v>
      </c>
      <c r="J2170">
        <v>3600</v>
      </c>
      <c r="K2170">
        <v>200</v>
      </c>
      <c r="AC2170" t="s">
        <v>2093</v>
      </c>
    </row>
    <row r="2171" spans="2:29" x14ac:dyDescent="0.25">
      <c r="E2171">
        <v>200</v>
      </c>
    </row>
    <row r="2172" spans="2:29" x14ac:dyDescent="0.25">
      <c r="B2172">
        <v>8010061705028580</v>
      </c>
      <c r="C2172">
        <v>41220015</v>
      </c>
      <c r="D2172" t="s">
        <v>694</v>
      </c>
      <c r="E2172">
        <v>750</v>
      </c>
      <c r="G2172" t="s">
        <v>125</v>
      </c>
      <c r="H2172">
        <v>44</v>
      </c>
      <c r="I2172">
        <v>0.67</v>
      </c>
      <c r="J2172">
        <v>502.5</v>
      </c>
      <c r="K2172">
        <v>750</v>
      </c>
      <c r="AC2172" t="s">
        <v>2162</v>
      </c>
    </row>
    <row r="2173" spans="2:29" x14ac:dyDescent="0.25">
      <c r="E2173">
        <v>750</v>
      </c>
    </row>
    <row r="2174" spans="2:29" x14ac:dyDescent="0.25">
      <c r="B2174">
        <v>8010061705028580</v>
      </c>
      <c r="C2174">
        <v>41219949</v>
      </c>
      <c r="D2174" t="s">
        <v>695</v>
      </c>
      <c r="E2174">
        <v>240</v>
      </c>
      <c r="G2174" t="s">
        <v>174</v>
      </c>
      <c r="H2174">
        <v>46</v>
      </c>
      <c r="I2174">
        <v>0.56000000000000005</v>
      </c>
      <c r="AC2174" t="s">
        <v>2094</v>
      </c>
    </row>
    <row r="2175" spans="2:29" x14ac:dyDescent="0.25">
      <c r="E2175">
        <v>240</v>
      </c>
    </row>
    <row r="2176" spans="2:29" x14ac:dyDescent="0.25">
      <c r="B2176">
        <v>8010061705028580</v>
      </c>
      <c r="C2176">
        <v>41220183</v>
      </c>
      <c r="D2176" t="s">
        <v>704</v>
      </c>
      <c r="E2176">
        <v>500</v>
      </c>
      <c r="G2176" t="s">
        <v>151</v>
      </c>
      <c r="H2176">
        <v>48</v>
      </c>
      <c r="I2176">
        <v>1.7</v>
      </c>
      <c r="J2176">
        <v>1.7</v>
      </c>
      <c r="K2176">
        <v>1</v>
      </c>
      <c r="L2176" t="s">
        <v>834</v>
      </c>
      <c r="AC2176" t="s">
        <v>2163</v>
      </c>
    </row>
    <row r="2177" spans="2:29" x14ac:dyDescent="0.25">
      <c r="E2177">
        <v>500</v>
      </c>
    </row>
    <row r="2178" spans="2:29" x14ac:dyDescent="0.25">
      <c r="E2178">
        <v>560</v>
      </c>
    </row>
    <row r="2179" spans="2:29" x14ac:dyDescent="0.25">
      <c r="B2179">
        <v>8010061705028580</v>
      </c>
      <c r="C2179">
        <v>41219377</v>
      </c>
      <c r="D2179" t="s">
        <v>703</v>
      </c>
      <c r="E2179">
        <v>1000</v>
      </c>
      <c r="G2179" t="s">
        <v>174</v>
      </c>
      <c r="H2179">
        <v>39</v>
      </c>
      <c r="I2179">
        <v>0.56000000000000005</v>
      </c>
      <c r="J2179">
        <v>0.56000000000000005</v>
      </c>
      <c r="K2179">
        <v>1</v>
      </c>
      <c r="L2179" t="s">
        <v>834</v>
      </c>
      <c r="AC2179" t="s">
        <v>2095</v>
      </c>
    </row>
    <row r="2180" spans="2:29" x14ac:dyDescent="0.25">
      <c r="E2180">
        <v>1000</v>
      </c>
    </row>
    <row r="2181" spans="2:29" x14ac:dyDescent="0.25">
      <c r="B2181">
        <v>8010061705028580</v>
      </c>
      <c r="C2181">
        <v>41219872</v>
      </c>
      <c r="D2181" t="s">
        <v>702</v>
      </c>
      <c r="E2181">
        <v>200</v>
      </c>
      <c r="G2181" t="s">
        <v>152</v>
      </c>
      <c r="H2181">
        <v>53</v>
      </c>
      <c r="I2181">
        <v>2.1</v>
      </c>
      <c r="J2181">
        <v>2.1</v>
      </c>
      <c r="K2181">
        <v>1</v>
      </c>
      <c r="L2181" t="s">
        <v>834</v>
      </c>
      <c r="AC2181" t="s">
        <v>2096</v>
      </c>
    </row>
    <row r="2182" spans="2:29" x14ac:dyDescent="0.25">
      <c r="E2182">
        <v>200</v>
      </c>
    </row>
    <row r="2183" spans="2:29" x14ac:dyDescent="0.25">
      <c r="B2183">
        <v>8010061705028580</v>
      </c>
      <c r="C2183">
        <v>41220007</v>
      </c>
      <c r="D2183" t="s">
        <v>701</v>
      </c>
      <c r="E2183">
        <v>40</v>
      </c>
      <c r="G2183" t="s">
        <v>141</v>
      </c>
      <c r="H2183">
        <v>43</v>
      </c>
      <c r="I2183">
        <v>3.4</v>
      </c>
      <c r="J2183">
        <v>136</v>
      </c>
      <c r="K2183">
        <v>40</v>
      </c>
      <c r="AC2183" t="s">
        <v>2097</v>
      </c>
    </row>
    <row r="2184" spans="2:29" x14ac:dyDescent="0.25">
      <c r="E2184">
        <v>20</v>
      </c>
      <c r="G2184" t="s">
        <v>143</v>
      </c>
      <c r="H2184">
        <v>54</v>
      </c>
      <c r="I2184">
        <v>3.4</v>
      </c>
      <c r="J2184">
        <v>68</v>
      </c>
      <c r="K2184">
        <v>20</v>
      </c>
    </row>
    <row r="2185" spans="2:29" x14ac:dyDescent="0.25">
      <c r="E2185">
        <v>40</v>
      </c>
    </row>
    <row r="2186" spans="2:29" x14ac:dyDescent="0.25">
      <c r="E2186">
        <v>20</v>
      </c>
    </row>
    <row r="2187" spans="2:29" x14ac:dyDescent="0.25">
      <c r="B2187">
        <v>8010061705028580</v>
      </c>
      <c r="C2187">
        <v>41219694</v>
      </c>
      <c r="D2187" t="s">
        <v>700</v>
      </c>
      <c r="E2187">
        <v>170</v>
      </c>
      <c r="G2187" t="s">
        <v>141</v>
      </c>
      <c r="H2187">
        <v>35</v>
      </c>
      <c r="I2187">
        <v>3.4</v>
      </c>
      <c r="J2187">
        <v>578</v>
      </c>
      <c r="K2187">
        <v>170</v>
      </c>
      <c r="AC2187" t="s">
        <v>2098</v>
      </c>
    </row>
    <row r="2188" spans="2:29" x14ac:dyDescent="0.25">
      <c r="E2188">
        <v>170</v>
      </c>
    </row>
    <row r="2189" spans="2:29" x14ac:dyDescent="0.25">
      <c r="B2189">
        <v>8010061705028580</v>
      </c>
      <c r="C2189">
        <v>41217401</v>
      </c>
      <c r="D2189" t="s">
        <v>699</v>
      </c>
      <c r="E2189">
        <v>20</v>
      </c>
      <c r="G2189">
        <v>111023</v>
      </c>
      <c r="H2189">
        <v>44</v>
      </c>
      <c r="I2189">
        <v>25.5</v>
      </c>
      <c r="J2189">
        <v>510</v>
      </c>
      <c r="K2189">
        <v>20</v>
      </c>
      <c r="AC2189" t="s">
        <v>2099</v>
      </c>
    </row>
    <row r="2190" spans="2:29" x14ac:dyDescent="0.25">
      <c r="E2190">
        <v>20</v>
      </c>
    </row>
    <row r="2191" spans="2:29" x14ac:dyDescent="0.25">
      <c r="B2191">
        <v>8010061705028580</v>
      </c>
      <c r="C2191">
        <v>41219252</v>
      </c>
      <c r="D2191" t="s">
        <v>698</v>
      </c>
      <c r="E2191">
        <v>2000</v>
      </c>
      <c r="G2191" t="s">
        <v>190</v>
      </c>
      <c r="H2191">
        <v>46</v>
      </c>
      <c r="I2191">
        <v>0.15</v>
      </c>
      <c r="J2191">
        <v>300</v>
      </c>
      <c r="K2191">
        <v>2000</v>
      </c>
      <c r="AC2191" t="s">
        <v>2100</v>
      </c>
    </row>
    <row r="2192" spans="2:29" x14ac:dyDescent="0.25">
      <c r="E2192">
        <v>2000</v>
      </c>
    </row>
    <row r="2193" spans="1:29" x14ac:dyDescent="0.25">
      <c r="E2193">
        <v>0</v>
      </c>
    </row>
    <row r="2194" spans="1:29" x14ac:dyDescent="0.25">
      <c r="B2194">
        <v>8010061705028580</v>
      </c>
      <c r="C2194">
        <v>41218896</v>
      </c>
      <c r="D2194" t="s">
        <v>697</v>
      </c>
      <c r="E2194">
        <v>3000</v>
      </c>
      <c r="G2194" t="s">
        <v>131</v>
      </c>
      <c r="H2194">
        <v>37</v>
      </c>
      <c r="I2194">
        <v>0.25</v>
      </c>
      <c r="J2194">
        <v>750</v>
      </c>
      <c r="K2194">
        <v>3000</v>
      </c>
      <c r="AC2194" t="s">
        <v>2101</v>
      </c>
    </row>
    <row r="2195" spans="1:29" x14ac:dyDescent="0.25">
      <c r="E2195">
        <v>3000</v>
      </c>
    </row>
    <row r="2196" spans="1:29" x14ac:dyDescent="0.25">
      <c r="B2196">
        <v>8010061705028580</v>
      </c>
      <c r="C2196">
        <v>41219951</v>
      </c>
      <c r="D2196" t="s">
        <v>696</v>
      </c>
      <c r="E2196">
        <v>50</v>
      </c>
      <c r="G2196" t="s">
        <v>168</v>
      </c>
      <c r="H2196">
        <v>41</v>
      </c>
      <c r="I2196">
        <v>1.3</v>
      </c>
      <c r="J2196">
        <v>65</v>
      </c>
      <c r="K2196">
        <v>50</v>
      </c>
      <c r="AC2196" t="s">
        <v>2164</v>
      </c>
    </row>
    <row r="2197" spans="1:29" x14ac:dyDescent="0.25">
      <c r="E2197">
        <v>50</v>
      </c>
    </row>
    <row r="2198" spans="1:29" x14ac:dyDescent="0.25">
      <c r="B2198">
        <v>8010061705028580</v>
      </c>
      <c r="C2198">
        <v>41219444</v>
      </c>
      <c r="D2198" t="s">
        <v>729</v>
      </c>
      <c r="E2198">
        <v>40</v>
      </c>
      <c r="G2198">
        <v>6885</v>
      </c>
      <c r="H2198">
        <v>41</v>
      </c>
      <c r="I2198">
        <v>1.78</v>
      </c>
      <c r="J2198">
        <v>71.2</v>
      </c>
      <c r="K2198">
        <v>40</v>
      </c>
      <c r="AC2198" t="s">
        <v>2102</v>
      </c>
    </row>
    <row r="2199" spans="1:29" x14ac:dyDescent="0.25">
      <c r="E2199">
        <v>30</v>
      </c>
      <c r="G2199">
        <v>6800</v>
      </c>
      <c r="H2199">
        <v>47</v>
      </c>
      <c r="I2199">
        <v>94</v>
      </c>
      <c r="J2199">
        <v>2820</v>
      </c>
      <c r="K2199">
        <v>30</v>
      </c>
    </row>
    <row r="2200" spans="1:29" x14ac:dyDescent="0.25">
      <c r="E2200">
        <v>40</v>
      </c>
    </row>
    <row r="2201" spans="1:29" x14ac:dyDescent="0.25">
      <c r="E2201">
        <v>30</v>
      </c>
    </row>
    <row r="2202" spans="1:29" x14ac:dyDescent="0.25">
      <c r="A2202" t="s">
        <v>680</v>
      </c>
      <c r="B2202">
        <v>8010061705028580</v>
      </c>
      <c r="C2202">
        <v>41219432</v>
      </c>
      <c r="D2202" t="s">
        <v>730</v>
      </c>
      <c r="E2202">
        <v>1000</v>
      </c>
      <c r="I2202">
        <v>0.25</v>
      </c>
      <c r="J2202">
        <v>250</v>
      </c>
      <c r="K2202">
        <v>1000</v>
      </c>
      <c r="AC2202" t="s">
        <v>2165</v>
      </c>
    </row>
    <row r="2203" spans="1:29" x14ac:dyDescent="0.25">
      <c r="E2203">
        <v>1600</v>
      </c>
      <c r="I2203">
        <v>0.25</v>
      </c>
      <c r="J2203">
        <v>400</v>
      </c>
      <c r="K2203">
        <v>1600</v>
      </c>
    </row>
    <row r="2204" spans="1:29" x14ac:dyDescent="0.25">
      <c r="E2204">
        <v>1000</v>
      </c>
    </row>
    <row r="2205" spans="1:29" x14ac:dyDescent="0.25">
      <c r="E2205">
        <v>1600</v>
      </c>
    </row>
    <row r="2206" spans="1:29" x14ac:dyDescent="0.25">
      <c r="B2206">
        <v>8010061705028580</v>
      </c>
      <c r="C2206">
        <v>41219377</v>
      </c>
      <c r="D2206" t="s">
        <v>731</v>
      </c>
      <c r="E2206">
        <v>1000</v>
      </c>
      <c r="G2206" t="s">
        <v>174</v>
      </c>
      <c r="H2206">
        <v>41</v>
      </c>
      <c r="I2206">
        <v>0.56000000000000005</v>
      </c>
      <c r="J2206">
        <v>560</v>
      </c>
      <c r="K2206">
        <v>999.99999999999989</v>
      </c>
      <c r="L2206" t="s">
        <v>834</v>
      </c>
      <c r="AC2206" t="s">
        <v>2104</v>
      </c>
    </row>
    <row r="2207" spans="1:29" x14ac:dyDescent="0.25">
      <c r="E2207">
        <v>1000</v>
      </c>
    </row>
    <row r="2208" spans="1:29" x14ac:dyDescent="0.25">
      <c r="A2208" t="s">
        <v>680</v>
      </c>
      <c r="B2208">
        <v>8010061705028580</v>
      </c>
      <c r="C2208">
        <v>41220007</v>
      </c>
      <c r="D2208" t="s">
        <v>732</v>
      </c>
      <c r="E2208">
        <v>40</v>
      </c>
      <c r="I2208">
        <v>3.4</v>
      </c>
      <c r="J2208">
        <v>136</v>
      </c>
      <c r="K2208">
        <v>40</v>
      </c>
      <c r="AC2208" t="s">
        <v>2166</v>
      </c>
    </row>
    <row r="2209" spans="2:29" x14ac:dyDescent="0.25">
      <c r="E2209">
        <v>1200</v>
      </c>
      <c r="I2209">
        <v>0.25</v>
      </c>
      <c r="J2209">
        <v>300</v>
      </c>
      <c r="K2209">
        <v>1200</v>
      </c>
    </row>
    <row r="2210" spans="2:29" x14ac:dyDescent="0.25">
      <c r="E2210">
        <v>50</v>
      </c>
      <c r="I2210">
        <v>3.4</v>
      </c>
      <c r="J2210">
        <v>170</v>
      </c>
      <c r="K2210">
        <v>50</v>
      </c>
    </row>
    <row r="2211" spans="2:29" x14ac:dyDescent="0.25">
      <c r="E2211">
        <v>40</v>
      </c>
    </row>
    <row r="2212" spans="2:29" x14ac:dyDescent="0.25">
      <c r="E2212">
        <v>1200</v>
      </c>
    </row>
    <row r="2213" spans="2:29" x14ac:dyDescent="0.25">
      <c r="E2213">
        <v>50</v>
      </c>
    </row>
    <row r="2214" spans="2:29" x14ac:dyDescent="0.25">
      <c r="B2214">
        <v>8.0100617050285795E+23</v>
      </c>
      <c r="C2214">
        <v>41220007</v>
      </c>
      <c r="D2214" t="s">
        <v>749</v>
      </c>
      <c r="E2214">
        <v>40</v>
      </c>
      <c r="G2214" t="s">
        <v>141</v>
      </c>
      <c r="H2214">
        <v>23</v>
      </c>
      <c r="I2214">
        <v>3.4</v>
      </c>
      <c r="J2214">
        <v>136</v>
      </c>
      <c r="K2214">
        <v>40</v>
      </c>
      <c r="AC2214" t="s">
        <v>2105</v>
      </c>
    </row>
    <row r="2215" spans="2:29" x14ac:dyDescent="0.25">
      <c r="E2215">
        <v>1200</v>
      </c>
      <c r="G2215" t="s">
        <v>113</v>
      </c>
      <c r="H2215">
        <v>33</v>
      </c>
      <c r="I2215">
        <v>0.25</v>
      </c>
      <c r="J2215">
        <v>300</v>
      </c>
      <c r="K2215">
        <v>1200</v>
      </c>
    </row>
    <row r="2216" spans="2:29" x14ac:dyDescent="0.25">
      <c r="E2216">
        <v>20</v>
      </c>
      <c r="G2216" t="s">
        <v>143</v>
      </c>
      <c r="H2216">
        <v>51</v>
      </c>
      <c r="I2216">
        <v>3.4</v>
      </c>
      <c r="J2216">
        <v>68</v>
      </c>
      <c r="K2216">
        <v>20</v>
      </c>
    </row>
    <row r="2217" spans="2:29" x14ac:dyDescent="0.25">
      <c r="E2217">
        <v>740</v>
      </c>
      <c r="G2217" t="s">
        <v>141</v>
      </c>
      <c r="H2217">
        <v>413</v>
      </c>
    </row>
    <row r="2218" spans="2:29" x14ac:dyDescent="0.25">
      <c r="E2218">
        <v>1200</v>
      </c>
    </row>
    <row r="2219" spans="2:29" x14ac:dyDescent="0.25">
      <c r="E2219">
        <v>20</v>
      </c>
    </row>
    <row r="2220" spans="2:29" x14ac:dyDescent="0.25">
      <c r="B2220">
        <v>8.0100617050285803E+24</v>
      </c>
      <c r="C2220">
        <v>41219444</v>
      </c>
      <c r="D2220" t="s">
        <v>750</v>
      </c>
      <c r="E2220">
        <v>40</v>
      </c>
      <c r="G2220">
        <v>6885</v>
      </c>
      <c r="H2220">
        <v>23</v>
      </c>
      <c r="I2220">
        <v>1.78</v>
      </c>
      <c r="J2220">
        <v>71.2</v>
      </c>
      <c r="K2220">
        <v>40</v>
      </c>
      <c r="AC2220" t="s">
        <v>2167</v>
      </c>
    </row>
    <row r="2221" spans="2:29" x14ac:dyDescent="0.25">
      <c r="E2221">
        <v>40</v>
      </c>
      <c r="G2221">
        <v>6885</v>
      </c>
      <c r="H2221">
        <v>332</v>
      </c>
    </row>
    <row r="2222" spans="2:29" x14ac:dyDescent="0.25">
      <c r="B2222">
        <v>8.0100617050285798E+33</v>
      </c>
      <c r="C2222">
        <v>41219254</v>
      </c>
      <c r="D2222" t="s">
        <v>751</v>
      </c>
      <c r="E2222">
        <v>5600</v>
      </c>
      <c r="G2222" t="s">
        <v>133</v>
      </c>
      <c r="H2222">
        <v>23</v>
      </c>
      <c r="I2222">
        <v>0.25</v>
      </c>
      <c r="J2222">
        <v>1400</v>
      </c>
      <c r="K2222">
        <v>5600</v>
      </c>
      <c r="AC2222" t="s">
        <v>2107</v>
      </c>
    </row>
    <row r="2223" spans="2:29" x14ac:dyDescent="0.25">
      <c r="E2223">
        <v>5600</v>
      </c>
      <c r="G2223" t="s">
        <v>133</v>
      </c>
      <c r="H2223">
        <v>337</v>
      </c>
    </row>
    <row r="2224" spans="2:29" x14ac:dyDescent="0.25">
      <c r="B2224">
        <v>8.0100617050285805E+22</v>
      </c>
      <c r="C2224">
        <v>41219377</v>
      </c>
      <c r="D2224" t="s">
        <v>752</v>
      </c>
      <c r="E2224">
        <v>1000</v>
      </c>
      <c r="G2224" t="s">
        <v>174</v>
      </c>
      <c r="H2224">
        <v>23</v>
      </c>
      <c r="I2224">
        <v>0.56000000000000005</v>
      </c>
      <c r="J2224">
        <v>560</v>
      </c>
      <c r="K2224">
        <v>999.99999999999989</v>
      </c>
      <c r="L2224" t="s">
        <v>834</v>
      </c>
      <c r="AC2224" t="s">
        <v>2168</v>
      </c>
    </row>
    <row r="2225" spans="2:29" x14ac:dyDescent="0.25">
      <c r="E2225">
        <v>1000</v>
      </c>
      <c r="G2225" t="s">
        <v>174</v>
      </c>
      <c r="H2225">
        <v>305</v>
      </c>
    </row>
    <row r="2226" spans="2:29" x14ac:dyDescent="0.25">
      <c r="B2226">
        <v>8.0100617050285805E+25</v>
      </c>
      <c r="C2226">
        <v>41220289</v>
      </c>
      <c r="D2226" t="s">
        <v>720</v>
      </c>
      <c r="E2226">
        <v>500</v>
      </c>
      <c r="G2226" t="s">
        <v>151</v>
      </c>
      <c r="H2226">
        <v>52</v>
      </c>
      <c r="I2226">
        <v>1.7</v>
      </c>
      <c r="J2226">
        <v>850</v>
      </c>
      <c r="K2226">
        <v>500</v>
      </c>
      <c r="AC2226" t="s">
        <v>2108</v>
      </c>
    </row>
    <row r="2227" spans="2:29" x14ac:dyDescent="0.25">
      <c r="E2227">
        <v>30</v>
      </c>
      <c r="G2227">
        <v>6800</v>
      </c>
      <c r="H2227">
        <v>64</v>
      </c>
      <c r="I2227">
        <v>94</v>
      </c>
      <c r="J2227">
        <v>2820</v>
      </c>
      <c r="K2227">
        <v>30</v>
      </c>
    </row>
    <row r="2228" spans="2:29" x14ac:dyDescent="0.25">
      <c r="E2228">
        <v>1000</v>
      </c>
      <c r="G2228" t="s">
        <v>152</v>
      </c>
      <c r="H2228">
        <v>69</v>
      </c>
      <c r="I2228">
        <v>2.1</v>
      </c>
      <c r="J2228">
        <v>2100</v>
      </c>
      <c r="K2228">
        <v>1000</v>
      </c>
    </row>
    <row r="2229" spans="2:29" x14ac:dyDescent="0.25">
      <c r="E2229">
        <v>500</v>
      </c>
    </row>
    <row r="2230" spans="2:29" x14ac:dyDescent="0.25">
      <c r="E2230">
        <v>30</v>
      </c>
    </row>
    <row r="2231" spans="2:29" x14ac:dyDescent="0.25">
      <c r="E2231">
        <v>1000</v>
      </c>
    </row>
    <row r="2232" spans="2:29" x14ac:dyDescent="0.25">
      <c r="B2232">
        <v>8.0100617050285798E+26</v>
      </c>
      <c r="C2232">
        <v>41220281</v>
      </c>
      <c r="D2232" t="s">
        <v>721</v>
      </c>
      <c r="E2232">
        <v>5000</v>
      </c>
      <c r="G2232" t="s">
        <v>156</v>
      </c>
      <c r="H2232">
        <v>46</v>
      </c>
      <c r="I2232">
        <v>0.33</v>
      </c>
      <c r="J2232">
        <v>1650</v>
      </c>
      <c r="K2232">
        <v>5000</v>
      </c>
      <c r="AC2232" t="s">
        <v>2109</v>
      </c>
    </row>
    <row r="2233" spans="2:29" x14ac:dyDescent="0.25">
      <c r="E2233">
        <v>5000</v>
      </c>
    </row>
    <row r="2234" spans="2:29" x14ac:dyDescent="0.25">
      <c r="B2234">
        <v>8010061705028580</v>
      </c>
      <c r="C2234">
        <v>41219377</v>
      </c>
      <c r="D2234" t="s">
        <v>717</v>
      </c>
      <c r="E2234">
        <v>5600</v>
      </c>
      <c r="G2234" t="s">
        <v>133</v>
      </c>
      <c r="H2234">
        <v>50</v>
      </c>
      <c r="I2234">
        <v>0.25</v>
      </c>
      <c r="J2234">
        <v>1400</v>
      </c>
      <c r="K2234">
        <v>5600</v>
      </c>
      <c r="AC2234" t="s">
        <v>2110</v>
      </c>
    </row>
    <row r="2235" spans="2:29" x14ac:dyDescent="0.25">
      <c r="E2235">
        <v>698</v>
      </c>
      <c r="G2235" t="s">
        <v>146</v>
      </c>
      <c r="H2235">
        <v>66</v>
      </c>
      <c r="I2235">
        <v>1.7</v>
      </c>
      <c r="J2235">
        <v>1186.5999999999999</v>
      </c>
      <c r="K2235">
        <v>698</v>
      </c>
    </row>
    <row r="2236" spans="2:29" x14ac:dyDescent="0.25">
      <c r="E2236">
        <v>5600</v>
      </c>
    </row>
    <row r="2237" spans="2:29" x14ac:dyDescent="0.25">
      <c r="E2237">
        <v>698</v>
      </c>
    </row>
    <row r="2238" spans="2:29" x14ac:dyDescent="0.25">
      <c r="B2238">
        <v>8.0100617050285805E+22</v>
      </c>
      <c r="C2238">
        <v>41220007</v>
      </c>
      <c r="D2238" t="s">
        <v>719</v>
      </c>
      <c r="E2238">
        <v>40</v>
      </c>
      <c r="G2238" t="s">
        <v>141</v>
      </c>
      <c r="H2238">
        <v>61</v>
      </c>
      <c r="I2238">
        <v>3.8</v>
      </c>
      <c r="J2238">
        <v>152</v>
      </c>
      <c r="K2238">
        <v>40</v>
      </c>
      <c r="AC2238" t="s">
        <v>2111</v>
      </c>
    </row>
    <row r="2239" spans="2:29" x14ac:dyDescent="0.25">
      <c r="E2239">
        <v>1200</v>
      </c>
      <c r="G2239" t="s">
        <v>113</v>
      </c>
      <c r="H2239">
        <v>71</v>
      </c>
      <c r="I2239">
        <v>0.25</v>
      </c>
      <c r="J2239">
        <v>300</v>
      </c>
      <c r="K2239">
        <v>1200</v>
      </c>
    </row>
    <row r="2240" spans="2:29" x14ac:dyDescent="0.25">
      <c r="E2240">
        <v>40</v>
      </c>
    </row>
    <row r="2241" spans="2:29" x14ac:dyDescent="0.25">
      <c r="E2241">
        <v>1200</v>
      </c>
    </row>
    <row r="2242" spans="2:29" x14ac:dyDescent="0.25">
      <c r="B2242">
        <v>8.0100617050285801E+19</v>
      </c>
      <c r="C2242">
        <v>41219444</v>
      </c>
      <c r="D2242" t="s">
        <v>718</v>
      </c>
      <c r="E2242">
        <v>30</v>
      </c>
      <c r="G2242">
        <v>6885</v>
      </c>
      <c r="H2242">
        <v>48</v>
      </c>
      <c r="I2242">
        <v>1.78</v>
      </c>
      <c r="J2242">
        <v>53.4</v>
      </c>
      <c r="K2242">
        <v>30</v>
      </c>
      <c r="AC2242" t="s">
        <v>2112</v>
      </c>
    </row>
    <row r="2243" spans="2:29" x14ac:dyDescent="0.25">
      <c r="E2243">
        <v>30</v>
      </c>
    </row>
    <row r="2244" spans="2:29" x14ac:dyDescent="0.25">
      <c r="B2244">
        <v>8010061705028580</v>
      </c>
      <c r="C2244">
        <v>41219425</v>
      </c>
      <c r="D2244" t="s">
        <v>787</v>
      </c>
      <c r="E2244">
        <v>12000</v>
      </c>
      <c r="G2244" t="s">
        <v>133</v>
      </c>
      <c r="H2244">
        <v>52</v>
      </c>
      <c r="I2244">
        <v>0.25</v>
      </c>
      <c r="J2244">
        <v>3000</v>
      </c>
      <c r="K2244">
        <v>12000</v>
      </c>
      <c r="AC2244" t="s">
        <v>2169</v>
      </c>
    </row>
    <row r="2245" spans="2:29" x14ac:dyDescent="0.25">
      <c r="E2245">
        <v>250</v>
      </c>
      <c r="G2245" t="s">
        <v>165</v>
      </c>
      <c r="H2245">
        <v>72</v>
      </c>
      <c r="I2245">
        <v>0.51</v>
      </c>
      <c r="J2245">
        <v>0.51</v>
      </c>
      <c r="K2245">
        <v>1</v>
      </c>
      <c r="L2245" t="s">
        <v>834</v>
      </c>
    </row>
    <row r="2246" spans="2:29" x14ac:dyDescent="0.25">
      <c r="E2246">
        <v>120</v>
      </c>
      <c r="G2246" t="s">
        <v>212</v>
      </c>
      <c r="H2246">
        <v>110</v>
      </c>
      <c r="I2246">
        <v>1.45</v>
      </c>
      <c r="J2246">
        <v>127.5</v>
      </c>
      <c r="K2246">
        <v>87.931034482758619</v>
      </c>
      <c r="L2246" t="s">
        <v>834</v>
      </c>
    </row>
    <row r="2247" spans="2:29" x14ac:dyDescent="0.25">
      <c r="E2247">
        <v>2</v>
      </c>
      <c r="G2247">
        <v>81066</v>
      </c>
      <c r="H2247">
        <v>132</v>
      </c>
      <c r="I2247">
        <v>11.75</v>
      </c>
      <c r="J2247">
        <v>1.45</v>
      </c>
      <c r="K2247">
        <v>0.12340425531914893</v>
      </c>
      <c r="L2247" t="s">
        <v>834</v>
      </c>
    </row>
    <row r="2248" spans="2:29" x14ac:dyDescent="0.25">
      <c r="E2248">
        <v>12000</v>
      </c>
      <c r="J2248">
        <v>174</v>
      </c>
      <c r="K2248">
        <v>0.12340425531914893</v>
      </c>
      <c r="L2248" t="s">
        <v>834</v>
      </c>
    </row>
    <row r="2249" spans="2:29" x14ac:dyDescent="0.25">
      <c r="E2249">
        <v>250</v>
      </c>
      <c r="J2249">
        <v>11.75</v>
      </c>
      <c r="K2249">
        <v>0.12340425531914893</v>
      </c>
      <c r="L2249" t="s">
        <v>834</v>
      </c>
    </row>
    <row r="2250" spans="2:29" x14ac:dyDescent="0.25">
      <c r="E2250">
        <v>120</v>
      </c>
      <c r="J2250">
        <v>23.5</v>
      </c>
      <c r="K2250">
        <v>0.12340425531914893</v>
      </c>
      <c r="L2250" t="s">
        <v>834</v>
      </c>
    </row>
    <row r="2251" spans="2:29" x14ac:dyDescent="0.25">
      <c r="E2251">
        <v>2</v>
      </c>
      <c r="J2251">
        <v>0.25</v>
      </c>
      <c r="K2251">
        <v>0.12340425531914893</v>
      </c>
      <c r="L2251" t="s">
        <v>834</v>
      </c>
    </row>
    <row r="2252" spans="2:29" x14ac:dyDescent="0.25">
      <c r="B2252">
        <v>8010061705028580</v>
      </c>
      <c r="C2252">
        <v>41218860</v>
      </c>
      <c r="D2252" t="s">
        <v>788</v>
      </c>
      <c r="E2252">
        <v>2</v>
      </c>
      <c r="G2252" t="s">
        <v>193</v>
      </c>
      <c r="H2252">
        <v>95</v>
      </c>
      <c r="I2252">
        <v>0.87</v>
      </c>
      <c r="J2252">
        <v>0.87</v>
      </c>
      <c r="K2252">
        <v>1</v>
      </c>
      <c r="L2252" t="s">
        <v>834</v>
      </c>
      <c r="AC2252" t="s">
        <v>2114</v>
      </c>
    </row>
    <row r="2253" spans="2:29" x14ac:dyDescent="0.25">
      <c r="E2253">
        <v>120</v>
      </c>
      <c r="G2253">
        <v>6001</v>
      </c>
      <c r="H2253">
        <v>126</v>
      </c>
      <c r="I2253">
        <v>3.97</v>
      </c>
      <c r="J2253">
        <v>1.74</v>
      </c>
      <c r="K2253">
        <v>0.4382871536523929</v>
      </c>
      <c r="L2253" t="s">
        <v>834</v>
      </c>
    </row>
    <row r="2254" spans="2:29" x14ac:dyDescent="0.25">
      <c r="E2254">
        <v>2</v>
      </c>
      <c r="J2254">
        <v>3.97</v>
      </c>
      <c r="K2254">
        <v>0.4382871536523929</v>
      </c>
      <c r="L2254" t="s">
        <v>834</v>
      </c>
    </row>
    <row r="2255" spans="2:29" x14ac:dyDescent="0.25">
      <c r="E2255">
        <v>120</v>
      </c>
      <c r="J2255">
        <v>476.4</v>
      </c>
      <c r="K2255">
        <v>0.4382871536523929</v>
      </c>
      <c r="L2255" t="s">
        <v>834</v>
      </c>
    </row>
    <row r="2256" spans="2:29" x14ac:dyDescent="0.25">
      <c r="B2256">
        <v>8010061705028580</v>
      </c>
      <c r="C2256">
        <v>41219252</v>
      </c>
      <c r="D2256" t="s">
        <v>789</v>
      </c>
      <c r="E2256">
        <v>1000</v>
      </c>
      <c r="G2256" t="s">
        <v>190</v>
      </c>
      <c r="H2256">
        <v>93</v>
      </c>
      <c r="I2256">
        <v>0.15</v>
      </c>
      <c r="J2256">
        <v>0.15</v>
      </c>
      <c r="K2256">
        <v>1</v>
      </c>
      <c r="L2256" t="s">
        <v>834</v>
      </c>
      <c r="AC2256" t="s">
        <v>2170</v>
      </c>
    </row>
    <row r="2257" spans="2:29" x14ac:dyDescent="0.25">
      <c r="E2257">
        <v>2500</v>
      </c>
      <c r="G2257" t="s">
        <v>156</v>
      </c>
      <c r="H2257">
        <v>120</v>
      </c>
      <c r="I2257">
        <v>0.33</v>
      </c>
      <c r="J2257">
        <v>150</v>
      </c>
      <c r="K2257">
        <v>454.5454545454545</v>
      </c>
      <c r="L2257" t="s">
        <v>834</v>
      </c>
    </row>
    <row r="2258" spans="2:29" x14ac:dyDescent="0.25">
      <c r="E2258">
        <v>1000</v>
      </c>
      <c r="J2258">
        <v>0.33</v>
      </c>
      <c r="K2258">
        <v>454.5454545454545</v>
      </c>
      <c r="L2258" t="s">
        <v>834</v>
      </c>
    </row>
    <row r="2259" spans="2:29" x14ac:dyDescent="0.25">
      <c r="E2259">
        <v>2500</v>
      </c>
      <c r="J2259">
        <v>825</v>
      </c>
      <c r="K2259">
        <v>454.5454545454545</v>
      </c>
      <c r="L2259" t="s">
        <v>834</v>
      </c>
    </row>
    <row r="2260" spans="2:29" x14ac:dyDescent="0.25">
      <c r="B2260">
        <v>8010061705028580</v>
      </c>
      <c r="C2260">
        <v>41219949</v>
      </c>
      <c r="D2260" t="s">
        <v>790</v>
      </c>
      <c r="E2260">
        <v>240</v>
      </c>
      <c r="G2260" t="s">
        <v>174</v>
      </c>
      <c r="H2260">
        <v>115</v>
      </c>
      <c r="I2260">
        <v>0.56000000000000005</v>
      </c>
      <c r="J2260">
        <v>0.56000000000000005</v>
      </c>
      <c r="K2260">
        <v>1</v>
      </c>
      <c r="L2260" t="s">
        <v>834</v>
      </c>
      <c r="AC2260" t="s">
        <v>2115</v>
      </c>
    </row>
    <row r="2261" spans="2:29" x14ac:dyDescent="0.25">
      <c r="E2261">
        <v>50</v>
      </c>
      <c r="G2261">
        <v>6885</v>
      </c>
      <c r="H2261">
        <v>138</v>
      </c>
      <c r="I2261">
        <v>1.78</v>
      </c>
      <c r="J2261">
        <v>134.4</v>
      </c>
      <c r="K2261">
        <v>75.50561797752809</v>
      </c>
      <c r="L2261" t="s">
        <v>834</v>
      </c>
    </row>
    <row r="2262" spans="2:29" x14ac:dyDescent="0.25">
      <c r="E2262">
        <v>10</v>
      </c>
      <c r="G2262">
        <v>6800</v>
      </c>
      <c r="H2262">
        <v>160</v>
      </c>
      <c r="I2262">
        <v>94</v>
      </c>
      <c r="J2262">
        <v>1.78</v>
      </c>
      <c r="K2262">
        <v>1.8936170212765956E-2</v>
      </c>
      <c r="L2262" t="s">
        <v>834</v>
      </c>
    </row>
    <row r="2263" spans="2:29" x14ac:dyDescent="0.25">
      <c r="E2263">
        <v>240</v>
      </c>
      <c r="J2263">
        <v>89</v>
      </c>
      <c r="K2263">
        <v>1.8936170212765956E-2</v>
      </c>
      <c r="L2263" t="s">
        <v>834</v>
      </c>
    </row>
    <row r="2264" spans="2:29" x14ac:dyDescent="0.25">
      <c r="E2264">
        <v>50</v>
      </c>
      <c r="J2264">
        <v>94</v>
      </c>
      <c r="K2264">
        <v>1.8936170212765956E-2</v>
      </c>
      <c r="L2264" t="s">
        <v>834</v>
      </c>
    </row>
    <row r="2265" spans="2:29" x14ac:dyDescent="0.25">
      <c r="E2265">
        <v>10</v>
      </c>
      <c r="J2265">
        <v>940</v>
      </c>
      <c r="K2265">
        <v>1.8936170212765956E-2</v>
      </c>
      <c r="L2265" t="s">
        <v>834</v>
      </c>
    </row>
    <row r="2266" spans="2:29" x14ac:dyDescent="0.25">
      <c r="B2266">
        <v>8010061705028580</v>
      </c>
      <c r="C2266">
        <v>41218896</v>
      </c>
      <c r="D2266" t="s">
        <v>791</v>
      </c>
      <c r="E2266">
        <v>3700</v>
      </c>
      <c r="G2266" t="s">
        <v>131</v>
      </c>
      <c r="H2266">
        <v>102</v>
      </c>
      <c r="I2266">
        <v>0.25</v>
      </c>
      <c r="J2266">
        <v>0.25</v>
      </c>
      <c r="K2266">
        <v>1</v>
      </c>
      <c r="L2266" t="s">
        <v>834</v>
      </c>
      <c r="AC2266" t="s">
        <v>2116</v>
      </c>
    </row>
    <row r="2267" spans="2:29" x14ac:dyDescent="0.25">
      <c r="E2267">
        <v>6</v>
      </c>
      <c r="G2267">
        <v>6200</v>
      </c>
      <c r="H2267">
        <v>136</v>
      </c>
      <c r="I2267">
        <v>8.82</v>
      </c>
      <c r="J2267">
        <v>925</v>
      </c>
      <c r="K2267">
        <v>104.87528344671202</v>
      </c>
      <c r="L2267" t="s">
        <v>834</v>
      </c>
    </row>
    <row r="2268" spans="2:29" x14ac:dyDescent="0.25">
      <c r="E2268">
        <v>3700</v>
      </c>
      <c r="J2268">
        <v>8.82</v>
      </c>
      <c r="K2268">
        <v>104.87528344671202</v>
      </c>
      <c r="L2268" t="s">
        <v>834</v>
      </c>
    </row>
    <row r="2269" spans="2:29" x14ac:dyDescent="0.25">
      <c r="E2269">
        <v>6</v>
      </c>
      <c r="J2269">
        <v>52.92</v>
      </c>
      <c r="K2269">
        <v>104.87528344671202</v>
      </c>
      <c r="L2269" t="s">
        <v>834</v>
      </c>
    </row>
    <row r="2270" spans="2:29" x14ac:dyDescent="0.25">
      <c r="B2270">
        <v>8010061705028580</v>
      </c>
      <c r="C2270">
        <v>41219694</v>
      </c>
      <c r="D2270" t="s">
        <v>792</v>
      </c>
      <c r="E2270">
        <v>175</v>
      </c>
      <c r="G2270" t="s">
        <v>143</v>
      </c>
      <c r="H2270">
        <v>97</v>
      </c>
      <c r="I2270">
        <v>3.4</v>
      </c>
      <c r="J2270">
        <v>3.4</v>
      </c>
      <c r="K2270">
        <v>1</v>
      </c>
      <c r="L2270" t="s">
        <v>834</v>
      </c>
      <c r="AC2270" t="s">
        <v>2117</v>
      </c>
    </row>
    <row r="2271" spans="2:29" x14ac:dyDescent="0.25">
      <c r="E2271">
        <v>4</v>
      </c>
      <c r="G2271" t="s">
        <v>141</v>
      </c>
      <c r="H2271">
        <v>127</v>
      </c>
      <c r="I2271">
        <v>3.4</v>
      </c>
      <c r="J2271">
        <v>595</v>
      </c>
      <c r="K2271">
        <v>175</v>
      </c>
      <c r="L2271" t="s">
        <v>834</v>
      </c>
    </row>
    <row r="2272" spans="2:29" x14ac:dyDescent="0.25">
      <c r="E2272">
        <v>175</v>
      </c>
      <c r="J2272">
        <v>3.4</v>
      </c>
      <c r="K2272">
        <v>175</v>
      </c>
    </row>
    <row r="2273" spans="2:29" x14ac:dyDescent="0.25">
      <c r="E2273">
        <v>4</v>
      </c>
      <c r="J2273">
        <v>13.6</v>
      </c>
      <c r="K2273">
        <v>175</v>
      </c>
      <c r="L2273" t="s">
        <v>834</v>
      </c>
    </row>
    <row r="2274" spans="2:29" x14ac:dyDescent="0.25">
      <c r="B2274">
        <v>8010061705028580</v>
      </c>
      <c r="C2274">
        <v>41217314</v>
      </c>
      <c r="D2274" t="s">
        <v>793</v>
      </c>
      <c r="E2274">
        <v>144</v>
      </c>
      <c r="G2274" t="s">
        <v>150</v>
      </c>
      <c r="H2274">
        <v>74</v>
      </c>
      <c r="J2274">
        <v>1.7</v>
      </c>
      <c r="L2274" t="s">
        <v>834</v>
      </c>
      <c r="AC2274" t="s">
        <v>2171</v>
      </c>
    </row>
    <row r="2275" spans="2:29" x14ac:dyDescent="0.25">
      <c r="E2275">
        <v>144</v>
      </c>
    </row>
    <row r="2276" spans="2:29" x14ac:dyDescent="0.25">
      <c r="B2276">
        <v>8010061705028580</v>
      </c>
      <c r="C2276">
        <v>41219951</v>
      </c>
      <c r="D2276" t="s">
        <v>794</v>
      </c>
      <c r="E2276">
        <v>10</v>
      </c>
      <c r="G2276" t="s">
        <v>168</v>
      </c>
      <c r="H2276">
        <v>115</v>
      </c>
      <c r="I2276">
        <v>1.3</v>
      </c>
      <c r="J2276">
        <v>1.3</v>
      </c>
      <c r="K2276">
        <v>1</v>
      </c>
      <c r="L2276" t="s">
        <v>834</v>
      </c>
      <c r="AC2276" t="s">
        <v>2119</v>
      </c>
    </row>
    <row r="2277" spans="2:29" x14ac:dyDescent="0.25">
      <c r="E2277">
        <v>200</v>
      </c>
      <c r="G2277" t="s">
        <v>163</v>
      </c>
      <c r="H2277">
        <v>146</v>
      </c>
      <c r="I2277">
        <v>20.99</v>
      </c>
      <c r="J2277">
        <v>20.99</v>
      </c>
      <c r="K2277">
        <v>1</v>
      </c>
      <c r="L2277" t="s">
        <v>834</v>
      </c>
    </row>
    <row r="2278" spans="2:29" x14ac:dyDescent="0.25">
      <c r="E2278">
        <v>10</v>
      </c>
    </row>
    <row r="2279" spans="2:29" x14ac:dyDescent="0.25">
      <c r="E2279">
        <v>200</v>
      </c>
    </row>
    <row r="2280" spans="2:29" x14ac:dyDescent="0.25">
      <c r="B2280">
        <v>8010061705028580</v>
      </c>
      <c r="C2280">
        <v>41217777</v>
      </c>
      <c r="D2280" t="s">
        <v>795</v>
      </c>
      <c r="E2280">
        <v>10000</v>
      </c>
      <c r="G2280" t="s">
        <v>117</v>
      </c>
      <c r="H2280">
        <v>71</v>
      </c>
      <c r="I2280">
        <v>0.27</v>
      </c>
      <c r="J2280">
        <v>0.27</v>
      </c>
      <c r="K2280">
        <v>1</v>
      </c>
      <c r="L2280" t="s">
        <v>834</v>
      </c>
      <c r="AC2280" t="s">
        <v>2172</v>
      </c>
    </row>
    <row r="2281" spans="2:29" x14ac:dyDescent="0.25">
      <c r="E2281">
        <v>10000</v>
      </c>
      <c r="J2281">
        <v>2700</v>
      </c>
      <c r="K2281">
        <v>1</v>
      </c>
      <c r="L2281" t="s">
        <v>834</v>
      </c>
    </row>
    <row r="2282" spans="2:29" x14ac:dyDescent="0.25">
      <c r="E2282">
        <v>2</v>
      </c>
    </row>
    <row r="2283" spans="2:29" x14ac:dyDescent="0.25">
      <c r="B2283">
        <v>8010061705028580</v>
      </c>
      <c r="C2283">
        <v>41220015</v>
      </c>
      <c r="D2283" t="s">
        <v>796</v>
      </c>
      <c r="E2283">
        <v>12000</v>
      </c>
      <c r="G2283" t="s">
        <v>113</v>
      </c>
      <c r="H2283">
        <v>113</v>
      </c>
      <c r="J2283">
        <v>0.25</v>
      </c>
      <c r="L2283" t="s">
        <v>834</v>
      </c>
      <c r="AC2283" t="s">
        <v>2120</v>
      </c>
    </row>
    <row r="2284" spans="2:29" x14ac:dyDescent="0.25">
      <c r="E2284">
        <v>500</v>
      </c>
      <c r="J2284">
        <v>0.67</v>
      </c>
      <c r="L2284" t="s">
        <v>834</v>
      </c>
    </row>
    <row r="2285" spans="2:29" x14ac:dyDescent="0.25">
      <c r="E2285">
        <v>12000</v>
      </c>
    </row>
    <row r="2286" spans="2:29" x14ac:dyDescent="0.25">
      <c r="E2286">
        <v>500</v>
      </c>
    </row>
    <row r="2287" spans="2:29" x14ac:dyDescent="0.25">
      <c r="B2287">
        <v>8010061705028580</v>
      </c>
      <c r="C2287">
        <v>41217485</v>
      </c>
      <c r="D2287" t="s">
        <v>797</v>
      </c>
      <c r="E2287">
        <v>130</v>
      </c>
      <c r="G2287" t="s">
        <v>161</v>
      </c>
      <c r="H2287">
        <v>73</v>
      </c>
      <c r="I2287">
        <v>18</v>
      </c>
      <c r="J2287">
        <v>18</v>
      </c>
      <c r="K2287">
        <v>1</v>
      </c>
      <c r="L2287" t="s">
        <v>834</v>
      </c>
      <c r="AC2287" t="s">
        <v>2173</v>
      </c>
    </row>
    <row r="2288" spans="2:29" x14ac:dyDescent="0.25">
      <c r="E2288">
        <v>130</v>
      </c>
    </row>
    <row r="2289" spans="1:29" x14ac:dyDescent="0.25">
      <c r="B2289">
        <v>1.00000050525544E+31</v>
      </c>
      <c r="C2289">
        <v>41220281</v>
      </c>
      <c r="D2289" t="s">
        <v>768</v>
      </c>
      <c r="E2289">
        <v>5000</v>
      </c>
      <c r="G2289" t="s">
        <v>156</v>
      </c>
      <c r="H2289">
        <v>68</v>
      </c>
      <c r="I2289">
        <v>0.33</v>
      </c>
      <c r="J2289">
        <v>1650</v>
      </c>
      <c r="K2289">
        <v>5000</v>
      </c>
      <c r="AC2289" t="s">
        <v>2174</v>
      </c>
    </row>
    <row r="2290" spans="1:29" x14ac:dyDescent="0.25">
      <c r="E2290">
        <v>10</v>
      </c>
      <c r="I2290">
        <v>0.87</v>
      </c>
      <c r="J2290">
        <v>8.6999999999999993</v>
      </c>
      <c r="K2290">
        <v>10</v>
      </c>
    </row>
    <row r="2291" spans="1:29" x14ac:dyDescent="0.25">
      <c r="B2291">
        <v>8010061705028580</v>
      </c>
      <c r="C2291">
        <v>41220289</v>
      </c>
      <c r="D2291" t="s">
        <v>769</v>
      </c>
      <c r="E2291">
        <v>30</v>
      </c>
      <c r="G2291">
        <v>6800</v>
      </c>
      <c r="H2291">
        <v>82</v>
      </c>
      <c r="I2291">
        <v>94</v>
      </c>
      <c r="J2291">
        <v>4</v>
      </c>
      <c r="K2291">
        <v>4.2553191489361701E-2</v>
      </c>
      <c r="L2291" t="s">
        <v>834</v>
      </c>
      <c r="AC2291" t="s">
        <v>2175</v>
      </c>
    </row>
    <row r="2292" spans="1:29" x14ac:dyDescent="0.25">
      <c r="A2292" t="s">
        <v>837</v>
      </c>
      <c r="B2292">
        <v>8010061705028580</v>
      </c>
      <c r="C2292">
        <v>41220183</v>
      </c>
      <c r="D2292" t="s">
        <v>767</v>
      </c>
      <c r="E2292">
        <v>2000</v>
      </c>
      <c r="G2292" t="s">
        <v>113</v>
      </c>
      <c r="H2292">
        <v>73</v>
      </c>
      <c r="I2292">
        <v>0.25</v>
      </c>
      <c r="J2292">
        <v>0.25</v>
      </c>
      <c r="K2292">
        <v>1</v>
      </c>
      <c r="L2292" t="s">
        <v>834</v>
      </c>
      <c r="AC2292" t="s">
        <v>2176</v>
      </c>
    </row>
    <row r="2293" spans="1:29" x14ac:dyDescent="0.25">
      <c r="B2293">
        <v>1.00000090523944E+31</v>
      </c>
      <c r="C2293">
        <v>41219432</v>
      </c>
      <c r="D2293" t="s">
        <v>1358</v>
      </c>
      <c r="E2293">
        <v>1600</v>
      </c>
      <c r="G2293" t="s">
        <v>181</v>
      </c>
      <c r="H2293">
        <v>64</v>
      </c>
      <c r="I2293">
        <v>0.25</v>
      </c>
      <c r="J2293">
        <v>400</v>
      </c>
      <c r="K2293">
        <v>1600</v>
      </c>
      <c r="L2293" t="s">
        <v>834</v>
      </c>
      <c r="AC2293" t="s">
        <v>2177</v>
      </c>
    </row>
    <row r="2294" spans="1:29" x14ac:dyDescent="0.25">
      <c r="A2294" t="s">
        <v>837</v>
      </c>
      <c r="B2294">
        <v>8010061705028580</v>
      </c>
      <c r="C2294">
        <v>41220183</v>
      </c>
      <c r="D2294" t="s">
        <v>1359</v>
      </c>
      <c r="E2294">
        <v>2000</v>
      </c>
      <c r="G2294" t="s">
        <v>113</v>
      </c>
      <c r="H2294">
        <v>72</v>
      </c>
      <c r="I2294">
        <v>0.25</v>
      </c>
      <c r="J2294">
        <v>0.25</v>
      </c>
      <c r="K2294">
        <v>1</v>
      </c>
      <c r="L2294" t="s">
        <v>834</v>
      </c>
      <c r="AC2294" t="s">
        <v>2178</v>
      </c>
    </row>
    <row r="2295" spans="1:29" x14ac:dyDescent="0.25">
      <c r="B2295">
        <v>8010061705028580</v>
      </c>
      <c r="C2295">
        <v>41220281</v>
      </c>
      <c r="D2295" t="s">
        <v>1360</v>
      </c>
      <c r="E2295">
        <v>5000</v>
      </c>
      <c r="G2295" t="s">
        <v>156</v>
      </c>
      <c r="H2295">
        <v>64</v>
      </c>
      <c r="I2295">
        <v>0.33</v>
      </c>
      <c r="J2295">
        <v>1650</v>
      </c>
      <c r="K2295">
        <v>5000</v>
      </c>
      <c r="L2295" t="s">
        <v>834</v>
      </c>
      <c r="AC2295" t="s">
        <v>2179</v>
      </c>
    </row>
    <row r="2296" spans="1:29" x14ac:dyDescent="0.25">
      <c r="E2296">
        <v>10</v>
      </c>
      <c r="I2296">
        <v>0.87</v>
      </c>
      <c r="J2296">
        <v>8.6999999999999993</v>
      </c>
      <c r="K2296">
        <v>10</v>
      </c>
    </row>
    <row r="2297" spans="1:29" x14ac:dyDescent="0.25">
      <c r="E2297">
        <v>1000</v>
      </c>
      <c r="I2297">
        <v>3.4</v>
      </c>
      <c r="J2297">
        <v>3400</v>
      </c>
      <c r="K2297">
        <v>1000</v>
      </c>
    </row>
    <row r="2298" spans="1:29" x14ac:dyDescent="0.25">
      <c r="B2298">
        <v>8010061705028580</v>
      </c>
      <c r="C2298">
        <v>41217317</v>
      </c>
      <c r="D2298" t="s">
        <v>1361</v>
      </c>
      <c r="E2298">
        <v>2</v>
      </c>
      <c r="G2298" t="s">
        <v>237</v>
      </c>
      <c r="H2298">
        <v>109</v>
      </c>
      <c r="I2298">
        <v>13.99</v>
      </c>
      <c r="J2298">
        <v>13.99</v>
      </c>
      <c r="K2298">
        <v>1</v>
      </c>
      <c r="L2298" t="s">
        <v>834</v>
      </c>
      <c r="AC2298" t="s">
        <v>2180</v>
      </c>
    </row>
    <row r="2299" spans="1:29" x14ac:dyDescent="0.25">
      <c r="E2299">
        <v>14</v>
      </c>
      <c r="G2299" t="s">
        <v>370</v>
      </c>
      <c r="H2299">
        <v>156</v>
      </c>
      <c r="I2299">
        <v>13.99</v>
      </c>
      <c r="J2299">
        <v>27.98</v>
      </c>
      <c r="K2299">
        <v>2</v>
      </c>
      <c r="L2299" t="s">
        <v>834</v>
      </c>
    </row>
    <row r="2300" spans="1:29" x14ac:dyDescent="0.25">
      <c r="E2300">
        <v>5</v>
      </c>
      <c r="G2300" t="s">
        <v>238</v>
      </c>
      <c r="H2300">
        <v>206</v>
      </c>
      <c r="I2300">
        <v>13.99</v>
      </c>
      <c r="J2300">
        <v>13.99</v>
      </c>
      <c r="K2300">
        <v>1</v>
      </c>
      <c r="L2300" t="s">
        <v>834</v>
      </c>
    </row>
    <row r="2301" spans="1:29" x14ac:dyDescent="0.25">
      <c r="E2301">
        <v>24</v>
      </c>
      <c r="G2301" t="s">
        <v>227</v>
      </c>
      <c r="H2301">
        <v>249</v>
      </c>
      <c r="I2301">
        <v>13.99</v>
      </c>
      <c r="J2301">
        <v>195.86</v>
      </c>
      <c r="K2301">
        <v>14</v>
      </c>
      <c r="L2301" t="s">
        <v>834</v>
      </c>
    </row>
    <row r="2302" spans="1:29" x14ac:dyDescent="0.25">
      <c r="E2302">
        <v>40</v>
      </c>
      <c r="I2302">
        <v>13.99</v>
      </c>
      <c r="J2302">
        <v>13.99</v>
      </c>
      <c r="K2302">
        <v>1</v>
      </c>
      <c r="L2302" t="s">
        <v>834</v>
      </c>
    </row>
    <row r="2303" spans="1:29" x14ac:dyDescent="0.25">
      <c r="B2303">
        <v>8010061705028580</v>
      </c>
      <c r="C2303">
        <v>41219002</v>
      </c>
      <c r="D2303" t="s">
        <v>1362</v>
      </c>
      <c r="E2303">
        <v>200</v>
      </c>
      <c r="G2303" t="s">
        <v>177</v>
      </c>
      <c r="H2303">
        <v>84</v>
      </c>
      <c r="I2303">
        <v>3.8</v>
      </c>
      <c r="J2303">
        <v>3.8</v>
      </c>
      <c r="K2303">
        <v>1</v>
      </c>
      <c r="L2303" t="s">
        <v>834</v>
      </c>
      <c r="AC2303" t="s">
        <v>2181</v>
      </c>
    </row>
    <row r="2304" spans="1:29" x14ac:dyDescent="0.25">
      <c r="B2304">
        <v>1.00000050523944E+31</v>
      </c>
      <c r="C2304">
        <v>41218860</v>
      </c>
      <c r="D2304" t="s">
        <v>1363</v>
      </c>
      <c r="E2304">
        <v>2</v>
      </c>
      <c r="G2304" t="s">
        <v>193</v>
      </c>
      <c r="H2304">
        <v>48</v>
      </c>
      <c r="I2304">
        <v>0.87</v>
      </c>
      <c r="J2304">
        <v>1.74</v>
      </c>
      <c r="K2304">
        <v>2</v>
      </c>
      <c r="L2304" t="s">
        <v>834</v>
      </c>
      <c r="AC2304" t="s">
        <v>2182</v>
      </c>
    </row>
    <row r="2305" spans="1:29" x14ac:dyDescent="0.25">
      <c r="E2305">
        <v>120</v>
      </c>
      <c r="G2305">
        <v>501</v>
      </c>
      <c r="H2305">
        <v>82</v>
      </c>
      <c r="I2305">
        <v>1.3</v>
      </c>
      <c r="J2305">
        <v>156</v>
      </c>
      <c r="K2305">
        <v>120</v>
      </c>
      <c r="L2305" t="s">
        <v>834</v>
      </c>
    </row>
    <row r="2306" spans="1:29" x14ac:dyDescent="0.25">
      <c r="E2306">
        <v>120</v>
      </c>
      <c r="I2306">
        <v>3.97</v>
      </c>
      <c r="J2306">
        <v>475.4</v>
      </c>
      <c r="K2306">
        <v>119.74811083123424</v>
      </c>
      <c r="L2306" t="s">
        <v>834</v>
      </c>
    </row>
    <row r="2307" spans="1:29" x14ac:dyDescent="0.25">
      <c r="B2307">
        <v>8010061705028580</v>
      </c>
      <c r="C2307">
        <v>41219949</v>
      </c>
      <c r="D2307" t="s">
        <v>1364</v>
      </c>
      <c r="E2307">
        <v>300</v>
      </c>
      <c r="G2307" t="s">
        <v>174</v>
      </c>
      <c r="H2307">
        <v>132</v>
      </c>
      <c r="I2307">
        <v>0.56000000000000005</v>
      </c>
      <c r="J2307">
        <v>168</v>
      </c>
      <c r="K2307">
        <v>299.99999999999994</v>
      </c>
      <c r="L2307" t="s">
        <v>834</v>
      </c>
      <c r="AC2307" t="s">
        <v>2183</v>
      </c>
    </row>
    <row r="2308" spans="1:29" x14ac:dyDescent="0.25">
      <c r="E2308">
        <v>20</v>
      </c>
      <c r="G2308">
        <v>6885</v>
      </c>
      <c r="H2308">
        <v>155</v>
      </c>
      <c r="I2308">
        <v>1.78</v>
      </c>
      <c r="J2308">
        <v>35.6</v>
      </c>
      <c r="K2308">
        <v>20</v>
      </c>
    </row>
    <row r="2309" spans="1:29" x14ac:dyDescent="0.25">
      <c r="E2309">
        <v>15</v>
      </c>
      <c r="G2309">
        <v>6800</v>
      </c>
      <c r="H2309">
        <v>177</v>
      </c>
      <c r="I2309">
        <v>94</v>
      </c>
      <c r="J2309">
        <v>1410</v>
      </c>
      <c r="K2309">
        <v>15</v>
      </c>
    </row>
    <row r="2310" spans="1:29" x14ac:dyDescent="0.25">
      <c r="B2310">
        <v>8010061705028580</v>
      </c>
      <c r="C2310">
        <v>41217314</v>
      </c>
      <c r="D2310" t="s">
        <v>1365</v>
      </c>
      <c r="E2310">
        <v>144</v>
      </c>
      <c r="G2310" t="s">
        <v>150</v>
      </c>
      <c r="H2310">
        <v>66</v>
      </c>
      <c r="I2310">
        <v>1.7</v>
      </c>
      <c r="J2310">
        <v>1.7</v>
      </c>
      <c r="K2310">
        <v>1</v>
      </c>
      <c r="L2310" t="s">
        <v>834</v>
      </c>
      <c r="AC2310" t="s">
        <v>2184</v>
      </c>
    </row>
    <row r="2311" spans="1:29" x14ac:dyDescent="0.25">
      <c r="B2311">
        <v>8010061705028580</v>
      </c>
      <c r="C2311">
        <v>41218896</v>
      </c>
      <c r="D2311" t="s">
        <v>1366</v>
      </c>
      <c r="E2311">
        <v>3</v>
      </c>
      <c r="G2311">
        <v>6200</v>
      </c>
      <c r="H2311">
        <v>81</v>
      </c>
      <c r="I2311">
        <v>8.82</v>
      </c>
      <c r="J2311">
        <v>26.46</v>
      </c>
      <c r="K2311">
        <v>3</v>
      </c>
      <c r="L2311" t="s">
        <v>834</v>
      </c>
      <c r="AC2311" t="s">
        <v>2185</v>
      </c>
    </row>
    <row r="2312" spans="1:29" x14ac:dyDescent="0.25">
      <c r="B2312">
        <v>8010061705028580</v>
      </c>
      <c r="C2312">
        <v>41219252</v>
      </c>
      <c r="D2312" t="s">
        <v>1367</v>
      </c>
      <c r="E2312">
        <v>2000</v>
      </c>
      <c r="G2312" t="s">
        <v>190</v>
      </c>
      <c r="H2312">
        <v>82</v>
      </c>
      <c r="I2312">
        <v>0.15</v>
      </c>
      <c r="J2312">
        <v>0.15</v>
      </c>
      <c r="K2312">
        <v>1</v>
      </c>
      <c r="L2312" t="s">
        <v>834</v>
      </c>
      <c r="AC2312" t="s">
        <v>2186</v>
      </c>
    </row>
    <row r="2313" spans="1:29" x14ac:dyDescent="0.25">
      <c r="B2313">
        <v>8010061705028580</v>
      </c>
      <c r="C2313">
        <v>41219425</v>
      </c>
      <c r="D2313" t="s">
        <v>1368</v>
      </c>
      <c r="E2313">
        <v>10000</v>
      </c>
      <c r="G2313" t="s">
        <v>133</v>
      </c>
      <c r="H2313">
        <v>71</v>
      </c>
      <c r="I2313">
        <v>0.25</v>
      </c>
      <c r="J2313">
        <v>0.25</v>
      </c>
      <c r="K2313">
        <v>1</v>
      </c>
      <c r="L2313" t="s">
        <v>834</v>
      </c>
      <c r="AC2313" t="s">
        <v>2187</v>
      </c>
    </row>
    <row r="2314" spans="1:29" x14ac:dyDescent="0.25">
      <c r="E2314">
        <v>240</v>
      </c>
      <c r="G2314" t="s">
        <v>165</v>
      </c>
      <c r="H2314">
        <v>107</v>
      </c>
      <c r="I2314">
        <v>0.51</v>
      </c>
      <c r="J2314">
        <v>2500</v>
      </c>
      <c r="K2314">
        <v>4901.9607843137255</v>
      </c>
      <c r="L2314" t="s">
        <v>834</v>
      </c>
    </row>
    <row r="2315" spans="1:29" x14ac:dyDescent="0.25">
      <c r="E2315">
        <v>120</v>
      </c>
      <c r="G2315" t="s">
        <v>212</v>
      </c>
      <c r="H2315">
        <v>211</v>
      </c>
      <c r="I2315">
        <v>1.45</v>
      </c>
      <c r="J2315">
        <v>0.51</v>
      </c>
      <c r="K2315">
        <v>0.35172413793103452</v>
      </c>
      <c r="L2315" t="s">
        <v>834</v>
      </c>
    </row>
    <row r="2316" spans="1:29" x14ac:dyDescent="0.25">
      <c r="E2316">
        <v>2</v>
      </c>
      <c r="G2316">
        <v>81066</v>
      </c>
      <c r="H2316">
        <v>233</v>
      </c>
      <c r="I2316">
        <v>11.75</v>
      </c>
      <c r="J2316">
        <v>122.4</v>
      </c>
      <c r="K2316">
        <v>10.417021276595746</v>
      </c>
      <c r="L2316" t="s">
        <v>834</v>
      </c>
    </row>
    <row r="2317" spans="1:29" x14ac:dyDescent="0.25">
      <c r="B2317">
        <v>1.00000050923944E+31</v>
      </c>
      <c r="C2317">
        <v>41219951</v>
      </c>
      <c r="D2317" t="s">
        <v>1369</v>
      </c>
      <c r="E2317">
        <v>14</v>
      </c>
      <c r="G2317" t="s">
        <v>168</v>
      </c>
      <c r="H2317">
        <v>47</v>
      </c>
      <c r="I2317">
        <v>1.3</v>
      </c>
      <c r="J2317">
        <v>18.2</v>
      </c>
      <c r="K2317">
        <v>13.999999999999998</v>
      </c>
      <c r="L2317" t="s">
        <v>834</v>
      </c>
      <c r="AC2317" t="s">
        <v>2188</v>
      </c>
    </row>
    <row r="2318" spans="1:29" x14ac:dyDescent="0.25">
      <c r="E2318">
        <v>200</v>
      </c>
      <c r="G2318" t="s">
        <v>163</v>
      </c>
      <c r="H2318">
        <v>141</v>
      </c>
      <c r="I2318">
        <v>20.99</v>
      </c>
      <c r="J2318">
        <v>4198</v>
      </c>
      <c r="K2318">
        <v>200.00000000000003</v>
      </c>
      <c r="L2318" t="s">
        <v>834</v>
      </c>
    </row>
    <row r="2319" spans="1:29" x14ac:dyDescent="0.25">
      <c r="B2319">
        <v>8.0100611705028496E+16</v>
      </c>
      <c r="C2319">
        <v>41220345</v>
      </c>
      <c r="D2319" t="s">
        <v>1370</v>
      </c>
      <c r="E2319">
        <v>170</v>
      </c>
      <c r="G2319" t="s">
        <v>141</v>
      </c>
      <c r="H2319">
        <v>66</v>
      </c>
      <c r="I2319">
        <v>3.4</v>
      </c>
      <c r="J2319">
        <v>578</v>
      </c>
      <c r="K2319">
        <v>170</v>
      </c>
      <c r="L2319" t="s">
        <v>834</v>
      </c>
      <c r="AC2319" t="s">
        <v>2189</v>
      </c>
    </row>
    <row r="2320" spans="1:29" x14ac:dyDescent="0.25">
      <c r="A2320" t="s">
        <v>837</v>
      </c>
      <c r="E2320">
        <v>170</v>
      </c>
      <c r="G2320" t="s">
        <v>138</v>
      </c>
      <c r="H2320">
        <v>145</v>
      </c>
      <c r="I2320">
        <v>3.4</v>
      </c>
      <c r="J2320">
        <v>578</v>
      </c>
      <c r="K2320">
        <v>170</v>
      </c>
      <c r="L2320" t="s">
        <v>834</v>
      </c>
    </row>
    <row r="2321" spans="1:29" x14ac:dyDescent="0.25">
      <c r="B2321">
        <v>8010061705028580</v>
      </c>
      <c r="C2321">
        <v>41220347</v>
      </c>
      <c r="D2321" t="s">
        <v>1371</v>
      </c>
      <c r="E2321">
        <v>1000</v>
      </c>
      <c r="G2321" t="s">
        <v>131</v>
      </c>
      <c r="H2321">
        <v>68</v>
      </c>
      <c r="I2321">
        <v>0.25</v>
      </c>
      <c r="J2321">
        <v>250</v>
      </c>
      <c r="K2321">
        <v>1000</v>
      </c>
      <c r="AC2321" t="s">
        <v>2190</v>
      </c>
    </row>
    <row r="2322" spans="1:29" x14ac:dyDescent="0.25">
      <c r="E2322">
        <v>500</v>
      </c>
      <c r="G2322" t="s">
        <v>125</v>
      </c>
      <c r="H2322">
        <v>124</v>
      </c>
      <c r="I2322">
        <v>0.67</v>
      </c>
      <c r="J2322">
        <v>335</v>
      </c>
      <c r="K2322">
        <v>499.99999999999994</v>
      </c>
      <c r="L2322" t="s">
        <v>834</v>
      </c>
    </row>
    <row r="2323" spans="1:29" x14ac:dyDescent="0.25">
      <c r="A2323" t="s">
        <v>837</v>
      </c>
      <c r="E2323">
        <v>100</v>
      </c>
      <c r="G2323" t="s">
        <v>161</v>
      </c>
      <c r="H2323">
        <v>187</v>
      </c>
      <c r="I2323">
        <v>18</v>
      </c>
      <c r="J2323">
        <v>1800</v>
      </c>
      <c r="K2323">
        <v>100</v>
      </c>
    </row>
    <row r="2324" spans="1:29" x14ac:dyDescent="0.25">
      <c r="B2324">
        <v>8010061705028580</v>
      </c>
      <c r="C2324">
        <v>41217485</v>
      </c>
      <c r="D2324" t="s">
        <v>1372</v>
      </c>
      <c r="E2324">
        <v>100</v>
      </c>
      <c r="G2324" t="s">
        <v>161</v>
      </c>
      <c r="H2324">
        <v>63</v>
      </c>
      <c r="I2324">
        <v>18</v>
      </c>
      <c r="J2324">
        <v>1800</v>
      </c>
      <c r="K2324">
        <v>100</v>
      </c>
      <c r="AC2324" t="s">
        <v>2191</v>
      </c>
    </row>
    <row r="2325" spans="1:29" x14ac:dyDescent="0.25">
      <c r="B2325">
        <v>1.00000050523944E+30</v>
      </c>
      <c r="C2325">
        <v>41217700</v>
      </c>
      <c r="D2325" t="s">
        <v>1373</v>
      </c>
      <c r="E2325">
        <v>200</v>
      </c>
      <c r="G2325" t="s">
        <v>135</v>
      </c>
      <c r="H2325">
        <v>83</v>
      </c>
      <c r="I2325">
        <v>0.25</v>
      </c>
      <c r="J2325">
        <v>0.25</v>
      </c>
      <c r="K2325">
        <v>1</v>
      </c>
      <c r="L2325" t="s">
        <v>834</v>
      </c>
      <c r="AC2325" t="s">
        <v>2192</v>
      </c>
    </row>
    <row r="2326" spans="1:29" x14ac:dyDescent="0.25">
      <c r="B2326">
        <v>8010061705028580</v>
      </c>
      <c r="C2326">
        <v>41220015</v>
      </c>
      <c r="D2326" t="s">
        <v>1374</v>
      </c>
      <c r="E2326">
        <v>15000</v>
      </c>
      <c r="G2326" t="s">
        <v>113</v>
      </c>
      <c r="H2326">
        <v>46</v>
      </c>
      <c r="I2326">
        <v>0.25</v>
      </c>
      <c r="J2326">
        <v>3750</v>
      </c>
      <c r="K2326">
        <v>15000</v>
      </c>
      <c r="AC2326" t="s">
        <v>2193</v>
      </c>
    </row>
    <row r="2327" spans="1:29" x14ac:dyDescent="0.25">
      <c r="B2327">
        <v>8010061705028580</v>
      </c>
      <c r="C2327">
        <v>41219002</v>
      </c>
      <c r="D2327" t="s">
        <v>1375</v>
      </c>
      <c r="E2327">
        <v>200</v>
      </c>
      <c r="G2327" t="s">
        <v>177</v>
      </c>
      <c r="H2327">
        <v>84</v>
      </c>
      <c r="I2327">
        <v>3.8</v>
      </c>
      <c r="J2327">
        <v>3.8</v>
      </c>
      <c r="K2327">
        <v>1</v>
      </c>
      <c r="L2327" t="s">
        <v>834</v>
      </c>
      <c r="AC2327" t="s">
        <v>2194</v>
      </c>
    </row>
    <row r="2328" spans="1:29" x14ac:dyDescent="0.25">
      <c r="B2328">
        <v>1.00000050523944E+31</v>
      </c>
      <c r="C2328">
        <v>41219432</v>
      </c>
      <c r="D2328" t="s">
        <v>1376</v>
      </c>
      <c r="E2328">
        <v>1600</v>
      </c>
      <c r="G2328" t="s">
        <v>181</v>
      </c>
      <c r="H2328">
        <v>83</v>
      </c>
      <c r="I2328">
        <v>0.25</v>
      </c>
      <c r="J2328">
        <v>0.25</v>
      </c>
      <c r="K2328">
        <v>1</v>
      </c>
      <c r="L2328" t="s">
        <v>834</v>
      </c>
      <c r="AC2328" t="s">
        <v>2195</v>
      </c>
    </row>
    <row r="2329" spans="1:29" x14ac:dyDescent="0.25">
      <c r="B2329">
        <v>8010061705028580</v>
      </c>
      <c r="C2329">
        <v>41218317</v>
      </c>
      <c r="D2329" t="s">
        <v>1377</v>
      </c>
      <c r="E2329">
        <v>200</v>
      </c>
      <c r="G2329" t="s">
        <v>123</v>
      </c>
      <c r="H2329">
        <v>46</v>
      </c>
      <c r="I2329">
        <v>0.35</v>
      </c>
      <c r="J2329">
        <v>70</v>
      </c>
      <c r="K2329">
        <v>200</v>
      </c>
      <c r="AC2329" t="s">
        <v>2196</v>
      </c>
    </row>
    <row r="2330" spans="1:29" x14ac:dyDescent="0.25">
      <c r="E2330">
        <v>800</v>
      </c>
      <c r="G2330" t="s">
        <v>127</v>
      </c>
      <c r="H2330">
        <v>119</v>
      </c>
      <c r="I2330">
        <v>0.35</v>
      </c>
      <c r="J2330">
        <v>280</v>
      </c>
      <c r="K2330">
        <v>800</v>
      </c>
    </row>
    <row r="2331" spans="1:29" x14ac:dyDescent="0.25">
      <c r="A2331" t="s">
        <v>837</v>
      </c>
      <c r="B2331">
        <v>1.00000050523944E+31</v>
      </c>
      <c r="C2331">
        <v>41220281</v>
      </c>
      <c r="D2331" t="s">
        <v>1378</v>
      </c>
      <c r="E2331">
        <v>10</v>
      </c>
      <c r="G2331" t="s">
        <v>138</v>
      </c>
      <c r="H2331">
        <v>93</v>
      </c>
      <c r="I2331">
        <v>0.87</v>
      </c>
      <c r="J2331">
        <v>0.87</v>
      </c>
      <c r="K2331">
        <v>1</v>
      </c>
      <c r="L2331" t="s">
        <v>834</v>
      </c>
      <c r="AC2331" t="s">
        <v>2197</v>
      </c>
    </row>
    <row r="2332" spans="1:29" x14ac:dyDescent="0.25">
      <c r="E2332">
        <v>600</v>
      </c>
      <c r="I2332">
        <v>3.4</v>
      </c>
      <c r="J2332">
        <v>8.6999999999999993</v>
      </c>
      <c r="K2332">
        <v>2.5588235294117645</v>
      </c>
      <c r="L2332" t="s">
        <v>834</v>
      </c>
    </row>
    <row r="2333" spans="1:29" x14ac:dyDescent="0.25">
      <c r="E2333">
        <v>2</v>
      </c>
      <c r="J2333">
        <v>3.4</v>
      </c>
      <c r="K2333">
        <v>2.5588235294117645</v>
      </c>
      <c r="L2333" t="s">
        <v>834</v>
      </c>
    </row>
    <row r="2334" spans="1:29" x14ac:dyDescent="0.25">
      <c r="B2334">
        <v>1.00000050523944E+31</v>
      </c>
      <c r="C2334">
        <v>41218317</v>
      </c>
      <c r="D2334" t="s">
        <v>1379</v>
      </c>
      <c r="E2334">
        <v>3400</v>
      </c>
      <c r="G2334" t="s">
        <v>123</v>
      </c>
      <c r="H2334">
        <v>70</v>
      </c>
      <c r="I2334">
        <v>0.35</v>
      </c>
      <c r="J2334">
        <v>0.35</v>
      </c>
      <c r="K2334">
        <v>1</v>
      </c>
      <c r="L2334" t="s">
        <v>834</v>
      </c>
      <c r="AC2334" t="s">
        <v>2198</v>
      </c>
    </row>
    <row r="2335" spans="1:29" x14ac:dyDescent="0.25">
      <c r="E2335">
        <v>1</v>
      </c>
      <c r="J2335">
        <v>1190</v>
      </c>
      <c r="K2335">
        <v>1</v>
      </c>
    </row>
    <row r="2336" spans="1:29" x14ac:dyDescent="0.25">
      <c r="B2336">
        <v>8010061705028580</v>
      </c>
      <c r="C2336">
        <v>41220289</v>
      </c>
      <c r="D2336" t="s">
        <v>1380</v>
      </c>
      <c r="E2336">
        <v>1000</v>
      </c>
      <c r="G2336" t="s">
        <v>152</v>
      </c>
      <c r="H2336">
        <v>90</v>
      </c>
      <c r="I2336">
        <v>2.1</v>
      </c>
      <c r="J2336">
        <v>2.1</v>
      </c>
      <c r="K2336">
        <v>1</v>
      </c>
      <c r="L2336" t="s">
        <v>834</v>
      </c>
      <c r="AC2336" t="s">
        <v>2199</v>
      </c>
    </row>
    <row r="2337" spans="1:29" x14ac:dyDescent="0.25">
      <c r="E2337">
        <v>2</v>
      </c>
      <c r="J2337">
        <v>2100</v>
      </c>
      <c r="K2337">
        <v>1</v>
      </c>
      <c r="L2337" t="s">
        <v>834</v>
      </c>
    </row>
    <row r="2338" spans="1:29" x14ac:dyDescent="0.25">
      <c r="A2338" t="s">
        <v>837</v>
      </c>
      <c r="B2338">
        <v>8.0100617050285804E+31</v>
      </c>
      <c r="C2338" t="s">
        <v>1381</v>
      </c>
      <c r="D2338" t="s">
        <v>1382</v>
      </c>
      <c r="E2338">
        <v>3000</v>
      </c>
      <c r="G2338" t="s">
        <v>127</v>
      </c>
      <c r="H2338">
        <v>61</v>
      </c>
      <c r="I2338">
        <v>0.35</v>
      </c>
      <c r="J2338">
        <v>1050</v>
      </c>
      <c r="K2338">
        <v>3000</v>
      </c>
      <c r="AC2338" t="s">
        <v>2200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4417-8D53-443D-A386-0A558FE2F5C2}">
  <sheetPr codeName="Hoja1"/>
  <dimension ref="A1:Z393"/>
  <sheetViews>
    <sheetView zoomScaleNormal="100" workbookViewId="0">
      <selection activeCell="C7" sqref="C7"/>
    </sheetView>
  </sheetViews>
  <sheetFormatPr baseColWidth="10" defaultRowHeight="15" x14ac:dyDescent="0.25"/>
  <cols>
    <col min="1" max="1" width="53.85546875" bestFit="1" customWidth="1"/>
    <col min="2" max="3" width="12.7109375" customWidth="1"/>
    <col min="4" max="4" width="6" customWidth="1"/>
    <col min="5" max="5" width="6.85546875" customWidth="1"/>
    <col min="6" max="6" width="6.5703125" customWidth="1"/>
    <col min="7" max="7" width="25.5703125" bestFit="1" customWidth="1"/>
    <col min="8" max="8" width="30.85546875" bestFit="1" customWidth="1"/>
    <col min="9" max="9" width="19.5703125" customWidth="1"/>
  </cols>
  <sheetData>
    <row r="1" spans="1:26" ht="16.5" customHeight="1" x14ac:dyDescent="0.25">
      <c r="A1" s="5" t="s">
        <v>12</v>
      </c>
      <c r="B1" s="4" t="s">
        <v>55</v>
      </c>
      <c r="C1" s="4" t="s">
        <v>56</v>
      </c>
      <c r="D1" s="2" t="s">
        <v>1</v>
      </c>
      <c r="E1" s="2" t="s">
        <v>0</v>
      </c>
      <c r="F1" s="14" t="s">
        <v>32</v>
      </c>
      <c r="G1" s="10" t="s">
        <v>54</v>
      </c>
      <c r="H1" s="63" t="s">
        <v>710</v>
      </c>
      <c r="I1" s="10" t="s">
        <v>33</v>
      </c>
      <c r="J1" s="77" t="s">
        <v>36</v>
      </c>
      <c r="K1" t="s">
        <v>827</v>
      </c>
      <c r="L1" t="s">
        <v>828</v>
      </c>
    </row>
    <row r="2" spans="1:26" x14ac:dyDescent="0.25">
      <c r="A2" s="1"/>
      <c r="B2" s="1"/>
      <c r="C2" s="1"/>
      <c r="D2" s="2">
        <v>1366</v>
      </c>
      <c r="E2" s="3">
        <v>768</v>
      </c>
      <c r="F2" s="15" t="s">
        <v>830</v>
      </c>
      <c r="G2" s="9">
        <v>824</v>
      </c>
      <c r="H2" s="1" t="s">
        <v>15</v>
      </c>
      <c r="I2" s="9" t="s">
        <v>86</v>
      </c>
      <c r="J2" s="77" t="s">
        <v>34</v>
      </c>
      <c r="L2" s="82">
        <v>45352</v>
      </c>
      <c r="P2" t="s">
        <v>68</v>
      </c>
      <c r="V2">
        <v>1908</v>
      </c>
      <c r="Y2" t="s">
        <v>817</v>
      </c>
      <c r="Z2" t="s">
        <v>816</v>
      </c>
    </row>
    <row r="3" spans="1:26" x14ac:dyDescent="0.25">
      <c r="A3" s="26"/>
      <c r="B3" s="1"/>
      <c r="C3" s="1"/>
      <c r="D3" s="1"/>
      <c r="E3" s="1"/>
      <c r="F3" t="s">
        <v>831</v>
      </c>
      <c r="G3" s="10" t="s">
        <v>53</v>
      </c>
      <c r="H3" s="1" t="s">
        <v>16</v>
      </c>
      <c r="I3" s="9">
        <v>1</v>
      </c>
      <c r="J3" s="77" t="s">
        <v>35</v>
      </c>
      <c r="K3" t="s">
        <v>829</v>
      </c>
      <c r="O3" t="s">
        <v>722</v>
      </c>
    </row>
    <row r="4" spans="1:26" x14ac:dyDescent="0.25">
      <c r="A4" s="1"/>
      <c r="B4" s="1"/>
      <c r="C4" s="1"/>
      <c r="D4" s="1"/>
      <c r="E4" s="1"/>
      <c r="F4" s="1"/>
      <c r="G4" s="10"/>
      <c r="H4" s="1"/>
      <c r="I4" s="9"/>
      <c r="J4" s="27"/>
    </row>
    <row r="5" spans="1:26" x14ac:dyDescent="0.25">
      <c r="A5" s="26"/>
      <c r="B5" s="1"/>
      <c r="C5" s="1"/>
      <c r="D5" s="1"/>
      <c r="E5" s="1"/>
      <c r="F5" s="1"/>
      <c r="G5" s="10"/>
      <c r="H5" s="1"/>
      <c r="I5" s="9"/>
      <c r="J5" s="27"/>
    </row>
    <row r="6" spans="1:26" x14ac:dyDescent="0.25">
      <c r="A6" s="1"/>
      <c r="B6" s="1"/>
      <c r="C6" s="1"/>
      <c r="D6" s="1"/>
      <c r="E6" s="1"/>
      <c r="F6" s="1"/>
      <c r="G6" s="1"/>
      <c r="H6" s="1"/>
      <c r="I6" s="9"/>
      <c r="J6" s="27"/>
    </row>
    <row r="7" spans="1:26" x14ac:dyDescent="0.25">
      <c r="A7" s="26"/>
      <c r="B7" s="1"/>
      <c r="C7" s="1"/>
      <c r="D7" s="1"/>
      <c r="E7" s="1"/>
      <c r="F7" s="1"/>
      <c r="G7" s="10"/>
      <c r="H7" s="26" t="s">
        <v>81</v>
      </c>
      <c r="I7" s="9"/>
      <c r="J7" s="27"/>
    </row>
    <row r="8" spans="1:26" x14ac:dyDescent="0.25">
      <c r="A8" s="1"/>
      <c r="B8" s="1"/>
      <c r="C8" s="1"/>
      <c r="D8" s="1"/>
      <c r="E8" s="1"/>
      <c r="F8" s="1"/>
      <c r="G8" s="10"/>
      <c r="H8" s="1" t="s">
        <v>7</v>
      </c>
      <c r="I8" s="1"/>
    </row>
    <row r="9" spans="1:26" x14ac:dyDescent="0.25">
      <c r="A9" s="26"/>
      <c r="B9" s="1"/>
      <c r="C9" s="1"/>
      <c r="D9" s="1"/>
      <c r="E9" s="1"/>
      <c r="F9" s="1"/>
      <c r="G9" s="1">
        <v>1181966</v>
      </c>
      <c r="H9" s="1" t="s">
        <v>3</v>
      </c>
      <c r="I9" s="1"/>
    </row>
    <row r="10" spans="1:26" x14ac:dyDescent="0.25">
      <c r="A10" s="1" t="s">
        <v>31</v>
      </c>
      <c r="B10" s="1" t="s">
        <v>83</v>
      </c>
      <c r="C10" s="1"/>
      <c r="D10" s="1"/>
      <c r="E10" s="1"/>
      <c r="F10" s="1"/>
      <c r="G10" s="1"/>
      <c r="H10" s="1" t="s">
        <v>824</v>
      </c>
      <c r="I10" s="1"/>
    </row>
    <row r="11" spans="1:26" x14ac:dyDescent="0.25">
      <c r="A11" s="1" t="s">
        <v>3</v>
      </c>
      <c r="B11" s="1">
        <v>100</v>
      </c>
      <c r="C11" s="1"/>
      <c r="D11" s="1"/>
      <c r="E11" s="1"/>
      <c r="F11" s="1"/>
      <c r="G11" s="1"/>
      <c r="H11" s="1"/>
      <c r="I11" s="1"/>
    </row>
    <row r="12" spans="1:26" x14ac:dyDescent="0.25">
      <c r="A12" s="26" t="s">
        <v>826</v>
      </c>
      <c r="B12" s="26">
        <v>2</v>
      </c>
      <c r="C12" s="26"/>
      <c r="D12" s="26"/>
      <c r="E12" s="26"/>
      <c r="F12" s="26"/>
      <c r="G12" s="1"/>
      <c r="H12" s="1" t="s">
        <v>9</v>
      </c>
      <c r="I12" s="1"/>
    </row>
    <row r="13" spans="1:26" x14ac:dyDescent="0.25">
      <c r="A13" s="1"/>
      <c r="B13" s="1">
        <v>1111</v>
      </c>
      <c r="C13" s="1"/>
      <c r="D13" s="1"/>
      <c r="E13" s="1"/>
      <c r="F13" s="1"/>
      <c r="G13" s="1"/>
      <c r="H13" s="1"/>
      <c r="I13" s="1"/>
    </row>
    <row r="14" spans="1:26" x14ac:dyDescent="0.25">
      <c r="A14" s="26"/>
      <c r="B14" s="26"/>
      <c r="C14" s="26"/>
      <c r="D14" s="26"/>
      <c r="E14" s="26"/>
      <c r="F14" s="26"/>
      <c r="G14" s="1"/>
      <c r="H14" s="1" t="s">
        <v>9</v>
      </c>
      <c r="I14" s="1"/>
    </row>
    <row r="15" spans="1:26" x14ac:dyDescent="0.25">
      <c r="B15" s="26"/>
      <c r="C15" s="26"/>
      <c r="D15" s="26"/>
      <c r="E15" s="26"/>
      <c r="F15" s="26"/>
      <c r="G15" s="1"/>
      <c r="H15" s="1" t="s">
        <v>47</v>
      </c>
      <c r="I15" s="1"/>
    </row>
    <row r="16" spans="1:26" x14ac:dyDescent="0.25">
      <c r="A16" s="78"/>
      <c r="B16" s="26"/>
      <c r="C16" s="26"/>
      <c r="D16" s="26"/>
      <c r="E16" s="26"/>
      <c r="F16" s="26"/>
      <c r="G16" s="1"/>
      <c r="H16" s="1" t="s">
        <v>48</v>
      </c>
      <c r="I16" s="1"/>
    </row>
    <row r="17" spans="1:9" x14ac:dyDescent="0.25">
      <c r="A17" s="78"/>
      <c r="B17" s="26"/>
      <c r="C17" s="26"/>
      <c r="D17" s="26"/>
      <c r="E17" s="26"/>
      <c r="F17" s="26"/>
      <c r="G17" s="1"/>
      <c r="H17" s="1"/>
      <c r="I17" s="1"/>
    </row>
    <row r="18" spans="1:9" x14ac:dyDescent="0.25">
      <c r="A18" s="26"/>
      <c r="B18" s="26">
        <v>1111</v>
      </c>
      <c r="C18" s="26"/>
      <c r="D18" s="26"/>
      <c r="E18" s="26"/>
      <c r="F18" s="26"/>
      <c r="G18" s="1"/>
      <c r="H18" s="1" t="s">
        <v>57</v>
      </c>
      <c r="I18" s="1"/>
    </row>
    <row r="19" spans="1:9" x14ac:dyDescent="0.25">
      <c r="A19" s="1"/>
      <c r="B19" s="1">
        <v>6</v>
      </c>
      <c r="C19" s="1"/>
      <c r="D19" s="1"/>
      <c r="E19" s="1"/>
      <c r="F19" s="1"/>
      <c r="G19" s="1"/>
      <c r="H19" s="1" t="s">
        <v>822</v>
      </c>
      <c r="I19" s="1"/>
    </row>
    <row r="20" spans="1:9" x14ac:dyDescent="0.25">
      <c r="A20" s="1"/>
      <c r="B20" s="1">
        <v>555</v>
      </c>
      <c r="C20" s="1"/>
      <c r="D20" s="1"/>
      <c r="E20" s="1"/>
      <c r="F20" s="1"/>
      <c r="G20" s="1"/>
      <c r="H20" s="1" t="s">
        <v>3</v>
      </c>
      <c r="I20" s="1"/>
    </row>
    <row r="21" spans="1:9" x14ac:dyDescent="0.25">
      <c r="A21" s="1"/>
      <c r="B21" s="1">
        <v>6</v>
      </c>
      <c r="C21" s="1"/>
      <c r="D21" s="1"/>
      <c r="E21" s="1"/>
      <c r="F21" s="1"/>
      <c r="G21" s="1"/>
      <c r="H21" s="1" t="s">
        <v>823</v>
      </c>
      <c r="I21" s="1"/>
    </row>
    <row r="22" spans="1:9" x14ac:dyDescent="0.25">
      <c r="A22" s="26" t="s">
        <v>47</v>
      </c>
      <c r="B22" s="1"/>
      <c r="C22" s="1"/>
      <c r="D22" s="1"/>
      <c r="E22" s="1"/>
      <c r="F22" s="1"/>
      <c r="G22" s="1"/>
      <c r="H22" s="1" t="s">
        <v>14</v>
      </c>
      <c r="I22" s="1"/>
    </row>
    <row r="23" spans="1:9" x14ac:dyDescent="0.25">
      <c r="A23" s="26"/>
      <c r="B23" s="1">
        <v>555</v>
      </c>
      <c r="C23" s="1"/>
      <c r="D23" s="1"/>
      <c r="E23" s="1"/>
      <c r="F23" s="1"/>
      <c r="G23" s="1"/>
      <c r="H23" s="1" t="s">
        <v>2</v>
      </c>
      <c r="I23" s="1"/>
    </row>
    <row r="24" spans="1:9" x14ac:dyDescent="0.25">
      <c r="A24" s="26"/>
      <c r="B24" s="1">
        <v>28593.601756954613</v>
      </c>
      <c r="C24" s="1">
        <v>2815.95703125</v>
      </c>
      <c r="D24" s="1" t="s">
        <v>51</v>
      </c>
      <c r="E24" s="1" t="s">
        <v>74</v>
      </c>
      <c r="F24" s="1"/>
      <c r="G24" s="1">
        <v>3</v>
      </c>
      <c r="H24" s="1" t="s">
        <v>10</v>
      </c>
      <c r="I24" s="1"/>
    </row>
    <row r="25" spans="1:9" x14ac:dyDescent="0.25">
      <c r="A25" s="26" t="s">
        <v>3</v>
      </c>
      <c r="B25" s="1">
        <v>555</v>
      </c>
      <c r="C25" s="1"/>
      <c r="D25" s="1"/>
      <c r="E25" s="1"/>
      <c r="F25" s="1"/>
      <c r="G25" s="1"/>
      <c r="H25" s="1" t="s">
        <v>31</v>
      </c>
      <c r="I25" s="1"/>
    </row>
    <row r="26" spans="1:9" x14ac:dyDescent="0.25">
      <c r="A26" s="26" t="s">
        <v>71</v>
      </c>
      <c r="B26" s="1">
        <v>40059.82796486091</v>
      </c>
      <c r="C26" s="1">
        <v>10154.51171875</v>
      </c>
      <c r="D26" s="1"/>
      <c r="E26" s="1"/>
      <c r="F26" s="1"/>
      <c r="G26" s="1"/>
      <c r="H26" s="1" t="s">
        <v>6</v>
      </c>
      <c r="I26" s="1"/>
    </row>
    <row r="27" spans="1:9" x14ac:dyDescent="0.25">
      <c r="A27" s="26" t="s">
        <v>69</v>
      </c>
      <c r="B27" s="1"/>
      <c r="C27" s="1"/>
      <c r="D27" s="1"/>
      <c r="E27" s="1"/>
      <c r="F27" s="1"/>
      <c r="G27" s="1"/>
      <c r="H27" s="1" t="s">
        <v>18</v>
      </c>
      <c r="I27" s="1"/>
    </row>
    <row r="28" spans="1:9" x14ac:dyDescent="0.25">
      <c r="A28" s="26" t="s">
        <v>71</v>
      </c>
      <c r="B28" s="1">
        <v>51861.885065885799</v>
      </c>
      <c r="C28" s="1">
        <v>31658.18359375</v>
      </c>
      <c r="D28" s="1"/>
      <c r="E28" s="1"/>
      <c r="F28" s="1"/>
      <c r="G28" s="1"/>
      <c r="H28" s="1" t="s">
        <v>8</v>
      </c>
      <c r="I28" s="1"/>
    </row>
    <row r="29" spans="1:9" x14ac:dyDescent="0.25">
      <c r="A29" s="26" t="s">
        <v>70</v>
      </c>
      <c r="B29" s="1"/>
      <c r="C29" s="1"/>
      <c r="D29" s="1"/>
      <c r="E29" s="1"/>
      <c r="F29" s="1"/>
      <c r="G29" s="1"/>
      <c r="H29" s="1" t="s">
        <v>17</v>
      </c>
      <c r="I29" s="1" t="s">
        <v>84</v>
      </c>
    </row>
    <row r="30" spans="1:9" x14ac:dyDescent="0.25">
      <c r="A30" s="26" t="s">
        <v>3</v>
      </c>
      <c r="B30" s="26">
        <v>2222</v>
      </c>
      <c r="C30" s="26"/>
      <c r="D30" s="26"/>
      <c r="E30" s="26"/>
      <c r="F30" s="26"/>
      <c r="G30" s="1"/>
      <c r="H30" s="1" t="s">
        <v>13</v>
      </c>
      <c r="I30" s="1"/>
    </row>
    <row r="31" spans="1:9" x14ac:dyDescent="0.25">
      <c r="A31" s="26" t="s">
        <v>2</v>
      </c>
      <c r="B31" s="26">
        <v>58290.64787701318</v>
      </c>
      <c r="C31" s="26">
        <v>37631.42578125</v>
      </c>
      <c r="D31" s="26" t="s">
        <v>51</v>
      </c>
      <c r="E31" s="26" t="s">
        <v>49</v>
      </c>
      <c r="F31" s="26"/>
      <c r="G31" s="1"/>
      <c r="H31" s="1" t="s">
        <v>4</v>
      </c>
      <c r="I31" s="1"/>
    </row>
    <row r="32" spans="1:9" x14ac:dyDescent="0.25">
      <c r="A32" s="26" t="s">
        <v>3</v>
      </c>
      <c r="B32" s="26">
        <v>555</v>
      </c>
      <c r="C32" s="26"/>
      <c r="D32" s="26"/>
      <c r="E32" s="26"/>
      <c r="F32" s="26"/>
      <c r="G32" s="1"/>
      <c r="H32" s="1" t="s">
        <v>11</v>
      </c>
      <c r="I32" s="1"/>
    </row>
    <row r="33" spans="1:9" x14ac:dyDescent="0.25">
      <c r="A33" s="26" t="s">
        <v>2</v>
      </c>
      <c r="B33" s="26">
        <v>42026.837481698392</v>
      </c>
      <c r="C33" s="26">
        <v>62975.0390625</v>
      </c>
      <c r="D33" s="26" t="s">
        <v>51</v>
      </c>
      <c r="E33" s="26" t="s">
        <v>61</v>
      </c>
      <c r="F33" s="26"/>
      <c r="G33" s="9"/>
      <c r="H33" s="1" t="s">
        <v>5</v>
      </c>
      <c r="I33" s="1"/>
    </row>
    <row r="34" spans="1:9" x14ac:dyDescent="0.25">
      <c r="A34" s="26" t="s">
        <v>3</v>
      </c>
      <c r="B34" s="26">
        <v>555</v>
      </c>
      <c r="C34" s="26"/>
      <c r="D34" s="26"/>
      <c r="E34" s="26"/>
      <c r="F34" s="26"/>
      <c r="G34" s="1"/>
      <c r="H34" s="1" t="s">
        <v>11</v>
      </c>
      <c r="I34" s="1"/>
    </row>
    <row r="35" spans="1:9" x14ac:dyDescent="0.25">
      <c r="A35" s="26" t="s">
        <v>2</v>
      </c>
      <c r="B35" s="26">
        <v>45577.049780380672</v>
      </c>
      <c r="C35" s="26">
        <v>39594.0625</v>
      </c>
      <c r="D35" s="26" t="s">
        <v>51</v>
      </c>
      <c r="E35" s="26" t="s">
        <v>60</v>
      </c>
      <c r="F35" s="26"/>
      <c r="G35" s="1"/>
      <c r="H35" s="1" t="s">
        <v>9</v>
      </c>
      <c r="I35" s="1"/>
    </row>
    <row r="36" spans="1:9" x14ac:dyDescent="0.25">
      <c r="A36" s="26" t="s">
        <v>3</v>
      </c>
      <c r="B36" s="26">
        <v>1111</v>
      </c>
      <c r="C36" s="26"/>
      <c r="D36" s="26"/>
      <c r="E36" s="26"/>
      <c r="F36" s="26"/>
      <c r="G36" s="1"/>
      <c r="H36" s="1" t="s">
        <v>47</v>
      </c>
      <c r="I36" s="1"/>
    </row>
    <row r="37" spans="1:9" x14ac:dyDescent="0.25">
      <c r="A37" s="81" t="s">
        <v>59</v>
      </c>
      <c r="B37" s="9"/>
      <c r="C37" s="9"/>
      <c r="D37" s="9" t="s">
        <v>825</v>
      </c>
      <c r="E37" s="9"/>
      <c r="F37" s="9"/>
      <c r="G37" s="1"/>
      <c r="H37" s="1"/>
      <c r="I37" s="1"/>
    </row>
    <row r="38" spans="1:9" x14ac:dyDescent="0.25">
      <c r="A38" s="9" t="s">
        <v>3</v>
      </c>
      <c r="B38" s="9"/>
      <c r="C38" s="9"/>
      <c r="D38" s="9"/>
      <c r="E38" s="9"/>
      <c r="F38" s="9"/>
      <c r="G38" s="1"/>
      <c r="H38" s="1"/>
      <c r="I38" s="1"/>
    </row>
    <row r="39" spans="1:9" x14ac:dyDescent="0.25">
      <c r="A39" s="26"/>
      <c r="B39" s="26"/>
      <c r="C39" s="26"/>
      <c r="D39" s="26"/>
      <c r="E39" s="26"/>
      <c r="F39" s="26"/>
      <c r="G39" s="1"/>
      <c r="H39" s="1"/>
      <c r="I39" s="1"/>
    </row>
    <row r="40" spans="1:9" x14ac:dyDescent="0.25">
      <c r="A40" s="26" t="s">
        <v>2</v>
      </c>
      <c r="B40" s="1">
        <v>36941.398243045391</v>
      </c>
      <c r="C40" s="1">
        <v>4095.9375</v>
      </c>
      <c r="D40" s="1" t="s">
        <v>51</v>
      </c>
      <c r="E40" s="1" t="s">
        <v>50</v>
      </c>
      <c r="F40" s="1"/>
      <c r="G40" s="1"/>
      <c r="H40" s="1"/>
      <c r="I40" s="1"/>
    </row>
    <row r="41" spans="1:9" x14ac:dyDescent="0.25">
      <c r="A41" s="26" t="s">
        <v>3</v>
      </c>
      <c r="B41" s="1">
        <v>1234</v>
      </c>
      <c r="C41" s="1"/>
      <c r="D41" s="1"/>
      <c r="E41" s="1"/>
      <c r="F41" s="1"/>
      <c r="G41" s="26" t="s">
        <v>3</v>
      </c>
      <c r="H41" s="1" t="s">
        <v>59</v>
      </c>
      <c r="I41" s="1"/>
    </row>
    <row r="42" spans="1:9" x14ac:dyDescent="0.25">
      <c r="A42" s="26" t="s">
        <v>2</v>
      </c>
      <c r="B42" s="1">
        <v>27825.988286969256</v>
      </c>
      <c r="C42" s="1">
        <v>8703.8671875</v>
      </c>
      <c r="D42" s="1" t="s">
        <v>51</v>
      </c>
      <c r="E42" s="1" t="s">
        <v>52</v>
      </c>
      <c r="F42" s="1"/>
      <c r="G42" s="26" t="s">
        <v>2</v>
      </c>
      <c r="H42" s="1" t="s">
        <v>72</v>
      </c>
      <c r="I42" s="1"/>
    </row>
    <row r="43" spans="1:9" x14ac:dyDescent="0.25">
      <c r="A43" s="26" t="s">
        <v>73</v>
      </c>
      <c r="B43" s="1"/>
      <c r="C43" s="1"/>
      <c r="D43" s="1"/>
      <c r="E43" s="1"/>
      <c r="F43" s="1"/>
      <c r="G43" s="26" t="s">
        <v>3</v>
      </c>
      <c r="H43" s="1"/>
      <c r="I43" s="1"/>
    </row>
    <row r="44" spans="1:9" x14ac:dyDescent="0.25">
      <c r="A44" s="26" t="s">
        <v>3</v>
      </c>
      <c r="B44" s="1">
        <v>333</v>
      </c>
      <c r="C44" s="1"/>
      <c r="D44" s="1"/>
      <c r="E44" s="1"/>
      <c r="F44" s="1"/>
      <c r="G44" s="1"/>
      <c r="H44" s="1"/>
      <c r="I44" s="1"/>
    </row>
    <row r="45" spans="1:9" x14ac:dyDescent="0.25">
      <c r="A45" s="80"/>
      <c r="B45" s="1">
        <v>43418.136896046854</v>
      </c>
      <c r="C45" s="1">
        <v>63231.03515625</v>
      </c>
      <c r="D45" s="1"/>
      <c r="E45" s="1"/>
      <c r="F45" s="1"/>
      <c r="G45" s="1"/>
      <c r="H45" s="1"/>
      <c r="I45" s="1"/>
    </row>
    <row r="46" spans="1:9" ht="16.5" customHeight="1" x14ac:dyDescent="0.25">
      <c r="A46" s="1"/>
      <c r="B46" s="1"/>
      <c r="C46" s="1"/>
      <c r="D46" s="1" t="s">
        <v>67</v>
      </c>
      <c r="E46" s="1"/>
      <c r="F46" s="1"/>
      <c r="G46" s="1"/>
      <c r="H46" s="1"/>
      <c r="I46" s="1"/>
    </row>
    <row r="47" spans="1:9" x14ac:dyDescent="0.25">
      <c r="A47" s="1"/>
      <c r="B47" s="1"/>
      <c r="C47" s="1"/>
      <c r="D47" s="1"/>
      <c r="E47" s="1"/>
      <c r="F47" s="1"/>
      <c r="G47" s="1"/>
      <c r="H47" s="1"/>
      <c r="I47" s="1"/>
    </row>
    <row r="48" spans="1:9" x14ac:dyDescent="0.25">
      <c r="A48" s="80"/>
      <c r="B48" s="1">
        <v>43418.136896046854</v>
      </c>
      <c r="C48" s="1">
        <v>63231.03515625</v>
      </c>
      <c r="D48" s="1"/>
      <c r="E48" s="1"/>
      <c r="F48" s="1"/>
      <c r="G48" s="1"/>
      <c r="H48" s="1"/>
      <c r="I48" s="1"/>
    </row>
    <row r="49" spans="1:9" x14ac:dyDescent="0.25">
      <c r="A49" s="1" t="s">
        <v>31</v>
      </c>
      <c r="B49" s="1" t="s">
        <v>76</v>
      </c>
      <c r="C49" s="1"/>
      <c r="D49" s="1"/>
      <c r="E49" s="1"/>
      <c r="F49" s="1"/>
      <c r="G49" s="1"/>
      <c r="H49" s="1"/>
      <c r="I49" s="1"/>
    </row>
    <row r="50" spans="1:9" x14ac:dyDescent="0.25">
      <c r="A50" s="1" t="s">
        <v>3</v>
      </c>
      <c r="B50" s="1">
        <v>100</v>
      </c>
      <c r="C50" s="1"/>
      <c r="D50" s="1"/>
      <c r="E50" s="1"/>
      <c r="F50" s="1"/>
      <c r="G50" s="1"/>
      <c r="H50" s="1"/>
      <c r="I50" s="1"/>
    </row>
    <row r="51" spans="1:9" x14ac:dyDescent="0.25">
      <c r="A51" s="26" t="s">
        <v>826</v>
      </c>
      <c r="B51" s="26">
        <v>2</v>
      </c>
      <c r="C51" s="26"/>
      <c r="D51" s="26"/>
      <c r="E51" s="26"/>
      <c r="F51" s="26"/>
      <c r="G51" s="1"/>
      <c r="H51" s="1" t="s">
        <v>9</v>
      </c>
      <c r="I51" s="1"/>
    </row>
    <row r="52" spans="1:9" x14ac:dyDescent="0.25">
      <c r="A52" s="26"/>
      <c r="B52" s="1">
        <v>1111</v>
      </c>
      <c r="C52" s="1"/>
      <c r="D52" s="1"/>
      <c r="E52" s="1"/>
      <c r="F52" s="1"/>
      <c r="G52" s="1"/>
      <c r="H52" s="1"/>
      <c r="I52" s="1"/>
    </row>
    <row r="53" spans="1:9" x14ac:dyDescent="0.25">
      <c r="A53" s="26"/>
      <c r="B53" s="26">
        <v>45577.049780380672</v>
      </c>
      <c r="C53" s="26">
        <v>39594.0625</v>
      </c>
      <c r="D53" s="26" t="s">
        <v>51</v>
      </c>
      <c r="E53" s="26" t="s">
        <v>60</v>
      </c>
      <c r="F53" s="26"/>
      <c r="G53" s="1"/>
      <c r="H53" s="1" t="s">
        <v>9</v>
      </c>
      <c r="I53" s="1"/>
    </row>
    <row r="54" spans="1:9" x14ac:dyDescent="0.25">
      <c r="A54" s="26"/>
      <c r="B54" s="26">
        <v>1111</v>
      </c>
      <c r="C54" s="26"/>
      <c r="D54" s="26"/>
      <c r="E54" s="26"/>
      <c r="F54" s="26"/>
      <c r="G54" s="1"/>
      <c r="H54" s="1" t="s">
        <v>47</v>
      </c>
      <c r="I54" s="1"/>
    </row>
    <row r="55" spans="1:9" x14ac:dyDescent="0.25">
      <c r="A55" s="78"/>
      <c r="B55" s="26"/>
      <c r="C55" s="26"/>
      <c r="D55" s="26"/>
      <c r="E55" s="26" t="s">
        <v>58</v>
      </c>
      <c r="F55" s="26"/>
      <c r="G55" s="1"/>
      <c r="H55" s="1"/>
      <c r="I55" s="1"/>
    </row>
    <row r="56" spans="1:9" x14ac:dyDescent="0.25">
      <c r="A56" s="26"/>
      <c r="B56" s="26">
        <v>1111</v>
      </c>
      <c r="C56" s="26"/>
      <c r="D56" s="26" t="s">
        <v>85</v>
      </c>
      <c r="E56" s="26"/>
      <c r="F56" s="26"/>
      <c r="G56" s="1"/>
      <c r="H56" s="1"/>
      <c r="I56" s="1"/>
    </row>
    <row r="57" spans="1:9" x14ac:dyDescent="0.25">
      <c r="A57" s="79"/>
      <c r="B57" s="1">
        <v>41595.054904831624</v>
      </c>
      <c r="C57" s="1">
        <v>2133.30078125</v>
      </c>
      <c r="D57" s="1"/>
      <c r="E57" s="1"/>
      <c r="F57" s="1"/>
      <c r="G57" s="1"/>
      <c r="H57" s="1"/>
      <c r="I57" s="1"/>
    </row>
    <row r="58" spans="1:9" x14ac:dyDescent="0.25">
      <c r="A58" s="79"/>
      <c r="B58" s="1">
        <v>41451.127379209371</v>
      </c>
      <c r="C58" s="1">
        <v>9898.515625</v>
      </c>
      <c r="D58" s="1"/>
      <c r="E58" s="1"/>
      <c r="F58" s="1"/>
      <c r="G58" s="1"/>
      <c r="H58" s="1"/>
      <c r="I58" s="1"/>
    </row>
    <row r="59" spans="1:9" x14ac:dyDescent="0.25">
      <c r="A59" s="1"/>
      <c r="B59" s="1"/>
      <c r="C59" s="1"/>
      <c r="D59" s="1"/>
      <c r="E59" s="1"/>
      <c r="F59" s="1"/>
      <c r="G59" s="1"/>
      <c r="H59" s="1"/>
      <c r="I59" s="1"/>
    </row>
    <row r="60" spans="1:9" x14ac:dyDescent="0.25">
      <c r="A60" s="1"/>
      <c r="B60" s="1">
        <v>555</v>
      </c>
      <c r="C60" s="1"/>
      <c r="D60" s="1"/>
      <c r="E60" s="1"/>
      <c r="F60" s="1"/>
      <c r="G60" s="1"/>
      <c r="H60" s="1"/>
      <c r="I60" s="1"/>
    </row>
    <row r="61" spans="1:9" x14ac:dyDescent="0.25">
      <c r="A61" s="1"/>
      <c r="B61" s="1"/>
      <c r="C61" s="1"/>
      <c r="D61" s="1"/>
      <c r="E61" s="1"/>
      <c r="F61" s="1"/>
      <c r="G61" s="1"/>
      <c r="H61" s="1"/>
      <c r="I61" s="1"/>
    </row>
    <row r="62" spans="1:9" x14ac:dyDescent="0.25">
      <c r="A62" s="1"/>
      <c r="B62" s="1">
        <v>6</v>
      </c>
      <c r="C62" s="1"/>
      <c r="D62" s="1"/>
      <c r="E62" s="1"/>
      <c r="F62" s="1"/>
      <c r="G62" s="1"/>
      <c r="H62" s="1"/>
      <c r="I62" s="1"/>
    </row>
    <row r="63" spans="1:9" x14ac:dyDescent="0.25">
      <c r="A63" s="1"/>
      <c r="B63" s="1">
        <v>555</v>
      </c>
      <c r="C63" s="1"/>
      <c r="D63" s="1"/>
      <c r="E63" s="1"/>
      <c r="F63" s="1"/>
      <c r="G63" s="1"/>
      <c r="H63" s="1"/>
      <c r="I63" s="1"/>
    </row>
    <row r="64" spans="1:9" x14ac:dyDescent="0.25">
      <c r="A64" s="1"/>
      <c r="B64" s="1">
        <v>6</v>
      </c>
      <c r="C64" s="1"/>
      <c r="D64" s="1"/>
      <c r="E64" s="1"/>
      <c r="F64" s="1"/>
      <c r="G64" s="1"/>
      <c r="H64" s="1"/>
      <c r="I64" s="1"/>
    </row>
    <row r="65" spans="1:9" x14ac:dyDescent="0.25">
      <c r="A65" s="1"/>
      <c r="B65" s="1"/>
      <c r="C65" s="1"/>
      <c r="D65" s="1"/>
      <c r="E65" s="1"/>
      <c r="F65" s="1"/>
      <c r="G65" s="1"/>
      <c r="H65" s="1"/>
      <c r="I65" s="1"/>
    </row>
    <row r="66" spans="1:9" x14ac:dyDescent="0.25">
      <c r="A66" s="1"/>
      <c r="B66" s="1"/>
      <c r="C66" s="1"/>
      <c r="D66" s="1"/>
      <c r="E66" s="1"/>
      <c r="F66" s="1"/>
      <c r="G66" s="1"/>
      <c r="H66" s="1"/>
      <c r="I66" s="1"/>
    </row>
    <row r="67" spans="1:9" x14ac:dyDescent="0.25">
      <c r="A67" s="1"/>
      <c r="B67" s="1"/>
      <c r="C67" s="1"/>
      <c r="D67" s="1"/>
      <c r="E67" s="1"/>
      <c r="F67" s="1"/>
      <c r="G67" s="1"/>
      <c r="H67" s="1"/>
      <c r="I67" s="1"/>
    </row>
    <row r="68" spans="1:9" x14ac:dyDescent="0.25">
      <c r="A68" s="1"/>
      <c r="B68" s="1"/>
      <c r="C68" s="1"/>
      <c r="D68" s="1"/>
      <c r="E68" s="1"/>
      <c r="F68" s="1"/>
      <c r="G68" s="1"/>
      <c r="H68" s="1"/>
      <c r="I68" s="1"/>
    </row>
    <row r="69" spans="1:9" x14ac:dyDescent="0.25">
      <c r="A69" s="1"/>
      <c r="B69" s="1"/>
      <c r="C69" s="1"/>
      <c r="D69" s="1"/>
      <c r="E69" s="1"/>
      <c r="F69" s="1"/>
      <c r="G69" s="1"/>
      <c r="H69" s="1"/>
      <c r="I69" s="1"/>
    </row>
    <row r="70" spans="1:9" x14ac:dyDescent="0.25">
      <c r="A70" s="1"/>
      <c r="B70" s="1"/>
      <c r="C70" s="1"/>
      <c r="D70" s="1"/>
      <c r="E70" s="1"/>
      <c r="F70" s="1"/>
      <c r="G70" s="1"/>
      <c r="H70" s="1"/>
      <c r="I70" s="1"/>
    </row>
    <row r="71" spans="1:9" x14ac:dyDescent="0.25">
      <c r="A71" s="1"/>
      <c r="B71" s="1"/>
      <c r="C71" s="1"/>
      <c r="D71" s="1"/>
      <c r="E71" s="1"/>
      <c r="F71" s="1"/>
      <c r="G71" s="1"/>
      <c r="H71" s="1"/>
      <c r="I71" s="1"/>
    </row>
    <row r="72" spans="1:9" x14ac:dyDescent="0.25">
      <c r="A72" s="1"/>
      <c r="B72" s="1"/>
      <c r="C72" s="1"/>
      <c r="D72" s="1"/>
      <c r="E72" s="1"/>
      <c r="F72" s="1"/>
      <c r="G72" s="1"/>
      <c r="H72" s="1"/>
      <c r="I72" s="1"/>
    </row>
    <row r="73" spans="1:9" x14ac:dyDescent="0.25">
      <c r="A73" s="1"/>
      <c r="B73" s="1"/>
      <c r="C73" s="1"/>
      <c r="D73" s="1"/>
      <c r="E73" s="1"/>
      <c r="F73" s="1"/>
      <c r="G73" s="1"/>
      <c r="H73" s="1"/>
      <c r="I73" s="1"/>
    </row>
    <row r="74" spans="1:9" x14ac:dyDescent="0.25">
      <c r="A74" s="1"/>
      <c r="B74" s="1"/>
      <c r="C74" s="1"/>
      <c r="D74" s="1"/>
      <c r="E74" s="1"/>
      <c r="F74" s="1"/>
      <c r="G74" s="1" t="s">
        <v>822</v>
      </c>
      <c r="H74" s="1"/>
      <c r="I74" s="1"/>
    </row>
    <row r="75" spans="1:9" x14ac:dyDescent="0.25">
      <c r="A75" s="26" t="s">
        <v>47</v>
      </c>
      <c r="B75" s="1"/>
      <c r="C75" s="1"/>
      <c r="D75" s="1"/>
      <c r="E75" s="1"/>
      <c r="F75" s="1"/>
      <c r="G75" s="1" t="s">
        <v>3</v>
      </c>
      <c r="H75" s="1" t="s">
        <v>82</v>
      </c>
      <c r="I75" s="1"/>
    </row>
    <row r="76" spans="1:9" x14ac:dyDescent="0.25">
      <c r="A76" s="26"/>
      <c r="B76" s="1"/>
      <c r="C76" s="1"/>
      <c r="D76" s="1"/>
      <c r="E76" s="1"/>
      <c r="F76" s="1"/>
      <c r="G76" s="1"/>
      <c r="H76" s="1"/>
      <c r="I76" s="1"/>
    </row>
    <row r="77" spans="1:9" x14ac:dyDescent="0.25">
      <c r="A77" s="1" t="s">
        <v>3</v>
      </c>
      <c r="B77" s="1">
        <v>1111</v>
      </c>
      <c r="C77" s="1"/>
      <c r="D77" s="1"/>
      <c r="E77" s="1"/>
      <c r="F77" s="1"/>
      <c r="G77" s="1" t="s">
        <v>823</v>
      </c>
      <c r="H77" s="26" t="s">
        <v>3</v>
      </c>
      <c r="I77" s="1"/>
    </row>
    <row r="78" spans="1:9" x14ac:dyDescent="0.25">
      <c r="A78" s="26" t="s">
        <v>71</v>
      </c>
      <c r="B78" s="1">
        <v>13097.404831625183</v>
      </c>
      <c r="C78" s="1">
        <v>30890.1953125</v>
      </c>
      <c r="D78" s="1" t="s">
        <v>51</v>
      </c>
      <c r="E78" s="1" t="s">
        <v>74</v>
      </c>
      <c r="F78" s="1"/>
      <c r="G78" s="1"/>
      <c r="H78" s="26" t="s">
        <v>81</v>
      </c>
      <c r="I78" s="1"/>
    </row>
    <row r="79" spans="1:9" x14ac:dyDescent="0.25">
      <c r="A79" s="26" t="s">
        <v>69</v>
      </c>
      <c r="B79" s="1"/>
      <c r="C79" s="1"/>
      <c r="D79" s="1"/>
      <c r="E79" s="1"/>
      <c r="F79" s="1"/>
      <c r="G79" s="1" t="s">
        <v>3</v>
      </c>
      <c r="H79" s="1"/>
      <c r="I79" s="1"/>
    </row>
    <row r="80" spans="1:9" x14ac:dyDescent="0.25">
      <c r="A80" s="26" t="s">
        <v>71</v>
      </c>
      <c r="B80" s="1">
        <v>23220.3074670571</v>
      </c>
      <c r="C80" s="1">
        <v>61439.0625</v>
      </c>
      <c r="D80" s="1" t="s">
        <v>51</v>
      </c>
      <c r="E80" s="1" t="s">
        <v>74</v>
      </c>
      <c r="F80" s="1"/>
      <c r="G80" s="1"/>
      <c r="H80" s="1"/>
      <c r="I80" s="1"/>
    </row>
    <row r="81" spans="1:9" x14ac:dyDescent="0.25">
      <c r="A81" s="26" t="s">
        <v>70</v>
      </c>
      <c r="B81" s="1"/>
      <c r="C81" s="1"/>
      <c r="D81" s="1"/>
      <c r="E81" s="1"/>
      <c r="F81" s="1"/>
      <c r="G81" s="1"/>
      <c r="H81" s="1"/>
      <c r="I81" s="1"/>
    </row>
    <row r="82" spans="1:9" x14ac:dyDescent="0.25">
      <c r="A82" s="26" t="s">
        <v>3</v>
      </c>
      <c r="B82" s="26">
        <f>B$30</f>
        <v>2222</v>
      </c>
      <c r="C82" s="26"/>
      <c r="D82" s="26"/>
      <c r="E82" s="26"/>
      <c r="F82" s="26"/>
      <c r="G82" s="1"/>
      <c r="H82" s="1"/>
      <c r="I82" s="1"/>
    </row>
    <row r="83" spans="1:9" x14ac:dyDescent="0.25">
      <c r="A83" s="26" t="s">
        <v>2</v>
      </c>
      <c r="B83" s="26">
        <v>58290.64787701318</v>
      </c>
      <c r="C83" s="26">
        <v>37631.42578125</v>
      </c>
      <c r="D83" s="26" t="s">
        <v>51</v>
      </c>
      <c r="E83" s="26" t="s">
        <v>49</v>
      </c>
      <c r="F83" s="26"/>
      <c r="G83" s="1"/>
      <c r="H83" s="1"/>
      <c r="I83" s="1"/>
    </row>
    <row r="84" spans="1:9" x14ac:dyDescent="0.25">
      <c r="A84" s="26" t="s">
        <v>3</v>
      </c>
      <c r="B84" s="26">
        <v>1111</v>
      </c>
      <c r="C84" s="26"/>
      <c r="D84" s="26"/>
      <c r="E84" s="26"/>
      <c r="F84" s="26"/>
      <c r="G84" s="1"/>
      <c r="H84" s="1"/>
      <c r="I84" s="1"/>
    </row>
    <row r="85" spans="1:9" x14ac:dyDescent="0.25">
      <c r="A85" s="26" t="s">
        <v>2</v>
      </c>
      <c r="B85" s="26">
        <f>B$33</f>
        <v>42026.837481698392</v>
      </c>
      <c r="C85" s="26">
        <f>C$33</f>
        <v>62975.0390625</v>
      </c>
      <c r="D85" s="26" t="s">
        <v>51</v>
      </c>
      <c r="E85" s="26" t="s">
        <v>61</v>
      </c>
      <c r="F85" s="26"/>
      <c r="G85" s="1"/>
      <c r="H85" s="1"/>
      <c r="I85" s="1"/>
    </row>
    <row r="86" spans="1:9" x14ac:dyDescent="0.25">
      <c r="A86" s="26" t="s">
        <v>2</v>
      </c>
      <c r="B86" s="26">
        <v>45577.049780380672</v>
      </c>
      <c r="C86" s="26">
        <v>39594.0625</v>
      </c>
      <c r="D86" s="26" t="s">
        <v>51</v>
      </c>
      <c r="E86" s="26" t="s">
        <v>60</v>
      </c>
      <c r="F86" s="26"/>
      <c r="G86" s="1"/>
      <c r="H86" s="1"/>
      <c r="I86" s="1"/>
    </row>
    <row r="87" spans="1:9" x14ac:dyDescent="0.25">
      <c r="A87" s="26" t="s">
        <v>3</v>
      </c>
      <c r="B87" s="26">
        <v>1111</v>
      </c>
      <c r="C87" s="26"/>
      <c r="D87" s="26"/>
      <c r="E87" s="26"/>
      <c r="F87" s="26"/>
      <c r="G87" s="1"/>
      <c r="H87" s="1"/>
      <c r="I87" s="1"/>
    </row>
    <row r="88" spans="1:9" x14ac:dyDescent="0.25">
      <c r="A88" s="81" t="s">
        <v>59</v>
      </c>
      <c r="B88" s="9"/>
      <c r="C88" s="9"/>
      <c r="D88" s="9" t="s">
        <v>825</v>
      </c>
      <c r="E88" s="9"/>
      <c r="F88" s="9"/>
      <c r="G88" s="1"/>
      <c r="H88" s="1"/>
      <c r="I88" s="1"/>
    </row>
    <row r="89" spans="1:9" x14ac:dyDescent="0.25">
      <c r="A89" s="9" t="s">
        <v>3</v>
      </c>
      <c r="B89" s="9"/>
      <c r="C89" s="9"/>
      <c r="D89" s="9"/>
      <c r="E89" s="9"/>
      <c r="F89" s="9"/>
      <c r="G89" s="1"/>
      <c r="H89" s="1"/>
      <c r="I89" s="1"/>
    </row>
    <row r="90" spans="1:9" x14ac:dyDescent="0.25">
      <c r="A90" s="26" t="s">
        <v>2</v>
      </c>
      <c r="B90" s="1">
        <v>36941.398243045391</v>
      </c>
      <c r="C90" s="1">
        <v>4095.9375</v>
      </c>
      <c r="D90" s="1" t="s">
        <v>51</v>
      </c>
      <c r="E90" s="1" t="s">
        <v>50</v>
      </c>
      <c r="F90" s="1"/>
      <c r="G90" s="1"/>
      <c r="H90" s="1"/>
      <c r="I90" s="1"/>
    </row>
    <row r="91" spans="1:9" x14ac:dyDescent="0.25">
      <c r="A91" s="26" t="s">
        <v>3</v>
      </c>
      <c r="B91" s="1">
        <v>1234</v>
      </c>
      <c r="C91" s="1"/>
      <c r="D91" s="1"/>
      <c r="E91" s="1"/>
      <c r="F91" s="1"/>
      <c r="G91" s="1"/>
      <c r="H91" s="1"/>
      <c r="I91" s="1"/>
    </row>
    <row r="92" spans="1:9" x14ac:dyDescent="0.25">
      <c r="A92" s="26" t="s">
        <v>2</v>
      </c>
      <c r="B92" s="1">
        <v>27825.988286969256</v>
      </c>
      <c r="C92" s="1">
        <v>8703.8671875</v>
      </c>
      <c r="D92" s="1" t="s">
        <v>51</v>
      </c>
      <c r="E92" s="1" t="s">
        <v>52</v>
      </c>
      <c r="F92" s="1"/>
      <c r="G92" s="1"/>
      <c r="H92" s="1"/>
      <c r="I92" s="1"/>
    </row>
    <row r="93" spans="1:9" x14ac:dyDescent="0.25">
      <c r="A93" s="26" t="s">
        <v>73</v>
      </c>
      <c r="B93" s="1"/>
      <c r="C93" s="1"/>
      <c r="D93" s="1"/>
      <c r="E93" s="1"/>
      <c r="F93" s="1"/>
      <c r="G93" s="1"/>
      <c r="H93" s="1"/>
      <c r="I93" s="1"/>
    </row>
    <row r="94" spans="1:9" x14ac:dyDescent="0.25">
      <c r="A94" s="26" t="s">
        <v>3</v>
      </c>
      <c r="B94" s="1">
        <v>333</v>
      </c>
      <c r="C94" s="1"/>
      <c r="D94" s="1"/>
      <c r="E94" s="1"/>
      <c r="F94" s="1"/>
      <c r="G94" s="1"/>
      <c r="H94" s="1"/>
      <c r="I94" s="1"/>
    </row>
    <row r="95" spans="1:9" x14ac:dyDescent="0.25">
      <c r="A95" s="1"/>
      <c r="B95" s="1">
        <v>43418.136896046854</v>
      </c>
      <c r="C95" s="1">
        <v>63231.03515625</v>
      </c>
      <c r="D95" s="1"/>
      <c r="E95" s="1"/>
      <c r="F95" s="1"/>
      <c r="G95" s="1"/>
      <c r="H95" s="1"/>
      <c r="I95" s="1"/>
    </row>
    <row r="96" spans="1:9" ht="16.5" customHeight="1" x14ac:dyDescent="0.25">
      <c r="A96" s="1"/>
      <c r="B96" s="1">
        <v>888</v>
      </c>
      <c r="C96" s="1"/>
      <c r="D96" s="1" t="s">
        <v>67</v>
      </c>
      <c r="E96" s="1"/>
      <c r="F96" s="1"/>
      <c r="G96" s="1"/>
      <c r="H96" s="1"/>
      <c r="I96" s="1"/>
    </row>
    <row r="97" spans="1:9" x14ac:dyDescent="0.25">
      <c r="A97" s="1"/>
      <c r="B97" s="1">
        <v>43466.112737920936</v>
      </c>
      <c r="C97" s="1">
        <v>59049.765625</v>
      </c>
      <c r="D97" s="1"/>
      <c r="E97" s="1"/>
      <c r="F97" s="1"/>
      <c r="G97" s="1"/>
      <c r="H97" s="1"/>
      <c r="I97" s="1"/>
    </row>
    <row r="98" spans="1:9" x14ac:dyDescent="0.25">
      <c r="A98" s="1" t="s">
        <v>31</v>
      </c>
      <c r="B98" s="1" t="s">
        <v>75</v>
      </c>
      <c r="C98" s="1"/>
      <c r="D98" s="1"/>
      <c r="E98" s="1"/>
      <c r="F98" s="1"/>
      <c r="G98" s="1"/>
      <c r="H98" s="1"/>
      <c r="I98" s="1"/>
    </row>
    <row r="99" spans="1:9" x14ac:dyDescent="0.25">
      <c r="A99" s="1" t="s">
        <v>3</v>
      </c>
      <c r="B99" s="1">
        <v>100</v>
      </c>
      <c r="C99" s="1"/>
      <c r="D99" s="1"/>
      <c r="E99" s="1"/>
      <c r="F99" s="1"/>
      <c r="G99" s="1"/>
      <c r="H99" s="1"/>
      <c r="I99" s="1"/>
    </row>
    <row r="100" spans="1:9" x14ac:dyDescent="0.25">
      <c r="A100" s="26" t="s">
        <v>826</v>
      </c>
      <c r="B100" s="26">
        <v>2</v>
      </c>
      <c r="C100" s="26"/>
      <c r="D100" s="26"/>
      <c r="E100" s="26"/>
      <c r="F100" s="26"/>
      <c r="G100" s="1"/>
      <c r="H100" s="1" t="s">
        <v>9</v>
      </c>
      <c r="I100" s="1"/>
    </row>
    <row r="101" spans="1:9" x14ac:dyDescent="0.25">
      <c r="A101" s="26"/>
      <c r="B101" s="1">
        <v>1111</v>
      </c>
      <c r="C101" s="1"/>
      <c r="D101" s="1"/>
      <c r="E101" s="1"/>
      <c r="F101" s="1"/>
      <c r="G101" s="1"/>
      <c r="H101" s="1"/>
      <c r="I101" s="1"/>
    </row>
    <row r="102" spans="1:9" x14ac:dyDescent="0.25">
      <c r="A102" s="26"/>
      <c r="B102" s="26">
        <v>45577.049780380672</v>
      </c>
      <c r="C102" s="26">
        <v>39594.0625</v>
      </c>
      <c r="D102" s="26" t="s">
        <v>51</v>
      </c>
      <c r="E102" s="26" t="s">
        <v>60</v>
      </c>
      <c r="F102" s="26"/>
      <c r="G102" s="1"/>
      <c r="H102" s="1" t="s">
        <v>9</v>
      </c>
      <c r="I102" s="1"/>
    </row>
    <row r="103" spans="1:9" x14ac:dyDescent="0.25">
      <c r="A103" s="26"/>
      <c r="B103" s="26">
        <v>1111</v>
      </c>
      <c r="C103" s="26"/>
      <c r="D103" s="26"/>
      <c r="E103" s="26"/>
      <c r="F103" s="26"/>
      <c r="G103" s="1"/>
      <c r="H103" s="1" t="s">
        <v>47</v>
      </c>
      <c r="I103" s="1"/>
    </row>
    <row r="104" spans="1:9" x14ac:dyDescent="0.25">
      <c r="A104" s="78"/>
      <c r="B104" s="26"/>
      <c r="C104" s="26"/>
      <c r="D104" s="26"/>
      <c r="E104" s="26" t="s">
        <v>58</v>
      </c>
      <c r="F104" s="26"/>
      <c r="G104" s="1"/>
      <c r="H104" s="1"/>
      <c r="I104" s="1"/>
    </row>
    <row r="105" spans="1:9" x14ac:dyDescent="0.25">
      <c r="A105" s="26"/>
      <c r="B105" s="26">
        <v>1111</v>
      </c>
      <c r="C105" s="26"/>
      <c r="D105" s="26" t="s">
        <v>85</v>
      </c>
      <c r="E105" s="26"/>
      <c r="F105" s="26"/>
      <c r="G105" s="1"/>
      <c r="H105" s="1"/>
      <c r="I105" s="1"/>
    </row>
    <row r="106" spans="1:9" x14ac:dyDescent="0.25">
      <c r="A106" s="1"/>
      <c r="B106" s="1"/>
      <c r="C106" s="1"/>
      <c r="D106" s="1"/>
      <c r="E106" s="1"/>
      <c r="F106" s="1"/>
      <c r="G106" s="1"/>
      <c r="H106" s="1"/>
      <c r="I106" s="1"/>
    </row>
    <row r="107" spans="1:9" x14ac:dyDescent="0.25">
      <c r="A107" s="1"/>
      <c r="B107" s="1">
        <v>111</v>
      </c>
      <c r="C107" s="1"/>
      <c r="D107" s="1"/>
      <c r="E107" s="1"/>
      <c r="F107" s="1"/>
      <c r="G107" s="1"/>
      <c r="H107" s="1"/>
      <c r="I107" s="1"/>
    </row>
    <row r="108" spans="1:9" x14ac:dyDescent="0.25">
      <c r="A108" s="1"/>
      <c r="B108" s="1"/>
      <c r="C108" s="1"/>
      <c r="D108" s="1"/>
      <c r="E108" s="1"/>
      <c r="F108" s="1"/>
      <c r="G108" s="1"/>
      <c r="H108" s="1"/>
      <c r="I108" s="1"/>
    </row>
    <row r="109" spans="1:9" x14ac:dyDescent="0.25">
      <c r="A109" s="1"/>
      <c r="B109" s="1">
        <v>555</v>
      </c>
      <c r="C109" s="1"/>
      <c r="D109" s="1"/>
      <c r="E109" s="1"/>
      <c r="F109" s="1"/>
      <c r="G109" s="1"/>
      <c r="H109" s="1"/>
      <c r="I109" s="1"/>
    </row>
    <row r="110" spans="1:9" x14ac:dyDescent="0.25">
      <c r="A110" s="1"/>
      <c r="B110" s="1"/>
      <c r="C110" s="1"/>
      <c r="D110" s="1"/>
      <c r="E110" s="1"/>
      <c r="F110" s="1"/>
      <c r="G110" s="1"/>
      <c r="H110" s="1"/>
      <c r="I110" s="1"/>
    </row>
    <row r="111" spans="1:9" x14ac:dyDescent="0.25">
      <c r="A111" s="1"/>
      <c r="B111" s="1">
        <v>6</v>
      </c>
      <c r="C111" s="1"/>
      <c r="D111" s="1"/>
      <c r="E111" s="1"/>
      <c r="F111" s="1"/>
      <c r="G111" s="1"/>
      <c r="H111" s="1"/>
      <c r="I111" s="1"/>
    </row>
    <row r="112" spans="1:9" x14ac:dyDescent="0.25">
      <c r="A112" s="1"/>
      <c r="B112" s="1">
        <v>555</v>
      </c>
      <c r="C112" s="1"/>
      <c r="D112" s="1"/>
      <c r="E112" s="1"/>
      <c r="F112" s="1"/>
      <c r="G112" s="1"/>
      <c r="H112" s="1"/>
      <c r="I112" s="1"/>
    </row>
    <row r="113" spans="1:9" x14ac:dyDescent="0.25">
      <c r="A113" s="1"/>
      <c r="B113" s="1">
        <v>6</v>
      </c>
      <c r="C113" s="1"/>
      <c r="D113" s="1"/>
      <c r="E113" s="1"/>
      <c r="F113" s="1"/>
      <c r="G113" s="1"/>
      <c r="H113" s="1"/>
      <c r="I113" s="1"/>
    </row>
    <row r="114" spans="1:9" x14ac:dyDescent="0.25">
      <c r="A114" s="26" t="s">
        <v>47</v>
      </c>
      <c r="B114" s="1"/>
      <c r="C114" s="1"/>
      <c r="D114" s="1"/>
      <c r="E114" s="1"/>
      <c r="F114" s="1"/>
      <c r="G114" s="1"/>
      <c r="H114" s="1"/>
      <c r="I114" s="1"/>
    </row>
    <row r="115" spans="1:9" x14ac:dyDescent="0.25">
      <c r="A115" s="1" t="s">
        <v>3</v>
      </c>
      <c r="B115" s="1">
        <v>1111</v>
      </c>
      <c r="C115" s="1"/>
      <c r="D115" s="1"/>
      <c r="E115" s="1"/>
      <c r="F115" s="1"/>
      <c r="G115" s="1"/>
      <c r="H115" s="1"/>
      <c r="I115" s="1"/>
    </row>
    <row r="116" spans="1:9" x14ac:dyDescent="0.25">
      <c r="A116" s="26" t="s">
        <v>71</v>
      </c>
      <c r="B116" s="1">
        <v>18566.650805270863</v>
      </c>
      <c r="C116" s="1">
        <v>30634.19921875</v>
      </c>
      <c r="D116" s="1" t="s">
        <v>51</v>
      </c>
      <c r="E116" s="1" t="s">
        <v>74</v>
      </c>
      <c r="F116" s="1"/>
      <c r="G116" s="1"/>
      <c r="H116" s="1"/>
      <c r="I116" s="1"/>
    </row>
    <row r="117" spans="1:9" x14ac:dyDescent="0.25">
      <c r="A117" s="26" t="s">
        <v>69</v>
      </c>
      <c r="B117" s="1"/>
      <c r="C117" s="1"/>
      <c r="D117" s="1"/>
      <c r="E117" s="1"/>
      <c r="F117" s="1"/>
      <c r="G117" s="1"/>
      <c r="H117" s="1"/>
      <c r="I117" s="1"/>
    </row>
    <row r="118" spans="1:9" x14ac:dyDescent="0.25">
      <c r="A118" s="26" t="s">
        <v>71</v>
      </c>
      <c r="B118" s="1">
        <v>28881.456808199124</v>
      </c>
      <c r="C118" s="1">
        <v>60756.40625</v>
      </c>
      <c r="D118" s="1" t="s">
        <v>51</v>
      </c>
      <c r="E118" s="1" t="s">
        <v>74</v>
      </c>
      <c r="F118" s="1"/>
      <c r="G118" s="1"/>
      <c r="H118" s="1"/>
      <c r="I118" s="1"/>
    </row>
    <row r="119" spans="1:9" x14ac:dyDescent="0.25">
      <c r="A119" s="26" t="s">
        <v>70</v>
      </c>
      <c r="B119" s="1"/>
      <c r="C119" s="1"/>
      <c r="D119" s="1"/>
      <c r="E119" s="1"/>
      <c r="F119" s="1"/>
      <c r="G119" s="1"/>
      <c r="H119" s="1"/>
      <c r="I119" s="1"/>
    </row>
    <row r="120" spans="1:9" x14ac:dyDescent="0.25">
      <c r="A120" s="26" t="s">
        <v>3</v>
      </c>
      <c r="B120" s="26">
        <f>B$30</f>
        <v>2222</v>
      </c>
      <c r="C120" s="26"/>
      <c r="D120" s="26"/>
      <c r="E120" s="26"/>
      <c r="F120" s="1"/>
      <c r="G120" s="1"/>
      <c r="H120" s="1"/>
      <c r="I120" s="1"/>
    </row>
    <row r="121" spans="1:9" x14ac:dyDescent="0.25">
      <c r="A121" s="26" t="s">
        <v>2</v>
      </c>
      <c r="B121" s="26">
        <v>58290.64787701318</v>
      </c>
      <c r="C121" s="26">
        <v>37631.42578125</v>
      </c>
      <c r="D121" s="26" t="s">
        <v>51</v>
      </c>
      <c r="E121" s="26" t="s">
        <v>49</v>
      </c>
      <c r="F121" s="1"/>
      <c r="G121" s="1"/>
      <c r="H121" s="1"/>
      <c r="I121" s="1"/>
    </row>
    <row r="122" spans="1:9" x14ac:dyDescent="0.25">
      <c r="A122" s="26" t="s">
        <v>3</v>
      </c>
      <c r="B122" s="26">
        <v>1111</v>
      </c>
      <c r="C122" s="26"/>
      <c r="D122" s="26"/>
      <c r="E122" s="26"/>
      <c r="F122" s="1"/>
      <c r="G122" s="1"/>
      <c r="H122" s="1"/>
      <c r="I122" s="1"/>
    </row>
    <row r="123" spans="1:9" x14ac:dyDescent="0.25">
      <c r="A123" s="26" t="s">
        <v>2</v>
      </c>
      <c r="B123" s="26">
        <f>B$33</f>
        <v>42026.837481698392</v>
      </c>
      <c r="C123" s="26">
        <f>C$33</f>
        <v>62975.0390625</v>
      </c>
      <c r="D123" s="26" t="s">
        <v>51</v>
      </c>
      <c r="E123" s="26" t="s">
        <v>61</v>
      </c>
      <c r="F123" s="1"/>
      <c r="G123" s="1"/>
      <c r="H123" s="1"/>
      <c r="I123" s="1"/>
    </row>
    <row r="124" spans="1:9" x14ac:dyDescent="0.25">
      <c r="A124" s="26" t="s">
        <v>2</v>
      </c>
      <c r="B124" s="26">
        <v>45577.049780380672</v>
      </c>
      <c r="C124" s="26">
        <v>39594.0625</v>
      </c>
      <c r="D124" s="26" t="s">
        <v>51</v>
      </c>
      <c r="E124" s="26" t="s">
        <v>60</v>
      </c>
      <c r="F124" s="26"/>
      <c r="G124" s="1"/>
      <c r="H124" s="1"/>
      <c r="I124" s="1"/>
    </row>
    <row r="125" spans="1:9" x14ac:dyDescent="0.25">
      <c r="A125" s="9" t="s">
        <v>3</v>
      </c>
      <c r="B125" s="26">
        <v>555</v>
      </c>
      <c r="C125" s="26"/>
      <c r="D125" s="26"/>
      <c r="E125" s="26"/>
      <c r="F125" s="26"/>
      <c r="G125" s="1"/>
      <c r="H125" s="1"/>
      <c r="I125" s="1"/>
    </row>
    <row r="126" spans="1:9" x14ac:dyDescent="0.25">
      <c r="A126" s="81" t="s">
        <v>59</v>
      </c>
      <c r="B126" s="9"/>
      <c r="C126" s="9"/>
      <c r="D126" s="9" t="s">
        <v>825</v>
      </c>
      <c r="E126" s="9"/>
      <c r="F126" s="9"/>
      <c r="G126" s="1"/>
      <c r="H126" s="1"/>
      <c r="I126" s="1"/>
    </row>
    <row r="127" spans="1:9" x14ac:dyDescent="0.25">
      <c r="A127" s="9" t="s">
        <v>3</v>
      </c>
      <c r="B127" s="9"/>
      <c r="C127" s="9"/>
      <c r="D127" s="9"/>
      <c r="E127" s="9"/>
      <c r="F127" s="9"/>
      <c r="G127" s="1"/>
      <c r="H127" s="1"/>
      <c r="I127" s="1"/>
    </row>
    <row r="128" spans="1:9" x14ac:dyDescent="0.25">
      <c r="A128" s="26" t="s">
        <v>2</v>
      </c>
      <c r="B128" s="1">
        <v>36941.398243045391</v>
      </c>
      <c r="C128" s="1">
        <v>4095.9375</v>
      </c>
      <c r="D128" s="1" t="s">
        <v>51</v>
      </c>
      <c r="E128" s="1" t="s">
        <v>50</v>
      </c>
      <c r="F128" s="1"/>
      <c r="G128" s="1"/>
      <c r="H128" s="1"/>
      <c r="I128" s="1"/>
    </row>
    <row r="129" spans="1:9" x14ac:dyDescent="0.25">
      <c r="A129" s="26" t="s">
        <v>3</v>
      </c>
      <c r="B129" s="1">
        <v>1234</v>
      </c>
      <c r="C129" s="1"/>
      <c r="D129" s="1"/>
      <c r="E129" s="1"/>
      <c r="F129" s="1"/>
      <c r="G129" s="1"/>
      <c r="H129" s="1"/>
      <c r="I129" s="1"/>
    </row>
    <row r="130" spans="1:9" x14ac:dyDescent="0.25">
      <c r="A130" s="26" t="s">
        <v>2</v>
      </c>
      <c r="B130" s="1">
        <v>27825.988286969256</v>
      </c>
      <c r="C130" s="1">
        <v>8703.8671875</v>
      </c>
      <c r="D130" s="1" t="s">
        <v>51</v>
      </c>
      <c r="E130" s="1" t="s">
        <v>52</v>
      </c>
      <c r="F130" s="1"/>
      <c r="G130" s="1"/>
      <c r="H130" s="1"/>
      <c r="I130" s="1"/>
    </row>
    <row r="131" spans="1:9" x14ac:dyDescent="0.25">
      <c r="A131" s="26" t="s">
        <v>73</v>
      </c>
      <c r="B131" s="1"/>
      <c r="C131" s="1"/>
      <c r="D131" s="1"/>
      <c r="E131" s="1"/>
      <c r="F131" s="1"/>
      <c r="G131" s="1"/>
      <c r="H131" s="1"/>
      <c r="I131" s="1"/>
    </row>
    <row r="132" spans="1:9" x14ac:dyDescent="0.25">
      <c r="A132" s="26" t="s">
        <v>3</v>
      </c>
      <c r="B132" s="1">
        <v>333</v>
      </c>
      <c r="C132" s="1"/>
      <c r="D132" s="1"/>
      <c r="E132" s="1"/>
      <c r="F132" s="1"/>
      <c r="G132" s="1"/>
      <c r="H132" s="1"/>
      <c r="I132" s="1"/>
    </row>
    <row r="133" spans="1:9" x14ac:dyDescent="0.25">
      <c r="A133" s="1"/>
      <c r="B133" s="1">
        <v>43418.136896046854</v>
      </c>
      <c r="C133" s="1">
        <v>63231.03515625</v>
      </c>
      <c r="D133" s="1"/>
      <c r="E133" s="1"/>
      <c r="F133" s="1"/>
      <c r="G133" s="1"/>
      <c r="H133" s="1"/>
      <c r="I133" s="1"/>
    </row>
    <row r="134" spans="1:9" ht="16.5" customHeight="1" x14ac:dyDescent="0.25">
      <c r="A134" s="1"/>
      <c r="B134" s="1">
        <v>888</v>
      </c>
      <c r="C134" s="1"/>
      <c r="D134" s="1" t="s">
        <v>67</v>
      </c>
      <c r="E134" s="1"/>
      <c r="F134" s="1"/>
      <c r="G134" s="1"/>
      <c r="H134" s="1"/>
      <c r="I134" s="1"/>
    </row>
    <row r="135" spans="1:9" x14ac:dyDescent="0.25">
      <c r="A135" s="1"/>
      <c r="B135" s="1">
        <v>43466.112737920936</v>
      </c>
      <c r="C135" s="1">
        <v>59049.765625</v>
      </c>
      <c r="D135" s="1"/>
      <c r="E135" s="1"/>
      <c r="F135" s="1"/>
      <c r="G135" s="1"/>
      <c r="H135" s="1"/>
      <c r="I135" s="1"/>
    </row>
    <row r="136" spans="1:9" x14ac:dyDescent="0.25">
      <c r="A136" s="1" t="s">
        <v>31</v>
      </c>
      <c r="B136" s="1" t="s">
        <v>77</v>
      </c>
      <c r="C136" s="1"/>
      <c r="D136" s="1"/>
      <c r="E136" s="1"/>
      <c r="F136" s="1"/>
      <c r="G136" s="1"/>
      <c r="H136" s="1"/>
      <c r="I136" s="1"/>
    </row>
    <row r="137" spans="1:9" x14ac:dyDescent="0.25">
      <c r="A137" s="1" t="s">
        <v>3</v>
      </c>
      <c r="B137" s="1">
        <v>100</v>
      </c>
      <c r="C137" s="1"/>
      <c r="D137" s="1"/>
      <c r="E137" s="1"/>
      <c r="F137" s="1"/>
      <c r="G137" s="1"/>
      <c r="H137" s="1"/>
      <c r="I137" s="1"/>
    </row>
    <row r="138" spans="1:9" x14ac:dyDescent="0.25">
      <c r="A138" s="26" t="s">
        <v>826</v>
      </c>
      <c r="B138" s="26">
        <v>2</v>
      </c>
      <c r="C138" s="26"/>
      <c r="D138" s="26"/>
      <c r="E138" s="26"/>
      <c r="F138" s="26"/>
      <c r="G138" s="1"/>
      <c r="H138" s="1" t="s">
        <v>9</v>
      </c>
      <c r="I138" s="1"/>
    </row>
    <row r="139" spans="1:9" x14ac:dyDescent="0.25">
      <c r="A139" s="26"/>
      <c r="B139" s="1">
        <v>1111</v>
      </c>
      <c r="C139" s="1"/>
      <c r="D139" s="1"/>
      <c r="E139" s="1"/>
      <c r="F139" s="1"/>
      <c r="G139" s="1"/>
      <c r="H139" s="1"/>
      <c r="I139" s="1"/>
    </row>
    <row r="140" spans="1:9" x14ac:dyDescent="0.25">
      <c r="A140" s="1"/>
      <c r="B140" s="1"/>
      <c r="C140" s="1"/>
      <c r="D140" s="1"/>
      <c r="E140" s="1"/>
      <c r="F140" s="1"/>
      <c r="G140" s="1"/>
      <c r="H140" s="1"/>
      <c r="I140" s="1"/>
    </row>
    <row r="141" spans="1:9" x14ac:dyDescent="0.25">
      <c r="A141" s="26"/>
      <c r="B141" s="26">
        <v>45577.049780380672</v>
      </c>
      <c r="C141" s="26">
        <v>39594.0625</v>
      </c>
      <c r="D141" s="26" t="s">
        <v>51</v>
      </c>
      <c r="E141" s="26" t="s">
        <v>60</v>
      </c>
      <c r="F141" s="26"/>
      <c r="G141" s="1"/>
      <c r="H141" s="1" t="s">
        <v>9</v>
      </c>
      <c r="I141" s="1"/>
    </row>
    <row r="142" spans="1:9" x14ac:dyDescent="0.25">
      <c r="A142" s="26"/>
      <c r="B142" s="26">
        <v>1111</v>
      </c>
      <c r="C142" s="26"/>
      <c r="D142" s="26"/>
      <c r="E142" s="26"/>
      <c r="F142" s="26"/>
      <c r="G142" s="1"/>
      <c r="H142" s="1" t="s">
        <v>47</v>
      </c>
      <c r="I142" s="1"/>
    </row>
    <row r="143" spans="1:9" x14ac:dyDescent="0.25">
      <c r="A143" s="78"/>
      <c r="B143" s="26"/>
      <c r="C143" s="26"/>
      <c r="D143" s="26"/>
      <c r="E143" s="26" t="s">
        <v>58</v>
      </c>
      <c r="F143" s="26"/>
      <c r="G143" s="1"/>
      <c r="H143" s="1"/>
      <c r="I143" s="1"/>
    </row>
    <row r="144" spans="1:9" x14ac:dyDescent="0.25">
      <c r="A144" s="26"/>
      <c r="B144" s="26">
        <v>1111</v>
      </c>
      <c r="C144" s="26"/>
      <c r="D144" s="26" t="s">
        <v>85</v>
      </c>
      <c r="E144" s="26"/>
      <c r="F144" s="26"/>
      <c r="G144" s="1"/>
      <c r="H144" s="1"/>
      <c r="I144" s="1"/>
    </row>
    <row r="145" spans="1:9" x14ac:dyDescent="0.25">
      <c r="A145" s="1"/>
      <c r="B145" s="1">
        <v>111</v>
      </c>
      <c r="C145" s="1"/>
      <c r="D145" s="1"/>
      <c r="E145" s="1"/>
      <c r="F145" s="1"/>
      <c r="G145" s="1"/>
      <c r="H145" s="1"/>
      <c r="I145" s="1"/>
    </row>
    <row r="146" spans="1:9" x14ac:dyDescent="0.25">
      <c r="A146" s="1"/>
      <c r="B146" s="1"/>
      <c r="C146" s="1"/>
      <c r="D146" s="1"/>
      <c r="E146" s="1"/>
      <c r="F146" s="1"/>
      <c r="G146" s="1"/>
      <c r="H146" s="1"/>
      <c r="I146" s="1"/>
    </row>
    <row r="147" spans="1:9" x14ac:dyDescent="0.25">
      <c r="A147" s="1"/>
      <c r="B147" s="1">
        <v>555</v>
      </c>
      <c r="C147" s="1"/>
      <c r="D147" s="1"/>
      <c r="E147" s="1"/>
      <c r="F147" s="1"/>
      <c r="G147" s="1"/>
      <c r="H147" s="1"/>
      <c r="I147" s="1"/>
    </row>
    <row r="148" spans="1:9" x14ac:dyDescent="0.25">
      <c r="A148" s="1"/>
      <c r="B148" s="1"/>
      <c r="C148" s="1"/>
      <c r="D148" s="1"/>
      <c r="E148" s="1"/>
      <c r="F148" s="1"/>
      <c r="G148" s="1"/>
      <c r="H148" s="1"/>
      <c r="I148" s="1"/>
    </row>
    <row r="149" spans="1:9" x14ac:dyDescent="0.25">
      <c r="A149" s="1"/>
      <c r="B149" s="1">
        <v>6</v>
      </c>
      <c r="C149" s="1"/>
      <c r="D149" s="1"/>
      <c r="E149" s="1"/>
      <c r="F149" s="1"/>
      <c r="G149" s="1"/>
      <c r="H149" s="1"/>
      <c r="I149" s="1"/>
    </row>
    <row r="150" spans="1:9" x14ac:dyDescent="0.25">
      <c r="A150" s="1"/>
      <c r="B150" s="1">
        <v>555</v>
      </c>
      <c r="C150" s="1"/>
      <c r="D150" s="1"/>
      <c r="E150" s="1"/>
      <c r="F150" s="1"/>
      <c r="G150" s="1"/>
      <c r="H150" s="1"/>
      <c r="I150" s="1"/>
    </row>
    <row r="151" spans="1:9" x14ac:dyDescent="0.25">
      <c r="A151" s="1"/>
      <c r="B151" s="1">
        <v>6</v>
      </c>
      <c r="C151" s="1"/>
      <c r="D151" s="1"/>
      <c r="E151" s="1"/>
      <c r="F151" s="1"/>
      <c r="G151" s="1"/>
      <c r="H151" s="1"/>
      <c r="I151" s="1"/>
    </row>
    <row r="152" spans="1:9" x14ac:dyDescent="0.25">
      <c r="A152" s="26" t="s">
        <v>47</v>
      </c>
      <c r="B152" s="1"/>
      <c r="C152" s="1"/>
      <c r="D152" s="1"/>
      <c r="E152" s="1"/>
      <c r="F152" s="1"/>
      <c r="G152" s="1"/>
      <c r="H152" s="1"/>
      <c r="I152" s="1"/>
    </row>
    <row r="153" spans="1:9" x14ac:dyDescent="0.25">
      <c r="A153" s="1" t="s">
        <v>3</v>
      </c>
      <c r="B153" s="1">
        <v>1111</v>
      </c>
      <c r="C153" s="1"/>
      <c r="D153" s="1"/>
      <c r="E153" s="1"/>
      <c r="F153" s="1"/>
      <c r="G153" s="1"/>
      <c r="H153" s="1"/>
      <c r="I153" s="1"/>
    </row>
    <row r="154" spans="1:9" x14ac:dyDescent="0.25">
      <c r="A154" s="26" t="s">
        <v>71</v>
      </c>
      <c r="B154" s="1">
        <v>41834.934114202049</v>
      </c>
      <c r="C154" s="1">
        <v>32084.84375</v>
      </c>
      <c r="D154" s="1" t="s">
        <v>51</v>
      </c>
      <c r="E154" s="1" t="s">
        <v>74</v>
      </c>
      <c r="F154" s="1"/>
      <c r="G154" s="1"/>
      <c r="H154" s="1"/>
      <c r="I154" s="1"/>
    </row>
    <row r="155" spans="1:9" x14ac:dyDescent="0.25">
      <c r="A155" s="26" t="s">
        <v>69</v>
      </c>
      <c r="B155" s="1"/>
      <c r="C155" s="1"/>
      <c r="D155" s="1"/>
      <c r="E155" s="1"/>
      <c r="F155" s="1"/>
      <c r="G155" s="1"/>
      <c r="H155" s="1"/>
      <c r="I155" s="1"/>
    </row>
    <row r="156" spans="1:9" x14ac:dyDescent="0.25">
      <c r="A156" s="26" t="s">
        <v>71</v>
      </c>
      <c r="B156" s="1">
        <v>47783.93850658858</v>
      </c>
      <c r="C156" s="1">
        <v>61097.734375</v>
      </c>
      <c r="D156" s="1" t="s">
        <v>51</v>
      </c>
      <c r="E156" s="1" t="s">
        <v>74</v>
      </c>
      <c r="F156" s="1"/>
      <c r="G156" s="1"/>
      <c r="H156" s="1"/>
      <c r="I156" s="1"/>
    </row>
    <row r="157" spans="1:9" x14ac:dyDescent="0.25">
      <c r="A157" s="26" t="s">
        <v>70</v>
      </c>
      <c r="B157" s="1"/>
      <c r="C157" s="1"/>
      <c r="D157" s="1"/>
      <c r="E157" s="1"/>
      <c r="F157" s="1"/>
      <c r="G157" s="1"/>
      <c r="H157" s="1"/>
      <c r="I157" s="1"/>
    </row>
    <row r="158" spans="1:9" x14ac:dyDescent="0.25">
      <c r="A158" s="26" t="s">
        <v>3</v>
      </c>
      <c r="B158" s="26">
        <f>B$30</f>
        <v>2222</v>
      </c>
      <c r="C158" s="26"/>
      <c r="D158" s="26"/>
      <c r="E158" s="26"/>
      <c r="F158" s="1"/>
      <c r="G158" s="1"/>
      <c r="H158" s="1"/>
      <c r="I158" s="1"/>
    </row>
    <row r="159" spans="1:9" x14ac:dyDescent="0.25">
      <c r="A159" s="26" t="s">
        <v>2</v>
      </c>
      <c r="B159" s="26">
        <v>58290.64787701318</v>
      </c>
      <c r="C159" s="26">
        <v>37631.42578125</v>
      </c>
      <c r="D159" s="26" t="s">
        <v>51</v>
      </c>
      <c r="E159" s="26" t="s">
        <v>49</v>
      </c>
      <c r="F159" s="1"/>
      <c r="G159" s="1"/>
      <c r="H159" s="1"/>
      <c r="I159" s="1"/>
    </row>
    <row r="160" spans="1:9" x14ac:dyDescent="0.25">
      <c r="A160" s="26" t="s">
        <v>3</v>
      </c>
      <c r="B160" s="26">
        <v>1111</v>
      </c>
      <c r="C160" s="26"/>
      <c r="D160" s="26"/>
      <c r="E160" s="26"/>
      <c r="F160" s="1"/>
      <c r="G160" s="1"/>
      <c r="H160" s="1"/>
      <c r="I160" s="1"/>
    </row>
    <row r="161" spans="1:9" x14ac:dyDescent="0.25">
      <c r="A161" s="26" t="s">
        <v>2</v>
      </c>
      <c r="B161" s="26">
        <f>B$33</f>
        <v>42026.837481698392</v>
      </c>
      <c r="C161" s="26">
        <f>C$33</f>
        <v>62975.0390625</v>
      </c>
      <c r="D161" s="26" t="s">
        <v>51</v>
      </c>
      <c r="E161" s="26" t="s">
        <v>61</v>
      </c>
      <c r="F161" s="1"/>
      <c r="G161" s="1"/>
      <c r="H161" s="1"/>
      <c r="I161" s="1"/>
    </row>
    <row r="162" spans="1:9" x14ac:dyDescent="0.25">
      <c r="A162" s="1"/>
      <c r="B162" s="1"/>
      <c r="C162" s="1"/>
      <c r="D162" s="1"/>
      <c r="E162" s="1"/>
      <c r="F162" s="1"/>
      <c r="G162" s="1"/>
      <c r="H162" s="1"/>
      <c r="I162" s="1"/>
    </row>
    <row r="163" spans="1:9" x14ac:dyDescent="0.25">
      <c r="A163" s="26" t="s">
        <v>2</v>
      </c>
      <c r="B163" s="26">
        <v>45577.049780380672</v>
      </c>
      <c r="C163" s="26">
        <v>39594.0625</v>
      </c>
      <c r="D163" s="26" t="s">
        <v>51</v>
      </c>
      <c r="E163" s="26" t="s">
        <v>60</v>
      </c>
      <c r="F163" s="26"/>
      <c r="G163" s="1"/>
      <c r="H163" s="1"/>
      <c r="I163" s="1"/>
    </row>
    <row r="164" spans="1:9" x14ac:dyDescent="0.25">
      <c r="A164" s="9" t="s">
        <v>3</v>
      </c>
      <c r="B164" s="26">
        <v>1111</v>
      </c>
      <c r="C164" s="26"/>
      <c r="D164" s="26"/>
      <c r="E164" s="26"/>
      <c r="F164" s="26"/>
      <c r="G164" s="1"/>
      <c r="H164" s="1"/>
      <c r="I164" s="1"/>
    </row>
    <row r="165" spans="1:9" x14ac:dyDescent="0.25">
      <c r="A165" s="81" t="s">
        <v>59</v>
      </c>
      <c r="B165" s="9"/>
      <c r="C165" s="9"/>
      <c r="D165" s="9" t="s">
        <v>825</v>
      </c>
      <c r="E165" s="9"/>
      <c r="F165" s="9"/>
      <c r="G165" s="1"/>
      <c r="H165" s="1"/>
      <c r="I165" s="1"/>
    </row>
    <row r="166" spans="1:9" x14ac:dyDescent="0.25">
      <c r="A166" s="9" t="s">
        <v>3</v>
      </c>
      <c r="B166" s="9"/>
      <c r="C166" s="9"/>
      <c r="D166" s="9"/>
      <c r="E166" s="9"/>
      <c r="F166" s="9"/>
      <c r="G166" s="1"/>
      <c r="H166" s="1"/>
      <c r="I166" s="1"/>
    </row>
    <row r="167" spans="1:9" x14ac:dyDescent="0.25">
      <c r="A167" s="26" t="s">
        <v>2</v>
      </c>
      <c r="B167" s="1">
        <v>36941.398243045391</v>
      </c>
      <c r="C167" s="1">
        <v>4095.9375</v>
      </c>
      <c r="D167" s="1" t="s">
        <v>51</v>
      </c>
      <c r="E167" s="1" t="s">
        <v>50</v>
      </c>
      <c r="F167" s="1"/>
      <c r="G167" s="1"/>
      <c r="H167" s="1"/>
      <c r="I167" s="1"/>
    </row>
    <row r="168" spans="1:9" x14ac:dyDescent="0.25">
      <c r="A168" s="26" t="s">
        <v>3</v>
      </c>
      <c r="B168" s="1">
        <v>1234</v>
      </c>
      <c r="C168" s="1"/>
      <c r="D168" s="1"/>
      <c r="E168" s="1"/>
      <c r="F168" s="1"/>
      <c r="G168" s="1"/>
      <c r="H168" s="1"/>
      <c r="I168" s="1"/>
    </row>
    <row r="169" spans="1:9" x14ac:dyDescent="0.25">
      <c r="A169" s="26" t="s">
        <v>2</v>
      </c>
      <c r="B169" s="1">
        <v>27825.988286969256</v>
      </c>
      <c r="C169" s="1">
        <v>8703.8671875</v>
      </c>
      <c r="D169" s="1" t="s">
        <v>51</v>
      </c>
      <c r="E169" s="1" t="s">
        <v>52</v>
      </c>
      <c r="F169" s="1"/>
      <c r="G169" s="1"/>
      <c r="H169" s="1"/>
      <c r="I169" s="1"/>
    </row>
    <row r="170" spans="1:9" x14ac:dyDescent="0.25">
      <c r="A170" s="26" t="s">
        <v>73</v>
      </c>
      <c r="B170" s="1"/>
      <c r="C170" s="1"/>
      <c r="D170" s="1"/>
      <c r="E170" s="1"/>
      <c r="F170" s="1"/>
      <c r="G170" s="1"/>
      <c r="H170" s="1"/>
      <c r="I170" s="1"/>
    </row>
    <row r="171" spans="1:9" x14ac:dyDescent="0.25">
      <c r="A171" s="26" t="s">
        <v>3</v>
      </c>
      <c r="B171" s="1">
        <v>333</v>
      </c>
      <c r="C171" s="1"/>
      <c r="D171" s="1"/>
      <c r="E171" s="1"/>
      <c r="F171" s="1"/>
      <c r="G171" s="1"/>
      <c r="H171" s="1"/>
      <c r="I171" s="1"/>
    </row>
    <row r="172" spans="1:9" x14ac:dyDescent="0.25">
      <c r="A172" s="1"/>
      <c r="B172" s="1">
        <v>43418.136896046854</v>
      </c>
      <c r="C172" s="1">
        <v>63231.03515625</v>
      </c>
      <c r="D172" s="1"/>
      <c r="E172" s="1"/>
      <c r="F172" s="1"/>
      <c r="G172" s="1"/>
      <c r="H172" s="1"/>
      <c r="I172" s="1"/>
    </row>
    <row r="173" spans="1:9" ht="16.5" customHeight="1" x14ac:dyDescent="0.25">
      <c r="A173" s="1"/>
      <c r="B173" s="1">
        <v>888</v>
      </c>
      <c r="C173" s="1"/>
      <c r="D173" s="1" t="s">
        <v>67</v>
      </c>
      <c r="E173" s="1"/>
      <c r="F173" s="1"/>
      <c r="G173" s="1"/>
      <c r="H173" s="1"/>
      <c r="I173" s="1"/>
    </row>
    <row r="174" spans="1:9" x14ac:dyDescent="0.25">
      <c r="A174" s="1"/>
      <c r="B174" s="1">
        <v>43466.112737920936</v>
      </c>
      <c r="C174" s="1">
        <v>59049.765625</v>
      </c>
      <c r="D174" s="1"/>
      <c r="E174" s="1"/>
      <c r="F174" s="1"/>
      <c r="G174" s="1"/>
      <c r="H174" s="1"/>
      <c r="I174" s="1"/>
    </row>
    <row r="175" spans="1:9" x14ac:dyDescent="0.25">
      <c r="A175" s="1" t="s">
        <v>31</v>
      </c>
      <c r="B175" s="1" t="s">
        <v>78</v>
      </c>
      <c r="C175" s="1"/>
      <c r="D175" s="1"/>
      <c r="E175" s="1"/>
      <c r="F175" s="1"/>
      <c r="G175" s="1"/>
      <c r="H175" s="1"/>
      <c r="I175" s="1"/>
    </row>
    <row r="176" spans="1:9" x14ac:dyDescent="0.25">
      <c r="A176" s="1" t="s">
        <v>3</v>
      </c>
      <c r="B176" s="1">
        <v>100</v>
      </c>
      <c r="C176" s="1"/>
      <c r="D176" s="1"/>
      <c r="E176" s="1"/>
      <c r="F176" s="1"/>
      <c r="G176" s="1"/>
      <c r="H176" s="1"/>
      <c r="I176" s="1"/>
    </row>
    <row r="177" spans="1:9" x14ac:dyDescent="0.25">
      <c r="A177" s="26" t="s">
        <v>826</v>
      </c>
      <c r="B177" s="26">
        <v>2</v>
      </c>
      <c r="C177" s="26"/>
      <c r="D177" s="26"/>
      <c r="E177" s="26"/>
      <c r="F177" s="26"/>
      <c r="G177" s="1"/>
      <c r="H177" s="1" t="s">
        <v>9</v>
      </c>
      <c r="I177" s="1"/>
    </row>
    <row r="178" spans="1:9" x14ac:dyDescent="0.25">
      <c r="A178" s="26"/>
      <c r="B178" s="1">
        <v>1111</v>
      </c>
      <c r="C178" s="1"/>
      <c r="D178" s="1"/>
      <c r="E178" s="1"/>
      <c r="F178" s="1"/>
      <c r="G178" s="1"/>
      <c r="H178" s="1"/>
      <c r="I178" s="1"/>
    </row>
    <row r="179" spans="1:9" x14ac:dyDescent="0.25">
      <c r="A179" s="1"/>
      <c r="B179" s="1"/>
      <c r="C179" s="1"/>
      <c r="D179" s="1"/>
      <c r="E179" s="1"/>
      <c r="F179" s="1"/>
      <c r="G179" s="1"/>
      <c r="H179" s="1"/>
      <c r="I179" s="1"/>
    </row>
    <row r="180" spans="1:9" x14ac:dyDescent="0.25">
      <c r="A180" s="26"/>
      <c r="B180" s="26">
        <v>45577.049780380672</v>
      </c>
      <c r="C180" s="26">
        <v>39594.0625</v>
      </c>
      <c r="D180" s="26" t="s">
        <v>51</v>
      </c>
      <c r="E180" s="26" t="s">
        <v>60</v>
      </c>
      <c r="F180" s="26"/>
      <c r="G180" s="1"/>
      <c r="H180" s="1" t="s">
        <v>9</v>
      </c>
      <c r="I180" s="1"/>
    </row>
    <row r="181" spans="1:9" x14ac:dyDescent="0.25">
      <c r="A181" s="26"/>
      <c r="B181" s="26">
        <v>1111</v>
      </c>
      <c r="C181" s="26"/>
      <c r="D181" s="26"/>
      <c r="E181" s="26"/>
      <c r="F181" s="26"/>
      <c r="G181" s="1"/>
      <c r="H181" s="1" t="s">
        <v>47</v>
      </c>
      <c r="I181" s="1"/>
    </row>
    <row r="182" spans="1:9" x14ac:dyDescent="0.25">
      <c r="A182" s="78"/>
      <c r="B182" s="26"/>
      <c r="C182" s="26"/>
      <c r="D182" s="26"/>
      <c r="E182" s="26" t="s">
        <v>58</v>
      </c>
      <c r="F182" s="26"/>
      <c r="G182" s="1"/>
      <c r="H182" s="1"/>
      <c r="I182" s="1"/>
    </row>
    <row r="183" spans="1:9" x14ac:dyDescent="0.25">
      <c r="A183" s="26"/>
      <c r="B183" s="26">
        <v>1111</v>
      </c>
      <c r="C183" s="26"/>
      <c r="D183" s="26" t="s">
        <v>85</v>
      </c>
      <c r="E183" s="26"/>
      <c r="F183" s="26"/>
      <c r="G183" s="1"/>
      <c r="H183" s="1"/>
      <c r="I183" s="1"/>
    </row>
    <row r="184" spans="1:9" x14ac:dyDescent="0.25">
      <c r="A184" s="1"/>
      <c r="B184" s="1">
        <v>111</v>
      </c>
      <c r="C184" s="1"/>
      <c r="D184" s="1"/>
      <c r="E184" s="1"/>
      <c r="F184" s="1"/>
      <c r="G184" s="1"/>
      <c r="H184" s="1"/>
      <c r="I184" s="1"/>
    </row>
    <row r="185" spans="1:9" x14ac:dyDescent="0.25">
      <c r="A185" s="1"/>
      <c r="B185" s="1"/>
      <c r="C185" s="1"/>
      <c r="D185" s="1"/>
      <c r="E185" s="1"/>
      <c r="F185" s="1"/>
      <c r="G185" s="1"/>
      <c r="H185" s="1"/>
      <c r="I185" s="1"/>
    </row>
    <row r="186" spans="1:9" x14ac:dyDescent="0.25">
      <c r="A186" s="1"/>
      <c r="B186" s="1">
        <v>555</v>
      </c>
      <c r="C186" s="1"/>
      <c r="D186" s="1"/>
      <c r="E186" s="1"/>
      <c r="F186" s="1"/>
      <c r="G186" s="1"/>
      <c r="H186" s="1"/>
      <c r="I186" s="1"/>
    </row>
    <row r="187" spans="1:9" x14ac:dyDescent="0.25">
      <c r="A187" s="1"/>
      <c r="B187" s="1"/>
      <c r="C187" s="1"/>
      <c r="D187" s="1"/>
      <c r="E187" s="1"/>
      <c r="F187" s="1"/>
      <c r="G187" s="1"/>
      <c r="H187" s="1"/>
      <c r="I187" s="1"/>
    </row>
    <row r="188" spans="1:9" x14ac:dyDescent="0.25">
      <c r="A188" s="1"/>
      <c r="B188" s="1">
        <v>6</v>
      </c>
      <c r="C188" s="1"/>
      <c r="D188" s="1"/>
      <c r="E188" s="1"/>
      <c r="F188" s="1"/>
      <c r="G188" s="1"/>
      <c r="H188" s="1"/>
      <c r="I188" s="1"/>
    </row>
    <row r="189" spans="1:9" x14ac:dyDescent="0.25">
      <c r="A189" s="1"/>
      <c r="B189" s="1">
        <v>555</v>
      </c>
      <c r="C189" s="1"/>
      <c r="D189" s="1"/>
      <c r="E189" s="1"/>
      <c r="F189" s="1"/>
      <c r="G189" s="1"/>
      <c r="H189" s="1"/>
      <c r="I189" s="1"/>
    </row>
    <row r="190" spans="1:9" x14ac:dyDescent="0.25">
      <c r="A190" s="1"/>
      <c r="B190" s="1">
        <v>6</v>
      </c>
      <c r="C190" s="1"/>
      <c r="D190" s="1"/>
      <c r="E190" s="1"/>
      <c r="F190" s="1"/>
      <c r="G190" s="1"/>
      <c r="H190" s="1"/>
      <c r="I190" s="1"/>
    </row>
    <row r="191" spans="1:9" x14ac:dyDescent="0.25">
      <c r="A191" s="26" t="s">
        <v>47</v>
      </c>
      <c r="B191" s="1"/>
      <c r="C191" s="1"/>
      <c r="D191" s="1"/>
      <c r="E191" s="1"/>
      <c r="F191" s="1"/>
      <c r="G191" s="1"/>
      <c r="H191" s="1"/>
      <c r="I191" s="1"/>
    </row>
    <row r="192" spans="1:9" x14ac:dyDescent="0.25">
      <c r="A192" s="1" t="s">
        <v>3</v>
      </c>
      <c r="B192" s="1">
        <v>1111</v>
      </c>
      <c r="C192" s="1"/>
      <c r="D192" s="1"/>
      <c r="E192" s="1"/>
      <c r="F192" s="1"/>
      <c r="G192" s="1"/>
      <c r="H192" s="1"/>
      <c r="I192" s="1"/>
    </row>
    <row r="193" spans="1:9" x14ac:dyDescent="0.25">
      <c r="A193" s="26" t="s">
        <v>71</v>
      </c>
      <c r="B193" s="1">
        <v>45960.856515373351</v>
      </c>
      <c r="C193" s="1">
        <v>31060.859375</v>
      </c>
      <c r="D193" s="1" t="s">
        <v>51</v>
      </c>
      <c r="E193" s="1" t="s">
        <v>74</v>
      </c>
      <c r="F193" s="1"/>
      <c r="G193" s="1"/>
      <c r="H193" s="1"/>
      <c r="I193" s="1"/>
    </row>
    <row r="194" spans="1:9" x14ac:dyDescent="0.25">
      <c r="A194" s="26" t="s">
        <v>69</v>
      </c>
      <c r="B194" s="1"/>
      <c r="C194" s="1"/>
      <c r="D194" s="1"/>
      <c r="E194" s="1"/>
      <c r="F194" s="1"/>
      <c r="G194" s="1"/>
      <c r="H194" s="1"/>
      <c r="I194" s="1"/>
    </row>
    <row r="195" spans="1:9" x14ac:dyDescent="0.25">
      <c r="A195" s="26" t="s">
        <v>71</v>
      </c>
      <c r="B195" s="1">
        <v>51957.836749633971</v>
      </c>
      <c r="C195" s="1">
        <v>61695.05859375</v>
      </c>
      <c r="D195" s="1" t="s">
        <v>51</v>
      </c>
      <c r="E195" s="1" t="s">
        <v>74</v>
      </c>
      <c r="F195" s="1"/>
      <c r="G195" s="1"/>
      <c r="H195" s="1"/>
      <c r="I195" s="1"/>
    </row>
    <row r="196" spans="1:9" x14ac:dyDescent="0.25">
      <c r="A196" s="26" t="s">
        <v>70</v>
      </c>
      <c r="B196" s="1"/>
      <c r="C196" s="1"/>
      <c r="D196" s="1"/>
      <c r="E196" s="1"/>
      <c r="F196" s="1"/>
      <c r="G196" s="1"/>
      <c r="H196" s="1"/>
      <c r="I196" s="1"/>
    </row>
    <row r="197" spans="1:9" x14ac:dyDescent="0.25">
      <c r="A197" s="26" t="s">
        <v>3</v>
      </c>
      <c r="B197" s="26">
        <f>B$30</f>
        <v>2222</v>
      </c>
      <c r="C197" s="26"/>
      <c r="D197" s="26"/>
      <c r="E197" s="26"/>
      <c r="F197" s="1"/>
      <c r="G197" s="1"/>
      <c r="H197" s="1"/>
      <c r="I197" s="1"/>
    </row>
    <row r="198" spans="1:9" x14ac:dyDescent="0.25">
      <c r="A198" s="26" t="s">
        <v>2</v>
      </c>
      <c r="B198" s="26">
        <v>58290.64787701318</v>
      </c>
      <c r="C198" s="26">
        <v>37631.42578125</v>
      </c>
      <c r="D198" s="26" t="s">
        <v>51</v>
      </c>
      <c r="E198" s="26" t="s">
        <v>49</v>
      </c>
      <c r="F198" s="1"/>
      <c r="G198" s="1"/>
      <c r="H198" s="1"/>
      <c r="I198" s="1"/>
    </row>
    <row r="199" spans="1:9" x14ac:dyDescent="0.25">
      <c r="A199" s="26" t="s">
        <v>3</v>
      </c>
      <c r="B199" s="26">
        <v>1111</v>
      </c>
      <c r="C199" s="26"/>
      <c r="D199" s="26"/>
      <c r="E199" s="26"/>
      <c r="F199" s="1"/>
      <c r="G199" s="1"/>
      <c r="H199" s="1"/>
      <c r="I199" s="1"/>
    </row>
    <row r="200" spans="1:9" x14ac:dyDescent="0.25">
      <c r="A200" s="26" t="s">
        <v>2</v>
      </c>
      <c r="B200" s="26">
        <f>B$33</f>
        <v>42026.837481698392</v>
      </c>
      <c r="C200" s="26">
        <f>C$33</f>
        <v>62975.0390625</v>
      </c>
      <c r="D200" s="26" t="s">
        <v>51</v>
      </c>
      <c r="E200" s="26" t="s">
        <v>61</v>
      </c>
      <c r="F200" s="1"/>
      <c r="G200" s="1"/>
      <c r="H200" s="1"/>
      <c r="I200" s="1"/>
    </row>
    <row r="201" spans="1:9" x14ac:dyDescent="0.25">
      <c r="A201" s="26" t="s">
        <v>2</v>
      </c>
      <c r="B201" s="26">
        <v>45577.049780380672</v>
      </c>
      <c r="C201" s="26">
        <v>39594.0625</v>
      </c>
      <c r="D201" s="26" t="s">
        <v>51</v>
      </c>
      <c r="E201" s="26" t="s">
        <v>60</v>
      </c>
      <c r="F201" s="26"/>
      <c r="G201" s="1"/>
      <c r="H201" s="1"/>
      <c r="I201" s="1"/>
    </row>
    <row r="202" spans="1:9" x14ac:dyDescent="0.25">
      <c r="A202" s="9" t="s">
        <v>3</v>
      </c>
      <c r="B202" s="26">
        <v>1111</v>
      </c>
      <c r="C202" s="26"/>
      <c r="D202" s="26"/>
      <c r="E202" s="26"/>
      <c r="F202" s="26"/>
      <c r="G202" s="1"/>
      <c r="H202" s="1"/>
      <c r="I202" s="1"/>
    </row>
    <row r="203" spans="1:9" x14ac:dyDescent="0.25">
      <c r="A203" s="81" t="s">
        <v>59</v>
      </c>
      <c r="B203" s="9"/>
      <c r="C203" s="9"/>
      <c r="D203" s="9" t="s">
        <v>825</v>
      </c>
      <c r="E203" s="9"/>
      <c r="F203" s="9"/>
      <c r="G203" s="1"/>
      <c r="H203" s="1"/>
      <c r="I203" s="1"/>
    </row>
    <row r="204" spans="1:9" x14ac:dyDescent="0.25">
      <c r="A204" s="9" t="s">
        <v>3</v>
      </c>
      <c r="B204" s="9"/>
      <c r="C204" s="9"/>
      <c r="D204" s="9"/>
      <c r="E204" s="9"/>
      <c r="F204" s="9"/>
      <c r="G204" s="1"/>
      <c r="H204" s="1"/>
      <c r="I204" s="1"/>
    </row>
    <row r="205" spans="1:9" x14ac:dyDescent="0.25">
      <c r="A205" s="26" t="s">
        <v>2</v>
      </c>
      <c r="B205" s="1">
        <v>36941.398243045391</v>
      </c>
      <c r="C205" s="1">
        <v>4095.9375</v>
      </c>
      <c r="D205" s="1" t="s">
        <v>51</v>
      </c>
      <c r="E205" s="1" t="s">
        <v>50</v>
      </c>
      <c r="F205" s="1"/>
      <c r="G205" s="1"/>
      <c r="H205" s="1"/>
      <c r="I205" s="1"/>
    </row>
    <row r="206" spans="1:9" x14ac:dyDescent="0.25">
      <c r="A206" s="26" t="s">
        <v>3</v>
      </c>
      <c r="B206" s="1">
        <v>1234</v>
      </c>
      <c r="C206" s="1"/>
      <c r="D206" s="1"/>
      <c r="E206" s="1"/>
      <c r="F206" s="1"/>
      <c r="G206" s="1"/>
      <c r="H206" s="1"/>
      <c r="I206" s="1"/>
    </row>
    <row r="207" spans="1:9" x14ac:dyDescent="0.25">
      <c r="A207" s="26" t="s">
        <v>2</v>
      </c>
      <c r="B207" s="1">
        <v>27825.988286969256</v>
      </c>
      <c r="C207" s="1">
        <v>8703.8671875</v>
      </c>
      <c r="D207" s="1" t="s">
        <v>51</v>
      </c>
      <c r="E207" s="1" t="s">
        <v>52</v>
      </c>
      <c r="F207" s="1"/>
      <c r="G207" s="1"/>
      <c r="H207" s="1"/>
      <c r="I207" s="1"/>
    </row>
    <row r="208" spans="1:9" x14ac:dyDescent="0.25">
      <c r="A208" s="26" t="s">
        <v>73</v>
      </c>
      <c r="B208" s="1"/>
      <c r="C208" s="1"/>
      <c r="D208" s="1"/>
      <c r="E208" s="1"/>
      <c r="F208" s="1"/>
      <c r="G208" s="1"/>
      <c r="H208" s="1"/>
      <c r="I208" s="1"/>
    </row>
    <row r="209" spans="1:9" x14ac:dyDescent="0.25">
      <c r="A209" s="26" t="s">
        <v>3</v>
      </c>
      <c r="B209" s="1">
        <v>333</v>
      </c>
      <c r="C209" s="1"/>
      <c r="D209" s="1"/>
      <c r="E209" s="1"/>
      <c r="F209" s="1"/>
      <c r="G209" s="1"/>
      <c r="H209" s="1"/>
      <c r="I209" s="1"/>
    </row>
    <row r="210" spans="1:9" x14ac:dyDescent="0.25">
      <c r="A210" s="1"/>
      <c r="B210" s="1">
        <v>43418.136896046854</v>
      </c>
      <c r="C210" s="1">
        <v>63231.03515625</v>
      </c>
      <c r="D210" s="1" t="s">
        <v>79</v>
      </c>
      <c r="E210" s="1"/>
      <c r="F210" s="1"/>
      <c r="G210" s="1"/>
      <c r="H210" s="1"/>
      <c r="I210" s="1"/>
    </row>
    <row r="211" spans="1:9" ht="16.5" customHeight="1" x14ac:dyDescent="0.25">
      <c r="A211" s="1"/>
      <c r="B211" s="1">
        <v>888</v>
      </c>
      <c r="C211" s="1"/>
      <c r="D211" s="1" t="s">
        <v>67</v>
      </c>
      <c r="E211" s="1"/>
      <c r="F211" s="1"/>
      <c r="G211" s="1"/>
      <c r="H211" s="1"/>
      <c r="I211" s="1"/>
    </row>
    <row r="212" spans="1:9" x14ac:dyDescent="0.25">
      <c r="A212" s="1"/>
      <c r="B212" s="1">
        <v>43466.112737920936</v>
      </c>
      <c r="C212" s="1">
        <v>59049.765625</v>
      </c>
      <c r="D212" s="1"/>
      <c r="E212" s="1"/>
      <c r="F212" s="1"/>
      <c r="G212" s="1"/>
      <c r="H212" s="1"/>
      <c r="I212" s="1"/>
    </row>
    <row r="213" spans="1:9" x14ac:dyDescent="0.25">
      <c r="A213" s="1" t="s">
        <v>31</v>
      </c>
      <c r="B213" s="1" t="s">
        <v>2201</v>
      </c>
      <c r="C213" s="1"/>
      <c r="D213" s="1"/>
      <c r="E213" s="1"/>
      <c r="F213" s="1"/>
      <c r="G213" s="1"/>
      <c r="H213" s="1"/>
      <c r="I213" s="1"/>
    </row>
    <row r="214" spans="1:9" x14ac:dyDescent="0.25">
      <c r="A214" s="1" t="s">
        <v>3</v>
      </c>
      <c r="B214" s="1">
        <v>100</v>
      </c>
      <c r="C214" s="1"/>
      <c r="D214" s="1"/>
      <c r="E214" s="1"/>
      <c r="F214" s="1"/>
      <c r="G214" s="1"/>
      <c r="H214" s="1"/>
      <c r="I214" s="1"/>
    </row>
    <row r="215" spans="1:9" x14ac:dyDescent="0.25">
      <c r="A215" s="26" t="s">
        <v>826</v>
      </c>
      <c r="B215" s="26">
        <v>2</v>
      </c>
      <c r="C215" s="26"/>
      <c r="D215" s="26"/>
      <c r="E215" s="26"/>
      <c r="F215" s="26"/>
      <c r="G215" s="1"/>
      <c r="H215" s="1" t="s">
        <v>9</v>
      </c>
      <c r="I215" s="1"/>
    </row>
    <row r="216" spans="1:9" x14ac:dyDescent="0.25">
      <c r="A216" s="26"/>
      <c r="B216" s="1">
        <v>1111</v>
      </c>
      <c r="C216" s="1"/>
      <c r="D216" s="1"/>
      <c r="E216" s="1"/>
      <c r="F216" s="1"/>
      <c r="G216" s="1"/>
      <c r="H216" s="1"/>
      <c r="I216" s="1"/>
    </row>
    <row r="217" spans="1:9" x14ac:dyDescent="0.25">
      <c r="A217" s="1"/>
      <c r="B217" s="1"/>
      <c r="C217" s="1"/>
      <c r="D217" s="1"/>
      <c r="E217" s="1"/>
      <c r="F217" s="1"/>
      <c r="G217" s="1"/>
      <c r="H217" s="1"/>
      <c r="I217" s="1"/>
    </row>
    <row r="218" spans="1:9" x14ac:dyDescent="0.25">
      <c r="A218" s="26"/>
      <c r="B218" s="26">
        <v>45577.049780380672</v>
      </c>
      <c r="C218" s="26">
        <v>39594.0625</v>
      </c>
      <c r="D218" s="26" t="s">
        <v>51</v>
      </c>
      <c r="E218" s="26" t="s">
        <v>60</v>
      </c>
      <c r="F218" s="26"/>
      <c r="G218" s="1"/>
      <c r="H218" s="1" t="s">
        <v>9</v>
      </c>
      <c r="I218" s="1"/>
    </row>
    <row r="219" spans="1:9" x14ac:dyDescent="0.25">
      <c r="A219" s="26"/>
      <c r="B219" s="26">
        <v>1111</v>
      </c>
      <c r="C219" s="26"/>
      <c r="D219" s="26"/>
      <c r="E219" s="26"/>
      <c r="F219" s="26"/>
      <c r="G219" s="1"/>
      <c r="H219" s="1" t="s">
        <v>47</v>
      </c>
      <c r="I219" s="1"/>
    </row>
    <row r="220" spans="1:9" x14ac:dyDescent="0.25">
      <c r="A220" s="78"/>
      <c r="B220" s="26"/>
      <c r="C220" s="26"/>
      <c r="D220" s="26"/>
      <c r="E220" s="26" t="s">
        <v>58</v>
      </c>
      <c r="F220" s="26"/>
      <c r="G220" s="1"/>
      <c r="H220" s="1"/>
      <c r="I220" s="1"/>
    </row>
    <row r="221" spans="1:9" x14ac:dyDescent="0.25">
      <c r="A221" s="26"/>
      <c r="B221" s="26">
        <v>1111</v>
      </c>
      <c r="C221" s="26"/>
      <c r="D221" s="26" t="s">
        <v>85</v>
      </c>
      <c r="E221" s="26"/>
      <c r="F221" s="26"/>
      <c r="G221" s="1"/>
      <c r="H221" s="1"/>
      <c r="I221" s="1"/>
    </row>
    <row r="222" spans="1:9" x14ac:dyDescent="0.25">
      <c r="A222" s="1"/>
      <c r="B222" s="1">
        <v>555</v>
      </c>
      <c r="C222" s="1"/>
      <c r="D222" s="1"/>
      <c r="E222" s="1"/>
      <c r="F222" s="1"/>
      <c r="G222" s="1"/>
      <c r="H222" s="1"/>
      <c r="I222" s="1"/>
    </row>
    <row r="223" spans="1:9" x14ac:dyDescent="0.25">
      <c r="A223" s="1"/>
      <c r="B223" s="1"/>
      <c r="C223" s="1"/>
      <c r="D223" s="1"/>
      <c r="E223" s="1"/>
      <c r="F223" s="1"/>
      <c r="G223" s="1"/>
      <c r="H223" s="1"/>
      <c r="I223" s="1"/>
    </row>
    <row r="224" spans="1:9" x14ac:dyDescent="0.25">
      <c r="A224" s="1"/>
      <c r="B224" s="1">
        <v>6</v>
      </c>
      <c r="C224" s="1"/>
      <c r="D224" s="1"/>
      <c r="E224" s="1"/>
      <c r="F224" s="1"/>
      <c r="G224" s="1"/>
      <c r="H224" s="1"/>
      <c r="I224" s="1"/>
    </row>
    <row r="225" spans="1:9" x14ac:dyDescent="0.25">
      <c r="A225" s="1"/>
      <c r="B225" s="1">
        <v>555</v>
      </c>
      <c r="C225" s="1"/>
      <c r="D225" s="1"/>
      <c r="E225" s="1"/>
      <c r="F225" s="1"/>
      <c r="G225" s="1"/>
      <c r="H225" s="1"/>
      <c r="I225" s="1"/>
    </row>
    <row r="226" spans="1:9" x14ac:dyDescent="0.25">
      <c r="A226" s="1"/>
      <c r="B226" s="1">
        <v>6</v>
      </c>
      <c r="C226" s="1"/>
      <c r="D226" s="1"/>
      <c r="E226" s="1"/>
      <c r="F226" s="1"/>
      <c r="G226" s="1"/>
      <c r="H226" s="1"/>
      <c r="I226" s="1"/>
    </row>
    <row r="227" spans="1:9" x14ac:dyDescent="0.25">
      <c r="A227" s="26" t="s">
        <v>47</v>
      </c>
      <c r="B227" s="1"/>
      <c r="C227" s="1"/>
      <c r="D227" s="1"/>
      <c r="E227" s="1"/>
      <c r="F227" s="1"/>
      <c r="G227" s="1"/>
      <c r="H227" s="1"/>
      <c r="I227" s="1"/>
    </row>
    <row r="228" spans="1:9" x14ac:dyDescent="0.25">
      <c r="A228" s="1" t="s">
        <v>3</v>
      </c>
      <c r="B228" s="1">
        <v>1111</v>
      </c>
      <c r="C228" s="1"/>
      <c r="D228" s="1"/>
      <c r="E228" s="1"/>
      <c r="F228" s="1"/>
      <c r="G228" s="1"/>
      <c r="H228" s="1"/>
      <c r="I228" s="1"/>
    </row>
    <row r="229" spans="1:9" x14ac:dyDescent="0.25">
      <c r="A229" s="26" t="s">
        <v>71</v>
      </c>
      <c r="B229" s="1">
        <v>12809.549780380674</v>
      </c>
      <c r="C229" s="1">
        <v>22356.9921875</v>
      </c>
      <c r="D229" s="1" t="s">
        <v>51</v>
      </c>
      <c r="E229" s="1" t="s">
        <v>74</v>
      </c>
      <c r="F229" s="1"/>
      <c r="G229" s="1"/>
      <c r="H229" s="1"/>
      <c r="I229" s="1"/>
    </row>
    <row r="230" spans="1:9" x14ac:dyDescent="0.25">
      <c r="A230" s="26" t="s">
        <v>69</v>
      </c>
      <c r="B230" s="1"/>
      <c r="C230" s="1"/>
      <c r="D230" s="1"/>
      <c r="E230" s="1"/>
      <c r="F230" s="1"/>
      <c r="G230" s="1"/>
      <c r="H230" s="1"/>
      <c r="I230" s="1"/>
    </row>
    <row r="231" spans="1:9" x14ac:dyDescent="0.25">
      <c r="A231" s="26" t="s">
        <v>71</v>
      </c>
      <c r="B231" s="1">
        <v>26866.471449487555</v>
      </c>
      <c r="C231" s="1">
        <v>37119.43359375</v>
      </c>
      <c r="D231" s="1" t="s">
        <v>51</v>
      </c>
      <c r="E231" s="1" t="s">
        <v>74</v>
      </c>
      <c r="F231" s="1"/>
      <c r="G231" s="1"/>
      <c r="H231" s="1"/>
      <c r="I231" s="1"/>
    </row>
    <row r="232" spans="1:9" x14ac:dyDescent="0.25">
      <c r="A232" s="26" t="s">
        <v>70</v>
      </c>
      <c r="B232" s="1"/>
      <c r="C232" s="1"/>
      <c r="D232" s="1"/>
      <c r="E232" s="1"/>
      <c r="F232" s="1"/>
      <c r="G232" s="1"/>
      <c r="H232" s="1"/>
      <c r="I232" s="1"/>
    </row>
    <row r="233" spans="1:9" x14ac:dyDescent="0.25">
      <c r="A233" s="26" t="s">
        <v>3</v>
      </c>
      <c r="B233" s="26">
        <f>B$30</f>
        <v>2222</v>
      </c>
      <c r="C233" s="26"/>
      <c r="D233" s="26"/>
      <c r="E233" s="26"/>
      <c r="F233" s="1"/>
      <c r="G233" s="1"/>
      <c r="H233" s="1"/>
      <c r="I233" s="1"/>
    </row>
    <row r="234" spans="1:9" x14ac:dyDescent="0.25">
      <c r="A234" s="26" t="s">
        <v>2</v>
      </c>
      <c r="B234" s="26">
        <v>58290.64787701318</v>
      </c>
      <c r="C234" s="26">
        <v>37631.42578125</v>
      </c>
      <c r="D234" s="26" t="s">
        <v>51</v>
      </c>
      <c r="E234" s="26" t="s">
        <v>49</v>
      </c>
      <c r="F234" s="1"/>
      <c r="G234" s="1"/>
      <c r="H234" s="1"/>
      <c r="I234" s="1"/>
    </row>
    <row r="235" spans="1:9" x14ac:dyDescent="0.25">
      <c r="A235" s="26" t="s">
        <v>3</v>
      </c>
      <c r="B235" s="26">
        <v>1111</v>
      </c>
      <c r="C235" s="26"/>
      <c r="D235" s="26"/>
      <c r="E235" s="26"/>
      <c r="F235" s="1"/>
      <c r="G235" s="1"/>
      <c r="H235" s="1"/>
      <c r="I235" s="1"/>
    </row>
    <row r="236" spans="1:9" x14ac:dyDescent="0.25">
      <c r="A236" s="26" t="s">
        <v>2</v>
      </c>
      <c r="B236" s="26">
        <f>B$33</f>
        <v>42026.837481698392</v>
      </c>
      <c r="C236" s="26">
        <f>C$33</f>
        <v>62975.0390625</v>
      </c>
      <c r="D236" s="26" t="s">
        <v>51</v>
      </c>
      <c r="E236" s="26" t="s">
        <v>61</v>
      </c>
      <c r="F236" s="1"/>
      <c r="G236" s="1"/>
      <c r="H236" s="1"/>
      <c r="I236" s="1"/>
    </row>
    <row r="237" spans="1:9" x14ac:dyDescent="0.25">
      <c r="A237" s="26" t="s">
        <v>2</v>
      </c>
      <c r="B237" s="26">
        <v>45577.049780380672</v>
      </c>
      <c r="C237" s="26">
        <v>39594.0625</v>
      </c>
      <c r="D237" s="26" t="s">
        <v>51</v>
      </c>
      <c r="E237" s="26" t="s">
        <v>60</v>
      </c>
      <c r="F237" s="26"/>
      <c r="G237" s="1"/>
      <c r="H237" s="1"/>
      <c r="I237" s="1"/>
    </row>
    <row r="238" spans="1:9" x14ac:dyDescent="0.25">
      <c r="A238" s="9" t="s">
        <v>3</v>
      </c>
      <c r="B238" s="26">
        <v>1111</v>
      </c>
      <c r="C238" s="26"/>
      <c r="D238" s="26"/>
      <c r="E238" s="26"/>
      <c r="F238" s="26"/>
      <c r="G238" s="1"/>
      <c r="H238" s="1"/>
      <c r="I238" s="1"/>
    </row>
    <row r="239" spans="1:9" x14ac:dyDescent="0.25">
      <c r="A239" s="81" t="s">
        <v>59</v>
      </c>
      <c r="B239" s="9"/>
      <c r="C239" s="9"/>
      <c r="D239" s="9" t="s">
        <v>825</v>
      </c>
      <c r="E239" s="9"/>
      <c r="F239" s="9"/>
      <c r="G239" s="1"/>
      <c r="H239" s="1"/>
      <c r="I239" s="1"/>
    </row>
    <row r="240" spans="1:9" x14ac:dyDescent="0.25">
      <c r="A240" s="9" t="s">
        <v>3</v>
      </c>
      <c r="B240" s="9"/>
      <c r="C240" s="9"/>
      <c r="D240" s="9"/>
      <c r="E240" s="9"/>
      <c r="F240" s="9"/>
      <c r="G240" s="1"/>
      <c r="H240" s="1"/>
      <c r="I240" s="1"/>
    </row>
    <row r="243" spans="1:9" x14ac:dyDescent="0.25">
      <c r="A243" s="26" t="s">
        <v>2</v>
      </c>
      <c r="B243" s="1">
        <v>36941.398243045391</v>
      </c>
      <c r="C243" s="1">
        <v>4095.9375</v>
      </c>
      <c r="D243" s="1" t="s">
        <v>51</v>
      </c>
      <c r="E243" s="1" t="s">
        <v>50</v>
      </c>
      <c r="F243" s="1"/>
      <c r="G243" s="1"/>
      <c r="H243" s="1"/>
      <c r="I243" s="1"/>
    </row>
    <row r="244" spans="1:9" x14ac:dyDescent="0.25">
      <c r="A244" s="26" t="s">
        <v>3</v>
      </c>
      <c r="B244" s="1">
        <v>1234</v>
      </c>
      <c r="C244" s="1"/>
      <c r="D244" s="1"/>
      <c r="E244" s="1"/>
      <c r="F244" s="1"/>
      <c r="G244" s="1"/>
      <c r="H244" s="1"/>
      <c r="I244" s="1"/>
    </row>
    <row r="245" spans="1:9" x14ac:dyDescent="0.25">
      <c r="A245" s="26" t="s">
        <v>2</v>
      </c>
      <c r="B245" s="1">
        <v>27825.988286969256</v>
      </c>
      <c r="C245" s="1">
        <v>8703.8671875</v>
      </c>
      <c r="D245" s="1" t="s">
        <v>51</v>
      </c>
      <c r="E245" s="1" t="s">
        <v>52</v>
      </c>
      <c r="F245" s="1"/>
      <c r="G245" s="1"/>
      <c r="H245" s="1"/>
      <c r="I245" s="1"/>
    </row>
    <row r="246" spans="1:9" x14ac:dyDescent="0.25">
      <c r="A246" s="26" t="s">
        <v>73</v>
      </c>
      <c r="B246" s="1"/>
      <c r="C246" s="1"/>
      <c r="D246" s="1"/>
      <c r="E246" s="1"/>
      <c r="F246" s="1"/>
      <c r="G246" s="1"/>
      <c r="H246" s="1"/>
      <c r="I246" s="1"/>
    </row>
    <row r="247" spans="1:9" x14ac:dyDescent="0.25">
      <c r="A247" s="26" t="s">
        <v>3</v>
      </c>
      <c r="B247" s="1">
        <v>1234</v>
      </c>
      <c r="C247" s="1"/>
      <c r="D247" s="1"/>
      <c r="F247" s="1"/>
      <c r="G247" s="1"/>
      <c r="H247" s="1"/>
      <c r="I247" s="1"/>
    </row>
    <row r="248" spans="1:9" x14ac:dyDescent="0.25">
      <c r="A248" s="1" t="s">
        <v>31</v>
      </c>
      <c r="B248" s="1" t="s">
        <v>820</v>
      </c>
      <c r="C248" s="1"/>
      <c r="D248" s="1" t="s">
        <v>821</v>
      </c>
      <c r="F248" s="1"/>
      <c r="G248" s="1"/>
      <c r="H248" s="1"/>
      <c r="I248" s="1"/>
    </row>
    <row r="249" spans="1:9" x14ac:dyDescent="0.25">
      <c r="A249" s="26" t="s">
        <v>3</v>
      </c>
      <c r="B249" s="1">
        <v>1234</v>
      </c>
      <c r="C249" s="1"/>
      <c r="D249" s="1"/>
      <c r="F249" s="1"/>
      <c r="G249" s="1"/>
      <c r="H249" s="1"/>
      <c r="I249" s="1"/>
    </row>
    <row r="250" spans="1:9" x14ac:dyDescent="0.25">
      <c r="A250" s="26" t="s">
        <v>2</v>
      </c>
      <c r="B250" s="1">
        <v>64383.579795021964</v>
      </c>
      <c r="C250" s="1">
        <v>1450.64453125</v>
      </c>
      <c r="D250" s="1" t="s">
        <v>818</v>
      </c>
      <c r="F250" s="1"/>
      <c r="G250" s="1"/>
      <c r="H250" s="1"/>
      <c r="I250" s="18"/>
    </row>
    <row r="251" spans="1:9" x14ac:dyDescent="0.25">
      <c r="A251" s="1"/>
      <c r="B251" s="26" t="s">
        <v>3</v>
      </c>
      <c r="C251" s="1">
        <v>1234</v>
      </c>
      <c r="D251" s="1"/>
      <c r="E251" s="1"/>
      <c r="F251" s="1"/>
      <c r="G251" s="1"/>
      <c r="H251" s="1"/>
      <c r="I251" s="1"/>
    </row>
    <row r="252" spans="1:9" x14ac:dyDescent="0.25">
      <c r="A252" s="1"/>
      <c r="B252" s="1"/>
      <c r="C252" s="1" t="s">
        <v>67</v>
      </c>
      <c r="D252" s="1" t="s">
        <v>67</v>
      </c>
      <c r="E252" s="1"/>
      <c r="F252" s="1"/>
      <c r="G252" s="1"/>
      <c r="H252" s="1"/>
      <c r="I252" s="1"/>
    </row>
    <row r="393" spans="9:9" x14ac:dyDescent="0.25">
      <c r="I393" t="s">
        <v>819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893E0-64EC-40CD-B79F-841CD920D499}">
  <sheetPr codeName="Hoja6"/>
  <dimension ref="A1:W823"/>
  <sheetViews>
    <sheetView tabSelected="1" topLeftCell="A539" workbookViewId="0">
      <selection activeCell="D549" sqref="D1:D1048576"/>
    </sheetView>
  </sheetViews>
  <sheetFormatPr baseColWidth="10" defaultRowHeight="15" x14ac:dyDescent="0.25"/>
  <sheetData>
    <row r="1" spans="1:23" x14ac:dyDescent="0.25">
      <c r="A1" t="s">
        <v>90</v>
      </c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105</v>
      </c>
      <c r="Q1" t="s">
        <v>106</v>
      </c>
      <c r="R1" t="s">
        <v>802</v>
      </c>
      <c r="S1" t="s">
        <v>803</v>
      </c>
      <c r="T1" t="s">
        <v>107</v>
      </c>
      <c r="U1" t="s">
        <v>108</v>
      </c>
      <c r="V1" t="s">
        <v>804</v>
      </c>
      <c r="W1" t="s">
        <v>109</v>
      </c>
    </row>
    <row r="2" spans="1:23" x14ac:dyDescent="0.25">
      <c r="B2" t="s">
        <v>314</v>
      </c>
      <c r="C2" t="s">
        <v>258</v>
      </c>
      <c r="D2">
        <v>431</v>
      </c>
      <c r="E2">
        <v>900</v>
      </c>
      <c r="F2" t="s">
        <v>68</v>
      </c>
      <c r="G2" t="s">
        <v>125</v>
      </c>
      <c r="H2" t="s">
        <v>195</v>
      </c>
      <c r="I2">
        <v>0</v>
      </c>
      <c r="J2" t="s">
        <v>113</v>
      </c>
      <c r="K2">
        <v>45224</v>
      </c>
      <c r="O2">
        <v>100</v>
      </c>
    </row>
    <row r="3" spans="1:23" x14ac:dyDescent="0.25">
      <c r="B3" t="s">
        <v>314</v>
      </c>
      <c r="C3" t="s">
        <v>258</v>
      </c>
      <c r="D3">
        <v>432</v>
      </c>
      <c r="E3">
        <v>2500</v>
      </c>
      <c r="F3" t="s">
        <v>68</v>
      </c>
      <c r="G3" t="s">
        <v>131</v>
      </c>
      <c r="H3" t="s">
        <v>196</v>
      </c>
      <c r="I3">
        <v>0</v>
      </c>
      <c r="J3" t="s">
        <v>117</v>
      </c>
      <c r="K3">
        <v>45224</v>
      </c>
      <c r="O3">
        <v>1</v>
      </c>
    </row>
    <row r="4" spans="1:23" x14ac:dyDescent="0.25">
      <c r="B4" t="s">
        <v>314</v>
      </c>
      <c r="C4" t="s">
        <v>399</v>
      </c>
      <c r="D4">
        <v>432</v>
      </c>
      <c r="E4">
        <v>800</v>
      </c>
      <c r="F4" t="s">
        <v>68</v>
      </c>
      <c r="G4" t="s">
        <v>135</v>
      </c>
      <c r="H4" t="s">
        <v>136</v>
      </c>
      <c r="I4">
        <v>0</v>
      </c>
      <c r="J4" t="s">
        <v>120</v>
      </c>
      <c r="K4">
        <v>45224</v>
      </c>
      <c r="O4">
        <v>1</v>
      </c>
    </row>
    <row r="5" spans="1:23" x14ac:dyDescent="0.25">
      <c r="B5" t="s">
        <v>314</v>
      </c>
      <c r="C5" t="s">
        <v>260</v>
      </c>
      <c r="D5">
        <v>433</v>
      </c>
      <c r="E5">
        <v>300</v>
      </c>
      <c r="F5" t="s">
        <v>137</v>
      </c>
      <c r="G5" t="s">
        <v>138</v>
      </c>
      <c r="H5" t="s">
        <v>197</v>
      </c>
      <c r="I5">
        <v>0</v>
      </c>
      <c r="J5" t="s">
        <v>123</v>
      </c>
      <c r="K5">
        <v>45224</v>
      </c>
      <c r="O5">
        <v>1</v>
      </c>
    </row>
    <row r="6" spans="1:23" x14ac:dyDescent="0.25">
      <c r="B6" t="s">
        <v>314</v>
      </c>
      <c r="C6" t="s">
        <v>260</v>
      </c>
      <c r="D6">
        <v>433</v>
      </c>
      <c r="E6">
        <v>350</v>
      </c>
      <c r="F6" t="s">
        <v>68</v>
      </c>
      <c r="G6" t="s">
        <v>170</v>
      </c>
      <c r="H6" t="s">
        <v>198</v>
      </c>
      <c r="I6">
        <v>0</v>
      </c>
      <c r="J6" t="s">
        <v>125</v>
      </c>
      <c r="K6">
        <v>45224</v>
      </c>
      <c r="O6">
        <v>1</v>
      </c>
    </row>
    <row r="7" spans="1:23" x14ac:dyDescent="0.25">
      <c r="B7" t="s">
        <v>314</v>
      </c>
      <c r="C7" t="s">
        <v>260</v>
      </c>
      <c r="D7">
        <v>433</v>
      </c>
      <c r="E7">
        <v>25000</v>
      </c>
      <c r="F7" t="s">
        <v>68</v>
      </c>
      <c r="G7" t="s">
        <v>113</v>
      </c>
      <c r="H7" t="s">
        <v>199</v>
      </c>
      <c r="I7">
        <v>0</v>
      </c>
      <c r="J7" t="s">
        <v>127</v>
      </c>
      <c r="K7">
        <v>45224</v>
      </c>
      <c r="O7">
        <v>1</v>
      </c>
    </row>
    <row r="8" spans="1:23" x14ac:dyDescent="0.25">
      <c r="B8" t="s">
        <v>314</v>
      </c>
      <c r="C8" t="s">
        <v>260</v>
      </c>
      <c r="D8">
        <v>433</v>
      </c>
      <c r="E8">
        <v>5</v>
      </c>
      <c r="F8" t="s">
        <v>68</v>
      </c>
      <c r="G8" t="s">
        <v>193</v>
      </c>
      <c r="H8" t="s">
        <v>194</v>
      </c>
      <c r="I8">
        <v>0</v>
      </c>
      <c r="J8" t="s">
        <v>129</v>
      </c>
      <c r="K8">
        <v>45224</v>
      </c>
      <c r="O8">
        <v>1</v>
      </c>
    </row>
    <row r="9" spans="1:23" x14ac:dyDescent="0.25">
      <c r="B9" t="s">
        <v>314</v>
      </c>
      <c r="C9" t="s">
        <v>518</v>
      </c>
      <c r="D9">
        <v>434</v>
      </c>
      <c r="E9">
        <v>2000</v>
      </c>
      <c r="F9" t="s">
        <v>68</v>
      </c>
      <c r="G9" t="s">
        <v>152</v>
      </c>
      <c r="H9" t="s">
        <v>153</v>
      </c>
      <c r="I9">
        <v>0</v>
      </c>
      <c r="J9" t="s">
        <v>131</v>
      </c>
      <c r="O9">
        <v>1</v>
      </c>
    </row>
    <row r="10" spans="1:23" x14ac:dyDescent="0.25">
      <c r="B10" t="s">
        <v>314</v>
      </c>
      <c r="C10" t="s">
        <v>336</v>
      </c>
      <c r="D10">
        <v>438</v>
      </c>
      <c r="E10">
        <v>20000</v>
      </c>
      <c r="F10" t="s">
        <v>68</v>
      </c>
      <c r="G10" t="s">
        <v>133</v>
      </c>
      <c r="H10" t="s">
        <v>134</v>
      </c>
      <c r="I10">
        <v>20000</v>
      </c>
      <c r="J10" t="s">
        <v>133</v>
      </c>
      <c r="K10">
        <v>45229.493993055556</v>
      </c>
      <c r="O10">
        <v>1</v>
      </c>
    </row>
    <row r="11" spans="1:23" x14ac:dyDescent="0.25">
      <c r="B11" t="s">
        <v>314</v>
      </c>
      <c r="C11" t="s">
        <v>336</v>
      </c>
      <c r="D11">
        <v>435</v>
      </c>
      <c r="E11">
        <v>3000</v>
      </c>
      <c r="F11" t="s">
        <v>68</v>
      </c>
      <c r="G11" t="s">
        <v>117</v>
      </c>
      <c r="H11" t="s">
        <v>200</v>
      </c>
      <c r="I11">
        <v>0</v>
      </c>
      <c r="J11" t="s">
        <v>135</v>
      </c>
      <c r="K11">
        <v>45229.480821759258</v>
      </c>
      <c r="O11">
        <v>1</v>
      </c>
    </row>
    <row r="12" spans="1:23" x14ac:dyDescent="0.25">
      <c r="B12" t="s">
        <v>201</v>
      </c>
      <c r="C12" t="s">
        <v>202</v>
      </c>
      <c r="E12">
        <v>2000</v>
      </c>
      <c r="F12" t="s">
        <v>137</v>
      </c>
      <c r="G12" t="s">
        <v>141</v>
      </c>
      <c r="H12" t="s">
        <v>203</v>
      </c>
      <c r="I12">
        <v>0</v>
      </c>
      <c r="J12" t="s">
        <v>138</v>
      </c>
      <c r="K12">
        <v>45229.506006944444</v>
      </c>
      <c r="N12" t="s">
        <v>204</v>
      </c>
      <c r="O12">
        <v>1</v>
      </c>
    </row>
    <row r="13" spans="1:23" x14ac:dyDescent="0.25">
      <c r="B13" t="s">
        <v>775</v>
      </c>
      <c r="C13" t="s">
        <v>205</v>
      </c>
      <c r="D13">
        <v>797576</v>
      </c>
      <c r="E13">
        <v>20000</v>
      </c>
      <c r="F13" t="s">
        <v>68</v>
      </c>
      <c r="G13" t="s">
        <v>156</v>
      </c>
      <c r="H13" t="s">
        <v>206</v>
      </c>
      <c r="I13">
        <v>0</v>
      </c>
      <c r="J13" t="s">
        <v>141</v>
      </c>
      <c r="K13">
        <v>45229.613541666666</v>
      </c>
      <c r="N13" t="s">
        <v>207</v>
      </c>
      <c r="O13">
        <v>1</v>
      </c>
    </row>
    <row r="14" spans="1:23" x14ac:dyDescent="0.25">
      <c r="B14" t="s">
        <v>776</v>
      </c>
      <c r="C14" t="s">
        <v>208</v>
      </c>
      <c r="D14">
        <v>793970</v>
      </c>
      <c r="E14">
        <v>300</v>
      </c>
      <c r="F14" t="s">
        <v>68</v>
      </c>
      <c r="G14" t="s">
        <v>774</v>
      </c>
      <c r="H14" t="s">
        <v>209</v>
      </c>
      <c r="I14">
        <v>0</v>
      </c>
      <c r="J14" t="s">
        <v>143</v>
      </c>
      <c r="K14">
        <v>45229.616666666669</v>
      </c>
      <c r="O14">
        <v>1</v>
      </c>
    </row>
    <row r="15" spans="1:23" x14ac:dyDescent="0.25">
      <c r="B15" t="s">
        <v>777</v>
      </c>
      <c r="C15" t="s">
        <v>205</v>
      </c>
      <c r="D15">
        <v>789278</v>
      </c>
      <c r="E15">
        <v>600</v>
      </c>
      <c r="F15" t="s">
        <v>68</v>
      </c>
      <c r="G15" t="s">
        <v>773</v>
      </c>
      <c r="H15" t="s">
        <v>210</v>
      </c>
      <c r="I15">
        <v>0</v>
      </c>
      <c r="J15" t="s">
        <v>146</v>
      </c>
      <c r="K15">
        <v>45229.619004629632</v>
      </c>
      <c r="N15" t="s">
        <v>211</v>
      </c>
      <c r="O15">
        <v>1</v>
      </c>
    </row>
    <row r="16" spans="1:23" x14ac:dyDescent="0.25">
      <c r="B16" t="s">
        <v>778</v>
      </c>
      <c r="C16" t="s">
        <v>208</v>
      </c>
      <c r="D16">
        <v>782092</v>
      </c>
      <c r="E16">
        <v>700</v>
      </c>
      <c r="F16" t="s">
        <v>68</v>
      </c>
      <c r="G16" t="s">
        <v>774</v>
      </c>
      <c r="H16" t="s">
        <v>209</v>
      </c>
      <c r="I16">
        <v>0</v>
      </c>
      <c r="J16" t="s">
        <v>150</v>
      </c>
      <c r="K16">
        <v>45229.636782407404</v>
      </c>
      <c r="O16">
        <v>1</v>
      </c>
    </row>
    <row r="17" spans="2:15" x14ac:dyDescent="0.25">
      <c r="B17" t="s">
        <v>778</v>
      </c>
      <c r="C17" t="s">
        <v>208</v>
      </c>
      <c r="D17">
        <v>782092</v>
      </c>
      <c r="E17">
        <v>2000</v>
      </c>
      <c r="F17" t="s">
        <v>68</v>
      </c>
      <c r="G17" t="s">
        <v>212</v>
      </c>
      <c r="H17" t="s">
        <v>213</v>
      </c>
      <c r="I17">
        <v>0</v>
      </c>
      <c r="J17" t="s">
        <v>151</v>
      </c>
      <c r="K17">
        <v>45229.641840277778</v>
      </c>
      <c r="O17">
        <v>1</v>
      </c>
    </row>
    <row r="18" spans="2:15" x14ac:dyDescent="0.25">
      <c r="B18" t="s">
        <v>778</v>
      </c>
      <c r="C18" t="s">
        <v>208</v>
      </c>
      <c r="D18">
        <v>782092</v>
      </c>
      <c r="E18">
        <v>1680</v>
      </c>
      <c r="F18" t="s">
        <v>68</v>
      </c>
      <c r="G18" t="s">
        <v>420</v>
      </c>
      <c r="H18" t="s">
        <v>214</v>
      </c>
      <c r="I18">
        <v>0</v>
      </c>
      <c r="J18" t="s">
        <v>152</v>
      </c>
      <c r="K18">
        <v>45229.643807870372</v>
      </c>
      <c r="O18">
        <v>100</v>
      </c>
    </row>
    <row r="19" spans="2:15" x14ac:dyDescent="0.25">
      <c r="B19" t="s">
        <v>314</v>
      </c>
      <c r="C19" t="s">
        <v>260</v>
      </c>
      <c r="D19">
        <v>1061</v>
      </c>
      <c r="E19">
        <v>600</v>
      </c>
      <c r="F19" t="s">
        <v>68</v>
      </c>
      <c r="G19" t="s">
        <v>125</v>
      </c>
      <c r="H19" t="s">
        <v>215</v>
      </c>
      <c r="I19">
        <v>0</v>
      </c>
      <c r="J19" t="s">
        <v>770</v>
      </c>
      <c r="K19">
        <v>45231.507141203707</v>
      </c>
    </row>
    <row r="20" spans="2:15" x14ac:dyDescent="0.25">
      <c r="B20" t="s">
        <v>314</v>
      </c>
      <c r="C20" t="s">
        <v>260</v>
      </c>
      <c r="D20">
        <v>1061</v>
      </c>
      <c r="E20">
        <v>240</v>
      </c>
      <c r="F20" t="s">
        <v>68</v>
      </c>
      <c r="G20" t="s">
        <v>774</v>
      </c>
      <c r="H20" t="s">
        <v>216</v>
      </c>
      <c r="I20">
        <v>0</v>
      </c>
      <c r="J20" t="s">
        <v>156</v>
      </c>
      <c r="K20">
        <v>45231.510972222219</v>
      </c>
    </row>
    <row r="21" spans="2:15" x14ac:dyDescent="0.25">
      <c r="B21" t="s">
        <v>314</v>
      </c>
      <c r="C21" t="s">
        <v>260</v>
      </c>
      <c r="D21">
        <v>1061</v>
      </c>
      <c r="E21">
        <v>60</v>
      </c>
      <c r="F21" t="s">
        <v>68</v>
      </c>
      <c r="G21" t="s">
        <v>773</v>
      </c>
      <c r="H21" t="s">
        <v>180</v>
      </c>
      <c r="I21">
        <v>0</v>
      </c>
      <c r="J21" t="s">
        <v>771</v>
      </c>
      <c r="K21">
        <v>45231.51253472222</v>
      </c>
    </row>
    <row r="22" spans="2:15" x14ac:dyDescent="0.25">
      <c r="B22" t="s">
        <v>314</v>
      </c>
      <c r="C22" t="s">
        <v>260</v>
      </c>
      <c r="D22">
        <v>1061</v>
      </c>
      <c r="E22">
        <v>24</v>
      </c>
      <c r="F22" t="s">
        <v>68</v>
      </c>
      <c r="G22" t="s">
        <v>772</v>
      </c>
      <c r="H22" t="s">
        <v>160</v>
      </c>
      <c r="I22">
        <v>0</v>
      </c>
      <c r="J22" t="s">
        <v>420</v>
      </c>
      <c r="K22">
        <v>45231.513194444444</v>
      </c>
    </row>
    <row r="23" spans="2:15" x14ac:dyDescent="0.25">
      <c r="B23" t="s">
        <v>314</v>
      </c>
      <c r="C23" t="s">
        <v>259</v>
      </c>
      <c r="D23">
        <v>1062</v>
      </c>
      <c r="E23">
        <v>422</v>
      </c>
      <c r="F23" t="s">
        <v>68</v>
      </c>
      <c r="G23" t="s">
        <v>165</v>
      </c>
      <c r="H23" t="s">
        <v>166</v>
      </c>
      <c r="I23">
        <v>0</v>
      </c>
      <c r="J23" t="s">
        <v>772</v>
      </c>
      <c r="K23">
        <v>45231.516064814816</v>
      </c>
    </row>
    <row r="24" spans="2:15" x14ac:dyDescent="0.25">
      <c r="B24" t="s">
        <v>314</v>
      </c>
      <c r="C24" t="s">
        <v>259</v>
      </c>
      <c r="D24">
        <v>1062</v>
      </c>
      <c r="E24">
        <v>10</v>
      </c>
      <c r="F24" t="s">
        <v>68</v>
      </c>
      <c r="G24" t="s">
        <v>168</v>
      </c>
      <c r="H24" t="s">
        <v>166</v>
      </c>
      <c r="I24">
        <v>0</v>
      </c>
      <c r="J24" t="s">
        <v>161</v>
      </c>
      <c r="K24">
        <v>45231.516967592594</v>
      </c>
    </row>
    <row r="25" spans="2:15" x14ac:dyDescent="0.25">
      <c r="B25" t="s">
        <v>314</v>
      </c>
      <c r="C25" t="s">
        <v>259</v>
      </c>
      <c r="D25">
        <v>1062</v>
      </c>
      <c r="E25">
        <v>300</v>
      </c>
      <c r="F25" t="s">
        <v>68</v>
      </c>
      <c r="G25" t="s">
        <v>161</v>
      </c>
      <c r="H25" t="s">
        <v>217</v>
      </c>
      <c r="I25">
        <v>0</v>
      </c>
      <c r="J25" t="s">
        <v>163</v>
      </c>
      <c r="K25">
        <v>45231.519120370373</v>
      </c>
    </row>
    <row r="26" spans="2:15" x14ac:dyDescent="0.25">
      <c r="B26" t="s">
        <v>169</v>
      </c>
      <c r="C26" t="s">
        <v>253</v>
      </c>
      <c r="D26">
        <v>1063</v>
      </c>
      <c r="E26">
        <v>12</v>
      </c>
      <c r="F26" t="s">
        <v>68</v>
      </c>
      <c r="G26" t="s">
        <v>771</v>
      </c>
      <c r="H26" t="s">
        <v>218</v>
      </c>
      <c r="I26">
        <v>0</v>
      </c>
      <c r="J26" t="s">
        <v>165</v>
      </c>
      <c r="K26">
        <v>45231.658310185187</v>
      </c>
    </row>
    <row r="27" spans="2:15" x14ac:dyDescent="0.25">
      <c r="B27" t="s">
        <v>169</v>
      </c>
      <c r="C27" t="s">
        <v>388</v>
      </c>
      <c r="D27">
        <v>1064</v>
      </c>
      <c r="E27">
        <v>4</v>
      </c>
      <c r="F27" t="s">
        <v>145</v>
      </c>
      <c r="G27" t="s">
        <v>64</v>
      </c>
      <c r="H27" t="s">
        <v>219</v>
      </c>
      <c r="I27">
        <v>0</v>
      </c>
      <c r="J27" t="s">
        <v>168</v>
      </c>
      <c r="K27">
        <v>45231.658356481479</v>
      </c>
      <c r="N27" t="s">
        <v>221</v>
      </c>
    </row>
    <row r="28" spans="2:15" x14ac:dyDescent="0.25">
      <c r="B28" t="s">
        <v>169</v>
      </c>
      <c r="C28" t="s">
        <v>383</v>
      </c>
      <c r="D28">
        <v>1065</v>
      </c>
      <c r="E28">
        <v>198</v>
      </c>
      <c r="F28" t="s">
        <v>145</v>
      </c>
      <c r="G28" t="s">
        <v>151</v>
      </c>
      <c r="H28" t="s">
        <v>147</v>
      </c>
      <c r="I28">
        <v>0</v>
      </c>
      <c r="J28" t="s">
        <v>170</v>
      </c>
      <c r="K28">
        <v>45231.658692129633</v>
      </c>
    </row>
    <row r="29" spans="2:15" x14ac:dyDescent="0.25">
      <c r="B29" t="s">
        <v>169</v>
      </c>
      <c r="C29" t="s">
        <v>255</v>
      </c>
      <c r="D29">
        <v>1066</v>
      </c>
      <c r="E29">
        <v>1000</v>
      </c>
      <c r="F29" t="s">
        <v>68</v>
      </c>
      <c r="G29" t="s">
        <v>131</v>
      </c>
      <c r="H29" t="s">
        <v>222</v>
      </c>
      <c r="I29">
        <v>0</v>
      </c>
      <c r="J29" t="s">
        <v>119</v>
      </c>
      <c r="K29">
        <v>45231.659155092595</v>
      </c>
    </row>
    <row r="30" spans="2:15" x14ac:dyDescent="0.25">
      <c r="B30" t="s">
        <v>169</v>
      </c>
      <c r="C30" t="s">
        <v>255</v>
      </c>
      <c r="D30">
        <v>1066</v>
      </c>
      <c r="E30">
        <v>12</v>
      </c>
      <c r="F30" t="s">
        <v>137</v>
      </c>
      <c r="G30" t="s">
        <v>143</v>
      </c>
      <c r="H30" t="s">
        <v>223</v>
      </c>
      <c r="I30">
        <v>0</v>
      </c>
      <c r="J30" t="s">
        <v>174</v>
      </c>
      <c r="K30">
        <v>45231.661168981482</v>
      </c>
    </row>
    <row r="31" spans="2:15" x14ac:dyDescent="0.25">
      <c r="B31" t="s">
        <v>169</v>
      </c>
      <c r="C31" t="s">
        <v>255</v>
      </c>
      <c r="D31">
        <v>1066</v>
      </c>
      <c r="E31">
        <v>6</v>
      </c>
      <c r="F31" t="s">
        <v>137</v>
      </c>
      <c r="G31" t="s">
        <v>141</v>
      </c>
      <c r="H31" t="s">
        <v>223</v>
      </c>
      <c r="I31">
        <v>0</v>
      </c>
      <c r="J31" t="s">
        <v>177</v>
      </c>
      <c r="K31">
        <v>45231.662118055552</v>
      </c>
    </row>
    <row r="32" spans="2:15" x14ac:dyDescent="0.25">
      <c r="B32" t="s">
        <v>314</v>
      </c>
      <c r="C32" t="s">
        <v>256</v>
      </c>
      <c r="D32">
        <v>1067</v>
      </c>
      <c r="E32">
        <v>100</v>
      </c>
      <c r="F32" t="s">
        <v>185</v>
      </c>
      <c r="G32" t="s">
        <v>186</v>
      </c>
      <c r="H32" t="s">
        <v>187</v>
      </c>
      <c r="I32">
        <v>0</v>
      </c>
      <c r="J32" t="s">
        <v>179</v>
      </c>
      <c r="K32">
        <v>45231.659317129626</v>
      </c>
      <c r="N32" t="s">
        <v>224</v>
      </c>
    </row>
    <row r="33" spans="2:14" x14ac:dyDescent="0.25">
      <c r="B33" t="s">
        <v>169</v>
      </c>
      <c r="C33" t="s">
        <v>254</v>
      </c>
      <c r="D33">
        <v>1068</v>
      </c>
      <c r="E33">
        <v>480</v>
      </c>
      <c r="F33" t="s">
        <v>68</v>
      </c>
      <c r="G33" t="s">
        <v>174</v>
      </c>
      <c r="H33" t="s">
        <v>225</v>
      </c>
      <c r="I33">
        <v>0</v>
      </c>
      <c r="J33" t="s">
        <v>773</v>
      </c>
      <c r="K33">
        <v>45232.418055555558</v>
      </c>
    </row>
    <row r="34" spans="2:14" x14ac:dyDescent="0.25">
      <c r="B34" t="s">
        <v>169</v>
      </c>
      <c r="C34" t="s">
        <v>254</v>
      </c>
      <c r="D34">
        <v>1068</v>
      </c>
      <c r="E34">
        <v>360</v>
      </c>
      <c r="F34" t="s">
        <v>145</v>
      </c>
      <c r="G34" t="s">
        <v>146</v>
      </c>
      <c r="H34" t="s">
        <v>147</v>
      </c>
      <c r="I34">
        <v>0</v>
      </c>
      <c r="J34" t="s">
        <v>181</v>
      </c>
      <c r="K34">
        <v>45232.419178240743</v>
      </c>
    </row>
    <row r="35" spans="2:14" x14ac:dyDescent="0.25">
      <c r="B35" t="s">
        <v>169</v>
      </c>
      <c r="C35" t="s">
        <v>254</v>
      </c>
      <c r="D35">
        <v>1068</v>
      </c>
      <c r="E35">
        <v>360</v>
      </c>
      <c r="F35" t="s">
        <v>145</v>
      </c>
      <c r="G35" t="s">
        <v>149</v>
      </c>
      <c r="H35" t="s">
        <v>147</v>
      </c>
      <c r="I35">
        <v>0</v>
      </c>
      <c r="J35" t="s">
        <v>183</v>
      </c>
      <c r="K35">
        <v>45232.419722222221</v>
      </c>
    </row>
    <row r="36" spans="2:14" x14ac:dyDescent="0.25">
      <c r="B36" t="s">
        <v>169</v>
      </c>
      <c r="C36" t="s">
        <v>254</v>
      </c>
      <c r="D36">
        <v>1068</v>
      </c>
      <c r="E36">
        <v>360</v>
      </c>
      <c r="F36" t="s">
        <v>145</v>
      </c>
      <c r="G36" t="s">
        <v>150</v>
      </c>
      <c r="H36" t="s">
        <v>147</v>
      </c>
      <c r="I36">
        <v>0</v>
      </c>
      <c r="J36" t="s">
        <v>186</v>
      </c>
      <c r="K36">
        <v>45232.42019675926</v>
      </c>
    </row>
    <row r="37" spans="2:14" x14ac:dyDescent="0.25">
      <c r="B37" t="s">
        <v>314</v>
      </c>
      <c r="C37" t="s">
        <v>518</v>
      </c>
      <c r="D37">
        <v>1070</v>
      </c>
      <c r="E37">
        <v>2000</v>
      </c>
      <c r="F37" t="s">
        <v>68</v>
      </c>
      <c r="G37" t="s">
        <v>152</v>
      </c>
      <c r="H37" t="s">
        <v>153</v>
      </c>
      <c r="I37">
        <v>0</v>
      </c>
      <c r="J37" t="s">
        <v>774</v>
      </c>
      <c r="K37">
        <v>45232.545243055552</v>
      </c>
    </row>
    <row r="38" spans="2:14" x14ac:dyDescent="0.25">
      <c r="B38" t="s">
        <v>314</v>
      </c>
      <c r="C38" t="s">
        <v>543</v>
      </c>
      <c r="D38">
        <v>1069</v>
      </c>
      <c r="E38">
        <v>2</v>
      </c>
      <c r="F38" t="s">
        <v>145</v>
      </c>
      <c r="G38" t="s">
        <v>226</v>
      </c>
      <c r="H38" t="s">
        <v>219</v>
      </c>
      <c r="I38">
        <v>0</v>
      </c>
      <c r="J38" t="s">
        <v>190</v>
      </c>
      <c r="K38">
        <v>45232.545312499999</v>
      </c>
      <c r="N38" t="s">
        <v>221</v>
      </c>
    </row>
    <row r="39" spans="2:14" x14ac:dyDescent="0.25">
      <c r="B39" t="s">
        <v>314</v>
      </c>
      <c r="C39" t="s">
        <v>543</v>
      </c>
      <c r="D39">
        <v>1069</v>
      </c>
      <c r="E39">
        <v>10</v>
      </c>
      <c r="F39" t="s">
        <v>145</v>
      </c>
      <c r="G39" t="s">
        <v>227</v>
      </c>
      <c r="H39" t="s">
        <v>219</v>
      </c>
      <c r="I39">
        <v>0</v>
      </c>
      <c r="J39" t="s">
        <v>423</v>
      </c>
      <c r="K39">
        <v>45232.545381944445</v>
      </c>
      <c r="N39" t="s">
        <v>221</v>
      </c>
    </row>
    <row r="40" spans="2:14" x14ac:dyDescent="0.25">
      <c r="B40" t="s">
        <v>314</v>
      </c>
      <c r="C40" t="s">
        <v>543</v>
      </c>
      <c r="D40">
        <v>1069</v>
      </c>
      <c r="E40">
        <v>10</v>
      </c>
      <c r="F40" t="s">
        <v>145</v>
      </c>
      <c r="G40" t="s">
        <v>228</v>
      </c>
      <c r="H40" t="s">
        <v>219</v>
      </c>
      <c r="I40">
        <v>0</v>
      </c>
      <c r="J40" t="s">
        <v>193</v>
      </c>
      <c r="K40">
        <v>45232.545405092591</v>
      </c>
      <c r="N40" t="s">
        <v>221</v>
      </c>
    </row>
    <row r="41" spans="2:14" x14ac:dyDescent="0.25">
      <c r="B41" t="s">
        <v>314</v>
      </c>
      <c r="C41" t="s">
        <v>543</v>
      </c>
      <c r="D41">
        <v>1069</v>
      </c>
      <c r="E41">
        <v>20</v>
      </c>
      <c r="F41" t="s">
        <v>145</v>
      </c>
      <c r="G41" t="s">
        <v>229</v>
      </c>
      <c r="H41" t="s">
        <v>219</v>
      </c>
      <c r="I41">
        <v>0</v>
      </c>
      <c r="J41" t="s">
        <v>212</v>
      </c>
      <c r="K41">
        <v>45232.545439814814</v>
      </c>
      <c r="N41" t="s">
        <v>221</v>
      </c>
    </row>
    <row r="42" spans="2:14" x14ac:dyDescent="0.25">
      <c r="B42" t="s">
        <v>314</v>
      </c>
      <c r="C42" t="s">
        <v>543</v>
      </c>
      <c r="D42">
        <v>1069</v>
      </c>
      <c r="E42">
        <v>2</v>
      </c>
      <c r="F42" t="s">
        <v>145</v>
      </c>
      <c r="G42" t="s">
        <v>230</v>
      </c>
      <c r="H42" t="s">
        <v>219</v>
      </c>
      <c r="I42">
        <v>0</v>
      </c>
      <c r="J42" t="s">
        <v>236</v>
      </c>
      <c r="K42">
        <v>45232.54550925926</v>
      </c>
      <c r="N42" t="s">
        <v>221</v>
      </c>
    </row>
    <row r="43" spans="2:14" x14ac:dyDescent="0.25">
      <c r="B43" t="s">
        <v>314</v>
      </c>
      <c r="C43" t="s">
        <v>543</v>
      </c>
      <c r="D43">
        <v>1069</v>
      </c>
      <c r="E43">
        <v>1</v>
      </c>
      <c r="F43" t="s">
        <v>145</v>
      </c>
      <c r="G43" t="s">
        <v>231</v>
      </c>
      <c r="H43" t="s">
        <v>219</v>
      </c>
      <c r="I43">
        <v>0</v>
      </c>
      <c r="J43" t="s">
        <v>237</v>
      </c>
      <c r="K43">
        <v>45232.545532407406</v>
      </c>
      <c r="N43" t="s">
        <v>221</v>
      </c>
    </row>
    <row r="44" spans="2:14" x14ac:dyDescent="0.25">
      <c r="B44" t="s">
        <v>314</v>
      </c>
      <c r="C44" t="s">
        <v>259</v>
      </c>
      <c r="D44">
        <v>1072</v>
      </c>
      <c r="E44">
        <v>50</v>
      </c>
      <c r="F44" t="s">
        <v>68</v>
      </c>
      <c r="G44" t="s">
        <v>168</v>
      </c>
      <c r="H44" t="s">
        <v>166</v>
      </c>
      <c r="I44">
        <v>0</v>
      </c>
      <c r="J44" t="s">
        <v>62</v>
      </c>
      <c r="K44">
        <v>45233.506597222222</v>
      </c>
      <c r="N44" t="s">
        <v>232</v>
      </c>
    </row>
    <row r="45" spans="2:14" x14ac:dyDescent="0.25">
      <c r="B45" t="s">
        <v>314</v>
      </c>
      <c r="C45" t="s">
        <v>260</v>
      </c>
      <c r="D45">
        <v>1073</v>
      </c>
      <c r="E45">
        <v>350</v>
      </c>
      <c r="F45" t="s">
        <v>137</v>
      </c>
      <c r="G45" t="s">
        <v>138</v>
      </c>
      <c r="H45" t="s">
        <v>139</v>
      </c>
      <c r="I45">
        <v>0</v>
      </c>
      <c r="J45" t="s">
        <v>238</v>
      </c>
      <c r="K45">
        <v>45233.50922453704</v>
      </c>
    </row>
    <row r="46" spans="2:14" x14ac:dyDescent="0.25">
      <c r="B46" t="s">
        <v>314</v>
      </c>
      <c r="C46" t="s">
        <v>361</v>
      </c>
      <c r="D46">
        <v>1071</v>
      </c>
      <c r="E46">
        <v>5000</v>
      </c>
      <c r="F46" t="s">
        <v>68</v>
      </c>
      <c r="G46" t="s">
        <v>117</v>
      </c>
      <c r="H46" t="s">
        <v>200</v>
      </c>
      <c r="I46">
        <v>0</v>
      </c>
      <c r="J46" t="s">
        <v>63</v>
      </c>
      <c r="K46">
        <v>45233.51021990741</v>
      </c>
    </row>
    <row r="47" spans="2:14" x14ac:dyDescent="0.25">
      <c r="B47" t="s">
        <v>169</v>
      </c>
      <c r="C47" t="s">
        <v>253</v>
      </c>
      <c r="D47">
        <v>1074</v>
      </c>
      <c r="E47">
        <v>24</v>
      </c>
      <c r="F47" t="s">
        <v>68</v>
      </c>
      <c r="G47" t="s">
        <v>771</v>
      </c>
      <c r="H47" t="s">
        <v>158</v>
      </c>
      <c r="I47">
        <v>0</v>
      </c>
      <c r="J47" t="s">
        <v>239</v>
      </c>
      <c r="K47">
        <v>45233.654537037037</v>
      </c>
    </row>
    <row r="48" spans="2:14" x14ac:dyDescent="0.25">
      <c r="B48" t="s">
        <v>169</v>
      </c>
      <c r="C48" t="s">
        <v>254</v>
      </c>
      <c r="D48">
        <v>1077</v>
      </c>
      <c r="E48">
        <v>100</v>
      </c>
      <c r="F48" t="s">
        <v>145</v>
      </c>
      <c r="G48" t="s">
        <v>146</v>
      </c>
      <c r="H48" t="s">
        <v>147</v>
      </c>
      <c r="I48">
        <v>0</v>
      </c>
      <c r="J48" t="s">
        <v>240</v>
      </c>
      <c r="K48">
        <v>45233.654675925929</v>
      </c>
    </row>
    <row r="49" spans="2:15" x14ac:dyDescent="0.25">
      <c r="B49" t="s">
        <v>169</v>
      </c>
      <c r="C49" t="s">
        <v>340</v>
      </c>
      <c r="D49">
        <v>1078</v>
      </c>
      <c r="E49">
        <v>1200</v>
      </c>
      <c r="F49" t="s">
        <v>68</v>
      </c>
      <c r="G49" t="s">
        <v>127</v>
      </c>
      <c r="H49" t="s">
        <v>128</v>
      </c>
      <c r="I49">
        <v>0</v>
      </c>
      <c r="J49" t="s">
        <v>241</v>
      </c>
      <c r="K49">
        <v>45233.654849537037</v>
      </c>
    </row>
    <row r="50" spans="2:15" x14ac:dyDescent="0.25">
      <c r="B50" t="s">
        <v>169</v>
      </c>
      <c r="C50" t="s">
        <v>255</v>
      </c>
      <c r="D50">
        <v>1075</v>
      </c>
      <c r="E50">
        <v>2000</v>
      </c>
      <c r="F50" t="s">
        <v>68</v>
      </c>
      <c r="G50" t="s">
        <v>131</v>
      </c>
      <c r="H50" t="s">
        <v>222</v>
      </c>
      <c r="I50">
        <v>0</v>
      </c>
      <c r="J50" t="s">
        <v>64</v>
      </c>
      <c r="K50">
        <v>45233.654999999999</v>
      </c>
    </row>
    <row r="51" spans="2:15" x14ac:dyDescent="0.25">
      <c r="B51" t="s">
        <v>169</v>
      </c>
      <c r="C51" t="s">
        <v>255</v>
      </c>
      <c r="D51">
        <v>1075</v>
      </c>
      <c r="E51">
        <v>10</v>
      </c>
      <c r="F51" t="s">
        <v>137</v>
      </c>
      <c r="G51" t="s">
        <v>141</v>
      </c>
      <c r="H51" t="s">
        <v>142</v>
      </c>
      <c r="I51">
        <v>0</v>
      </c>
      <c r="J51" t="s">
        <v>226</v>
      </c>
      <c r="K51">
        <v>45233.655486111114</v>
      </c>
    </row>
    <row r="52" spans="2:15" x14ac:dyDescent="0.25">
      <c r="B52" t="s">
        <v>169</v>
      </c>
      <c r="C52" t="s">
        <v>322</v>
      </c>
      <c r="D52">
        <v>1076</v>
      </c>
      <c r="E52">
        <v>2000</v>
      </c>
      <c r="F52" t="s">
        <v>68</v>
      </c>
      <c r="G52" t="s">
        <v>156</v>
      </c>
      <c r="H52" t="s">
        <v>233</v>
      </c>
      <c r="I52">
        <v>0</v>
      </c>
      <c r="J52" t="s">
        <v>227</v>
      </c>
      <c r="K52">
        <v>45233.655729166669</v>
      </c>
    </row>
    <row r="53" spans="2:15" x14ac:dyDescent="0.25">
      <c r="B53" t="s">
        <v>234</v>
      </c>
      <c r="C53" t="s">
        <v>202</v>
      </c>
      <c r="D53" t="s">
        <v>235</v>
      </c>
      <c r="E53">
        <v>2200</v>
      </c>
      <c r="F53" t="s">
        <v>137</v>
      </c>
      <c r="G53" t="s">
        <v>138</v>
      </c>
      <c r="H53" t="s">
        <v>139</v>
      </c>
      <c r="I53">
        <v>0</v>
      </c>
      <c r="J53" t="s">
        <v>228</v>
      </c>
      <c r="K53">
        <v>45236.532256944447</v>
      </c>
    </row>
    <row r="54" spans="2:15" x14ac:dyDescent="0.25">
      <c r="B54" t="s">
        <v>234</v>
      </c>
      <c r="C54" t="s">
        <v>202</v>
      </c>
      <c r="D54" t="s">
        <v>235</v>
      </c>
      <c r="E54">
        <v>2400</v>
      </c>
      <c r="F54" t="s">
        <v>137</v>
      </c>
      <c r="G54" t="s">
        <v>141</v>
      </c>
      <c r="H54" t="s">
        <v>142</v>
      </c>
      <c r="I54">
        <v>0</v>
      </c>
      <c r="J54" t="s">
        <v>229</v>
      </c>
      <c r="K54">
        <v>45236.532187500001</v>
      </c>
    </row>
    <row r="55" spans="2:15" x14ac:dyDescent="0.25">
      <c r="B55" t="s">
        <v>753</v>
      </c>
      <c r="C55" t="s">
        <v>242</v>
      </c>
      <c r="D55" t="s">
        <v>67</v>
      </c>
      <c r="E55">
        <v>3456</v>
      </c>
      <c r="F55" t="s">
        <v>68</v>
      </c>
      <c r="G55" t="s">
        <v>165</v>
      </c>
      <c r="H55" t="s">
        <v>166</v>
      </c>
      <c r="I55" t="s">
        <v>243</v>
      </c>
      <c r="J55">
        <v>1</v>
      </c>
      <c r="K55">
        <v>45237.457673611112</v>
      </c>
      <c r="O55">
        <v>3000</v>
      </c>
    </row>
    <row r="56" spans="2:15" x14ac:dyDescent="0.25">
      <c r="B56" t="s">
        <v>246</v>
      </c>
      <c r="C56" t="s">
        <v>66</v>
      </c>
      <c r="D56" t="s">
        <v>66</v>
      </c>
      <c r="E56">
        <v>2000</v>
      </c>
      <c r="F56" t="s">
        <v>68</v>
      </c>
      <c r="G56" t="s">
        <v>163</v>
      </c>
      <c r="H56" t="s">
        <v>164</v>
      </c>
      <c r="I56" t="s">
        <v>115</v>
      </c>
      <c r="J56">
        <v>1</v>
      </c>
      <c r="K56">
        <v>45238.746886574074</v>
      </c>
      <c r="M56">
        <v>45232</v>
      </c>
    </row>
    <row r="57" spans="2:15" x14ac:dyDescent="0.25">
      <c r="B57" t="s">
        <v>314</v>
      </c>
      <c r="C57" t="s">
        <v>337</v>
      </c>
      <c r="D57">
        <v>1104</v>
      </c>
      <c r="E57">
        <v>360</v>
      </c>
      <c r="F57" t="s">
        <v>68</v>
      </c>
      <c r="G57" t="s">
        <v>174</v>
      </c>
      <c r="H57" t="s">
        <v>225</v>
      </c>
      <c r="I57">
        <v>0</v>
      </c>
      <c r="J57">
        <v>0</v>
      </c>
      <c r="K57">
        <v>45238.748333333337</v>
      </c>
    </row>
    <row r="58" spans="2:15" x14ac:dyDescent="0.25">
      <c r="B58" t="s">
        <v>314</v>
      </c>
      <c r="C58" t="s">
        <v>357</v>
      </c>
      <c r="D58">
        <v>1103</v>
      </c>
      <c r="E58">
        <v>240</v>
      </c>
      <c r="F58" t="s">
        <v>145</v>
      </c>
      <c r="G58" t="s">
        <v>150</v>
      </c>
      <c r="H58" t="s">
        <v>147</v>
      </c>
      <c r="I58">
        <v>0</v>
      </c>
      <c r="J58">
        <v>0</v>
      </c>
      <c r="K58">
        <v>45238.749212962961</v>
      </c>
      <c r="O58">
        <v>3000</v>
      </c>
    </row>
    <row r="59" spans="2:15" x14ac:dyDescent="0.25">
      <c r="B59" t="s">
        <v>314</v>
      </c>
      <c r="C59" t="s">
        <v>754</v>
      </c>
      <c r="D59">
        <v>1102</v>
      </c>
      <c r="E59">
        <v>1000</v>
      </c>
      <c r="F59" t="s">
        <v>68</v>
      </c>
      <c r="G59" t="s">
        <v>190</v>
      </c>
      <c r="H59" t="s">
        <v>191</v>
      </c>
      <c r="I59">
        <v>0</v>
      </c>
      <c r="J59">
        <v>0</v>
      </c>
      <c r="K59">
        <v>45238.750486111108</v>
      </c>
      <c r="O59">
        <v>2400</v>
      </c>
    </row>
    <row r="60" spans="2:15" x14ac:dyDescent="0.25">
      <c r="B60" t="s">
        <v>314</v>
      </c>
      <c r="C60" t="s">
        <v>361</v>
      </c>
      <c r="D60">
        <v>1101</v>
      </c>
      <c r="E60">
        <v>3500</v>
      </c>
      <c r="F60" t="s">
        <v>68</v>
      </c>
      <c r="G60" t="s">
        <v>117</v>
      </c>
      <c r="H60" t="s">
        <v>118</v>
      </c>
      <c r="I60">
        <v>0</v>
      </c>
      <c r="J60">
        <v>0</v>
      </c>
      <c r="K60">
        <v>45238.751608796294</v>
      </c>
    </row>
    <row r="61" spans="2:15" x14ac:dyDescent="0.25">
      <c r="B61" t="s">
        <v>314</v>
      </c>
      <c r="C61" t="s">
        <v>260</v>
      </c>
      <c r="D61">
        <v>1100</v>
      </c>
      <c r="E61">
        <v>16500</v>
      </c>
      <c r="F61" t="s">
        <v>68</v>
      </c>
      <c r="G61" t="s">
        <v>113</v>
      </c>
      <c r="H61" t="s">
        <v>114</v>
      </c>
      <c r="I61">
        <v>0</v>
      </c>
      <c r="J61">
        <v>0</v>
      </c>
      <c r="K61">
        <v>45238.752418981479</v>
      </c>
      <c r="O61">
        <v>10</v>
      </c>
    </row>
    <row r="62" spans="2:15" x14ac:dyDescent="0.25">
      <c r="B62" t="s">
        <v>314</v>
      </c>
      <c r="C62" t="s">
        <v>260</v>
      </c>
      <c r="D62">
        <v>1100</v>
      </c>
      <c r="E62">
        <v>40</v>
      </c>
      <c r="F62" t="s">
        <v>68</v>
      </c>
      <c r="G62" t="s">
        <v>773</v>
      </c>
      <c r="H62" t="s">
        <v>180</v>
      </c>
      <c r="I62">
        <v>0</v>
      </c>
      <c r="J62">
        <v>0</v>
      </c>
      <c r="K62">
        <v>45238.752743055556</v>
      </c>
      <c r="O62">
        <v>10</v>
      </c>
    </row>
    <row r="63" spans="2:15" x14ac:dyDescent="0.25">
      <c r="B63" t="s">
        <v>314</v>
      </c>
      <c r="C63" t="s">
        <v>260</v>
      </c>
      <c r="D63">
        <v>1100</v>
      </c>
      <c r="E63">
        <v>60</v>
      </c>
      <c r="F63" t="s">
        <v>68</v>
      </c>
      <c r="G63" t="s">
        <v>177</v>
      </c>
      <c r="H63" t="s">
        <v>178</v>
      </c>
      <c r="I63">
        <v>0</v>
      </c>
      <c r="J63">
        <v>0</v>
      </c>
      <c r="K63">
        <v>45238.752951388888</v>
      </c>
      <c r="O63">
        <v>10</v>
      </c>
    </row>
    <row r="64" spans="2:15" x14ac:dyDescent="0.25">
      <c r="B64" t="s">
        <v>314</v>
      </c>
      <c r="C64" t="s">
        <v>260</v>
      </c>
      <c r="D64">
        <v>1100</v>
      </c>
      <c r="E64">
        <v>24</v>
      </c>
      <c r="F64" t="s">
        <v>68</v>
      </c>
      <c r="G64" t="s">
        <v>772</v>
      </c>
      <c r="H64" t="s">
        <v>160</v>
      </c>
      <c r="I64">
        <v>0</v>
      </c>
      <c r="J64">
        <v>0</v>
      </c>
      <c r="K64">
        <v>45238.753159722219</v>
      </c>
      <c r="O64">
        <v>144</v>
      </c>
    </row>
    <row r="65" spans="2:15" x14ac:dyDescent="0.25">
      <c r="B65" t="s">
        <v>169</v>
      </c>
      <c r="C65" t="s">
        <v>256</v>
      </c>
      <c r="D65">
        <v>1106</v>
      </c>
      <c r="E65">
        <v>160</v>
      </c>
      <c r="F65" t="s">
        <v>185</v>
      </c>
      <c r="G65" t="s">
        <v>186</v>
      </c>
      <c r="H65" t="s">
        <v>187</v>
      </c>
      <c r="I65">
        <v>0</v>
      </c>
      <c r="J65">
        <v>0</v>
      </c>
      <c r="K65">
        <v>45238.753935185188</v>
      </c>
      <c r="O65">
        <v>144</v>
      </c>
    </row>
    <row r="66" spans="2:15" x14ac:dyDescent="0.25">
      <c r="B66" t="s">
        <v>169</v>
      </c>
      <c r="C66" t="s">
        <v>254</v>
      </c>
      <c r="D66">
        <v>1109</v>
      </c>
      <c r="E66">
        <v>480</v>
      </c>
      <c r="F66" t="s">
        <v>68</v>
      </c>
      <c r="G66" t="s">
        <v>174</v>
      </c>
      <c r="H66" t="s">
        <v>225</v>
      </c>
      <c r="I66">
        <v>0</v>
      </c>
      <c r="J66">
        <v>0</v>
      </c>
      <c r="K66">
        <v>45238.756006944444</v>
      </c>
      <c r="O66">
        <v>144</v>
      </c>
    </row>
    <row r="67" spans="2:15" x14ac:dyDescent="0.25">
      <c r="B67" t="s">
        <v>169</v>
      </c>
      <c r="C67" t="s">
        <v>254</v>
      </c>
      <c r="D67">
        <v>1109</v>
      </c>
      <c r="E67">
        <v>480</v>
      </c>
      <c r="F67" t="s">
        <v>145</v>
      </c>
      <c r="G67" t="s">
        <v>146</v>
      </c>
      <c r="H67" t="s">
        <v>147</v>
      </c>
      <c r="I67">
        <v>0</v>
      </c>
      <c r="J67">
        <v>0</v>
      </c>
      <c r="K67">
        <v>45238.75644675926</v>
      </c>
      <c r="O67">
        <v>144</v>
      </c>
    </row>
    <row r="68" spans="2:15" x14ac:dyDescent="0.25">
      <c r="B68" t="s">
        <v>169</v>
      </c>
      <c r="C68" t="s">
        <v>255</v>
      </c>
      <c r="D68">
        <v>1108</v>
      </c>
      <c r="E68">
        <v>1500</v>
      </c>
      <c r="F68" t="s">
        <v>68</v>
      </c>
      <c r="G68" t="s">
        <v>131</v>
      </c>
      <c r="H68" t="s">
        <v>222</v>
      </c>
      <c r="I68">
        <v>0</v>
      </c>
      <c r="J68">
        <v>0</v>
      </c>
      <c r="K68">
        <v>45238.757870370369</v>
      </c>
      <c r="O68">
        <v>24</v>
      </c>
    </row>
    <row r="69" spans="2:15" x14ac:dyDescent="0.25">
      <c r="B69" t="s">
        <v>169</v>
      </c>
      <c r="C69" t="s">
        <v>255</v>
      </c>
      <c r="D69">
        <v>1108</v>
      </c>
      <c r="E69">
        <v>10</v>
      </c>
      <c r="F69" t="s">
        <v>137</v>
      </c>
      <c r="G69" t="s">
        <v>141</v>
      </c>
      <c r="H69" t="s">
        <v>142</v>
      </c>
      <c r="I69">
        <v>0</v>
      </c>
      <c r="J69">
        <v>0</v>
      </c>
      <c r="K69">
        <v>45238.758252314816</v>
      </c>
      <c r="O69">
        <v>440</v>
      </c>
    </row>
    <row r="70" spans="2:15" x14ac:dyDescent="0.25">
      <c r="B70" t="s">
        <v>169</v>
      </c>
      <c r="C70" t="s">
        <v>255</v>
      </c>
      <c r="D70">
        <v>1108</v>
      </c>
      <c r="E70">
        <v>10</v>
      </c>
      <c r="F70" t="s">
        <v>137</v>
      </c>
      <c r="G70" t="s">
        <v>143</v>
      </c>
      <c r="H70" t="s">
        <v>144</v>
      </c>
      <c r="I70">
        <v>0</v>
      </c>
      <c r="J70">
        <v>0</v>
      </c>
      <c r="K70">
        <v>45238.758530092593</v>
      </c>
      <c r="O70">
        <v>500</v>
      </c>
    </row>
    <row r="71" spans="2:15" x14ac:dyDescent="0.25">
      <c r="B71" t="s">
        <v>169</v>
      </c>
      <c r="C71" t="s">
        <v>253</v>
      </c>
      <c r="D71">
        <v>1107</v>
      </c>
      <c r="E71">
        <v>15</v>
      </c>
      <c r="F71" t="s">
        <v>68</v>
      </c>
      <c r="G71" t="s">
        <v>771</v>
      </c>
      <c r="H71" t="s">
        <v>158</v>
      </c>
      <c r="I71">
        <v>0</v>
      </c>
      <c r="J71">
        <v>0</v>
      </c>
      <c r="K71">
        <v>45238.759120370371</v>
      </c>
      <c r="O71">
        <v>24</v>
      </c>
    </row>
    <row r="72" spans="2:15" x14ac:dyDescent="0.25">
      <c r="B72" t="s">
        <v>169</v>
      </c>
      <c r="C72" t="s">
        <v>263</v>
      </c>
      <c r="D72">
        <v>1110</v>
      </c>
      <c r="E72">
        <v>3000</v>
      </c>
      <c r="F72" t="s">
        <v>68</v>
      </c>
      <c r="G72" t="s">
        <v>156</v>
      </c>
      <c r="H72" t="s">
        <v>233</v>
      </c>
      <c r="I72">
        <v>0</v>
      </c>
      <c r="J72">
        <v>0</v>
      </c>
      <c r="K72">
        <v>45239.48946759259</v>
      </c>
      <c r="O72">
        <v>60</v>
      </c>
    </row>
    <row r="73" spans="2:15" x14ac:dyDescent="0.25">
      <c r="B73" t="s">
        <v>169</v>
      </c>
      <c r="C73" t="s">
        <v>340</v>
      </c>
      <c r="D73">
        <v>1111</v>
      </c>
      <c r="E73">
        <v>2000</v>
      </c>
      <c r="F73" t="s">
        <v>68</v>
      </c>
      <c r="G73" t="s">
        <v>129</v>
      </c>
      <c r="H73" t="s">
        <v>130</v>
      </c>
      <c r="I73">
        <v>0</v>
      </c>
      <c r="J73">
        <v>0</v>
      </c>
      <c r="K73">
        <v>45240.715162037035</v>
      </c>
      <c r="O73">
        <v>4</v>
      </c>
    </row>
    <row r="74" spans="2:15" x14ac:dyDescent="0.25">
      <c r="B74" t="s">
        <v>169</v>
      </c>
      <c r="C74" t="s">
        <v>257</v>
      </c>
      <c r="D74">
        <v>1112</v>
      </c>
      <c r="E74">
        <v>8000</v>
      </c>
      <c r="F74" t="s">
        <v>68</v>
      </c>
      <c r="G74" t="s">
        <v>113</v>
      </c>
      <c r="H74" t="s">
        <v>114</v>
      </c>
      <c r="I74">
        <v>0</v>
      </c>
      <c r="J74">
        <v>0</v>
      </c>
      <c r="K74">
        <v>45240.715231481481</v>
      </c>
      <c r="O74">
        <v>200</v>
      </c>
    </row>
    <row r="75" spans="2:15" x14ac:dyDescent="0.25">
      <c r="B75" t="s">
        <v>169</v>
      </c>
      <c r="C75" t="s">
        <v>255</v>
      </c>
      <c r="D75">
        <v>1113</v>
      </c>
      <c r="E75">
        <v>2000</v>
      </c>
      <c r="F75" t="s">
        <v>68</v>
      </c>
      <c r="G75" t="s">
        <v>131</v>
      </c>
      <c r="H75" t="s">
        <v>222</v>
      </c>
      <c r="I75">
        <v>0</v>
      </c>
      <c r="J75">
        <v>0</v>
      </c>
      <c r="K75">
        <v>45240.715289351851</v>
      </c>
      <c r="O75">
        <v>100</v>
      </c>
    </row>
    <row r="76" spans="2:15" x14ac:dyDescent="0.25">
      <c r="B76" t="s">
        <v>169</v>
      </c>
      <c r="C76" t="s">
        <v>255</v>
      </c>
      <c r="D76">
        <v>1113</v>
      </c>
      <c r="E76">
        <v>10</v>
      </c>
      <c r="F76" t="s">
        <v>137</v>
      </c>
      <c r="G76" t="s">
        <v>141</v>
      </c>
      <c r="H76" t="s">
        <v>142</v>
      </c>
      <c r="I76">
        <v>0</v>
      </c>
      <c r="J76">
        <v>0</v>
      </c>
      <c r="K76">
        <v>45240.71534722222</v>
      </c>
    </row>
    <row r="77" spans="2:15" x14ac:dyDescent="0.25">
      <c r="B77" t="s">
        <v>169</v>
      </c>
      <c r="C77" t="s">
        <v>255</v>
      </c>
      <c r="D77">
        <v>1113</v>
      </c>
      <c r="E77">
        <v>10</v>
      </c>
      <c r="F77" t="s">
        <v>137</v>
      </c>
      <c r="G77" t="s">
        <v>143</v>
      </c>
      <c r="H77" t="s">
        <v>144</v>
      </c>
      <c r="I77">
        <v>0</v>
      </c>
      <c r="J77">
        <v>0</v>
      </c>
      <c r="K77">
        <v>45240.71539351852</v>
      </c>
    </row>
    <row r="78" spans="2:15" x14ac:dyDescent="0.25">
      <c r="B78" t="s">
        <v>169</v>
      </c>
      <c r="C78" t="s">
        <v>254</v>
      </c>
      <c r="D78">
        <v>1114</v>
      </c>
      <c r="E78">
        <v>68</v>
      </c>
      <c r="F78" t="s">
        <v>145</v>
      </c>
      <c r="G78" t="s">
        <v>146</v>
      </c>
      <c r="H78" t="s">
        <v>147</v>
      </c>
      <c r="I78">
        <v>0</v>
      </c>
      <c r="J78">
        <v>0</v>
      </c>
      <c r="K78">
        <v>45240.715462962966</v>
      </c>
      <c r="O78">
        <v>36</v>
      </c>
    </row>
    <row r="79" spans="2:15" x14ac:dyDescent="0.25">
      <c r="B79" t="s">
        <v>247</v>
      </c>
      <c r="C79" t="s">
        <v>755</v>
      </c>
      <c r="D79">
        <v>789363</v>
      </c>
      <c r="E79">
        <v>2000</v>
      </c>
      <c r="F79" t="s">
        <v>68</v>
      </c>
      <c r="G79" t="s">
        <v>212</v>
      </c>
      <c r="H79" t="s">
        <v>213</v>
      </c>
      <c r="I79" t="s">
        <v>154</v>
      </c>
      <c r="J79">
        <v>1</v>
      </c>
      <c r="K79">
        <v>45244.428923611114</v>
      </c>
      <c r="M79">
        <v>45180</v>
      </c>
      <c r="O79">
        <v>96</v>
      </c>
    </row>
    <row r="80" spans="2:15" x14ac:dyDescent="0.25">
      <c r="B80" t="s">
        <v>248</v>
      </c>
      <c r="C80" t="s">
        <v>756</v>
      </c>
      <c r="D80">
        <v>797939</v>
      </c>
      <c r="E80">
        <v>6000</v>
      </c>
      <c r="F80" t="s">
        <v>145</v>
      </c>
      <c r="G80" t="s">
        <v>190</v>
      </c>
      <c r="H80" t="s">
        <v>191</v>
      </c>
      <c r="I80" t="s">
        <v>154</v>
      </c>
      <c r="J80">
        <v>1</v>
      </c>
      <c r="K80">
        <v>45244.42863425926</v>
      </c>
      <c r="M80">
        <v>45180</v>
      </c>
      <c r="O80">
        <v>300</v>
      </c>
    </row>
    <row r="81" spans="2:15" x14ac:dyDescent="0.25">
      <c r="B81" t="s">
        <v>249</v>
      </c>
      <c r="C81" t="s">
        <v>250</v>
      </c>
      <c r="D81" t="s">
        <v>242</v>
      </c>
      <c r="E81">
        <v>720</v>
      </c>
      <c r="F81" t="s">
        <v>145</v>
      </c>
      <c r="G81" t="s">
        <v>151</v>
      </c>
      <c r="H81" t="s">
        <v>147</v>
      </c>
      <c r="I81" t="s">
        <v>148</v>
      </c>
      <c r="J81">
        <v>1</v>
      </c>
      <c r="K81">
        <v>45244.428148148145</v>
      </c>
      <c r="M81">
        <v>45210</v>
      </c>
      <c r="O81">
        <v>4</v>
      </c>
    </row>
    <row r="82" spans="2:15" x14ac:dyDescent="0.25">
      <c r="B82" t="s">
        <v>169</v>
      </c>
      <c r="C82" t="s">
        <v>251</v>
      </c>
      <c r="D82">
        <v>1118</v>
      </c>
      <c r="E82">
        <v>40</v>
      </c>
      <c r="F82" t="s">
        <v>68</v>
      </c>
      <c r="G82" t="s">
        <v>119</v>
      </c>
      <c r="H82" t="s">
        <v>252</v>
      </c>
      <c r="I82">
        <v>0</v>
      </c>
      <c r="J82">
        <v>0</v>
      </c>
      <c r="K82">
        <v>45244.724849537037</v>
      </c>
      <c r="O82">
        <v>500</v>
      </c>
    </row>
    <row r="83" spans="2:15" x14ac:dyDescent="0.25">
      <c r="B83" t="s">
        <v>169</v>
      </c>
      <c r="C83" t="s">
        <v>253</v>
      </c>
      <c r="D83">
        <v>1120</v>
      </c>
      <c r="E83">
        <v>26</v>
      </c>
      <c r="F83" t="s">
        <v>68</v>
      </c>
      <c r="G83" t="s">
        <v>771</v>
      </c>
      <c r="H83" t="s">
        <v>158</v>
      </c>
      <c r="I83">
        <v>0</v>
      </c>
      <c r="J83">
        <v>0</v>
      </c>
      <c r="K83">
        <v>45244.724803240744</v>
      </c>
      <c r="O83">
        <v>100</v>
      </c>
    </row>
    <row r="84" spans="2:15" x14ac:dyDescent="0.25">
      <c r="B84" t="s">
        <v>169</v>
      </c>
      <c r="C84" t="s">
        <v>254</v>
      </c>
      <c r="D84">
        <v>1119</v>
      </c>
      <c r="E84">
        <v>480</v>
      </c>
      <c r="F84" t="s">
        <v>68</v>
      </c>
      <c r="G84" t="s">
        <v>174</v>
      </c>
      <c r="H84" t="s">
        <v>225</v>
      </c>
      <c r="I84">
        <v>0</v>
      </c>
      <c r="J84">
        <v>0</v>
      </c>
      <c r="K84">
        <v>45244.724710648145</v>
      </c>
      <c r="O84">
        <v>2400</v>
      </c>
    </row>
    <row r="85" spans="2:15" x14ac:dyDescent="0.25">
      <c r="B85" t="s">
        <v>169</v>
      </c>
      <c r="C85" t="s">
        <v>255</v>
      </c>
      <c r="D85">
        <v>1121</v>
      </c>
      <c r="E85">
        <v>3600</v>
      </c>
      <c r="F85" t="s">
        <v>68</v>
      </c>
      <c r="G85" t="s">
        <v>131</v>
      </c>
      <c r="H85" t="s">
        <v>222</v>
      </c>
      <c r="I85">
        <v>0</v>
      </c>
      <c r="J85">
        <v>0</v>
      </c>
      <c r="K85">
        <v>45244.724618055552</v>
      </c>
    </row>
    <row r="86" spans="2:15" x14ac:dyDescent="0.25">
      <c r="B86" t="s">
        <v>169</v>
      </c>
      <c r="C86" t="s">
        <v>255</v>
      </c>
      <c r="D86">
        <v>1121</v>
      </c>
      <c r="E86">
        <v>5</v>
      </c>
      <c r="F86" t="s">
        <v>137</v>
      </c>
      <c r="G86" t="s">
        <v>141</v>
      </c>
      <c r="H86" t="s">
        <v>142</v>
      </c>
      <c r="I86">
        <v>0</v>
      </c>
      <c r="J86">
        <v>0</v>
      </c>
      <c r="K86">
        <v>45244.724560185183</v>
      </c>
      <c r="O86">
        <v>20</v>
      </c>
    </row>
    <row r="87" spans="2:15" x14ac:dyDescent="0.25">
      <c r="B87" t="s">
        <v>169</v>
      </c>
      <c r="C87" t="s">
        <v>255</v>
      </c>
      <c r="D87">
        <v>1121</v>
      </c>
      <c r="E87">
        <v>150</v>
      </c>
      <c r="F87" t="s">
        <v>68</v>
      </c>
      <c r="G87" t="s">
        <v>177</v>
      </c>
      <c r="H87" t="s">
        <v>178</v>
      </c>
      <c r="I87">
        <v>0</v>
      </c>
      <c r="J87">
        <v>0</v>
      </c>
      <c r="K87">
        <v>45244.724930555552</v>
      </c>
      <c r="O87">
        <v>100</v>
      </c>
    </row>
    <row r="88" spans="2:15" x14ac:dyDescent="0.25">
      <c r="B88" t="s">
        <v>169</v>
      </c>
      <c r="C88" t="s">
        <v>256</v>
      </c>
      <c r="D88">
        <v>1122</v>
      </c>
      <c r="E88">
        <v>408</v>
      </c>
      <c r="F88" t="s">
        <v>68</v>
      </c>
      <c r="G88" t="s">
        <v>152</v>
      </c>
      <c r="H88" t="s">
        <v>153</v>
      </c>
      <c r="I88">
        <v>0</v>
      </c>
      <c r="J88">
        <v>0</v>
      </c>
      <c r="K88">
        <v>45244.724999999999</v>
      </c>
      <c r="O88">
        <v>2000</v>
      </c>
    </row>
    <row r="89" spans="2:15" x14ac:dyDescent="0.25">
      <c r="B89" t="s">
        <v>169</v>
      </c>
      <c r="C89" t="s">
        <v>257</v>
      </c>
      <c r="D89">
        <v>1123</v>
      </c>
      <c r="E89">
        <v>2000</v>
      </c>
      <c r="F89" t="s">
        <v>68</v>
      </c>
      <c r="G89" t="s">
        <v>135</v>
      </c>
      <c r="H89" t="s">
        <v>136</v>
      </c>
      <c r="I89">
        <v>0</v>
      </c>
      <c r="J89">
        <v>0</v>
      </c>
      <c r="K89">
        <v>45244.725057870368</v>
      </c>
      <c r="O89">
        <v>40</v>
      </c>
    </row>
    <row r="90" spans="2:15" x14ac:dyDescent="0.25">
      <c r="B90" t="s">
        <v>314</v>
      </c>
      <c r="C90" t="s">
        <v>258</v>
      </c>
      <c r="D90">
        <v>1115</v>
      </c>
      <c r="E90">
        <v>900</v>
      </c>
      <c r="F90" t="s">
        <v>68</v>
      </c>
      <c r="G90" t="s">
        <v>125</v>
      </c>
      <c r="H90" t="s">
        <v>126</v>
      </c>
      <c r="I90">
        <v>0</v>
      </c>
      <c r="J90">
        <v>0</v>
      </c>
      <c r="K90">
        <v>45245.736203703702</v>
      </c>
      <c r="O90">
        <v>36</v>
      </c>
    </row>
    <row r="91" spans="2:15" x14ac:dyDescent="0.25">
      <c r="B91" t="s">
        <v>314</v>
      </c>
      <c r="C91" t="s">
        <v>258</v>
      </c>
      <c r="D91">
        <v>1115</v>
      </c>
      <c r="E91">
        <v>15</v>
      </c>
      <c r="F91" t="s">
        <v>68</v>
      </c>
      <c r="G91" t="s">
        <v>771</v>
      </c>
      <c r="H91" t="s">
        <v>158</v>
      </c>
      <c r="I91">
        <v>0</v>
      </c>
      <c r="J91">
        <v>0</v>
      </c>
      <c r="K91">
        <v>45245.736238425925</v>
      </c>
      <c r="O91">
        <v>100</v>
      </c>
    </row>
    <row r="92" spans="2:15" x14ac:dyDescent="0.25">
      <c r="B92" t="s">
        <v>314</v>
      </c>
      <c r="C92" t="s">
        <v>259</v>
      </c>
      <c r="D92">
        <v>1116</v>
      </c>
      <c r="E92">
        <v>520</v>
      </c>
      <c r="F92" t="s">
        <v>68</v>
      </c>
      <c r="G92" t="s">
        <v>165</v>
      </c>
      <c r="H92" t="s">
        <v>166</v>
      </c>
      <c r="I92">
        <v>0</v>
      </c>
      <c r="J92">
        <v>0</v>
      </c>
      <c r="K92">
        <v>45245.736273148148</v>
      </c>
      <c r="O92">
        <v>1</v>
      </c>
    </row>
    <row r="93" spans="2:15" x14ac:dyDescent="0.25">
      <c r="B93" t="s">
        <v>314</v>
      </c>
      <c r="C93" t="s">
        <v>259</v>
      </c>
      <c r="D93">
        <v>1116</v>
      </c>
      <c r="E93">
        <v>34</v>
      </c>
      <c r="F93" t="s">
        <v>68</v>
      </c>
      <c r="G93" t="s">
        <v>119</v>
      </c>
      <c r="H93" t="s">
        <v>252</v>
      </c>
      <c r="I93">
        <v>0</v>
      </c>
      <c r="J93">
        <v>0</v>
      </c>
      <c r="K93">
        <v>45245.736319444448</v>
      </c>
      <c r="O93">
        <v>1</v>
      </c>
    </row>
    <row r="94" spans="2:15" x14ac:dyDescent="0.25">
      <c r="B94" t="s">
        <v>314</v>
      </c>
      <c r="C94" t="s">
        <v>260</v>
      </c>
      <c r="D94">
        <v>1117</v>
      </c>
      <c r="E94">
        <v>300</v>
      </c>
      <c r="F94" t="s">
        <v>137</v>
      </c>
      <c r="G94" t="s">
        <v>138</v>
      </c>
      <c r="H94" t="s">
        <v>139</v>
      </c>
      <c r="I94">
        <v>0</v>
      </c>
      <c r="J94">
        <v>0</v>
      </c>
      <c r="K94">
        <v>45245.73636574074</v>
      </c>
      <c r="O94">
        <v>1</v>
      </c>
    </row>
    <row r="95" spans="2:15" x14ac:dyDescent="0.25">
      <c r="B95" t="s">
        <v>780</v>
      </c>
      <c r="C95" t="s">
        <v>261</v>
      </c>
      <c r="D95">
        <v>134952</v>
      </c>
      <c r="E95">
        <v>100000</v>
      </c>
      <c r="F95" t="s">
        <v>68</v>
      </c>
      <c r="G95" t="s">
        <v>113</v>
      </c>
      <c r="H95" t="s">
        <v>114</v>
      </c>
      <c r="I95" t="s">
        <v>115</v>
      </c>
      <c r="J95">
        <v>1</v>
      </c>
      <c r="K95">
        <v>45245.542384259257</v>
      </c>
      <c r="M95">
        <v>44937</v>
      </c>
      <c r="O95">
        <v>1</v>
      </c>
    </row>
    <row r="96" spans="2:15" x14ac:dyDescent="0.25">
      <c r="B96" t="s">
        <v>780</v>
      </c>
      <c r="C96" t="s">
        <v>261</v>
      </c>
      <c r="D96">
        <v>134952</v>
      </c>
      <c r="E96">
        <v>60000</v>
      </c>
      <c r="F96" t="s">
        <v>68</v>
      </c>
      <c r="G96" t="s">
        <v>133</v>
      </c>
      <c r="H96" t="s">
        <v>134</v>
      </c>
      <c r="I96" t="s">
        <v>115</v>
      </c>
      <c r="J96">
        <v>1</v>
      </c>
      <c r="K96">
        <v>45245.542638888888</v>
      </c>
      <c r="M96">
        <v>44937</v>
      </c>
      <c r="O96">
        <v>1</v>
      </c>
    </row>
    <row r="97" spans="2:15" x14ac:dyDescent="0.25">
      <c r="B97" t="s">
        <v>780</v>
      </c>
      <c r="C97" t="s">
        <v>261</v>
      </c>
      <c r="D97">
        <v>134952</v>
      </c>
      <c r="E97">
        <v>15000</v>
      </c>
      <c r="F97" t="s">
        <v>68</v>
      </c>
      <c r="G97" t="s">
        <v>131</v>
      </c>
      <c r="H97" t="s">
        <v>222</v>
      </c>
      <c r="I97" t="s">
        <v>115</v>
      </c>
      <c r="J97">
        <v>1</v>
      </c>
      <c r="K97">
        <v>45245.542731481481</v>
      </c>
      <c r="M97">
        <v>44937</v>
      </c>
      <c r="O97">
        <v>1</v>
      </c>
    </row>
    <row r="98" spans="2:15" x14ac:dyDescent="0.25">
      <c r="B98" t="s">
        <v>780</v>
      </c>
      <c r="C98" t="s">
        <v>261</v>
      </c>
      <c r="D98">
        <v>134952</v>
      </c>
      <c r="E98">
        <v>3000</v>
      </c>
      <c r="F98" t="s">
        <v>68</v>
      </c>
      <c r="G98" t="s">
        <v>120</v>
      </c>
      <c r="H98" t="s">
        <v>121</v>
      </c>
      <c r="I98" t="s">
        <v>115</v>
      </c>
      <c r="J98">
        <v>1</v>
      </c>
      <c r="K98">
        <v>45245.542916666665</v>
      </c>
      <c r="M98">
        <v>44937</v>
      </c>
      <c r="O98">
        <v>1</v>
      </c>
    </row>
    <row r="99" spans="2:15" x14ac:dyDescent="0.25">
      <c r="B99" t="s">
        <v>780</v>
      </c>
      <c r="C99" t="s">
        <v>261</v>
      </c>
      <c r="D99">
        <v>134952</v>
      </c>
      <c r="E99">
        <v>3000</v>
      </c>
      <c r="F99" t="s">
        <v>68</v>
      </c>
      <c r="G99" t="s">
        <v>125</v>
      </c>
      <c r="H99" t="s">
        <v>126</v>
      </c>
      <c r="I99" t="s">
        <v>115</v>
      </c>
      <c r="J99">
        <v>1</v>
      </c>
      <c r="K99">
        <v>45245.543935185182</v>
      </c>
      <c r="M99">
        <v>44937</v>
      </c>
      <c r="O99">
        <v>1</v>
      </c>
    </row>
    <row r="100" spans="2:15" x14ac:dyDescent="0.25">
      <c r="B100" t="s">
        <v>169</v>
      </c>
      <c r="C100" t="s">
        <v>254</v>
      </c>
      <c r="D100">
        <v>1128</v>
      </c>
      <c r="E100">
        <v>480</v>
      </c>
      <c r="F100" t="s">
        <v>68</v>
      </c>
      <c r="G100" t="s">
        <v>174</v>
      </c>
      <c r="H100" t="s">
        <v>225</v>
      </c>
      <c r="I100">
        <v>0</v>
      </c>
      <c r="J100">
        <v>0</v>
      </c>
      <c r="K100">
        <v>45245.737060185187</v>
      </c>
      <c r="O100">
        <v>1</v>
      </c>
    </row>
    <row r="101" spans="2:15" x14ac:dyDescent="0.25">
      <c r="B101" t="s">
        <v>169</v>
      </c>
      <c r="C101" t="s">
        <v>262</v>
      </c>
      <c r="D101">
        <v>1129</v>
      </c>
      <c r="E101">
        <v>300</v>
      </c>
      <c r="F101" t="s">
        <v>68</v>
      </c>
      <c r="G101" t="s">
        <v>152</v>
      </c>
      <c r="H101" t="s">
        <v>153</v>
      </c>
      <c r="I101">
        <v>0</v>
      </c>
      <c r="J101">
        <v>0</v>
      </c>
      <c r="K101">
        <v>45245.73777777778</v>
      </c>
      <c r="O101">
        <v>1</v>
      </c>
    </row>
    <row r="102" spans="2:15" x14ac:dyDescent="0.25">
      <c r="B102" t="s">
        <v>169</v>
      </c>
      <c r="C102" t="s">
        <v>257</v>
      </c>
      <c r="D102">
        <v>1130</v>
      </c>
      <c r="E102">
        <v>3200</v>
      </c>
      <c r="F102" t="s">
        <v>68</v>
      </c>
      <c r="G102" t="s">
        <v>135</v>
      </c>
      <c r="H102" t="s">
        <v>136</v>
      </c>
      <c r="I102">
        <v>0</v>
      </c>
      <c r="J102">
        <v>0</v>
      </c>
      <c r="K102">
        <v>45245.738275462965</v>
      </c>
      <c r="O102">
        <v>1</v>
      </c>
    </row>
    <row r="103" spans="2:15" x14ac:dyDescent="0.25">
      <c r="B103" t="s">
        <v>169</v>
      </c>
      <c r="C103" t="s">
        <v>263</v>
      </c>
      <c r="D103">
        <v>1132</v>
      </c>
      <c r="E103">
        <v>4000</v>
      </c>
      <c r="F103" t="s">
        <v>68</v>
      </c>
      <c r="G103" t="s">
        <v>156</v>
      </c>
      <c r="H103" t="s">
        <v>233</v>
      </c>
      <c r="I103">
        <v>0</v>
      </c>
      <c r="J103">
        <v>0</v>
      </c>
      <c r="K103">
        <v>45245.738900462966</v>
      </c>
      <c r="O103">
        <v>1</v>
      </c>
    </row>
    <row r="104" spans="2:15" x14ac:dyDescent="0.25">
      <c r="B104" t="s">
        <v>169</v>
      </c>
      <c r="C104" t="s">
        <v>255</v>
      </c>
      <c r="D104">
        <v>1131</v>
      </c>
      <c r="E104">
        <v>2000</v>
      </c>
      <c r="F104" t="s">
        <v>68</v>
      </c>
      <c r="G104" t="s">
        <v>131</v>
      </c>
      <c r="H104" t="s">
        <v>222</v>
      </c>
      <c r="I104">
        <v>0</v>
      </c>
      <c r="J104">
        <v>0</v>
      </c>
      <c r="K104">
        <v>45245.739421296297</v>
      </c>
      <c r="O104">
        <v>1</v>
      </c>
    </row>
    <row r="105" spans="2:15" x14ac:dyDescent="0.25">
      <c r="B105" t="s">
        <v>169</v>
      </c>
      <c r="C105" t="s">
        <v>255</v>
      </c>
      <c r="D105">
        <v>1131</v>
      </c>
      <c r="E105">
        <v>6</v>
      </c>
      <c r="F105" t="s">
        <v>137</v>
      </c>
      <c r="G105" t="s">
        <v>143</v>
      </c>
      <c r="H105" t="s">
        <v>144</v>
      </c>
      <c r="I105">
        <v>0</v>
      </c>
      <c r="J105">
        <v>0</v>
      </c>
      <c r="K105">
        <v>45245.739942129629</v>
      </c>
      <c r="O105">
        <v>1</v>
      </c>
    </row>
    <row r="106" spans="2:15" x14ac:dyDescent="0.25">
      <c r="B106" t="s">
        <v>169</v>
      </c>
      <c r="C106" t="s">
        <v>255</v>
      </c>
      <c r="D106">
        <v>1131</v>
      </c>
      <c r="E106">
        <v>300</v>
      </c>
      <c r="F106" t="s">
        <v>68</v>
      </c>
      <c r="G106" t="s">
        <v>177</v>
      </c>
      <c r="H106" t="s">
        <v>178</v>
      </c>
      <c r="I106">
        <v>0</v>
      </c>
      <c r="J106">
        <v>0</v>
      </c>
      <c r="K106">
        <v>45245.740405092591</v>
      </c>
      <c r="O106">
        <v>1</v>
      </c>
    </row>
    <row r="107" spans="2:15" x14ac:dyDescent="0.25">
      <c r="B107" t="s">
        <v>781</v>
      </c>
      <c r="C107" t="s">
        <v>264</v>
      </c>
      <c r="D107">
        <v>32575</v>
      </c>
      <c r="E107">
        <v>600</v>
      </c>
      <c r="F107" t="s">
        <v>68</v>
      </c>
      <c r="G107" t="s">
        <v>177</v>
      </c>
      <c r="H107" t="s">
        <v>178</v>
      </c>
      <c r="J107">
        <v>1</v>
      </c>
      <c r="K107">
        <v>45246.527881944443</v>
      </c>
      <c r="M107" t="s">
        <v>265</v>
      </c>
      <c r="O107">
        <v>1</v>
      </c>
    </row>
    <row r="108" spans="2:15" x14ac:dyDescent="0.25">
      <c r="B108" t="s">
        <v>169</v>
      </c>
      <c r="C108" t="s">
        <v>361</v>
      </c>
      <c r="D108" t="s">
        <v>266</v>
      </c>
      <c r="E108">
        <v>6000</v>
      </c>
      <c r="F108" t="s">
        <v>68</v>
      </c>
      <c r="G108" t="s">
        <v>117</v>
      </c>
      <c r="H108" t="s">
        <v>118</v>
      </c>
      <c r="I108">
        <v>0</v>
      </c>
      <c r="J108">
        <v>0</v>
      </c>
      <c r="K108">
        <v>45246.536562499998</v>
      </c>
      <c r="O108">
        <v>100</v>
      </c>
    </row>
    <row r="109" spans="2:15" x14ac:dyDescent="0.25">
      <c r="B109" t="s">
        <v>169</v>
      </c>
      <c r="C109" t="s">
        <v>258</v>
      </c>
      <c r="D109" t="s">
        <v>267</v>
      </c>
      <c r="E109">
        <v>2000</v>
      </c>
      <c r="F109" t="s">
        <v>68</v>
      </c>
      <c r="G109" t="s">
        <v>131</v>
      </c>
      <c r="H109" t="s">
        <v>222</v>
      </c>
      <c r="I109">
        <v>0</v>
      </c>
      <c r="J109">
        <v>0</v>
      </c>
      <c r="K109">
        <v>45246.536504629628</v>
      </c>
    </row>
    <row r="110" spans="2:15" x14ac:dyDescent="0.25">
      <c r="B110" t="s">
        <v>169</v>
      </c>
      <c r="C110" t="s">
        <v>258</v>
      </c>
      <c r="D110" t="s">
        <v>267</v>
      </c>
      <c r="E110">
        <v>100</v>
      </c>
      <c r="F110" t="s">
        <v>68</v>
      </c>
      <c r="G110" t="s">
        <v>125</v>
      </c>
      <c r="H110" t="s">
        <v>126</v>
      </c>
      <c r="I110">
        <v>0</v>
      </c>
      <c r="J110">
        <v>0</v>
      </c>
      <c r="K110">
        <v>45246.539189814815</v>
      </c>
      <c r="M110" t="s">
        <v>268</v>
      </c>
    </row>
    <row r="111" spans="2:15" x14ac:dyDescent="0.25">
      <c r="B111" t="s">
        <v>169</v>
      </c>
      <c r="C111" t="s">
        <v>258</v>
      </c>
      <c r="D111" t="s">
        <v>267</v>
      </c>
      <c r="E111">
        <v>15</v>
      </c>
      <c r="F111" t="s">
        <v>68</v>
      </c>
      <c r="G111" t="s">
        <v>771</v>
      </c>
      <c r="H111" t="s">
        <v>158</v>
      </c>
      <c r="I111">
        <v>0</v>
      </c>
      <c r="J111">
        <v>0</v>
      </c>
      <c r="K111">
        <v>45246.53533564815</v>
      </c>
    </row>
    <row r="112" spans="2:15" x14ac:dyDescent="0.25">
      <c r="B112" t="s">
        <v>169</v>
      </c>
      <c r="C112" t="s">
        <v>260</v>
      </c>
      <c r="D112" t="s">
        <v>269</v>
      </c>
      <c r="E112">
        <v>18000</v>
      </c>
      <c r="F112" t="s">
        <v>68</v>
      </c>
      <c r="G112" t="s">
        <v>113</v>
      </c>
      <c r="H112" t="s">
        <v>114</v>
      </c>
      <c r="I112">
        <v>0</v>
      </c>
      <c r="J112">
        <v>0</v>
      </c>
      <c r="K112">
        <v>45246.535243055558</v>
      </c>
    </row>
    <row r="113" spans="2:14" x14ac:dyDescent="0.25">
      <c r="B113" t="s">
        <v>169</v>
      </c>
      <c r="C113" t="s">
        <v>260</v>
      </c>
      <c r="D113" t="s">
        <v>269</v>
      </c>
      <c r="E113">
        <v>4</v>
      </c>
      <c r="F113" t="s">
        <v>68</v>
      </c>
      <c r="G113" t="s">
        <v>193</v>
      </c>
      <c r="H113" t="s">
        <v>194</v>
      </c>
      <c r="I113">
        <v>0</v>
      </c>
      <c r="J113">
        <v>0</v>
      </c>
      <c r="K113">
        <v>45246.535162037035</v>
      </c>
    </row>
    <row r="114" spans="2:14" x14ac:dyDescent="0.25">
      <c r="B114" t="s">
        <v>169</v>
      </c>
      <c r="C114" t="s">
        <v>260</v>
      </c>
      <c r="D114" t="s">
        <v>269</v>
      </c>
      <c r="E114">
        <v>600</v>
      </c>
      <c r="F114" t="s">
        <v>68</v>
      </c>
      <c r="G114" t="s">
        <v>170</v>
      </c>
      <c r="H114" t="s">
        <v>270</v>
      </c>
      <c r="I114">
        <v>0</v>
      </c>
      <c r="J114">
        <v>0</v>
      </c>
      <c r="K114">
        <v>45246.534629629627</v>
      </c>
    </row>
    <row r="115" spans="2:14" x14ac:dyDescent="0.25">
      <c r="B115" t="s">
        <v>169</v>
      </c>
      <c r="C115" t="s">
        <v>260</v>
      </c>
      <c r="D115" t="s">
        <v>269</v>
      </c>
      <c r="E115">
        <v>200</v>
      </c>
      <c r="F115" t="s">
        <v>68</v>
      </c>
      <c r="G115" t="s">
        <v>774</v>
      </c>
      <c r="H115" t="s">
        <v>189</v>
      </c>
      <c r="I115">
        <v>0</v>
      </c>
      <c r="J115">
        <v>0</v>
      </c>
      <c r="K115">
        <v>45246.534583333334</v>
      </c>
    </row>
    <row r="116" spans="2:14" x14ac:dyDescent="0.25">
      <c r="B116" t="s">
        <v>169</v>
      </c>
      <c r="C116" t="s">
        <v>260</v>
      </c>
      <c r="D116" t="s">
        <v>269</v>
      </c>
      <c r="E116">
        <v>300</v>
      </c>
      <c r="F116" t="s">
        <v>137</v>
      </c>
      <c r="G116" t="s">
        <v>138</v>
      </c>
      <c r="H116" t="s">
        <v>139</v>
      </c>
      <c r="I116">
        <v>0</v>
      </c>
      <c r="J116">
        <v>0</v>
      </c>
      <c r="K116">
        <v>45246.534537037034</v>
      </c>
    </row>
    <row r="117" spans="2:14" x14ac:dyDescent="0.25">
      <c r="B117" t="s">
        <v>169</v>
      </c>
      <c r="C117" t="s">
        <v>757</v>
      </c>
      <c r="D117" t="s">
        <v>271</v>
      </c>
      <c r="E117">
        <v>900</v>
      </c>
      <c r="F117" t="s">
        <v>68</v>
      </c>
      <c r="G117" t="s">
        <v>135</v>
      </c>
      <c r="H117" t="s">
        <v>136</v>
      </c>
      <c r="I117">
        <v>0</v>
      </c>
      <c r="J117">
        <v>0</v>
      </c>
      <c r="K117">
        <v>45246.534490740742</v>
      </c>
    </row>
    <row r="118" spans="2:14" x14ac:dyDescent="0.25">
      <c r="B118" t="s">
        <v>66</v>
      </c>
      <c r="C118" t="s">
        <v>272</v>
      </c>
      <c r="D118" t="s">
        <v>272</v>
      </c>
      <c r="E118">
        <v>24</v>
      </c>
      <c r="F118" t="s">
        <v>68</v>
      </c>
      <c r="G118" t="s">
        <v>165</v>
      </c>
      <c r="H118" t="s">
        <v>166</v>
      </c>
      <c r="J118">
        <v>0</v>
      </c>
      <c r="K118">
        <v>45246.560069444444</v>
      </c>
      <c r="M118">
        <v>45237</v>
      </c>
      <c r="N118" t="s">
        <v>273</v>
      </c>
    </row>
    <row r="119" spans="2:14" x14ac:dyDescent="0.25">
      <c r="B119" t="s">
        <v>169</v>
      </c>
      <c r="C119" t="s">
        <v>263</v>
      </c>
      <c r="D119">
        <v>1140</v>
      </c>
      <c r="E119">
        <v>2000</v>
      </c>
      <c r="F119" t="s">
        <v>68</v>
      </c>
      <c r="G119" t="s">
        <v>156</v>
      </c>
      <c r="H119" t="s">
        <v>233</v>
      </c>
      <c r="I119">
        <v>0</v>
      </c>
      <c r="J119">
        <v>0</v>
      </c>
      <c r="K119">
        <v>45246.694791666669</v>
      </c>
    </row>
    <row r="120" spans="2:14" x14ac:dyDescent="0.25">
      <c r="B120" t="s">
        <v>169</v>
      </c>
      <c r="C120" t="s">
        <v>256</v>
      </c>
      <c r="D120">
        <v>1139</v>
      </c>
      <c r="E120">
        <v>500</v>
      </c>
      <c r="F120" t="s">
        <v>68</v>
      </c>
      <c r="G120" t="s">
        <v>152</v>
      </c>
      <c r="H120" t="s">
        <v>153</v>
      </c>
      <c r="I120">
        <v>0</v>
      </c>
      <c r="J120">
        <v>0</v>
      </c>
      <c r="K120">
        <v>45246.697210648148</v>
      </c>
    </row>
    <row r="121" spans="2:14" x14ac:dyDescent="0.25">
      <c r="B121" t="s">
        <v>169</v>
      </c>
      <c r="C121" t="s">
        <v>255</v>
      </c>
      <c r="D121">
        <v>1138</v>
      </c>
      <c r="E121">
        <v>1200</v>
      </c>
      <c r="F121" t="s">
        <v>68</v>
      </c>
      <c r="G121" t="s">
        <v>131</v>
      </c>
      <c r="H121" t="s">
        <v>222</v>
      </c>
      <c r="I121">
        <v>0</v>
      </c>
      <c r="J121">
        <v>0</v>
      </c>
      <c r="K121">
        <v>45246.697175925925</v>
      </c>
    </row>
    <row r="122" spans="2:14" x14ac:dyDescent="0.25">
      <c r="B122" t="s">
        <v>169</v>
      </c>
      <c r="C122" t="s">
        <v>255</v>
      </c>
      <c r="D122">
        <v>1138</v>
      </c>
      <c r="E122">
        <v>8</v>
      </c>
      <c r="F122" t="s">
        <v>137</v>
      </c>
      <c r="G122" t="s">
        <v>143</v>
      </c>
      <c r="H122" t="s">
        <v>144</v>
      </c>
      <c r="I122">
        <v>0</v>
      </c>
      <c r="J122">
        <v>0</v>
      </c>
      <c r="K122">
        <v>45246.697141203702</v>
      </c>
    </row>
    <row r="123" spans="2:14" x14ac:dyDescent="0.25">
      <c r="B123" t="s">
        <v>169</v>
      </c>
      <c r="C123" t="s">
        <v>255</v>
      </c>
      <c r="D123">
        <v>1138</v>
      </c>
      <c r="E123">
        <v>8</v>
      </c>
      <c r="F123" t="s">
        <v>137</v>
      </c>
      <c r="G123" t="s">
        <v>141</v>
      </c>
      <c r="H123" t="s">
        <v>142</v>
      </c>
      <c r="I123">
        <v>0</v>
      </c>
      <c r="J123">
        <v>0</v>
      </c>
      <c r="K123">
        <v>45246.697118055556</v>
      </c>
    </row>
    <row r="124" spans="2:14" x14ac:dyDescent="0.25">
      <c r="B124" t="s">
        <v>169</v>
      </c>
      <c r="C124" t="s">
        <v>251</v>
      </c>
      <c r="D124">
        <v>1137</v>
      </c>
      <c r="E124">
        <v>105</v>
      </c>
      <c r="F124" t="s">
        <v>68</v>
      </c>
      <c r="G124" t="s">
        <v>773</v>
      </c>
      <c r="H124" t="s">
        <v>180</v>
      </c>
      <c r="I124">
        <v>0</v>
      </c>
      <c r="J124">
        <v>0</v>
      </c>
      <c r="K124">
        <v>45246.697060185186</v>
      </c>
    </row>
    <row r="125" spans="2:14" x14ac:dyDescent="0.25">
      <c r="B125" t="s">
        <v>314</v>
      </c>
      <c r="C125" t="s">
        <v>274</v>
      </c>
      <c r="D125">
        <v>441</v>
      </c>
      <c r="E125">
        <v>25000</v>
      </c>
      <c r="F125" t="s">
        <v>68</v>
      </c>
      <c r="G125" t="s">
        <v>133</v>
      </c>
      <c r="H125" t="s">
        <v>134</v>
      </c>
      <c r="I125">
        <v>0</v>
      </c>
      <c r="J125">
        <v>0</v>
      </c>
      <c r="K125">
        <v>45247.5784375</v>
      </c>
    </row>
    <row r="126" spans="2:14" x14ac:dyDescent="0.25">
      <c r="B126" t="s">
        <v>314</v>
      </c>
      <c r="C126" t="s">
        <v>275</v>
      </c>
      <c r="D126">
        <v>439</v>
      </c>
      <c r="E126">
        <v>400</v>
      </c>
      <c r="F126" t="s">
        <v>68</v>
      </c>
      <c r="G126" t="s">
        <v>163</v>
      </c>
      <c r="H126" t="s">
        <v>164</v>
      </c>
      <c r="I126">
        <v>0</v>
      </c>
      <c r="J126">
        <v>0</v>
      </c>
      <c r="K126">
        <v>45247.5783912037</v>
      </c>
    </row>
    <row r="127" spans="2:14" x14ac:dyDescent="0.25">
      <c r="B127" t="s">
        <v>314</v>
      </c>
      <c r="C127" t="s">
        <v>276</v>
      </c>
      <c r="D127">
        <v>440</v>
      </c>
      <c r="E127">
        <v>250</v>
      </c>
      <c r="F127" t="s">
        <v>68</v>
      </c>
      <c r="G127" t="s">
        <v>150</v>
      </c>
      <c r="H127" t="s">
        <v>147</v>
      </c>
      <c r="I127">
        <v>0</v>
      </c>
      <c r="J127">
        <v>0</v>
      </c>
      <c r="K127">
        <v>45247.578368055554</v>
      </c>
    </row>
    <row r="128" spans="2:14" x14ac:dyDescent="0.25">
      <c r="B128" t="s">
        <v>314</v>
      </c>
      <c r="C128" t="s">
        <v>277</v>
      </c>
      <c r="D128">
        <v>442</v>
      </c>
      <c r="E128">
        <v>40</v>
      </c>
      <c r="F128" t="s">
        <v>68</v>
      </c>
      <c r="G128" t="s">
        <v>773</v>
      </c>
      <c r="H128" t="s">
        <v>180</v>
      </c>
      <c r="I128">
        <v>0</v>
      </c>
      <c r="J128">
        <v>0</v>
      </c>
      <c r="K128">
        <v>45247.578321759262</v>
      </c>
    </row>
    <row r="129" spans="2:14" x14ac:dyDescent="0.25">
      <c r="B129" t="s">
        <v>314</v>
      </c>
      <c r="C129" t="s">
        <v>277</v>
      </c>
      <c r="D129">
        <v>442</v>
      </c>
      <c r="E129">
        <v>180</v>
      </c>
      <c r="F129" t="s">
        <v>137</v>
      </c>
      <c r="G129" t="s">
        <v>138</v>
      </c>
      <c r="H129" t="s">
        <v>139</v>
      </c>
      <c r="I129">
        <v>0</v>
      </c>
      <c r="J129">
        <v>0</v>
      </c>
      <c r="K129">
        <v>45247.578275462962</v>
      </c>
    </row>
    <row r="130" spans="2:14" x14ac:dyDescent="0.25">
      <c r="B130" t="s">
        <v>314</v>
      </c>
      <c r="C130" t="s">
        <v>277</v>
      </c>
      <c r="D130">
        <v>442</v>
      </c>
      <c r="E130">
        <v>6</v>
      </c>
      <c r="F130" t="s">
        <v>68</v>
      </c>
      <c r="G130" t="s">
        <v>193</v>
      </c>
      <c r="H130" t="s">
        <v>194</v>
      </c>
      <c r="I130">
        <v>0</v>
      </c>
      <c r="J130">
        <v>0</v>
      </c>
      <c r="K130">
        <v>45247.577835648146</v>
      </c>
    </row>
    <row r="131" spans="2:14" x14ac:dyDescent="0.25">
      <c r="B131" t="s">
        <v>314</v>
      </c>
      <c r="C131" t="s">
        <v>278</v>
      </c>
      <c r="D131">
        <v>1135</v>
      </c>
      <c r="E131">
        <v>178</v>
      </c>
      <c r="F131" t="s">
        <v>68</v>
      </c>
      <c r="G131" t="s">
        <v>174</v>
      </c>
      <c r="H131" t="s">
        <v>225</v>
      </c>
      <c r="I131">
        <v>0</v>
      </c>
      <c r="J131">
        <v>0</v>
      </c>
      <c r="K131">
        <v>45247.578206018516</v>
      </c>
    </row>
    <row r="132" spans="2:14" x14ac:dyDescent="0.25">
      <c r="B132" t="s">
        <v>314</v>
      </c>
      <c r="C132" t="s">
        <v>279</v>
      </c>
      <c r="D132">
        <v>1134</v>
      </c>
      <c r="E132">
        <v>6500</v>
      </c>
      <c r="F132" t="s">
        <v>68</v>
      </c>
      <c r="G132" t="s">
        <v>117</v>
      </c>
      <c r="H132" t="s">
        <v>118</v>
      </c>
      <c r="I132">
        <v>0</v>
      </c>
      <c r="J132">
        <v>0</v>
      </c>
      <c r="K132">
        <v>45247.577650462961</v>
      </c>
    </row>
    <row r="133" spans="2:14" x14ac:dyDescent="0.25">
      <c r="B133" t="s">
        <v>314</v>
      </c>
      <c r="C133" t="s">
        <v>275</v>
      </c>
      <c r="D133">
        <v>1136</v>
      </c>
      <c r="E133">
        <v>2500</v>
      </c>
      <c r="F133" t="s">
        <v>68</v>
      </c>
      <c r="G133" t="s">
        <v>131</v>
      </c>
      <c r="H133" t="s">
        <v>222</v>
      </c>
      <c r="I133">
        <v>0</v>
      </c>
      <c r="J133">
        <v>0</v>
      </c>
      <c r="K133">
        <v>45247.577604166669</v>
      </c>
    </row>
    <row r="134" spans="2:14" x14ac:dyDescent="0.25">
      <c r="B134" t="s">
        <v>314</v>
      </c>
      <c r="C134" t="s">
        <v>277</v>
      </c>
      <c r="D134">
        <v>1133</v>
      </c>
      <c r="E134">
        <v>20000</v>
      </c>
      <c r="F134" t="s">
        <v>68</v>
      </c>
      <c r="G134" t="s">
        <v>113</v>
      </c>
      <c r="H134" t="s">
        <v>114</v>
      </c>
      <c r="I134">
        <v>0</v>
      </c>
      <c r="J134">
        <v>0</v>
      </c>
      <c r="K134">
        <v>45247.577534722222</v>
      </c>
    </row>
    <row r="135" spans="2:14" x14ac:dyDescent="0.25">
      <c r="B135" t="s">
        <v>314</v>
      </c>
      <c r="C135" t="s">
        <v>277</v>
      </c>
      <c r="D135">
        <v>1133</v>
      </c>
      <c r="E135">
        <v>650</v>
      </c>
      <c r="F135" t="s">
        <v>68</v>
      </c>
      <c r="G135" t="s">
        <v>170</v>
      </c>
      <c r="H135" t="s">
        <v>280</v>
      </c>
      <c r="I135">
        <v>0</v>
      </c>
      <c r="J135">
        <v>0</v>
      </c>
      <c r="K135">
        <v>45247.577453703707</v>
      </c>
    </row>
    <row r="136" spans="2:14" x14ac:dyDescent="0.25">
      <c r="B136" t="s">
        <v>314</v>
      </c>
      <c r="C136" t="s">
        <v>277</v>
      </c>
      <c r="D136">
        <v>1133</v>
      </c>
      <c r="E136">
        <v>200</v>
      </c>
      <c r="F136" t="s">
        <v>68</v>
      </c>
      <c r="G136" t="s">
        <v>774</v>
      </c>
      <c r="H136" t="s">
        <v>189</v>
      </c>
      <c r="I136">
        <v>0</v>
      </c>
      <c r="J136">
        <v>0</v>
      </c>
      <c r="K136">
        <v>45247.577384259261</v>
      </c>
    </row>
    <row r="137" spans="2:14" x14ac:dyDescent="0.25">
      <c r="B137" t="s">
        <v>314</v>
      </c>
      <c r="C137" t="s">
        <v>277</v>
      </c>
      <c r="D137">
        <v>1133</v>
      </c>
      <c r="E137">
        <v>80</v>
      </c>
      <c r="F137" t="s">
        <v>68</v>
      </c>
      <c r="G137" t="s">
        <v>177</v>
      </c>
      <c r="H137" t="s">
        <v>178</v>
      </c>
      <c r="I137">
        <v>0</v>
      </c>
      <c r="J137">
        <v>0</v>
      </c>
      <c r="K137">
        <v>45247.577291666668</v>
      </c>
    </row>
    <row r="138" spans="2:14" x14ac:dyDescent="0.25">
      <c r="B138" t="s">
        <v>169</v>
      </c>
      <c r="C138" t="s">
        <v>281</v>
      </c>
      <c r="D138">
        <v>445</v>
      </c>
      <c r="E138">
        <v>2000</v>
      </c>
      <c r="F138" t="s">
        <v>68</v>
      </c>
      <c r="G138" t="s">
        <v>156</v>
      </c>
      <c r="H138" t="s">
        <v>233</v>
      </c>
      <c r="I138">
        <v>0</v>
      </c>
      <c r="J138">
        <v>0</v>
      </c>
      <c r="K138">
        <v>45247.602060185185</v>
      </c>
    </row>
    <row r="139" spans="2:14" x14ac:dyDescent="0.25">
      <c r="B139" t="s">
        <v>169</v>
      </c>
      <c r="C139" t="s">
        <v>282</v>
      </c>
      <c r="D139">
        <v>444</v>
      </c>
      <c r="E139">
        <v>15</v>
      </c>
      <c r="F139" t="s">
        <v>68</v>
      </c>
      <c r="G139" t="s">
        <v>772</v>
      </c>
      <c r="H139" t="s">
        <v>160</v>
      </c>
      <c r="I139">
        <v>0</v>
      </c>
      <c r="J139">
        <v>0</v>
      </c>
      <c r="K139">
        <v>45247.605520833335</v>
      </c>
      <c r="M139" t="s">
        <v>283</v>
      </c>
    </row>
    <row r="140" spans="2:14" x14ac:dyDescent="0.25">
      <c r="B140" t="s">
        <v>169</v>
      </c>
      <c r="C140" t="s">
        <v>284</v>
      </c>
      <c r="D140">
        <v>443</v>
      </c>
      <c r="E140">
        <v>240</v>
      </c>
      <c r="F140" t="s">
        <v>68</v>
      </c>
      <c r="G140" t="s">
        <v>152</v>
      </c>
      <c r="H140" t="s">
        <v>153</v>
      </c>
      <c r="I140">
        <v>0</v>
      </c>
      <c r="J140">
        <v>0</v>
      </c>
      <c r="K140">
        <v>45247.603402777779</v>
      </c>
    </row>
    <row r="141" spans="2:14" x14ac:dyDescent="0.25">
      <c r="B141" t="s">
        <v>314</v>
      </c>
      <c r="C141" t="s">
        <v>285</v>
      </c>
      <c r="D141">
        <v>446</v>
      </c>
      <c r="E141">
        <v>5500</v>
      </c>
      <c r="F141" t="s">
        <v>68</v>
      </c>
      <c r="G141" t="s">
        <v>156</v>
      </c>
      <c r="H141" t="s">
        <v>233</v>
      </c>
      <c r="I141">
        <v>0</v>
      </c>
      <c r="J141">
        <v>0</v>
      </c>
      <c r="K141">
        <v>45247.607858796298</v>
      </c>
    </row>
    <row r="142" spans="2:14" x14ac:dyDescent="0.25">
      <c r="B142" t="s">
        <v>314</v>
      </c>
      <c r="C142" t="s">
        <v>285</v>
      </c>
      <c r="D142">
        <v>446</v>
      </c>
      <c r="E142">
        <v>2400</v>
      </c>
      <c r="F142" t="s">
        <v>68</v>
      </c>
      <c r="G142" t="s">
        <v>190</v>
      </c>
      <c r="H142" t="s">
        <v>191</v>
      </c>
      <c r="I142">
        <v>0</v>
      </c>
      <c r="J142">
        <v>0</v>
      </c>
      <c r="K142">
        <v>45247.607812499999</v>
      </c>
    </row>
    <row r="143" spans="2:14" x14ac:dyDescent="0.25">
      <c r="B143" t="s">
        <v>782</v>
      </c>
      <c r="C143" t="s">
        <v>286</v>
      </c>
      <c r="D143" t="s">
        <v>287</v>
      </c>
      <c r="E143">
        <v>1512</v>
      </c>
      <c r="F143" t="s">
        <v>68</v>
      </c>
      <c r="G143" t="s">
        <v>170</v>
      </c>
      <c r="H143" t="s">
        <v>280</v>
      </c>
      <c r="I143" t="s">
        <v>172</v>
      </c>
      <c r="J143">
        <v>1</v>
      </c>
      <c r="K143">
        <v>45250.391331018516</v>
      </c>
      <c r="M143" t="s">
        <v>288</v>
      </c>
    </row>
    <row r="144" spans="2:14" x14ac:dyDescent="0.25">
      <c r="B144" t="s">
        <v>291</v>
      </c>
      <c r="C144" t="s">
        <v>259</v>
      </c>
      <c r="D144">
        <v>386</v>
      </c>
      <c r="E144">
        <v>52</v>
      </c>
      <c r="F144" t="s">
        <v>145</v>
      </c>
      <c r="G144" t="s">
        <v>119</v>
      </c>
      <c r="H144" t="s">
        <v>173</v>
      </c>
      <c r="J144">
        <v>1</v>
      </c>
      <c r="K144">
        <v>45190</v>
      </c>
      <c r="L144">
        <v>52</v>
      </c>
      <c r="M144">
        <v>45188</v>
      </c>
      <c r="N144" t="s">
        <v>292</v>
      </c>
    </row>
    <row r="145" spans="2:15" x14ac:dyDescent="0.25">
      <c r="B145" t="s">
        <v>295</v>
      </c>
      <c r="C145" t="s">
        <v>296</v>
      </c>
      <c r="D145" t="s">
        <v>66</v>
      </c>
      <c r="E145">
        <v>4000</v>
      </c>
      <c r="F145" t="s">
        <v>68</v>
      </c>
      <c r="G145" t="s">
        <v>174</v>
      </c>
      <c r="H145" t="s">
        <v>225</v>
      </c>
      <c r="I145" t="s">
        <v>176</v>
      </c>
      <c r="J145">
        <v>1</v>
      </c>
      <c r="K145">
        <v>45251.562847222223</v>
      </c>
      <c r="M145" t="s">
        <v>268</v>
      </c>
    </row>
    <row r="146" spans="2:15" x14ac:dyDescent="0.25">
      <c r="B146" t="s">
        <v>297</v>
      </c>
      <c r="C146" t="s">
        <v>298</v>
      </c>
      <c r="D146" t="s">
        <v>299</v>
      </c>
      <c r="E146">
        <v>400</v>
      </c>
      <c r="F146" t="s">
        <v>68</v>
      </c>
      <c r="G146" t="s">
        <v>773</v>
      </c>
      <c r="H146" t="s">
        <v>180</v>
      </c>
      <c r="I146" t="s">
        <v>154</v>
      </c>
      <c r="J146">
        <v>1</v>
      </c>
      <c r="K146">
        <v>45251.639594907407</v>
      </c>
      <c r="M146" t="s">
        <v>300</v>
      </c>
      <c r="O146">
        <v>100</v>
      </c>
    </row>
    <row r="147" spans="2:15" x14ac:dyDescent="0.25">
      <c r="B147" t="s">
        <v>297</v>
      </c>
      <c r="C147" t="s">
        <v>298</v>
      </c>
      <c r="D147" t="s">
        <v>299</v>
      </c>
      <c r="E147">
        <v>240</v>
      </c>
      <c r="F147" t="s">
        <v>68</v>
      </c>
      <c r="G147" t="s">
        <v>771</v>
      </c>
      <c r="H147" t="s">
        <v>158</v>
      </c>
      <c r="I147" t="s">
        <v>154</v>
      </c>
      <c r="J147">
        <v>1</v>
      </c>
      <c r="K147">
        <v>45251.640868055554</v>
      </c>
      <c r="M147" t="s">
        <v>300</v>
      </c>
    </row>
    <row r="148" spans="2:15" x14ac:dyDescent="0.25">
      <c r="B148" t="s">
        <v>169</v>
      </c>
      <c r="C148" t="s">
        <v>253</v>
      </c>
      <c r="D148" t="s">
        <v>301</v>
      </c>
      <c r="E148">
        <v>15</v>
      </c>
      <c r="F148" t="s">
        <v>68</v>
      </c>
      <c r="G148" t="s">
        <v>772</v>
      </c>
      <c r="H148" t="s">
        <v>160</v>
      </c>
      <c r="I148" t="s">
        <v>154</v>
      </c>
      <c r="J148">
        <v>0</v>
      </c>
      <c r="K148">
        <v>45251.727060185185</v>
      </c>
    </row>
    <row r="149" spans="2:15" x14ac:dyDescent="0.25">
      <c r="B149" t="s">
        <v>169</v>
      </c>
      <c r="C149" t="s">
        <v>254</v>
      </c>
      <c r="D149" t="s">
        <v>302</v>
      </c>
      <c r="E149">
        <v>720</v>
      </c>
      <c r="F149" t="s">
        <v>145</v>
      </c>
      <c r="G149" t="s">
        <v>150</v>
      </c>
      <c r="H149" t="s">
        <v>147</v>
      </c>
      <c r="I149" t="s">
        <v>148</v>
      </c>
      <c r="J149">
        <v>0</v>
      </c>
      <c r="K149">
        <v>45251.824074074073</v>
      </c>
    </row>
    <row r="150" spans="2:15" x14ac:dyDescent="0.25">
      <c r="B150" t="s">
        <v>169</v>
      </c>
      <c r="C150" t="s">
        <v>303</v>
      </c>
      <c r="D150" t="s">
        <v>304</v>
      </c>
      <c r="E150">
        <v>3600</v>
      </c>
      <c r="F150" t="s">
        <v>68</v>
      </c>
      <c r="G150" t="s">
        <v>133</v>
      </c>
      <c r="H150" t="s">
        <v>134</v>
      </c>
      <c r="I150" t="s">
        <v>115</v>
      </c>
      <c r="J150">
        <v>0</v>
      </c>
      <c r="K150">
        <v>45251.824895833335</v>
      </c>
    </row>
    <row r="151" spans="2:15" x14ac:dyDescent="0.25">
      <c r="B151" t="s">
        <v>169</v>
      </c>
      <c r="C151" t="s">
        <v>305</v>
      </c>
      <c r="D151" t="s">
        <v>306</v>
      </c>
      <c r="E151">
        <v>3600</v>
      </c>
      <c r="F151" t="s">
        <v>68</v>
      </c>
      <c r="G151" t="s">
        <v>113</v>
      </c>
      <c r="H151" t="s">
        <v>114</v>
      </c>
      <c r="I151" t="s">
        <v>115</v>
      </c>
      <c r="J151">
        <v>0</v>
      </c>
      <c r="K151">
        <v>45251.82540509259</v>
      </c>
    </row>
    <row r="152" spans="2:15" x14ac:dyDescent="0.25">
      <c r="B152" t="s">
        <v>169</v>
      </c>
      <c r="C152" t="s">
        <v>256</v>
      </c>
      <c r="D152" t="s">
        <v>307</v>
      </c>
      <c r="E152">
        <v>1000</v>
      </c>
      <c r="F152" t="s">
        <v>68</v>
      </c>
      <c r="G152" t="s">
        <v>152</v>
      </c>
      <c r="H152" t="s">
        <v>153</v>
      </c>
      <c r="I152" t="s">
        <v>154</v>
      </c>
      <c r="J152">
        <v>0</v>
      </c>
      <c r="K152">
        <v>45251.825891203705</v>
      </c>
    </row>
    <row r="153" spans="2:15" x14ac:dyDescent="0.25">
      <c r="B153" t="s">
        <v>169</v>
      </c>
      <c r="C153" t="s">
        <v>255</v>
      </c>
      <c r="D153" t="s">
        <v>308</v>
      </c>
      <c r="E153">
        <v>8</v>
      </c>
      <c r="F153" t="s">
        <v>137</v>
      </c>
      <c r="G153" t="s">
        <v>143</v>
      </c>
      <c r="H153" t="s">
        <v>144</v>
      </c>
      <c r="I153" t="s">
        <v>140</v>
      </c>
      <c r="J153">
        <v>0</v>
      </c>
      <c r="K153">
        <v>45251.826608796298</v>
      </c>
    </row>
    <row r="154" spans="2:15" x14ac:dyDescent="0.25">
      <c r="B154" t="s">
        <v>169</v>
      </c>
      <c r="C154" t="s">
        <v>309</v>
      </c>
      <c r="D154">
        <v>453</v>
      </c>
      <c r="E154">
        <v>1000</v>
      </c>
      <c r="F154" t="s">
        <v>68</v>
      </c>
      <c r="G154" t="s">
        <v>129</v>
      </c>
      <c r="H154" t="s">
        <v>130</v>
      </c>
      <c r="I154" t="s">
        <v>115</v>
      </c>
      <c r="J154">
        <v>0</v>
      </c>
      <c r="K154">
        <v>45252.7580787037</v>
      </c>
    </row>
    <row r="155" spans="2:15" x14ac:dyDescent="0.25">
      <c r="B155" t="s">
        <v>169</v>
      </c>
      <c r="C155" t="s">
        <v>310</v>
      </c>
      <c r="D155">
        <v>454</v>
      </c>
      <c r="E155">
        <v>8</v>
      </c>
      <c r="F155" t="s">
        <v>137</v>
      </c>
      <c r="G155" t="s">
        <v>141</v>
      </c>
      <c r="H155" t="s">
        <v>142</v>
      </c>
      <c r="I155" t="s">
        <v>140</v>
      </c>
      <c r="J155">
        <v>0</v>
      </c>
      <c r="K155">
        <v>45252.760335648149</v>
      </c>
    </row>
    <row r="156" spans="2:15" x14ac:dyDescent="0.25">
      <c r="B156" t="s">
        <v>169</v>
      </c>
      <c r="C156" t="s">
        <v>311</v>
      </c>
      <c r="D156">
        <v>456</v>
      </c>
      <c r="E156">
        <v>720</v>
      </c>
      <c r="F156" t="s">
        <v>145</v>
      </c>
      <c r="G156" t="s">
        <v>150</v>
      </c>
      <c r="H156" t="s">
        <v>147</v>
      </c>
      <c r="I156" t="s">
        <v>148</v>
      </c>
      <c r="J156">
        <v>0</v>
      </c>
      <c r="K156">
        <v>45252.761111111111</v>
      </c>
    </row>
    <row r="157" spans="2:15" x14ac:dyDescent="0.25">
      <c r="B157" t="s">
        <v>169</v>
      </c>
      <c r="C157" t="s">
        <v>282</v>
      </c>
      <c r="D157">
        <v>455</v>
      </c>
      <c r="E157">
        <v>20</v>
      </c>
      <c r="F157" t="s">
        <v>68</v>
      </c>
      <c r="G157" t="s">
        <v>772</v>
      </c>
      <c r="H157" t="s">
        <v>160</v>
      </c>
      <c r="I157" t="s">
        <v>154</v>
      </c>
      <c r="J157">
        <v>0</v>
      </c>
      <c r="K157">
        <v>45252.76185185185</v>
      </c>
    </row>
    <row r="158" spans="2:15" x14ac:dyDescent="0.25">
      <c r="B158" t="s">
        <v>312</v>
      </c>
      <c r="C158" t="s">
        <v>313</v>
      </c>
      <c r="D158" t="s">
        <v>66</v>
      </c>
      <c r="E158">
        <v>1008</v>
      </c>
      <c r="F158" t="s">
        <v>145</v>
      </c>
      <c r="G158" t="s">
        <v>146</v>
      </c>
      <c r="H158" t="s">
        <v>147</v>
      </c>
      <c r="I158" t="s">
        <v>148</v>
      </c>
      <c r="J158">
        <v>1</v>
      </c>
      <c r="K158">
        <v>45252.767546296294</v>
      </c>
      <c r="M158" t="s">
        <v>268</v>
      </c>
    </row>
    <row r="159" spans="2:15" x14ac:dyDescent="0.25">
      <c r="B159" t="s">
        <v>314</v>
      </c>
      <c r="C159" t="s">
        <v>285</v>
      </c>
      <c r="D159" t="s">
        <v>315</v>
      </c>
      <c r="E159">
        <v>2600</v>
      </c>
      <c r="F159" t="s">
        <v>68</v>
      </c>
      <c r="G159" t="s">
        <v>156</v>
      </c>
      <c r="H159" t="s">
        <v>157</v>
      </c>
      <c r="I159" t="s">
        <v>154</v>
      </c>
      <c r="J159">
        <v>0</v>
      </c>
      <c r="K159">
        <v>45253.641493055555</v>
      </c>
    </row>
    <row r="160" spans="2:15" x14ac:dyDescent="0.25">
      <c r="B160" t="s">
        <v>314</v>
      </c>
      <c r="C160" t="s">
        <v>285</v>
      </c>
      <c r="D160" t="s">
        <v>315</v>
      </c>
      <c r="E160">
        <v>350</v>
      </c>
      <c r="F160" t="s">
        <v>68</v>
      </c>
      <c r="G160" t="s">
        <v>165</v>
      </c>
      <c r="H160" t="s">
        <v>166</v>
      </c>
      <c r="J160">
        <v>0</v>
      </c>
      <c r="K160">
        <v>45253.641886574071</v>
      </c>
    </row>
    <row r="161" spans="2:14" x14ac:dyDescent="0.25">
      <c r="B161" t="s">
        <v>314</v>
      </c>
      <c r="C161" t="s">
        <v>285</v>
      </c>
      <c r="D161" t="s">
        <v>315</v>
      </c>
      <c r="E161">
        <v>1200</v>
      </c>
      <c r="F161" t="s">
        <v>68</v>
      </c>
      <c r="G161" t="s">
        <v>190</v>
      </c>
      <c r="H161" t="s">
        <v>191</v>
      </c>
      <c r="I161" t="s">
        <v>154</v>
      </c>
      <c r="J161">
        <v>0</v>
      </c>
      <c r="K161">
        <v>45253.642233796294</v>
      </c>
    </row>
    <row r="162" spans="2:14" x14ac:dyDescent="0.25">
      <c r="B162" t="s">
        <v>314</v>
      </c>
      <c r="C162" t="s">
        <v>277</v>
      </c>
      <c r="D162" t="s">
        <v>316</v>
      </c>
      <c r="E162">
        <v>35</v>
      </c>
      <c r="F162" t="s">
        <v>68</v>
      </c>
      <c r="G162" t="s">
        <v>773</v>
      </c>
      <c r="H162" t="s">
        <v>180</v>
      </c>
      <c r="I162" t="s">
        <v>154</v>
      </c>
      <c r="J162">
        <v>0</v>
      </c>
      <c r="K162">
        <v>45253.642858796295</v>
      </c>
      <c r="L162">
        <v>720</v>
      </c>
      <c r="M162">
        <v>660</v>
      </c>
    </row>
    <row r="163" spans="2:14" x14ac:dyDescent="0.25">
      <c r="B163" t="s">
        <v>317</v>
      </c>
      <c r="C163" t="s">
        <v>261</v>
      </c>
      <c r="D163">
        <v>136592</v>
      </c>
      <c r="E163">
        <v>2400</v>
      </c>
      <c r="F163" t="s">
        <v>68</v>
      </c>
      <c r="G163" t="s">
        <v>129</v>
      </c>
      <c r="H163" t="s">
        <v>130</v>
      </c>
      <c r="I163" t="s">
        <v>115</v>
      </c>
      <c r="J163">
        <v>1</v>
      </c>
      <c r="K163">
        <v>45254.461793981478</v>
      </c>
      <c r="M163" t="s">
        <v>300</v>
      </c>
    </row>
    <row r="164" spans="2:14" x14ac:dyDescent="0.25">
      <c r="B164" t="s">
        <v>317</v>
      </c>
      <c r="C164" t="s">
        <v>261</v>
      </c>
      <c r="D164">
        <v>136592</v>
      </c>
      <c r="E164">
        <v>2400</v>
      </c>
      <c r="F164" t="s">
        <v>68</v>
      </c>
      <c r="G164" t="s">
        <v>127</v>
      </c>
      <c r="H164" t="s">
        <v>128</v>
      </c>
      <c r="I164" t="s">
        <v>115</v>
      </c>
      <c r="J164">
        <v>1</v>
      </c>
      <c r="K164">
        <v>45254.463599537034</v>
      </c>
      <c r="M164" t="s">
        <v>300</v>
      </c>
    </row>
    <row r="165" spans="2:14" x14ac:dyDescent="0.25">
      <c r="B165" t="s">
        <v>317</v>
      </c>
      <c r="C165" t="s">
        <v>261</v>
      </c>
      <c r="D165">
        <v>136592</v>
      </c>
      <c r="E165">
        <v>1000</v>
      </c>
      <c r="F165" t="s">
        <v>68</v>
      </c>
      <c r="G165" t="s">
        <v>161</v>
      </c>
      <c r="H165" t="s">
        <v>318</v>
      </c>
      <c r="I165" t="s">
        <v>115</v>
      </c>
      <c r="J165">
        <v>1</v>
      </c>
      <c r="K165">
        <v>45254.470868055556</v>
      </c>
      <c r="M165" t="s">
        <v>300</v>
      </c>
    </row>
    <row r="166" spans="2:14" x14ac:dyDescent="0.25">
      <c r="B166" t="s">
        <v>319</v>
      </c>
      <c r="C166" t="s">
        <v>261</v>
      </c>
      <c r="D166">
        <v>136351</v>
      </c>
      <c r="E166">
        <v>5000</v>
      </c>
      <c r="F166" t="s">
        <v>68</v>
      </c>
      <c r="G166" t="s">
        <v>127</v>
      </c>
      <c r="H166" t="s">
        <v>128</v>
      </c>
      <c r="I166" t="s">
        <v>115</v>
      </c>
      <c r="J166">
        <v>1</v>
      </c>
      <c r="K166">
        <v>45254.473067129627</v>
      </c>
      <c r="M166">
        <v>45241</v>
      </c>
    </row>
    <row r="167" spans="2:14" x14ac:dyDescent="0.25">
      <c r="B167" t="s">
        <v>169</v>
      </c>
      <c r="C167" t="s">
        <v>305</v>
      </c>
      <c r="D167" t="s">
        <v>320</v>
      </c>
      <c r="E167">
        <v>3600</v>
      </c>
      <c r="F167" t="s">
        <v>68</v>
      </c>
      <c r="G167" t="s">
        <v>113</v>
      </c>
      <c r="H167" t="s">
        <v>114</v>
      </c>
      <c r="I167" t="s">
        <v>115</v>
      </c>
      <c r="J167">
        <v>0</v>
      </c>
      <c r="K167">
        <v>45257.594629629632</v>
      </c>
    </row>
    <row r="168" spans="2:14" x14ac:dyDescent="0.25">
      <c r="B168" t="s">
        <v>66</v>
      </c>
      <c r="C168" t="s">
        <v>256</v>
      </c>
      <c r="D168" t="s">
        <v>321</v>
      </c>
      <c r="E168">
        <v>360</v>
      </c>
      <c r="F168" t="s">
        <v>68</v>
      </c>
      <c r="G168" t="s">
        <v>152</v>
      </c>
      <c r="H168" t="s">
        <v>153</v>
      </c>
      <c r="I168" t="s">
        <v>154</v>
      </c>
      <c r="J168">
        <v>0</v>
      </c>
      <c r="K168">
        <v>45257.595289351855</v>
      </c>
    </row>
    <row r="169" spans="2:14" x14ac:dyDescent="0.25">
      <c r="B169" t="s">
        <v>66</v>
      </c>
      <c r="C169" t="s">
        <v>322</v>
      </c>
      <c r="D169" t="s">
        <v>323</v>
      </c>
      <c r="E169">
        <v>700</v>
      </c>
      <c r="F169" t="s">
        <v>68</v>
      </c>
      <c r="G169" t="s">
        <v>212</v>
      </c>
      <c r="H169" t="s">
        <v>213</v>
      </c>
      <c r="I169" t="s">
        <v>154</v>
      </c>
      <c r="J169">
        <v>0</v>
      </c>
      <c r="K169">
        <v>45257.595925925925</v>
      </c>
    </row>
    <row r="170" spans="2:14" x14ac:dyDescent="0.25">
      <c r="B170" t="s">
        <v>324</v>
      </c>
      <c r="C170" t="s">
        <v>325</v>
      </c>
      <c r="D170" t="s">
        <v>326</v>
      </c>
      <c r="E170">
        <v>1000</v>
      </c>
      <c r="F170" t="s">
        <v>68</v>
      </c>
      <c r="G170" t="s">
        <v>774</v>
      </c>
      <c r="H170" t="s">
        <v>189</v>
      </c>
      <c r="I170" t="s">
        <v>154</v>
      </c>
      <c r="J170">
        <v>1</v>
      </c>
      <c r="K170">
        <v>45257.599270833336</v>
      </c>
      <c r="M170" t="s">
        <v>327</v>
      </c>
    </row>
    <row r="171" spans="2:14" x14ac:dyDescent="0.25">
      <c r="B171" t="s">
        <v>324</v>
      </c>
      <c r="C171" t="s">
        <v>325</v>
      </c>
      <c r="D171" t="s">
        <v>326</v>
      </c>
      <c r="E171">
        <v>700</v>
      </c>
      <c r="F171" t="s">
        <v>68</v>
      </c>
      <c r="G171" t="s">
        <v>212</v>
      </c>
      <c r="H171" t="s">
        <v>213</v>
      </c>
      <c r="I171" t="s">
        <v>154</v>
      </c>
      <c r="J171">
        <v>1</v>
      </c>
      <c r="K171">
        <v>45257.600856481484</v>
      </c>
      <c r="M171" t="s">
        <v>327</v>
      </c>
    </row>
    <row r="172" spans="2:14" x14ac:dyDescent="0.25">
      <c r="B172" t="s">
        <v>328</v>
      </c>
      <c r="C172" t="s">
        <v>329</v>
      </c>
      <c r="D172" t="s">
        <v>326</v>
      </c>
      <c r="E172">
        <v>1300</v>
      </c>
      <c r="F172" t="s">
        <v>68</v>
      </c>
      <c r="G172" t="s">
        <v>212</v>
      </c>
      <c r="H172" t="s">
        <v>213</v>
      </c>
      <c r="I172" t="s">
        <v>154</v>
      </c>
      <c r="J172">
        <v>1</v>
      </c>
      <c r="K172">
        <v>45257.602662037039</v>
      </c>
      <c r="M172" t="s">
        <v>327</v>
      </c>
    </row>
    <row r="173" spans="2:14" x14ac:dyDescent="0.25">
      <c r="B173" t="s">
        <v>330</v>
      </c>
      <c r="C173" t="s">
        <v>331</v>
      </c>
      <c r="D173" t="s">
        <v>205</v>
      </c>
      <c r="E173">
        <v>400</v>
      </c>
      <c r="F173" t="s">
        <v>68</v>
      </c>
      <c r="G173" t="s">
        <v>212</v>
      </c>
      <c r="H173" t="s">
        <v>213</v>
      </c>
      <c r="I173" t="s">
        <v>154</v>
      </c>
      <c r="J173">
        <v>1</v>
      </c>
      <c r="K173">
        <v>45257.604351851849</v>
      </c>
      <c r="M173" t="s">
        <v>327</v>
      </c>
    </row>
    <row r="174" spans="2:14" x14ac:dyDescent="0.25">
      <c r="B174" t="s">
        <v>332</v>
      </c>
      <c r="C174" t="s">
        <v>333</v>
      </c>
      <c r="D174" t="s">
        <v>334</v>
      </c>
      <c r="E174">
        <v>1000</v>
      </c>
      <c r="F174" t="s">
        <v>68</v>
      </c>
      <c r="G174" t="s">
        <v>774</v>
      </c>
      <c r="H174" t="s">
        <v>189</v>
      </c>
      <c r="I174" t="s">
        <v>154</v>
      </c>
      <c r="J174">
        <v>1</v>
      </c>
      <c r="K174">
        <v>45257.605196759258</v>
      </c>
      <c r="M174" t="s">
        <v>327</v>
      </c>
    </row>
    <row r="175" spans="2:14" x14ac:dyDescent="0.25">
      <c r="B175" t="s">
        <v>169</v>
      </c>
      <c r="C175" t="s">
        <v>281</v>
      </c>
      <c r="D175" t="s">
        <v>335</v>
      </c>
      <c r="E175">
        <v>4000</v>
      </c>
      <c r="F175" t="s">
        <v>68</v>
      </c>
      <c r="G175" t="s">
        <v>156</v>
      </c>
      <c r="H175" t="s">
        <v>157</v>
      </c>
      <c r="I175" t="s">
        <v>154</v>
      </c>
      <c r="J175">
        <v>0</v>
      </c>
      <c r="K175">
        <v>45258.596377314818</v>
      </c>
    </row>
    <row r="176" spans="2:14" x14ac:dyDescent="0.25">
      <c r="B176" t="s">
        <v>314</v>
      </c>
      <c r="C176" t="s">
        <v>260</v>
      </c>
      <c r="D176">
        <v>459</v>
      </c>
      <c r="E176">
        <v>13</v>
      </c>
      <c r="F176" t="s">
        <v>68</v>
      </c>
      <c r="G176" t="s">
        <v>772</v>
      </c>
      <c r="H176" t="s">
        <v>160</v>
      </c>
      <c r="I176" t="s">
        <v>154</v>
      </c>
      <c r="J176">
        <v>0</v>
      </c>
      <c r="K176">
        <v>45258.598379629628</v>
      </c>
      <c r="N176">
        <v>163</v>
      </c>
    </row>
    <row r="177" spans="2:14" x14ac:dyDescent="0.25">
      <c r="B177" t="s">
        <v>314</v>
      </c>
      <c r="C177" t="s">
        <v>260</v>
      </c>
      <c r="D177">
        <v>459</v>
      </c>
      <c r="E177">
        <v>36</v>
      </c>
      <c r="F177" t="s">
        <v>68</v>
      </c>
      <c r="G177" t="s">
        <v>177</v>
      </c>
      <c r="H177" t="s">
        <v>178</v>
      </c>
      <c r="J177">
        <v>0</v>
      </c>
      <c r="K177">
        <v>45258.599722222221</v>
      </c>
    </row>
    <row r="178" spans="2:14" x14ac:dyDescent="0.25">
      <c r="B178" t="s">
        <v>314</v>
      </c>
      <c r="C178" t="s">
        <v>260</v>
      </c>
      <c r="D178">
        <v>459</v>
      </c>
      <c r="E178">
        <v>30</v>
      </c>
      <c r="F178" t="s">
        <v>68</v>
      </c>
      <c r="G178" t="s">
        <v>773</v>
      </c>
      <c r="H178" t="s">
        <v>180</v>
      </c>
      <c r="I178" t="s">
        <v>154</v>
      </c>
      <c r="J178">
        <v>0</v>
      </c>
      <c r="K178">
        <v>45258.600092592591</v>
      </c>
    </row>
    <row r="179" spans="2:14" x14ac:dyDescent="0.25">
      <c r="B179" t="s">
        <v>314</v>
      </c>
      <c r="C179" t="s">
        <v>260</v>
      </c>
      <c r="D179">
        <v>459</v>
      </c>
      <c r="E179">
        <v>300</v>
      </c>
      <c r="F179" t="s">
        <v>137</v>
      </c>
      <c r="G179" t="s">
        <v>138</v>
      </c>
      <c r="H179" t="s">
        <v>139</v>
      </c>
      <c r="I179" t="s">
        <v>140</v>
      </c>
      <c r="J179">
        <v>0</v>
      </c>
      <c r="K179">
        <v>45258.601111111115</v>
      </c>
    </row>
    <row r="180" spans="2:14" x14ac:dyDescent="0.25">
      <c r="B180" t="s">
        <v>314</v>
      </c>
      <c r="C180" t="s">
        <v>336</v>
      </c>
      <c r="D180">
        <v>461</v>
      </c>
      <c r="E180">
        <v>8100</v>
      </c>
      <c r="F180" t="s">
        <v>68</v>
      </c>
      <c r="G180" t="s">
        <v>133</v>
      </c>
      <c r="H180" t="s">
        <v>134</v>
      </c>
      <c r="I180" t="s">
        <v>115</v>
      </c>
      <c r="J180">
        <v>0</v>
      </c>
      <c r="K180">
        <v>45258.598379629628</v>
      </c>
    </row>
    <row r="181" spans="2:14" x14ac:dyDescent="0.25">
      <c r="B181" t="s">
        <v>314</v>
      </c>
      <c r="C181" t="s">
        <v>337</v>
      </c>
      <c r="D181">
        <v>460</v>
      </c>
      <c r="E181">
        <v>228</v>
      </c>
      <c r="F181" t="s">
        <v>68</v>
      </c>
      <c r="G181" t="s">
        <v>174</v>
      </c>
      <c r="H181" t="s">
        <v>175</v>
      </c>
      <c r="I181" t="s">
        <v>176</v>
      </c>
      <c r="J181">
        <v>0</v>
      </c>
      <c r="K181">
        <v>45258.599722222221</v>
      </c>
      <c r="N181">
        <v>3774</v>
      </c>
    </row>
    <row r="182" spans="2:14" x14ac:dyDescent="0.25">
      <c r="B182" t="s">
        <v>314</v>
      </c>
      <c r="C182" t="s">
        <v>338</v>
      </c>
      <c r="D182">
        <v>462</v>
      </c>
      <c r="E182">
        <v>12</v>
      </c>
      <c r="F182" t="s">
        <v>68</v>
      </c>
      <c r="G182" t="s">
        <v>119</v>
      </c>
      <c r="H182" t="s">
        <v>173</v>
      </c>
      <c r="J182">
        <v>0</v>
      </c>
      <c r="K182">
        <v>45258.600092592591</v>
      </c>
      <c r="N182" t="s">
        <v>339</v>
      </c>
    </row>
    <row r="183" spans="2:14" x14ac:dyDescent="0.25">
      <c r="B183" t="s">
        <v>314</v>
      </c>
      <c r="C183" t="s">
        <v>338</v>
      </c>
      <c r="D183">
        <v>462</v>
      </c>
      <c r="E183">
        <v>1200</v>
      </c>
      <c r="F183" t="s">
        <v>68</v>
      </c>
      <c r="G183" t="s">
        <v>190</v>
      </c>
      <c r="H183" t="s">
        <v>191</v>
      </c>
      <c r="I183" t="s">
        <v>154</v>
      </c>
      <c r="J183">
        <v>0</v>
      </c>
      <c r="K183">
        <v>45258.601111111115</v>
      </c>
    </row>
    <row r="184" spans="2:14" x14ac:dyDescent="0.25">
      <c r="B184" t="s">
        <v>169</v>
      </c>
      <c r="C184" t="s">
        <v>256</v>
      </c>
      <c r="D184">
        <v>467</v>
      </c>
      <c r="E184">
        <v>240</v>
      </c>
      <c r="F184" t="s">
        <v>68</v>
      </c>
      <c r="G184" t="s">
        <v>152</v>
      </c>
      <c r="H184" t="s">
        <v>153</v>
      </c>
      <c r="I184" t="s">
        <v>154</v>
      </c>
      <c r="J184">
        <v>0</v>
      </c>
      <c r="K184">
        <v>45259.468148148146</v>
      </c>
    </row>
    <row r="185" spans="2:14" x14ac:dyDescent="0.25">
      <c r="B185" t="s">
        <v>169</v>
      </c>
      <c r="C185" t="s">
        <v>257</v>
      </c>
      <c r="D185">
        <v>466</v>
      </c>
      <c r="E185">
        <v>4400</v>
      </c>
      <c r="F185" t="s">
        <v>68</v>
      </c>
      <c r="G185" t="s">
        <v>113</v>
      </c>
      <c r="H185" t="s">
        <v>114</v>
      </c>
      <c r="I185" t="s">
        <v>115</v>
      </c>
      <c r="J185">
        <v>0</v>
      </c>
      <c r="K185">
        <v>45259.469189814816</v>
      </c>
    </row>
    <row r="186" spans="2:14" x14ac:dyDescent="0.25">
      <c r="B186" t="s">
        <v>169</v>
      </c>
      <c r="C186" t="s">
        <v>303</v>
      </c>
      <c r="D186">
        <v>464</v>
      </c>
      <c r="E186">
        <v>3600</v>
      </c>
      <c r="F186" t="s">
        <v>68</v>
      </c>
      <c r="G186" t="s">
        <v>133</v>
      </c>
      <c r="H186" t="s">
        <v>134</v>
      </c>
      <c r="I186" t="s">
        <v>115</v>
      </c>
      <c r="J186">
        <v>0</v>
      </c>
      <c r="K186">
        <v>45259.470590277779</v>
      </c>
    </row>
    <row r="187" spans="2:14" x14ac:dyDescent="0.25">
      <c r="B187" t="s">
        <v>169</v>
      </c>
      <c r="C187" t="s">
        <v>340</v>
      </c>
      <c r="D187">
        <v>465</v>
      </c>
      <c r="E187">
        <v>1600</v>
      </c>
      <c r="F187" t="s">
        <v>68</v>
      </c>
      <c r="G187" t="s">
        <v>127</v>
      </c>
      <c r="H187" t="s">
        <v>128</v>
      </c>
      <c r="I187" t="s">
        <v>115</v>
      </c>
      <c r="J187">
        <v>0</v>
      </c>
      <c r="K187">
        <v>45259.47934027778</v>
      </c>
    </row>
    <row r="188" spans="2:14" x14ac:dyDescent="0.25">
      <c r="B188" t="s">
        <v>341</v>
      </c>
      <c r="C188" t="s">
        <v>264</v>
      </c>
      <c r="D188">
        <v>32575</v>
      </c>
      <c r="E188">
        <v>600</v>
      </c>
      <c r="F188" t="s">
        <v>68</v>
      </c>
      <c r="G188" t="s">
        <v>177</v>
      </c>
      <c r="H188" t="s">
        <v>178</v>
      </c>
      <c r="J188">
        <v>1</v>
      </c>
      <c r="K188">
        <v>45259.561909722222</v>
      </c>
      <c r="M188" t="s">
        <v>342</v>
      </c>
    </row>
    <row r="189" spans="2:14" x14ac:dyDescent="0.25">
      <c r="B189" t="s">
        <v>343</v>
      </c>
      <c r="C189" t="s">
        <v>344</v>
      </c>
      <c r="D189" t="s">
        <v>67</v>
      </c>
      <c r="E189">
        <v>9000</v>
      </c>
      <c r="F189" t="s">
        <v>68</v>
      </c>
      <c r="G189" t="s">
        <v>125</v>
      </c>
      <c r="H189" t="s">
        <v>126</v>
      </c>
      <c r="I189" t="s">
        <v>115</v>
      </c>
      <c r="J189">
        <v>1</v>
      </c>
      <c r="K189">
        <v>45260.416608796295</v>
      </c>
      <c r="M189" t="s">
        <v>345</v>
      </c>
    </row>
    <row r="190" spans="2:14" x14ac:dyDescent="0.25">
      <c r="B190" t="s">
        <v>169</v>
      </c>
      <c r="C190" t="s">
        <v>346</v>
      </c>
      <c r="D190">
        <v>472</v>
      </c>
      <c r="E190">
        <v>720</v>
      </c>
      <c r="F190" t="s">
        <v>68</v>
      </c>
      <c r="G190" t="s">
        <v>174</v>
      </c>
      <c r="H190" t="s">
        <v>175</v>
      </c>
      <c r="I190" t="s">
        <v>176</v>
      </c>
      <c r="J190">
        <v>0</v>
      </c>
      <c r="K190">
        <v>45260.54011574074</v>
      </c>
      <c r="L190">
        <v>720</v>
      </c>
    </row>
    <row r="191" spans="2:14" x14ac:dyDescent="0.25">
      <c r="B191" t="s">
        <v>314</v>
      </c>
      <c r="C191" t="s">
        <v>279</v>
      </c>
      <c r="D191">
        <v>468</v>
      </c>
      <c r="E191">
        <v>3000</v>
      </c>
      <c r="F191" t="s">
        <v>68</v>
      </c>
      <c r="G191" t="s">
        <v>117</v>
      </c>
      <c r="H191" t="s">
        <v>118</v>
      </c>
      <c r="I191" t="s">
        <v>115</v>
      </c>
      <c r="J191">
        <v>0</v>
      </c>
      <c r="K191">
        <v>45260.542592592596</v>
      </c>
      <c r="L191">
        <v>3000</v>
      </c>
    </row>
    <row r="192" spans="2:14" x14ac:dyDescent="0.25">
      <c r="B192" t="s">
        <v>314</v>
      </c>
      <c r="C192" t="s">
        <v>337</v>
      </c>
      <c r="D192">
        <v>469</v>
      </c>
      <c r="E192">
        <v>228</v>
      </c>
      <c r="F192" t="s">
        <v>68</v>
      </c>
      <c r="G192" t="s">
        <v>174</v>
      </c>
      <c r="H192" t="s">
        <v>175</v>
      </c>
      <c r="I192" t="s">
        <v>176</v>
      </c>
      <c r="J192">
        <v>0</v>
      </c>
      <c r="K192">
        <v>45260.543391203704</v>
      </c>
      <c r="L192">
        <v>228</v>
      </c>
    </row>
    <row r="193" spans="2:17" x14ac:dyDescent="0.25">
      <c r="B193" t="s">
        <v>314</v>
      </c>
      <c r="C193" t="s">
        <v>275</v>
      </c>
      <c r="D193">
        <v>470</v>
      </c>
      <c r="E193">
        <v>250</v>
      </c>
      <c r="F193" t="s">
        <v>68</v>
      </c>
      <c r="G193" t="s">
        <v>125</v>
      </c>
      <c r="H193" t="s">
        <v>126</v>
      </c>
      <c r="I193" t="s">
        <v>115</v>
      </c>
      <c r="J193">
        <v>0</v>
      </c>
      <c r="K193">
        <v>45260.544560185182</v>
      </c>
      <c r="L193">
        <v>250</v>
      </c>
    </row>
    <row r="194" spans="2:17" x14ac:dyDescent="0.25">
      <c r="B194" t="s">
        <v>314</v>
      </c>
      <c r="C194" t="s">
        <v>277</v>
      </c>
      <c r="D194">
        <v>471</v>
      </c>
      <c r="E194">
        <v>12</v>
      </c>
      <c r="F194" t="s">
        <v>68</v>
      </c>
      <c r="G194" t="s">
        <v>772</v>
      </c>
      <c r="H194" t="s">
        <v>160</v>
      </c>
      <c r="I194" t="s">
        <v>154</v>
      </c>
      <c r="J194">
        <v>0</v>
      </c>
      <c r="K194">
        <v>45260.545451388891</v>
      </c>
      <c r="L194">
        <v>12</v>
      </c>
    </row>
    <row r="195" spans="2:17" x14ac:dyDescent="0.25">
      <c r="B195" t="s">
        <v>314</v>
      </c>
      <c r="C195" t="s">
        <v>277</v>
      </c>
      <c r="D195">
        <v>471</v>
      </c>
      <c r="E195">
        <v>30</v>
      </c>
      <c r="F195" t="s">
        <v>68</v>
      </c>
      <c r="G195" t="s">
        <v>773</v>
      </c>
      <c r="H195" t="s">
        <v>180</v>
      </c>
      <c r="I195" t="s">
        <v>154</v>
      </c>
      <c r="J195">
        <v>0</v>
      </c>
      <c r="K195">
        <v>45260.546203703707</v>
      </c>
      <c r="L195">
        <v>30</v>
      </c>
      <c r="N195" t="s">
        <v>347</v>
      </c>
    </row>
    <row r="196" spans="2:17" x14ac:dyDescent="0.25">
      <c r="B196" t="s">
        <v>348</v>
      </c>
      <c r="C196" t="s">
        <v>349</v>
      </c>
      <c r="D196" t="s">
        <v>66</v>
      </c>
      <c r="E196">
        <v>100000</v>
      </c>
      <c r="F196" t="s">
        <v>68</v>
      </c>
      <c r="G196" t="s">
        <v>113</v>
      </c>
      <c r="H196" t="s">
        <v>114</v>
      </c>
      <c r="I196" t="s">
        <v>115</v>
      </c>
      <c r="J196">
        <v>1</v>
      </c>
      <c r="K196">
        <v>45260.593645833331</v>
      </c>
      <c r="M196" t="s">
        <v>327</v>
      </c>
    </row>
    <row r="197" spans="2:17" x14ac:dyDescent="0.25">
      <c r="B197" t="s">
        <v>348</v>
      </c>
      <c r="C197" t="s">
        <v>349</v>
      </c>
      <c r="D197" t="s">
        <v>66</v>
      </c>
      <c r="E197">
        <v>15000</v>
      </c>
      <c r="F197" t="s">
        <v>68</v>
      </c>
      <c r="G197" t="s">
        <v>131</v>
      </c>
      <c r="H197" t="s">
        <v>132</v>
      </c>
      <c r="I197" t="s">
        <v>115</v>
      </c>
      <c r="J197">
        <v>1</v>
      </c>
      <c r="K197">
        <v>45260.593645833331</v>
      </c>
      <c r="M197" t="s">
        <v>327</v>
      </c>
    </row>
    <row r="198" spans="2:17" x14ac:dyDescent="0.25">
      <c r="B198" t="s">
        <v>348</v>
      </c>
      <c r="C198" t="s">
        <v>349</v>
      </c>
      <c r="D198" t="s">
        <v>66</v>
      </c>
      <c r="E198">
        <v>3000</v>
      </c>
      <c r="F198" t="s">
        <v>68</v>
      </c>
      <c r="G198" t="s">
        <v>125</v>
      </c>
      <c r="H198" t="s">
        <v>126</v>
      </c>
      <c r="I198" t="s">
        <v>115</v>
      </c>
      <c r="J198">
        <v>1</v>
      </c>
      <c r="K198">
        <v>45260.604097222225</v>
      </c>
      <c r="M198" t="s">
        <v>327</v>
      </c>
    </row>
    <row r="199" spans="2:17" x14ac:dyDescent="0.25">
      <c r="B199" t="s">
        <v>169</v>
      </c>
      <c r="C199" t="s">
        <v>303</v>
      </c>
      <c r="D199" t="s">
        <v>350</v>
      </c>
      <c r="E199">
        <v>48</v>
      </c>
      <c r="F199" t="s">
        <v>68</v>
      </c>
      <c r="G199" t="s">
        <v>771</v>
      </c>
      <c r="H199" t="s">
        <v>158</v>
      </c>
      <c r="I199" t="s">
        <v>154</v>
      </c>
      <c r="J199">
        <v>0</v>
      </c>
      <c r="K199">
        <v>45260.693067129629</v>
      </c>
    </row>
    <row r="200" spans="2:17" x14ac:dyDescent="0.25">
      <c r="B200" t="s">
        <v>66</v>
      </c>
      <c r="C200" t="s">
        <v>66</v>
      </c>
      <c r="D200" t="s">
        <v>66</v>
      </c>
      <c r="E200">
        <v>257</v>
      </c>
      <c r="F200" t="s">
        <v>68</v>
      </c>
      <c r="G200" t="s">
        <v>122</v>
      </c>
      <c r="H200" t="s">
        <v>351</v>
      </c>
      <c r="I200" t="s">
        <v>66</v>
      </c>
      <c r="J200">
        <v>1</v>
      </c>
      <c r="K200">
        <v>45267.503125000003</v>
      </c>
      <c r="L200">
        <v>9999</v>
      </c>
      <c r="M200" t="s">
        <v>352</v>
      </c>
      <c r="O200">
        <v>100</v>
      </c>
      <c r="P200">
        <v>2</v>
      </c>
      <c r="Q200">
        <v>56.999999999999986</v>
      </c>
    </row>
    <row r="201" spans="2:17" x14ac:dyDescent="0.25">
      <c r="B201" t="s">
        <v>169</v>
      </c>
      <c r="C201" t="s">
        <v>253</v>
      </c>
      <c r="D201" t="s">
        <v>353</v>
      </c>
      <c r="E201">
        <v>14</v>
      </c>
      <c r="F201" t="s">
        <v>68</v>
      </c>
      <c r="G201" t="s">
        <v>772</v>
      </c>
      <c r="H201" t="s">
        <v>160</v>
      </c>
      <c r="I201" t="s">
        <v>154</v>
      </c>
      <c r="J201">
        <v>0</v>
      </c>
      <c r="K201">
        <v>45261.531099537038</v>
      </c>
      <c r="L201">
        <v>137</v>
      </c>
    </row>
    <row r="202" spans="2:17" x14ac:dyDescent="0.25">
      <c r="B202" t="s">
        <v>169</v>
      </c>
      <c r="C202" t="s">
        <v>254</v>
      </c>
      <c r="D202" t="s">
        <v>354</v>
      </c>
      <c r="E202">
        <v>1200</v>
      </c>
      <c r="F202" t="s">
        <v>145</v>
      </c>
      <c r="G202" t="s">
        <v>149</v>
      </c>
      <c r="H202" t="s">
        <v>147</v>
      </c>
      <c r="I202" t="s">
        <v>148</v>
      </c>
      <c r="J202">
        <v>0</v>
      </c>
      <c r="K202">
        <v>45261.613807870373</v>
      </c>
      <c r="L202">
        <v>5528</v>
      </c>
    </row>
    <row r="203" spans="2:17" x14ac:dyDescent="0.25">
      <c r="B203" t="s">
        <v>169</v>
      </c>
      <c r="C203" t="s">
        <v>355</v>
      </c>
      <c r="D203" t="s">
        <v>356</v>
      </c>
      <c r="E203">
        <v>1200</v>
      </c>
      <c r="F203" t="s">
        <v>68</v>
      </c>
      <c r="G203" t="s">
        <v>183</v>
      </c>
      <c r="H203" t="s">
        <v>184</v>
      </c>
      <c r="I203" t="s">
        <v>115</v>
      </c>
      <c r="J203">
        <v>0</v>
      </c>
      <c r="K203">
        <v>45261.644594907404</v>
      </c>
      <c r="L203">
        <v>1200</v>
      </c>
    </row>
    <row r="204" spans="2:17" x14ac:dyDescent="0.25">
      <c r="B204" t="s">
        <v>314</v>
      </c>
      <c r="C204" t="s">
        <v>357</v>
      </c>
      <c r="D204" t="s">
        <v>358</v>
      </c>
      <c r="E204">
        <v>482</v>
      </c>
      <c r="F204" t="s">
        <v>145</v>
      </c>
      <c r="G204" t="s">
        <v>150</v>
      </c>
      <c r="H204" t="s">
        <v>147</v>
      </c>
      <c r="I204" t="s">
        <v>148</v>
      </c>
      <c r="J204">
        <v>0</v>
      </c>
      <c r="K204">
        <v>45264.645266203705</v>
      </c>
      <c r="L204">
        <v>0</v>
      </c>
    </row>
    <row r="205" spans="2:17" x14ac:dyDescent="0.25">
      <c r="B205" t="s">
        <v>314</v>
      </c>
      <c r="C205" t="s">
        <v>260</v>
      </c>
      <c r="D205" t="s">
        <v>359</v>
      </c>
      <c r="E205">
        <v>16500</v>
      </c>
      <c r="F205" t="s">
        <v>68</v>
      </c>
      <c r="G205" t="s">
        <v>113</v>
      </c>
      <c r="H205" t="s">
        <v>114</v>
      </c>
      <c r="I205" t="s">
        <v>115</v>
      </c>
      <c r="J205">
        <v>0</v>
      </c>
      <c r="K205">
        <v>45264.645439814813</v>
      </c>
      <c r="L205">
        <v>212200</v>
      </c>
      <c r="N205">
        <v>672000</v>
      </c>
    </row>
    <row r="206" spans="2:17" x14ac:dyDescent="0.25">
      <c r="B206" t="s">
        <v>314</v>
      </c>
      <c r="C206" t="s">
        <v>260</v>
      </c>
      <c r="D206" t="s">
        <v>359</v>
      </c>
      <c r="E206">
        <v>100</v>
      </c>
      <c r="F206" t="s">
        <v>68</v>
      </c>
      <c r="G206" t="s">
        <v>774</v>
      </c>
      <c r="H206" t="s">
        <v>189</v>
      </c>
      <c r="I206" t="s">
        <v>154</v>
      </c>
      <c r="J206">
        <v>0</v>
      </c>
      <c r="K206">
        <v>45264.645729166667</v>
      </c>
      <c r="L206">
        <v>2260</v>
      </c>
    </row>
    <row r="207" spans="2:17" x14ac:dyDescent="0.25">
      <c r="B207" t="s">
        <v>314</v>
      </c>
      <c r="C207" t="s">
        <v>260</v>
      </c>
      <c r="D207" t="s">
        <v>359</v>
      </c>
      <c r="E207">
        <v>25</v>
      </c>
      <c r="F207" t="s">
        <v>68</v>
      </c>
      <c r="G207" t="s">
        <v>773</v>
      </c>
      <c r="H207" t="s">
        <v>180</v>
      </c>
      <c r="I207" t="s">
        <v>154</v>
      </c>
      <c r="J207">
        <v>0</v>
      </c>
      <c r="K207">
        <v>45264.645879629628</v>
      </c>
      <c r="L207">
        <v>635</v>
      </c>
    </row>
    <row r="208" spans="2:17" x14ac:dyDescent="0.25">
      <c r="B208" t="s">
        <v>314</v>
      </c>
      <c r="C208" t="s">
        <v>260</v>
      </c>
      <c r="D208" t="s">
        <v>359</v>
      </c>
      <c r="E208">
        <v>230</v>
      </c>
      <c r="F208" t="s">
        <v>137</v>
      </c>
      <c r="G208" t="s">
        <v>138</v>
      </c>
      <c r="H208" t="s">
        <v>139</v>
      </c>
      <c r="I208" t="s">
        <v>140</v>
      </c>
      <c r="J208">
        <v>0</v>
      </c>
      <c r="K208">
        <v>45264.645949074074</v>
      </c>
      <c r="L208">
        <v>2118</v>
      </c>
    </row>
    <row r="209" spans="2:13" x14ac:dyDescent="0.25">
      <c r="B209" t="s">
        <v>314</v>
      </c>
      <c r="C209" t="s">
        <v>260</v>
      </c>
      <c r="D209" t="s">
        <v>359</v>
      </c>
      <c r="E209">
        <v>24</v>
      </c>
      <c r="F209" t="s">
        <v>68</v>
      </c>
      <c r="G209" t="s">
        <v>772</v>
      </c>
      <c r="H209" t="s">
        <v>160</v>
      </c>
      <c r="I209" t="s">
        <v>154</v>
      </c>
      <c r="J209">
        <v>0</v>
      </c>
      <c r="K209">
        <v>45264.646145833336</v>
      </c>
      <c r="L209">
        <v>113</v>
      </c>
    </row>
    <row r="210" spans="2:13" x14ac:dyDescent="0.25">
      <c r="B210" t="s">
        <v>314</v>
      </c>
      <c r="C210" t="s">
        <v>258</v>
      </c>
      <c r="D210" t="s">
        <v>360</v>
      </c>
      <c r="E210">
        <v>250</v>
      </c>
      <c r="F210" t="s">
        <v>68</v>
      </c>
      <c r="G210" t="s">
        <v>125</v>
      </c>
      <c r="H210" t="s">
        <v>126</v>
      </c>
      <c r="I210" t="s">
        <v>115</v>
      </c>
      <c r="J210">
        <v>0</v>
      </c>
      <c r="K210">
        <v>45264.646238425928</v>
      </c>
      <c r="L210">
        <v>14500</v>
      </c>
    </row>
    <row r="211" spans="2:13" x14ac:dyDescent="0.25">
      <c r="B211" t="s">
        <v>314</v>
      </c>
      <c r="C211" t="s">
        <v>361</v>
      </c>
      <c r="D211" t="s">
        <v>362</v>
      </c>
      <c r="E211">
        <v>6000</v>
      </c>
      <c r="F211" t="s">
        <v>68</v>
      </c>
      <c r="G211" t="s">
        <v>117</v>
      </c>
      <c r="H211" t="s">
        <v>118</v>
      </c>
      <c r="I211" t="s">
        <v>115</v>
      </c>
      <c r="J211">
        <v>0</v>
      </c>
      <c r="K211">
        <v>45264.646296296298</v>
      </c>
      <c r="L211">
        <v>61000</v>
      </c>
    </row>
    <row r="212" spans="2:13" x14ac:dyDescent="0.25">
      <c r="B212" t="s">
        <v>169</v>
      </c>
      <c r="C212" t="s">
        <v>255</v>
      </c>
      <c r="D212" t="s">
        <v>363</v>
      </c>
      <c r="E212">
        <v>10</v>
      </c>
      <c r="F212" t="s">
        <v>137</v>
      </c>
      <c r="G212" t="s">
        <v>141</v>
      </c>
      <c r="H212" t="s">
        <v>142</v>
      </c>
      <c r="I212" t="s">
        <v>140</v>
      </c>
      <c r="J212">
        <v>0</v>
      </c>
      <c r="K212">
        <v>45264.646365740744</v>
      </c>
      <c r="L212">
        <v>6293</v>
      </c>
    </row>
    <row r="213" spans="2:13" x14ac:dyDescent="0.25">
      <c r="B213" t="s">
        <v>169</v>
      </c>
      <c r="C213" t="s">
        <v>256</v>
      </c>
      <c r="D213" t="s">
        <v>364</v>
      </c>
      <c r="E213">
        <v>360</v>
      </c>
      <c r="F213" t="s">
        <v>68</v>
      </c>
      <c r="G213" t="s">
        <v>152</v>
      </c>
      <c r="H213" t="s">
        <v>153</v>
      </c>
      <c r="I213" t="s">
        <v>154</v>
      </c>
      <c r="J213">
        <v>0</v>
      </c>
      <c r="K213">
        <v>45264.646469907406</v>
      </c>
      <c r="L213">
        <v>7172</v>
      </c>
    </row>
    <row r="214" spans="2:13" x14ac:dyDescent="0.25">
      <c r="B214" t="s">
        <v>169</v>
      </c>
      <c r="C214" t="s">
        <v>303</v>
      </c>
      <c r="D214" t="s">
        <v>365</v>
      </c>
      <c r="E214">
        <v>3600</v>
      </c>
      <c r="F214" t="s">
        <v>68</v>
      </c>
      <c r="G214" t="s">
        <v>133</v>
      </c>
      <c r="H214" t="s">
        <v>134</v>
      </c>
      <c r="I214" t="s">
        <v>115</v>
      </c>
      <c r="J214">
        <v>0</v>
      </c>
      <c r="K214">
        <v>45264.646539351852</v>
      </c>
      <c r="L214">
        <v>158600</v>
      </c>
    </row>
    <row r="215" spans="2:13" x14ac:dyDescent="0.25">
      <c r="B215" t="s">
        <v>366</v>
      </c>
      <c r="C215" t="s">
        <v>299</v>
      </c>
      <c r="D215" t="s">
        <v>66</v>
      </c>
      <c r="E215">
        <v>200</v>
      </c>
      <c r="F215" t="s">
        <v>68</v>
      </c>
      <c r="G215" t="s">
        <v>772</v>
      </c>
      <c r="H215" t="s">
        <v>160</v>
      </c>
      <c r="I215" t="s">
        <v>154</v>
      </c>
      <c r="J215">
        <v>1</v>
      </c>
      <c r="K215">
        <v>45264.648055555554</v>
      </c>
      <c r="L215">
        <v>313</v>
      </c>
      <c r="M215" t="s">
        <v>367</v>
      </c>
    </row>
    <row r="216" spans="2:13" x14ac:dyDescent="0.25">
      <c r="B216" t="s">
        <v>366</v>
      </c>
      <c r="C216" t="s">
        <v>299</v>
      </c>
      <c r="D216" t="s">
        <v>66</v>
      </c>
      <c r="E216">
        <v>6000</v>
      </c>
      <c r="F216" t="s">
        <v>68</v>
      </c>
      <c r="G216" t="s">
        <v>190</v>
      </c>
      <c r="H216" t="s">
        <v>191</v>
      </c>
      <c r="I216" t="s">
        <v>154</v>
      </c>
      <c r="J216">
        <v>1</v>
      </c>
      <c r="K216">
        <v>45264.648715277777</v>
      </c>
      <c r="L216">
        <v>7200</v>
      </c>
      <c r="M216" t="s">
        <v>367</v>
      </c>
    </row>
    <row r="217" spans="2:13" x14ac:dyDescent="0.25">
      <c r="B217" t="s">
        <v>368</v>
      </c>
      <c r="C217" t="s">
        <v>264</v>
      </c>
      <c r="D217" t="s">
        <v>373</v>
      </c>
      <c r="E217">
        <v>20</v>
      </c>
      <c r="F217" t="s">
        <v>145</v>
      </c>
      <c r="G217" t="s">
        <v>238</v>
      </c>
      <c r="H217" t="s">
        <v>219</v>
      </c>
      <c r="I217" t="s">
        <v>220</v>
      </c>
      <c r="J217">
        <v>1</v>
      </c>
      <c r="K217">
        <v>45265.520289351851</v>
      </c>
      <c r="L217">
        <v>26</v>
      </c>
      <c r="M217" t="s">
        <v>374</v>
      </c>
    </row>
    <row r="218" spans="2:13" x14ac:dyDescent="0.25">
      <c r="B218" t="s">
        <v>368</v>
      </c>
      <c r="C218" t="s">
        <v>264</v>
      </c>
      <c r="D218" t="s">
        <v>373</v>
      </c>
      <c r="E218">
        <v>13</v>
      </c>
      <c r="F218" t="s">
        <v>145</v>
      </c>
      <c r="G218" t="s">
        <v>236</v>
      </c>
      <c r="H218" t="s">
        <v>219</v>
      </c>
      <c r="I218" t="s">
        <v>220</v>
      </c>
      <c r="J218">
        <v>1</v>
      </c>
      <c r="K218">
        <v>45265.520543981482</v>
      </c>
      <c r="L218">
        <v>19</v>
      </c>
      <c r="M218" t="s">
        <v>374</v>
      </c>
    </row>
    <row r="219" spans="2:13" x14ac:dyDescent="0.25">
      <c r="B219" t="s">
        <v>368</v>
      </c>
      <c r="C219" t="s">
        <v>264</v>
      </c>
      <c r="D219" t="s">
        <v>373</v>
      </c>
      <c r="E219">
        <v>4</v>
      </c>
      <c r="F219" t="s">
        <v>145</v>
      </c>
      <c r="G219" t="s">
        <v>63</v>
      </c>
      <c r="H219" t="s">
        <v>219</v>
      </c>
      <c r="I219" t="s">
        <v>220</v>
      </c>
      <c r="J219">
        <v>1</v>
      </c>
      <c r="K219">
        <v>45265.520925925928</v>
      </c>
      <c r="L219">
        <v>5</v>
      </c>
      <c r="M219" t="s">
        <v>374</v>
      </c>
    </row>
    <row r="220" spans="2:13" x14ac:dyDescent="0.25">
      <c r="B220" t="s">
        <v>368</v>
      </c>
      <c r="C220" t="s">
        <v>264</v>
      </c>
      <c r="D220" t="s">
        <v>373</v>
      </c>
      <c r="E220">
        <v>24</v>
      </c>
      <c r="F220" t="s">
        <v>145</v>
      </c>
      <c r="G220" t="s">
        <v>226</v>
      </c>
      <c r="H220" t="s">
        <v>219</v>
      </c>
      <c r="I220" t="s">
        <v>220</v>
      </c>
      <c r="J220">
        <v>1</v>
      </c>
      <c r="K220">
        <v>45265.521006944444</v>
      </c>
      <c r="L220">
        <v>24</v>
      </c>
      <c r="M220" t="s">
        <v>374</v>
      </c>
    </row>
    <row r="221" spans="2:13" x14ac:dyDescent="0.25">
      <c r="B221" t="s">
        <v>368</v>
      </c>
      <c r="C221" t="s">
        <v>264</v>
      </c>
      <c r="D221" t="s">
        <v>373</v>
      </c>
      <c r="E221">
        <v>5</v>
      </c>
      <c r="F221" t="s">
        <v>145</v>
      </c>
      <c r="G221" t="s">
        <v>231</v>
      </c>
      <c r="H221" t="s">
        <v>219</v>
      </c>
      <c r="I221" t="s">
        <v>220</v>
      </c>
      <c r="J221">
        <v>1</v>
      </c>
      <c r="K221">
        <v>45265.521087962959</v>
      </c>
      <c r="L221">
        <v>5</v>
      </c>
      <c r="M221" t="s">
        <v>374</v>
      </c>
    </row>
    <row r="222" spans="2:13" x14ac:dyDescent="0.25">
      <c r="B222" t="s">
        <v>368</v>
      </c>
      <c r="C222" t="s">
        <v>264</v>
      </c>
      <c r="D222" t="s">
        <v>373</v>
      </c>
      <c r="E222">
        <v>43</v>
      </c>
      <c r="F222" t="s">
        <v>145</v>
      </c>
      <c r="G222" t="s">
        <v>64</v>
      </c>
      <c r="H222" t="s">
        <v>219</v>
      </c>
      <c r="I222" t="s">
        <v>220</v>
      </c>
      <c r="J222">
        <v>1</v>
      </c>
      <c r="K222">
        <v>45265.521180555559</v>
      </c>
      <c r="L222">
        <v>43</v>
      </c>
      <c r="M222" t="s">
        <v>374</v>
      </c>
    </row>
    <row r="223" spans="2:13" x14ac:dyDescent="0.25">
      <c r="B223" t="s">
        <v>368</v>
      </c>
      <c r="C223" t="s">
        <v>264</v>
      </c>
      <c r="D223" t="s">
        <v>373</v>
      </c>
      <c r="E223">
        <v>10</v>
      </c>
      <c r="F223" t="s">
        <v>145</v>
      </c>
      <c r="G223" t="s">
        <v>228</v>
      </c>
      <c r="H223" t="s">
        <v>219</v>
      </c>
      <c r="I223" t="s">
        <v>220</v>
      </c>
      <c r="J223">
        <v>1</v>
      </c>
      <c r="K223">
        <v>45265.521261574075</v>
      </c>
      <c r="L223">
        <v>10</v>
      </c>
      <c r="M223" t="s">
        <v>374</v>
      </c>
    </row>
    <row r="224" spans="2:13" x14ac:dyDescent="0.25">
      <c r="B224" t="s">
        <v>368</v>
      </c>
      <c r="C224" t="s">
        <v>264</v>
      </c>
      <c r="D224" t="s">
        <v>373</v>
      </c>
      <c r="E224">
        <v>26</v>
      </c>
      <c r="F224" t="s">
        <v>145</v>
      </c>
      <c r="G224" t="s">
        <v>62</v>
      </c>
      <c r="H224" t="s">
        <v>219</v>
      </c>
      <c r="I224" t="s">
        <v>220</v>
      </c>
      <c r="J224">
        <v>1</v>
      </c>
      <c r="K224">
        <v>45265.521666666667</v>
      </c>
      <c r="L224">
        <v>35</v>
      </c>
      <c r="M224" t="s">
        <v>374</v>
      </c>
    </row>
    <row r="225" spans="2:13" x14ac:dyDescent="0.25">
      <c r="B225" t="s">
        <v>368</v>
      </c>
      <c r="C225" t="s">
        <v>264</v>
      </c>
      <c r="D225" t="s">
        <v>373</v>
      </c>
      <c r="E225">
        <v>35</v>
      </c>
      <c r="F225" t="s">
        <v>145</v>
      </c>
      <c r="G225" t="s">
        <v>227</v>
      </c>
      <c r="H225" t="s">
        <v>219</v>
      </c>
      <c r="I225" t="s">
        <v>220</v>
      </c>
      <c r="J225">
        <v>1</v>
      </c>
      <c r="K225">
        <v>45265.52175925926</v>
      </c>
      <c r="L225">
        <v>35</v>
      </c>
      <c r="M225" t="s">
        <v>374</v>
      </c>
    </row>
    <row r="226" spans="2:13" x14ac:dyDescent="0.25">
      <c r="B226" t="s">
        <v>368</v>
      </c>
      <c r="C226" t="s">
        <v>264</v>
      </c>
      <c r="D226" t="s">
        <v>373</v>
      </c>
      <c r="E226">
        <v>21</v>
      </c>
      <c r="F226" t="s">
        <v>145</v>
      </c>
      <c r="G226" t="s">
        <v>230</v>
      </c>
      <c r="H226" t="s">
        <v>219</v>
      </c>
      <c r="I226" t="s">
        <v>220</v>
      </c>
      <c r="J226">
        <v>1</v>
      </c>
      <c r="K226">
        <v>45265.521840277775</v>
      </c>
      <c r="L226">
        <v>21</v>
      </c>
      <c r="M226" t="s">
        <v>374</v>
      </c>
    </row>
    <row r="227" spans="2:13" x14ac:dyDescent="0.25">
      <c r="B227" t="s">
        <v>368</v>
      </c>
      <c r="C227" t="s">
        <v>264</v>
      </c>
      <c r="D227" t="s">
        <v>373</v>
      </c>
      <c r="E227">
        <v>16</v>
      </c>
      <c r="F227" t="s">
        <v>145</v>
      </c>
      <c r="G227" t="s">
        <v>369</v>
      </c>
      <c r="H227" t="s">
        <v>219</v>
      </c>
      <c r="I227" t="s">
        <v>220</v>
      </c>
      <c r="J227">
        <v>1</v>
      </c>
      <c r="K227">
        <v>45265.521909722222</v>
      </c>
      <c r="L227">
        <v>16</v>
      </c>
      <c r="M227" t="s">
        <v>374</v>
      </c>
    </row>
    <row r="228" spans="2:13" x14ac:dyDescent="0.25">
      <c r="B228" t="s">
        <v>368</v>
      </c>
      <c r="C228" t="s">
        <v>264</v>
      </c>
      <c r="D228" t="s">
        <v>373</v>
      </c>
      <c r="E228">
        <v>15</v>
      </c>
      <c r="F228" t="s">
        <v>145</v>
      </c>
      <c r="G228" t="s">
        <v>370</v>
      </c>
      <c r="H228" t="s">
        <v>219</v>
      </c>
      <c r="I228" t="s">
        <v>220</v>
      </c>
      <c r="J228">
        <v>1</v>
      </c>
      <c r="K228">
        <v>45265.521990740737</v>
      </c>
      <c r="L228">
        <v>15</v>
      </c>
      <c r="M228" t="s">
        <v>374</v>
      </c>
    </row>
    <row r="229" spans="2:13" x14ac:dyDescent="0.25">
      <c r="B229" t="s">
        <v>368</v>
      </c>
      <c r="C229" t="s">
        <v>264</v>
      </c>
      <c r="D229" t="s">
        <v>373</v>
      </c>
      <c r="E229">
        <v>2</v>
      </c>
      <c r="F229" t="s">
        <v>145</v>
      </c>
      <c r="G229" t="s">
        <v>65</v>
      </c>
      <c r="H229" t="s">
        <v>219</v>
      </c>
      <c r="I229" t="s">
        <v>220</v>
      </c>
      <c r="J229">
        <v>1</v>
      </c>
      <c r="K229">
        <v>45265.52207175926</v>
      </c>
      <c r="L229">
        <v>2</v>
      </c>
      <c r="M229" t="s">
        <v>374</v>
      </c>
    </row>
    <row r="230" spans="2:13" x14ac:dyDescent="0.25">
      <c r="B230" t="s">
        <v>368</v>
      </c>
      <c r="C230" t="s">
        <v>264</v>
      </c>
      <c r="D230" t="s">
        <v>373</v>
      </c>
      <c r="E230">
        <v>23</v>
      </c>
      <c r="F230" t="s">
        <v>145</v>
      </c>
      <c r="G230" t="s">
        <v>371</v>
      </c>
      <c r="H230" t="s">
        <v>219</v>
      </c>
      <c r="I230" t="s">
        <v>220</v>
      </c>
      <c r="J230">
        <v>1</v>
      </c>
      <c r="K230">
        <v>45265.522256944445</v>
      </c>
      <c r="L230">
        <v>23</v>
      </c>
      <c r="M230" t="s">
        <v>374</v>
      </c>
    </row>
    <row r="231" spans="2:13" x14ac:dyDescent="0.25">
      <c r="B231" t="s">
        <v>368</v>
      </c>
      <c r="C231" t="s">
        <v>264</v>
      </c>
      <c r="D231" t="s">
        <v>373</v>
      </c>
      <c r="E231">
        <v>7</v>
      </c>
      <c r="F231" t="s">
        <v>145</v>
      </c>
      <c r="G231" t="s">
        <v>372</v>
      </c>
      <c r="H231" t="s">
        <v>219</v>
      </c>
      <c r="I231" t="s">
        <v>220</v>
      </c>
      <c r="J231">
        <v>1</v>
      </c>
      <c r="K231">
        <v>45265.522326388891</v>
      </c>
      <c r="L231">
        <v>7</v>
      </c>
      <c r="M231" t="s">
        <v>374</v>
      </c>
    </row>
    <row r="232" spans="2:13" x14ac:dyDescent="0.25">
      <c r="B232" t="s">
        <v>169</v>
      </c>
      <c r="C232" t="s">
        <v>303</v>
      </c>
      <c r="D232" t="s">
        <v>375</v>
      </c>
      <c r="E232">
        <v>3600</v>
      </c>
      <c r="F232" t="s">
        <v>68</v>
      </c>
      <c r="G232" t="s">
        <v>133</v>
      </c>
      <c r="H232" t="s">
        <v>134</v>
      </c>
      <c r="I232" t="s">
        <v>115</v>
      </c>
      <c r="J232">
        <v>0</v>
      </c>
      <c r="K232">
        <v>45265.719976851855</v>
      </c>
      <c r="L232">
        <v>155000</v>
      </c>
    </row>
    <row r="233" spans="2:13" x14ac:dyDescent="0.25">
      <c r="B233" t="s">
        <v>169</v>
      </c>
      <c r="C233" t="s">
        <v>263</v>
      </c>
      <c r="D233" t="s">
        <v>376</v>
      </c>
      <c r="E233">
        <v>6000</v>
      </c>
      <c r="F233" t="s">
        <v>68</v>
      </c>
      <c r="G233" t="s">
        <v>770</v>
      </c>
      <c r="H233" t="s">
        <v>155</v>
      </c>
      <c r="I233" t="s">
        <v>154</v>
      </c>
      <c r="J233">
        <v>0</v>
      </c>
      <c r="K233">
        <v>45265.724502314813</v>
      </c>
      <c r="L233">
        <v>23920</v>
      </c>
    </row>
    <row r="234" spans="2:13" x14ac:dyDescent="0.25">
      <c r="B234" t="s">
        <v>169</v>
      </c>
      <c r="C234" t="s">
        <v>303</v>
      </c>
      <c r="D234" t="s">
        <v>377</v>
      </c>
      <c r="E234">
        <v>4000</v>
      </c>
      <c r="F234" t="s">
        <v>68</v>
      </c>
      <c r="G234" t="s">
        <v>133</v>
      </c>
      <c r="H234" t="s">
        <v>134</v>
      </c>
      <c r="I234" t="s">
        <v>115</v>
      </c>
      <c r="J234">
        <v>0</v>
      </c>
      <c r="K234">
        <v>45266.778923611113</v>
      </c>
      <c r="L234">
        <v>151000</v>
      </c>
    </row>
    <row r="235" spans="2:13" x14ac:dyDescent="0.25">
      <c r="B235" t="s">
        <v>169</v>
      </c>
      <c r="C235" t="s">
        <v>305</v>
      </c>
      <c r="D235" t="s">
        <v>378</v>
      </c>
      <c r="E235">
        <v>3600</v>
      </c>
      <c r="F235" t="s">
        <v>68</v>
      </c>
      <c r="G235" t="s">
        <v>113</v>
      </c>
      <c r="H235" t="s">
        <v>114</v>
      </c>
      <c r="I235" t="s">
        <v>115</v>
      </c>
      <c r="J235">
        <v>0</v>
      </c>
      <c r="K235">
        <v>45266.779016203705</v>
      </c>
      <c r="L235">
        <v>208600</v>
      </c>
    </row>
    <row r="236" spans="2:13" x14ac:dyDescent="0.25">
      <c r="B236" t="s">
        <v>169</v>
      </c>
      <c r="C236" t="s">
        <v>256</v>
      </c>
      <c r="D236" t="s">
        <v>379</v>
      </c>
      <c r="E236">
        <v>360</v>
      </c>
      <c r="F236" t="s">
        <v>68</v>
      </c>
      <c r="G236" t="s">
        <v>152</v>
      </c>
      <c r="H236" t="s">
        <v>153</v>
      </c>
      <c r="I236" t="s">
        <v>154</v>
      </c>
      <c r="J236">
        <v>0</v>
      </c>
      <c r="K236">
        <v>45266.779062499998</v>
      </c>
      <c r="L236">
        <v>6812</v>
      </c>
    </row>
    <row r="237" spans="2:13" x14ac:dyDescent="0.25">
      <c r="B237" t="s">
        <v>169</v>
      </c>
      <c r="C237" t="s">
        <v>380</v>
      </c>
      <c r="D237" t="s">
        <v>381</v>
      </c>
      <c r="E237">
        <v>3600</v>
      </c>
      <c r="F237" t="s">
        <v>68</v>
      </c>
      <c r="G237" t="s">
        <v>117</v>
      </c>
      <c r="H237" t="s">
        <v>118</v>
      </c>
      <c r="I237" t="s">
        <v>115</v>
      </c>
      <c r="J237">
        <v>0</v>
      </c>
      <c r="K237">
        <v>45266.779097222221</v>
      </c>
      <c r="L237">
        <v>57400</v>
      </c>
    </row>
    <row r="238" spans="2:13" x14ac:dyDescent="0.25">
      <c r="B238" t="s">
        <v>169</v>
      </c>
      <c r="C238" t="s">
        <v>380</v>
      </c>
      <c r="D238" t="s">
        <v>381</v>
      </c>
      <c r="E238">
        <v>3600</v>
      </c>
      <c r="F238" t="s">
        <v>68</v>
      </c>
      <c r="G238" t="s">
        <v>181</v>
      </c>
      <c r="H238" t="s">
        <v>182</v>
      </c>
      <c r="I238" t="s">
        <v>115</v>
      </c>
      <c r="J238">
        <v>0</v>
      </c>
      <c r="K238">
        <v>45266.779120370367</v>
      </c>
      <c r="L238">
        <v>6000</v>
      </c>
    </row>
    <row r="239" spans="2:13" x14ac:dyDescent="0.25">
      <c r="B239" t="s">
        <v>169</v>
      </c>
      <c r="C239" t="s">
        <v>380</v>
      </c>
      <c r="D239" t="s">
        <v>381</v>
      </c>
      <c r="E239">
        <v>1200</v>
      </c>
      <c r="F239" t="s">
        <v>68</v>
      </c>
      <c r="G239" t="s">
        <v>183</v>
      </c>
      <c r="H239" t="s">
        <v>184</v>
      </c>
      <c r="I239" t="s">
        <v>115</v>
      </c>
      <c r="J239">
        <v>0</v>
      </c>
      <c r="K239">
        <v>45266.77915509259</v>
      </c>
      <c r="L239">
        <v>0</v>
      </c>
    </row>
    <row r="240" spans="2:13" x14ac:dyDescent="0.25">
      <c r="B240" t="s">
        <v>169</v>
      </c>
      <c r="C240" t="s">
        <v>380</v>
      </c>
      <c r="D240" t="s">
        <v>381</v>
      </c>
      <c r="E240">
        <v>2400</v>
      </c>
      <c r="F240" t="s">
        <v>68</v>
      </c>
      <c r="G240" t="s">
        <v>293</v>
      </c>
      <c r="H240" t="s">
        <v>294</v>
      </c>
      <c r="I240" t="s">
        <v>115</v>
      </c>
      <c r="J240">
        <v>0</v>
      </c>
      <c r="K240">
        <v>45266.77920138889</v>
      </c>
      <c r="L240">
        <v>2400</v>
      </c>
    </row>
    <row r="241" spans="2:12" x14ac:dyDescent="0.25">
      <c r="B241" t="s">
        <v>169</v>
      </c>
      <c r="C241" t="s">
        <v>257</v>
      </c>
      <c r="D241" t="s">
        <v>382</v>
      </c>
      <c r="E241">
        <v>1200</v>
      </c>
      <c r="F241" t="s">
        <v>68</v>
      </c>
      <c r="G241" t="s">
        <v>293</v>
      </c>
      <c r="H241" t="s">
        <v>294</v>
      </c>
      <c r="I241" t="s">
        <v>115</v>
      </c>
      <c r="J241">
        <v>0</v>
      </c>
      <c r="K241">
        <v>45266.779236111113</v>
      </c>
      <c r="L241">
        <v>1200</v>
      </c>
    </row>
    <row r="242" spans="2:12" x14ac:dyDescent="0.25">
      <c r="B242" t="s">
        <v>169</v>
      </c>
      <c r="C242" t="s">
        <v>383</v>
      </c>
      <c r="D242" t="s">
        <v>384</v>
      </c>
      <c r="E242">
        <v>720</v>
      </c>
      <c r="F242" t="s">
        <v>145</v>
      </c>
      <c r="G242" t="s">
        <v>151</v>
      </c>
      <c r="H242" t="s">
        <v>147</v>
      </c>
      <c r="I242" t="s">
        <v>148</v>
      </c>
      <c r="J242">
        <v>0</v>
      </c>
      <c r="K242">
        <v>45266.77925925926</v>
      </c>
      <c r="L242">
        <v>0</v>
      </c>
    </row>
    <row r="243" spans="2:12" x14ac:dyDescent="0.25">
      <c r="B243" t="s">
        <v>169</v>
      </c>
      <c r="C243" t="s">
        <v>385</v>
      </c>
      <c r="D243" t="s">
        <v>386</v>
      </c>
      <c r="E243">
        <v>7000</v>
      </c>
      <c r="F243" t="s">
        <v>68</v>
      </c>
      <c r="G243" t="s">
        <v>156</v>
      </c>
      <c r="H243" t="s">
        <v>157</v>
      </c>
      <c r="I243" t="s">
        <v>154</v>
      </c>
      <c r="J243">
        <v>0</v>
      </c>
      <c r="K243">
        <v>45266.779293981483</v>
      </c>
      <c r="L243">
        <v>100</v>
      </c>
    </row>
    <row r="244" spans="2:12" x14ac:dyDescent="0.25">
      <c r="B244" t="s">
        <v>169</v>
      </c>
      <c r="C244" t="s">
        <v>263</v>
      </c>
      <c r="D244" t="s">
        <v>387</v>
      </c>
      <c r="E244">
        <v>1000</v>
      </c>
      <c r="F244" t="s">
        <v>68</v>
      </c>
      <c r="G244" t="s">
        <v>156</v>
      </c>
      <c r="H244" t="s">
        <v>157</v>
      </c>
      <c r="I244" t="s">
        <v>154</v>
      </c>
      <c r="J244">
        <v>0</v>
      </c>
      <c r="K244">
        <v>45266.779328703706</v>
      </c>
      <c r="L244">
        <v>-900</v>
      </c>
    </row>
    <row r="245" spans="2:12" x14ac:dyDescent="0.25">
      <c r="B245" t="s">
        <v>169</v>
      </c>
      <c r="C245" t="s">
        <v>388</v>
      </c>
      <c r="D245" t="s">
        <v>389</v>
      </c>
      <c r="E245">
        <v>21</v>
      </c>
      <c r="F245" t="s">
        <v>145</v>
      </c>
      <c r="G245" t="s">
        <v>230</v>
      </c>
      <c r="H245" t="s">
        <v>219</v>
      </c>
      <c r="I245" t="s">
        <v>220</v>
      </c>
      <c r="J245">
        <v>0</v>
      </c>
      <c r="K245">
        <v>45266.779907407406</v>
      </c>
      <c r="L245">
        <v>0</v>
      </c>
    </row>
    <row r="246" spans="2:12" x14ac:dyDescent="0.25">
      <c r="B246" t="s">
        <v>169</v>
      </c>
      <c r="C246" t="s">
        <v>388</v>
      </c>
      <c r="D246" t="s">
        <v>389</v>
      </c>
      <c r="E246">
        <v>5</v>
      </c>
      <c r="F246" t="s">
        <v>145</v>
      </c>
      <c r="G246" t="s">
        <v>231</v>
      </c>
      <c r="H246" t="s">
        <v>219</v>
      </c>
      <c r="I246" t="s">
        <v>220</v>
      </c>
      <c r="J246">
        <v>0</v>
      </c>
      <c r="K246">
        <v>45266.779965277776</v>
      </c>
      <c r="L246">
        <v>0</v>
      </c>
    </row>
    <row r="247" spans="2:12" x14ac:dyDescent="0.25">
      <c r="B247" t="s">
        <v>169</v>
      </c>
      <c r="C247" t="s">
        <v>388</v>
      </c>
      <c r="D247" t="s">
        <v>389</v>
      </c>
      <c r="E247">
        <v>5</v>
      </c>
      <c r="F247" t="s">
        <v>145</v>
      </c>
      <c r="G247" t="s">
        <v>63</v>
      </c>
      <c r="H247" t="s">
        <v>219</v>
      </c>
      <c r="I247" t="s">
        <v>220</v>
      </c>
      <c r="J247">
        <v>0</v>
      </c>
      <c r="K247">
        <v>45266.779988425929</v>
      </c>
      <c r="L247">
        <v>0</v>
      </c>
    </row>
    <row r="248" spans="2:12" x14ac:dyDescent="0.25">
      <c r="B248" t="s">
        <v>169</v>
      </c>
      <c r="C248" t="s">
        <v>388</v>
      </c>
      <c r="D248" t="s">
        <v>389</v>
      </c>
      <c r="E248">
        <v>4</v>
      </c>
      <c r="F248" t="s">
        <v>145</v>
      </c>
      <c r="G248" t="s">
        <v>239</v>
      </c>
      <c r="H248" t="s">
        <v>219</v>
      </c>
      <c r="I248" t="s">
        <v>220</v>
      </c>
      <c r="J248">
        <v>0</v>
      </c>
      <c r="K248">
        <v>45266.780011574076</v>
      </c>
      <c r="L248">
        <v>-1</v>
      </c>
    </row>
    <row r="249" spans="2:12" x14ac:dyDescent="0.25">
      <c r="B249" t="s">
        <v>169</v>
      </c>
      <c r="C249" t="s">
        <v>388</v>
      </c>
      <c r="D249" t="s">
        <v>389</v>
      </c>
      <c r="E249">
        <v>4</v>
      </c>
      <c r="F249" t="s">
        <v>145</v>
      </c>
      <c r="G249" t="s">
        <v>240</v>
      </c>
      <c r="H249" t="s">
        <v>219</v>
      </c>
      <c r="I249" t="s">
        <v>220</v>
      </c>
      <c r="J249">
        <v>0</v>
      </c>
      <c r="K249">
        <v>45266.780046296299</v>
      </c>
      <c r="L249">
        <v>1</v>
      </c>
    </row>
    <row r="250" spans="2:12" x14ac:dyDescent="0.25">
      <c r="B250" t="s">
        <v>169</v>
      </c>
      <c r="C250" t="s">
        <v>388</v>
      </c>
      <c r="D250" t="s">
        <v>389</v>
      </c>
      <c r="E250">
        <v>4</v>
      </c>
      <c r="F250" t="s">
        <v>145</v>
      </c>
      <c r="G250" t="s">
        <v>241</v>
      </c>
      <c r="H250" t="s">
        <v>219</v>
      </c>
      <c r="I250" t="s">
        <v>220</v>
      </c>
      <c r="J250">
        <v>0</v>
      </c>
      <c r="K250">
        <v>45266.778344907405</v>
      </c>
      <c r="L250">
        <v>0</v>
      </c>
    </row>
    <row r="251" spans="2:12" x14ac:dyDescent="0.25">
      <c r="B251" t="s">
        <v>169</v>
      </c>
      <c r="C251" t="s">
        <v>388</v>
      </c>
      <c r="D251" t="s">
        <v>389</v>
      </c>
      <c r="E251">
        <v>26</v>
      </c>
      <c r="F251" t="s">
        <v>145</v>
      </c>
      <c r="G251" t="s">
        <v>238</v>
      </c>
      <c r="H251" t="s">
        <v>219</v>
      </c>
      <c r="I251" t="s">
        <v>220</v>
      </c>
      <c r="J251">
        <v>0</v>
      </c>
      <c r="K251">
        <v>45266.780092592591</v>
      </c>
      <c r="L251">
        <v>0</v>
      </c>
    </row>
    <row r="252" spans="2:12" x14ac:dyDescent="0.25">
      <c r="B252" t="s">
        <v>169</v>
      </c>
      <c r="C252" t="s">
        <v>388</v>
      </c>
      <c r="D252" t="s">
        <v>389</v>
      </c>
      <c r="E252">
        <v>16</v>
      </c>
      <c r="F252" t="s">
        <v>145</v>
      </c>
      <c r="G252" t="s">
        <v>369</v>
      </c>
      <c r="H252" t="s">
        <v>219</v>
      </c>
      <c r="I252" t="s">
        <v>220</v>
      </c>
      <c r="J252">
        <v>0</v>
      </c>
      <c r="K252">
        <v>45266.780115740738</v>
      </c>
      <c r="L252">
        <v>0</v>
      </c>
    </row>
    <row r="253" spans="2:12" x14ac:dyDescent="0.25">
      <c r="B253" t="s">
        <v>169</v>
      </c>
      <c r="C253" t="s">
        <v>388</v>
      </c>
      <c r="D253" t="s">
        <v>389</v>
      </c>
      <c r="E253">
        <v>18</v>
      </c>
      <c r="F253" t="s">
        <v>145</v>
      </c>
      <c r="G253" t="s">
        <v>236</v>
      </c>
      <c r="H253" t="s">
        <v>219</v>
      </c>
      <c r="I253" t="s">
        <v>220</v>
      </c>
      <c r="J253">
        <v>0</v>
      </c>
      <c r="K253">
        <v>45266.780138888891</v>
      </c>
      <c r="L253">
        <v>1</v>
      </c>
    </row>
    <row r="254" spans="2:12" x14ac:dyDescent="0.25">
      <c r="B254" t="s">
        <v>169</v>
      </c>
      <c r="C254" t="s">
        <v>388</v>
      </c>
      <c r="D254" t="s">
        <v>389</v>
      </c>
      <c r="E254">
        <v>15</v>
      </c>
      <c r="F254" t="s">
        <v>145</v>
      </c>
      <c r="G254" t="s">
        <v>370</v>
      </c>
      <c r="H254" t="s">
        <v>219</v>
      </c>
      <c r="I254" t="s">
        <v>220</v>
      </c>
      <c r="J254">
        <v>0</v>
      </c>
      <c r="K254">
        <v>45266.780162037037</v>
      </c>
      <c r="L254">
        <v>0</v>
      </c>
    </row>
    <row r="255" spans="2:12" x14ac:dyDescent="0.25">
      <c r="B255" t="s">
        <v>169</v>
      </c>
      <c r="C255" t="s">
        <v>388</v>
      </c>
      <c r="D255" t="s">
        <v>389</v>
      </c>
      <c r="E255">
        <v>10</v>
      </c>
      <c r="F255" t="s">
        <v>145</v>
      </c>
      <c r="G255" t="s">
        <v>226</v>
      </c>
      <c r="H255" t="s">
        <v>219</v>
      </c>
      <c r="I255" t="s">
        <v>220</v>
      </c>
      <c r="J255">
        <v>0</v>
      </c>
      <c r="K255">
        <v>45266.780185185184</v>
      </c>
      <c r="L255">
        <v>14</v>
      </c>
    </row>
    <row r="256" spans="2:12" x14ac:dyDescent="0.25">
      <c r="B256" t="s">
        <v>169</v>
      </c>
      <c r="C256" t="s">
        <v>388</v>
      </c>
      <c r="D256" t="s">
        <v>389</v>
      </c>
      <c r="E256">
        <v>6</v>
      </c>
      <c r="F256" t="s">
        <v>145</v>
      </c>
      <c r="G256" t="s">
        <v>237</v>
      </c>
      <c r="H256" t="s">
        <v>219</v>
      </c>
      <c r="I256" t="s">
        <v>220</v>
      </c>
      <c r="J256">
        <v>0</v>
      </c>
      <c r="K256">
        <v>45266.78020833333</v>
      </c>
      <c r="L256">
        <v>-1</v>
      </c>
    </row>
    <row r="257" spans="2:17" x14ac:dyDescent="0.25">
      <c r="B257" t="s">
        <v>169</v>
      </c>
      <c r="C257" t="s">
        <v>388</v>
      </c>
      <c r="D257" t="s">
        <v>389</v>
      </c>
      <c r="E257">
        <v>23</v>
      </c>
      <c r="F257" t="s">
        <v>145</v>
      </c>
      <c r="G257" t="s">
        <v>371</v>
      </c>
      <c r="H257" t="s">
        <v>219</v>
      </c>
      <c r="I257" t="s">
        <v>220</v>
      </c>
      <c r="J257">
        <v>0</v>
      </c>
      <c r="K257">
        <v>45266.780277777776</v>
      </c>
      <c r="L257">
        <v>0</v>
      </c>
    </row>
    <row r="258" spans="2:17" x14ac:dyDescent="0.25">
      <c r="B258" t="s">
        <v>169</v>
      </c>
      <c r="C258" t="s">
        <v>388</v>
      </c>
      <c r="D258" t="s">
        <v>389</v>
      </c>
      <c r="E258">
        <v>35</v>
      </c>
      <c r="F258" t="s">
        <v>145</v>
      </c>
      <c r="G258" t="s">
        <v>62</v>
      </c>
      <c r="H258" t="s">
        <v>219</v>
      </c>
      <c r="I258" t="s">
        <v>220</v>
      </c>
      <c r="J258">
        <v>0</v>
      </c>
      <c r="K258">
        <v>45266.780787037038</v>
      </c>
      <c r="L258">
        <v>0</v>
      </c>
    </row>
    <row r="259" spans="2:17" x14ac:dyDescent="0.25">
      <c r="B259" t="s">
        <v>169</v>
      </c>
      <c r="C259" t="s">
        <v>388</v>
      </c>
      <c r="D259" t="s">
        <v>389</v>
      </c>
      <c r="E259">
        <v>35</v>
      </c>
      <c r="F259" t="s">
        <v>145</v>
      </c>
      <c r="G259" t="s">
        <v>227</v>
      </c>
      <c r="H259" t="s">
        <v>219</v>
      </c>
      <c r="I259" t="s">
        <v>220</v>
      </c>
      <c r="J259">
        <v>0</v>
      </c>
      <c r="K259">
        <v>45266.780844907407</v>
      </c>
      <c r="L259">
        <v>0</v>
      </c>
    </row>
    <row r="260" spans="2:17" x14ac:dyDescent="0.25">
      <c r="B260" t="s">
        <v>169</v>
      </c>
      <c r="C260" t="s">
        <v>388</v>
      </c>
      <c r="D260" t="s">
        <v>389</v>
      </c>
      <c r="E260">
        <v>43</v>
      </c>
      <c r="F260" t="s">
        <v>145</v>
      </c>
      <c r="G260" t="s">
        <v>64</v>
      </c>
      <c r="H260" t="s">
        <v>219</v>
      </c>
      <c r="I260" t="s">
        <v>220</v>
      </c>
      <c r="J260">
        <v>0</v>
      </c>
      <c r="K260">
        <v>45266.780868055554</v>
      </c>
      <c r="L260">
        <v>0</v>
      </c>
    </row>
    <row r="261" spans="2:17" x14ac:dyDescent="0.25">
      <c r="B261" t="s">
        <v>169</v>
      </c>
      <c r="C261" t="s">
        <v>388</v>
      </c>
      <c r="D261" t="s">
        <v>389</v>
      </c>
      <c r="E261">
        <v>10</v>
      </c>
      <c r="F261" t="s">
        <v>145</v>
      </c>
      <c r="G261" t="s">
        <v>228</v>
      </c>
      <c r="H261" t="s">
        <v>219</v>
      </c>
      <c r="I261" t="s">
        <v>220</v>
      </c>
      <c r="J261">
        <v>0</v>
      </c>
      <c r="K261">
        <v>45266.780891203707</v>
      </c>
      <c r="L261">
        <v>0</v>
      </c>
    </row>
    <row r="262" spans="2:17" x14ac:dyDescent="0.25">
      <c r="B262" t="s">
        <v>169</v>
      </c>
      <c r="C262" t="s">
        <v>388</v>
      </c>
      <c r="D262" t="s">
        <v>389</v>
      </c>
      <c r="E262">
        <v>2</v>
      </c>
      <c r="F262" t="s">
        <v>145</v>
      </c>
      <c r="G262" t="s">
        <v>65</v>
      </c>
      <c r="H262" t="s">
        <v>219</v>
      </c>
      <c r="I262" t="s">
        <v>220</v>
      </c>
      <c r="J262">
        <v>0</v>
      </c>
      <c r="K262">
        <v>45266.780914351853</v>
      </c>
      <c r="L262">
        <v>0</v>
      </c>
    </row>
    <row r="263" spans="2:17" x14ac:dyDescent="0.25">
      <c r="B263" t="s">
        <v>390</v>
      </c>
      <c r="C263" t="s">
        <v>391</v>
      </c>
      <c r="D263" t="s">
        <v>392</v>
      </c>
      <c r="E263">
        <v>4000</v>
      </c>
      <c r="F263" t="s">
        <v>68</v>
      </c>
      <c r="G263" t="s">
        <v>129</v>
      </c>
      <c r="H263" t="s">
        <v>130</v>
      </c>
      <c r="I263" t="s">
        <v>115</v>
      </c>
      <c r="J263">
        <v>1</v>
      </c>
      <c r="K263">
        <v>45266.782824074071</v>
      </c>
      <c r="L263">
        <v>6400</v>
      </c>
      <c r="M263" t="s">
        <v>393</v>
      </c>
    </row>
    <row r="264" spans="2:17" x14ac:dyDescent="0.25">
      <c r="B264" t="s">
        <v>390</v>
      </c>
      <c r="C264" t="s">
        <v>391</v>
      </c>
      <c r="D264" t="s">
        <v>392</v>
      </c>
      <c r="E264">
        <v>10000</v>
      </c>
      <c r="F264" t="s">
        <v>68</v>
      </c>
      <c r="G264" t="s">
        <v>135</v>
      </c>
      <c r="H264" t="s">
        <v>136</v>
      </c>
      <c r="I264" t="s">
        <v>115</v>
      </c>
      <c r="J264">
        <v>1</v>
      </c>
      <c r="K264">
        <v>45266.78297453704</v>
      </c>
      <c r="L264">
        <v>10000</v>
      </c>
      <c r="M264" t="s">
        <v>393</v>
      </c>
    </row>
    <row r="265" spans="2:17" x14ac:dyDescent="0.25">
      <c r="B265" t="s">
        <v>394</v>
      </c>
      <c r="C265" t="s">
        <v>67</v>
      </c>
      <c r="D265" t="s">
        <v>67</v>
      </c>
      <c r="E265">
        <v>29</v>
      </c>
      <c r="F265" t="s">
        <v>145</v>
      </c>
      <c r="G265" t="s">
        <v>65</v>
      </c>
      <c r="H265" t="s">
        <v>219</v>
      </c>
      <c r="I265" t="s">
        <v>220</v>
      </c>
      <c r="J265">
        <v>1</v>
      </c>
      <c r="K265">
        <v>45267.417939814812</v>
      </c>
      <c r="L265">
        <v>29</v>
      </c>
      <c r="M265" t="s">
        <v>342</v>
      </c>
    </row>
    <row r="266" spans="2:17" x14ac:dyDescent="0.25">
      <c r="B266" t="s">
        <v>394</v>
      </c>
      <c r="C266" t="s">
        <v>67</v>
      </c>
      <c r="D266" t="s">
        <v>67</v>
      </c>
      <c r="E266">
        <v>19</v>
      </c>
      <c r="F266" t="s">
        <v>145</v>
      </c>
      <c r="G266" t="s">
        <v>227</v>
      </c>
      <c r="H266" t="s">
        <v>219</v>
      </c>
      <c r="I266" t="s">
        <v>220</v>
      </c>
      <c r="J266">
        <v>1</v>
      </c>
      <c r="K266">
        <v>45267.418182870373</v>
      </c>
      <c r="L266">
        <v>19</v>
      </c>
      <c r="M266" t="s">
        <v>342</v>
      </c>
    </row>
    <row r="267" spans="2:17" x14ac:dyDescent="0.25">
      <c r="B267" t="s">
        <v>394</v>
      </c>
      <c r="C267" t="s">
        <v>67</v>
      </c>
      <c r="D267" t="s">
        <v>67</v>
      </c>
      <c r="E267">
        <v>24</v>
      </c>
      <c r="F267" t="s">
        <v>145</v>
      </c>
      <c r="G267" t="s">
        <v>369</v>
      </c>
      <c r="H267" t="s">
        <v>219</v>
      </c>
      <c r="I267" t="s">
        <v>220</v>
      </c>
      <c r="J267">
        <v>1</v>
      </c>
      <c r="K267">
        <v>45267.418495370373</v>
      </c>
      <c r="L267">
        <v>24</v>
      </c>
      <c r="M267" t="s">
        <v>342</v>
      </c>
    </row>
    <row r="268" spans="2:17" x14ac:dyDescent="0.25">
      <c r="B268" t="s">
        <v>395</v>
      </c>
      <c r="C268" t="s">
        <v>396</v>
      </c>
      <c r="D268" t="s">
        <v>397</v>
      </c>
      <c r="E268">
        <v>60000</v>
      </c>
      <c r="F268" t="s">
        <v>68</v>
      </c>
      <c r="G268" t="s">
        <v>133</v>
      </c>
      <c r="H268" t="s">
        <v>134</v>
      </c>
      <c r="I268" t="s">
        <v>115</v>
      </c>
      <c r="J268">
        <v>1</v>
      </c>
      <c r="K268">
        <v>45267.66920138889</v>
      </c>
      <c r="L268">
        <v>211000</v>
      </c>
      <c r="M268">
        <v>44938</v>
      </c>
      <c r="O268">
        <v>2400</v>
      </c>
      <c r="P268">
        <v>25</v>
      </c>
      <c r="Q268">
        <v>0</v>
      </c>
    </row>
    <row r="269" spans="2:17" x14ac:dyDescent="0.25">
      <c r="B269" t="s">
        <v>395</v>
      </c>
      <c r="C269" t="s">
        <v>396</v>
      </c>
      <c r="D269" t="s">
        <v>397</v>
      </c>
      <c r="E269">
        <v>3000</v>
      </c>
      <c r="F269" t="s">
        <v>68</v>
      </c>
      <c r="G269" t="s">
        <v>120</v>
      </c>
      <c r="H269" t="s">
        <v>121</v>
      </c>
      <c r="I269" t="s">
        <v>115</v>
      </c>
      <c r="J269">
        <v>1</v>
      </c>
      <c r="K269">
        <v>45267.669351851851</v>
      </c>
      <c r="L269">
        <v>9000</v>
      </c>
      <c r="M269">
        <v>44938</v>
      </c>
      <c r="O269">
        <v>1200</v>
      </c>
      <c r="P269">
        <v>2</v>
      </c>
      <c r="Q269">
        <v>600</v>
      </c>
    </row>
    <row r="270" spans="2:17" x14ac:dyDescent="0.25">
      <c r="B270" t="s">
        <v>169</v>
      </c>
      <c r="C270" t="s">
        <v>257</v>
      </c>
      <c r="D270" t="s">
        <v>398</v>
      </c>
      <c r="E270">
        <v>1600</v>
      </c>
      <c r="F270" t="s">
        <v>68</v>
      </c>
      <c r="G270" t="s">
        <v>135</v>
      </c>
      <c r="H270" t="s">
        <v>136</v>
      </c>
      <c r="I270" t="s">
        <v>115</v>
      </c>
      <c r="J270">
        <v>0</v>
      </c>
      <c r="K270">
        <v>45268.429259259261</v>
      </c>
      <c r="L270">
        <v>8400</v>
      </c>
      <c r="O270">
        <v>1</v>
      </c>
      <c r="P270">
        <v>1600</v>
      </c>
      <c r="Q270">
        <v>0</v>
      </c>
    </row>
    <row r="271" spans="2:17" x14ac:dyDescent="0.25">
      <c r="B271" t="s">
        <v>169</v>
      </c>
      <c r="C271" t="s">
        <v>399</v>
      </c>
      <c r="D271" t="s">
        <v>400</v>
      </c>
      <c r="E271">
        <v>1200</v>
      </c>
      <c r="F271" t="s">
        <v>68</v>
      </c>
      <c r="G271" t="s">
        <v>135</v>
      </c>
      <c r="H271" t="s">
        <v>136</v>
      </c>
      <c r="I271" t="s">
        <v>115</v>
      </c>
      <c r="J271">
        <v>0</v>
      </c>
      <c r="K271">
        <v>45268.429988425924</v>
      </c>
      <c r="L271">
        <v>7200</v>
      </c>
      <c r="O271">
        <v>1</v>
      </c>
      <c r="P271">
        <v>1200</v>
      </c>
      <c r="Q271">
        <v>0</v>
      </c>
    </row>
    <row r="272" spans="2:17" x14ac:dyDescent="0.25">
      <c r="B272" t="s">
        <v>169</v>
      </c>
      <c r="C272" t="s">
        <v>256</v>
      </c>
      <c r="D272" t="s">
        <v>401</v>
      </c>
      <c r="E272">
        <v>252</v>
      </c>
      <c r="F272" t="s">
        <v>68</v>
      </c>
      <c r="G272" t="s">
        <v>152</v>
      </c>
      <c r="H272" t="s">
        <v>153</v>
      </c>
      <c r="I272" t="s">
        <v>154</v>
      </c>
      <c r="J272">
        <v>0</v>
      </c>
      <c r="K272">
        <v>45268.447766203702</v>
      </c>
      <c r="L272">
        <v>6560</v>
      </c>
      <c r="O272">
        <v>24</v>
      </c>
      <c r="P272">
        <v>10</v>
      </c>
      <c r="Q272">
        <v>12</v>
      </c>
    </row>
    <row r="273" spans="2:17" x14ac:dyDescent="0.25">
      <c r="B273" t="s">
        <v>169</v>
      </c>
      <c r="C273" t="s">
        <v>380</v>
      </c>
      <c r="D273" t="s">
        <v>402</v>
      </c>
      <c r="E273">
        <v>1800</v>
      </c>
      <c r="F273" t="s">
        <v>68</v>
      </c>
      <c r="G273" t="s">
        <v>117</v>
      </c>
      <c r="H273" t="s">
        <v>118</v>
      </c>
      <c r="I273" t="s">
        <v>115</v>
      </c>
      <c r="J273">
        <v>0</v>
      </c>
      <c r="K273">
        <v>45268.448530092595</v>
      </c>
      <c r="L273">
        <v>55600</v>
      </c>
      <c r="O273">
        <v>1200</v>
      </c>
      <c r="P273">
        <v>1</v>
      </c>
      <c r="Q273">
        <v>600</v>
      </c>
    </row>
    <row r="274" spans="2:17" x14ac:dyDescent="0.25">
      <c r="B274" t="s">
        <v>169</v>
      </c>
      <c r="C274" t="s">
        <v>340</v>
      </c>
      <c r="D274" t="s">
        <v>403</v>
      </c>
      <c r="E274">
        <v>4000</v>
      </c>
      <c r="F274" t="s">
        <v>68</v>
      </c>
      <c r="G274" t="s">
        <v>129</v>
      </c>
      <c r="H274" t="s">
        <v>130</v>
      </c>
      <c r="I274" t="s">
        <v>115</v>
      </c>
      <c r="J274">
        <v>0</v>
      </c>
      <c r="K274">
        <v>45268.449131944442</v>
      </c>
      <c r="L274">
        <v>2400</v>
      </c>
      <c r="O274">
        <v>1</v>
      </c>
      <c r="P274">
        <v>4000</v>
      </c>
      <c r="Q274">
        <v>0</v>
      </c>
    </row>
    <row r="275" spans="2:17" x14ac:dyDescent="0.25">
      <c r="B275" t="s">
        <v>169</v>
      </c>
      <c r="C275" t="s">
        <v>66</v>
      </c>
      <c r="D275" t="s">
        <v>404</v>
      </c>
      <c r="E275">
        <v>720</v>
      </c>
      <c r="F275" t="s">
        <v>145</v>
      </c>
      <c r="G275" t="s">
        <v>149</v>
      </c>
      <c r="H275" t="s">
        <v>147</v>
      </c>
      <c r="I275" t="s">
        <v>148</v>
      </c>
      <c r="J275">
        <v>0</v>
      </c>
      <c r="K275">
        <v>45244.693124999998</v>
      </c>
      <c r="L275">
        <v>4808</v>
      </c>
      <c r="O275">
        <v>144</v>
      </c>
      <c r="P275">
        <v>5</v>
      </c>
      <c r="Q275">
        <v>0</v>
      </c>
    </row>
    <row r="276" spans="2:17" x14ac:dyDescent="0.25">
      <c r="B276" t="s">
        <v>405</v>
      </c>
      <c r="C276" t="s">
        <v>406</v>
      </c>
      <c r="D276" t="s">
        <v>407</v>
      </c>
      <c r="E276">
        <v>24</v>
      </c>
      <c r="F276" t="s">
        <v>145</v>
      </c>
      <c r="G276" t="s">
        <v>370</v>
      </c>
      <c r="H276" t="s">
        <v>219</v>
      </c>
      <c r="I276" t="s">
        <v>220</v>
      </c>
      <c r="J276">
        <v>1</v>
      </c>
      <c r="K276">
        <v>45271.47347222222</v>
      </c>
      <c r="L276">
        <v>24</v>
      </c>
      <c r="M276">
        <v>45058</v>
      </c>
      <c r="O276">
        <v>1</v>
      </c>
      <c r="P276">
        <v>24</v>
      </c>
      <c r="Q276">
        <v>0</v>
      </c>
    </row>
    <row r="277" spans="2:17" x14ac:dyDescent="0.25">
      <c r="B277" t="s">
        <v>405</v>
      </c>
      <c r="C277" t="s">
        <v>406</v>
      </c>
      <c r="D277" t="s">
        <v>407</v>
      </c>
      <c r="E277">
        <v>44</v>
      </c>
      <c r="F277" t="s">
        <v>145</v>
      </c>
      <c r="G277" t="s">
        <v>62</v>
      </c>
      <c r="H277" t="s">
        <v>219</v>
      </c>
      <c r="I277" t="s">
        <v>220</v>
      </c>
      <c r="J277">
        <v>1</v>
      </c>
      <c r="K277">
        <v>45271.473576388889</v>
      </c>
      <c r="L277">
        <v>44</v>
      </c>
      <c r="M277">
        <v>45058</v>
      </c>
      <c r="O277">
        <v>1</v>
      </c>
      <c r="P277">
        <v>44</v>
      </c>
      <c r="Q277">
        <v>0</v>
      </c>
    </row>
    <row r="278" spans="2:17" x14ac:dyDescent="0.25">
      <c r="B278" t="s">
        <v>405</v>
      </c>
      <c r="C278" t="s">
        <v>406</v>
      </c>
      <c r="D278" t="s">
        <v>407</v>
      </c>
      <c r="E278">
        <v>10</v>
      </c>
      <c r="F278" t="s">
        <v>145</v>
      </c>
      <c r="G278" t="s">
        <v>238</v>
      </c>
      <c r="H278" t="s">
        <v>219</v>
      </c>
      <c r="I278" t="s">
        <v>220</v>
      </c>
      <c r="J278">
        <v>1</v>
      </c>
      <c r="K278">
        <v>45271.479155092595</v>
      </c>
      <c r="L278">
        <v>10</v>
      </c>
      <c r="M278">
        <v>45058</v>
      </c>
      <c r="O278">
        <v>1</v>
      </c>
      <c r="P278">
        <v>10</v>
      </c>
      <c r="Q278">
        <v>0</v>
      </c>
    </row>
    <row r="279" spans="2:17" x14ac:dyDescent="0.25">
      <c r="B279" t="s">
        <v>405</v>
      </c>
      <c r="C279" t="s">
        <v>406</v>
      </c>
      <c r="D279" t="s">
        <v>407</v>
      </c>
      <c r="E279">
        <v>26</v>
      </c>
      <c r="F279" t="s">
        <v>145</v>
      </c>
      <c r="G279" t="s">
        <v>227</v>
      </c>
      <c r="H279" t="s">
        <v>219</v>
      </c>
      <c r="I279" t="s">
        <v>220</v>
      </c>
      <c r="J279">
        <v>1</v>
      </c>
      <c r="K279">
        <v>45271.479351851849</v>
      </c>
      <c r="L279">
        <v>45</v>
      </c>
      <c r="M279">
        <v>45058</v>
      </c>
      <c r="O279">
        <v>1</v>
      </c>
      <c r="P279">
        <v>26</v>
      </c>
      <c r="Q279">
        <v>0</v>
      </c>
    </row>
    <row r="280" spans="2:17" x14ac:dyDescent="0.25">
      <c r="B280" t="s">
        <v>405</v>
      </c>
      <c r="C280" t="s">
        <v>406</v>
      </c>
      <c r="D280" t="s">
        <v>407</v>
      </c>
      <c r="E280">
        <v>23</v>
      </c>
      <c r="F280" t="s">
        <v>145</v>
      </c>
      <c r="G280" t="s">
        <v>64</v>
      </c>
      <c r="H280" t="s">
        <v>219</v>
      </c>
      <c r="I280" t="s">
        <v>220</v>
      </c>
      <c r="J280">
        <v>1</v>
      </c>
      <c r="K280">
        <v>45271.480011574073</v>
      </c>
      <c r="L280">
        <v>23</v>
      </c>
      <c r="M280">
        <v>45058</v>
      </c>
      <c r="O280">
        <v>1</v>
      </c>
      <c r="P280">
        <v>23</v>
      </c>
      <c r="Q280">
        <v>0</v>
      </c>
    </row>
    <row r="281" spans="2:17" x14ac:dyDescent="0.25">
      <c r="B281" t="s">
        <v>405</v>
      </c>
      <c r="C281" t="s">
        <v>406</v>
      </c>
      <c r="D281" t="s">
        <v>407</v>
      </c>
      <c r="E281">
        <v>10</v>
      </c>
      <c r="F281" t="s">
        <v>145</v>
      </c>
      <c r="G281" t="s">
        <v>228</v>
      </c>
      <c r="H281" t="s">
        <v>219</v>
      </c>
      <c r="I281" t="s">
        <v>220</v>
      </c>
      <c r="J281">
        <v>1</v>
      </c>
      <c r="K281">
        <v>45271.480266203704</v>
      </c>
      <c r="L281">
        <v>10</v>
      </c>
      <c r="M281">
        <v>45058</v>
      </c>
      <c r="O281">
        <v>1</v>
      </c>
      <c r="P281">
        <v>10</v>
      </c>
      <c r="Q281">
        <v>0</v>
      </c>
    </row>
    <row r="282" spans="2:17" x14ac:dyDescent="0.25">
      <c r="B282" t="s">
        <v>405</v>
      </c>
      <c r="C282" t="s">
        <v>406</v>
      </c>
      <c r="D282" t="s">
        <v>407</v>
      </c>
      <c r="E282">
        <v>20</v>
      </c>
      <c r="F282" t="s">
        <v>145</v>
      </c>
      <c r="G282" t="s">
        <v>369</v>
      </c>
      <c r="H282" t="s">
        <v>219</v>
      </c>
      <c r="I282" t="s">
        <v>220</v>
      </c>
      <c r="J282">
        <v>1</v>
      </c>
      <c r="K282">
        <v>45271.48064814815</v>
      </c>
      <c r="L282">
        <v>44</v>
      </c>
      <c r="M282">
        <v>45058</v>
      </c>
      <c r="O282">
        <v>1</v>
      </c>
      <c r="P282">
        <v>20</v>
      </c>
      <c r="Q282">
        <v>0</v>
      </c>
    </row>
    <row r="283" spans="2:17" x14ac:dyDescent="0.25">
      <c r="B283" t="s">
        <v>405</v>
      </c>
      <c r="C283" t="s">
        <v>406</v>
      </c>
      <c r="D283" t="s">
        <v>407</v>
      </c>
      <c r="E283">
        <v>18</v>
      </c>
      <c r="F283" t="s">
        <v>145</v>
      </c>
      <c r="G283" t="s">
        <v>229</v>
      </c>
      <c r="H283" t="s">
        <v>219</v>
      </c>
      <c r="I283" t="s">
        <v>220</v>
      </c>
      <c r="J283">
        <v>1</v>
      </c>
      <c r="K283">
        <v>45271.480844907404</v>
      </c>
      <c r="L283">
        <v>18</v>
      </c>
      <c r="M283">
        <v>45058</v>
      </c>
      <c r="O283">
        <v>1</v>
      </c>
      <c r="P283">
        <v>18</v>
      </c>
      <c r="Q283">
        <v>0</v>
      </c>
    </row>
    <row r="284" spans="2:17" x14ac:dyDescent="0.25">
      <c r="B284" t="s">
        <v>405</v>
      </c>
      <c r="C284" t="s">
        <v>406</v>
      </c>
      <c r="D284" t="s">
        <v>407</v>
      </c>
      <c r="E284">
        <v>9</v>
      </c>
      <c r="F284" t="s">
        <v>145</v>
      </c>
      <c r="G284" t="s">
        <v>65</v>
      </c>
      <c r="H284" t="s">
        <v>219</v>
      </c>
      <c r="I284" t="s">
        <v>220</v>
      </c>
      <c r="J284">
        <v>1</v>
      </c>
      <c r="K284">
        <v>45271.480925925927</v>
      </c>
      <c r="L284">
        <v>38</v>
      </c>
      <c r="M284">
        <v>45058</v>
      </c>
      <c r="O284">
        <v>1</v>
      </c>
      <c r="P284">
        <v>9</v>
      </c>
      <c r="Q284">
        <v>0</v>
      </c>
    </row>
    <row r="285" spans="2:17" x14ac:dyDescent="0.25">
      <c r="B285" t="s">
        <v>405</v>
      </c>
      <c r="C285" t="s">
        <v>406</v>
      </c>
      <c r="D285" t="s">
        <v>407</v>
      </c>
      <c r="E285">
        <v>1</v>
      </c>
      <c r="F285" t="s">
        <v>145</v>
      </c>
      <c r="G285" t="s">
        <v>231</v>
      </c>
      <c r="H285" t="s">
        <v>219</v>
      </c>
      <c r="I285" t="s">
        <v>220</v>
      </c>
      <c r="J285">
        <v>1</v>
      </c>
      <c r="K285">
        <v>45271.48101851852</v>
      </c>
      <c r="L285">
        <v>1</v>
      </c>
      <c r="M285">
        <v>45058</v>
      </c>
      <c r="O285">
        <v>1</v>
      </c>
      <c r="P285">
        <v>1</v>
      </c>
      <c r="Q285">
        <v>0</v>
      </c>
    </row>
    <row r="286" spans="2:17" x14ac:dyDescent="0.25">
      <c r="B286" t="s">
        <v>405</v>
      </c>
      <c r="C286" t="s">
        <v>406</v>
      </c>
      <c r="D286" t="s">
        <v>407</v>
      </c>
      <c r="E286">
        <v>2</v>
      </c>
      <c r="F286" t="s">
        <v>145</v>
      </c>
      <c r="G286" t="s">
        <v>63</v>
      </c>
      <c r="H286" t="s">
        <v>219</v>
      </c>
      <c r="I286" t="s">
        <v>220</v>
      </c>
      <c r="J286">
        <v>1</v>
      </c>
      <c r="K286">
        <v>45271.481099537035</v>
      </c>
      <c r="L286">
        <v>2</v>
      </c>
      <c r="M286">
        <v>45058</v>
      </c>
      <c r="O286">
        <v>1</v>
      </c>
      <c r="P286">
        <v>2</v>
      </c>
      <c r="Q286">
        <v>0</v>
      </c>
    </row>
    <row r="287" spans="2:17" x14ac:dyDescent="0.25">
      <c r="B287" t="s">
        <v>405</v>
      </c>
      <c r="C287" t="s">
        <v>409</v>
      </c>
      <c r="D287" t="s">
        <v>410</v>
      </c>
      <c r="E287">
        <v>29</v>
      </c>
      <c r="F287" t="s">
        <v>145</v>
      </c>
      <c r="G287" t="s">
        <v>408</v>
      </c>
      <c r="H287" t="s">
        <v>219</v>
      </c>
      <c r="I287" t="s">
        <v>220</v>
      </c>
      <c r="J287">
        <v>1</v>
      </c>
      <c r="K287">
        <v>45271.481099537035</v>
      </c>
      <c r="L287">
        <v>29</v>
      </c>
      <c r="M287">
        <v>45058</v>
      </c>
      <c r="O287">
        <v>1</v>
      </c>
      <c r="P287">
        <v>29</v>
      </c>
      <c r="Q287">
        <v>0</v>
      </c>
    </row>
    <row r="288" spans="2:17" x14ac:dyDescent="0.25">
      <c r="B288" t="s">
        <v>169</v>
      </c>
      <c r="C288" t="s">
        <v>411</v>
      </c>
      <c r="D288" t="s">
        <v>412</v>
      </c>
      <c r="E288">
        <v>4000</v>
      </c>
      <c r="F288" t="s">
        <v>68</v>
      </c>
      <c r="G288" t="s">
        <v>120</v>
      </c>
      <c r="H288" t="s">
        <v>121</v>
      </c>
      <c r="I288" t="s">
        <v>115</v>
      </c>
      <c r="J288">
        <v>0</v>
      </c>
      <c r="K288">
        <v>45271.581250000003</v>
      </c>
      <c r="L288">
        <v>5000</v>
      </c>
      <c r="O288">
        <v>2400</v>
      </c>
      <c r="P288">
        <v>1</v>
      </c>
      <c r="Q288">
        <v>1600.0000000000002</v>
      </c>
    </row>
    <row r="289" spans="2:17" x14ac:dyDescent="0.25">
      <c r="B289" t="s">
        <v>169</v>
      </c>
      <c r="C289" t="s">
        <v>380</v>
      </c>
      <c r="D289" t="s">
        <v>413</v>
      </c>
      <c r="E289">
        <v>4000</v>
      </c>
      <c r="F289" t="s">
        <v>68</v>
      </c>
      <c r="G289" t="s">
        <v>117</v>
      </c>
      <c r="H289" t="s">
        <v>118</v>
      </c>
      <c r="I289" t="s">
        <v>115</v>
      </c>
      <c r="J289">
        <v>0</v>
      </c>
      <c r="K289">
        <v>45271.581747685188</v>
      </c>
      <c r="L289">
        <v>51600</v>
      </c>
      <c r="O289">
        <v>1200</v>
      </c>
      <c r="P289">
        <v>3</v>
      </c>
      <c r="Q289">
        <v>400.00000000000017</v>
      </c>
    </row>
    <row r="290" spans="2:17" x14ac:dyDescent="0.25">
      <c r="B290" t="s">
        <v>169</v>
      </c>
      <c r="C290" t="s">
        <v>380</v>
      </c>
      <c r="D290" t="s">
        <v>413</v>
      </c>
      <c r="E290">
        <v>4000</v>
      </c>
      <c r="F290" t="s">
        <v>68</v>
      </c>
      <c r="G290" t="s">
        <v>181</v>
      </c>
      <c r="H290" t="s">
        <v>182</v>
      </c>
      <c r="I290" t="s">
        <v>115</v>
      </c>
      <c r="J290">
        <v>0</v>
      </c>
      <c r="K290">
        <v>45271.582175925927</v>
      </c>
      <c r="L290">
        <v>2000</v>
      </c>
      <c r="O290">
        <v>2400</v>
      </c>
      <c r="P290">
        <v>1</v>
      </c>
      <c r="Q290">
        <v>1600.0000000000002</v>
      </c>
    </row>
    <row r="291" spans="2:17" x14ac:dyDescent="0.25">
      <c r="B291" t="s">
        <v>169</v>
      </c>
      <c r="C291" t="s">
        <v>340</v>
      </c>
      <c r="D291" t="s">
        <v>414</v>
      </c>
      <c r="E291">
        <v>1600</v>
      </c>
      <c r="F291" t="s">
        <v>68</v>
      </c>
      <c r="G291" t="s">
        <v>129</v>
      </c>
      <c r="H291" t="s">
        <v>130</v>
      </c>
      <c r="I291" t="s">
        <v>115</v>
      </c>
      <c r="J291">
        <v>0</v>
      </c>
      <c r="K291">
        <v>45271.582824074074</v>
      </c>
      <c r="L291">
        <v>800</v>
      </c>
      <c r="O291">
        <v>1</v>
      </c>
      <c r="P291">
        <v>1600</v>
      </c>
      <c r="Q291">
        <v>0</v>
      </c>
    </row>
    <row r="292" spans="2:17" x14ac:dyDescent="0.25">
      <c r="B292" t="s">
        <v>169</v>
      </c>
      <c r="C292" t="s">
        <v>415</v>
      </c>
      <c r="D292" t="s">
        <v>416</v>
      </c>
      <c r="E292">
        <v>800</v>
      </c>
      <c r="F292" t="s">
        <v>68</v>
      </c>
      <c r="G292" t="s">
        <v>129</v>
      </c>
      <c r="H292" t="s">
        <v>130</v>
      </c>
      <c r="I292" t="s">
        <v>115</v>
      </c>
      <c r="J292">
        <v>0</v>
      </c>
      <c r="K292">
        <v>45271.583796296298</v>
      </c>
      <c r="L292">
        <v>0</v>
      </c>
      <c r="O292">
        <v>1</v>
      </c>
      <c r="P292">
        <v>800</v>
      </c>
      <c r="Q292">
        <v>0</v>
      </c>
    </row>
    <row r="293" spans="2:17" x14ac:dyDescent="0.25">
      <c r="B293" t="s">
        <v>169</v>
      </c>
      <c r="C293" t="s">
        <v>385</v>
      </c>
      <c r="D293" t="s">
        <v>417</v>
      </c>
      <c r="E293">
        <v>8000</v>
      </c>
      <c r="F293" t="s">
        <v>68</v>
      </c>
      <c r="G293" t="s">
        <v>133</v>
      </c>
      <c r="H293" t="s">
        <v>134</v>
      </c>
      <c r="I293" t="s">
        <v>115</v>
      </c>
      <c r="J293">
        <v>0</v>
      </c>
      <c r="K293">
        <v>45271.584328703706</v>
      </c>
      <c r="L293">
        <v>203000</v>
      </c>
      <c r="O293">
        <v>2400</v>
      </c>
      <c r="P293">
        <v>3</v>
      </c>
      <c r="Q293">
        <v>800.00000000000034</v>
      </c>
    </row>
    <row r="294" spans="2:17" x14ac:dyDescent="0.25">
      <c r="B294" t="s">
        <v>169</v>
      </c>
      <c r="C294" t="s">
        <v>385</v>
      </c>
      <c r="D294" t="s">
        <v>417</v>
      </c>
      <c r="E294">
        <v>480</v>
      </c>
      <c r="F294" t="s">
        <v>68</v>
      </c>
      <c r="G294" t="s">
        <v>174</v>
      </c>
      <c r="H294" t="s">
        <v>175</v>
      </c>
      <c r="I294" t="s">
        <v>176</v>
      </c>
      <c r="J294">
        <v>0</v>
      </c>
      <c r="K294">
        <v>45271.584560185183</v>
      </c>
      <c r="L294">
        <v>2346</v>
      </c>
      <c r="O294">
        <v>300</v>
      </c>
      <c r="P294">
        <v>1</v>
      </c>
      <c r="Q294">
        <v>180.00000000000003</v>
      </c>
    </row>
    <row r="295" spans="2:17" x14ac:dyDescent="0.25">
      <c r="B295" t="s">
        <v>169</v>
      </c>
      <c r="C295" t="s">
        <v>385</v>
      </c>
      <c r="D295" t="s">
        <v>417</v>
      </c>
      <c r="E295">
        <v>800</v>
      </c>
      <c r="F295" t="s">
        <v>68</v>
      </c>
      <c r="G295" t="s">
        <v>212</v>
      </c>
      <c r="H295" t="s">
        <v>213</v>
      </c>
      <c r="I295" t="s">
        <v>154</v>
      </c>
      <c r="J295">
        <v>0</v>
      </c>
      <c r="K295">
        <v>45271.584803240738</v>
      </c>
      <c r="L295">
        <v>9500</v>
      </c>
      <c r="O295">
        <v>1</v>
      </c>
      <c r="P295">
        <v>800</v>
      </c>
      <c r="Q295">
        <v>0</v>
      </c>
    </row>
    <row r="296" spans="2:17" x14ac:dyDescent="0.25">
      <c r="B296" t="s">
        <v>169</v>
      </c>
      <c r="C296" t="s">
        <v>385</v>
      </c>
      <c r="D296" t="s">
        <v>417</v>
      </c>
      <c r="E296">
        <v>20</v>
      </c>
      <c r="F296" t="s">
        <v>68</v>
      </c>
      <c r="G296" t="s">
        <v>771</v>
      </c>
      <c r="H296" t="s">
        <v>158</v>
      </c>
      <c r="I296" t="s">
        <v>154</v>
      </c>
      <c r="J296">
        <v>0</v>
      </c>
      <c r="K296">
        <v>45271.585046296299</v>
      </c>
      <c r="L296">
        <v>275</v>
      </c>
      <c r="O296">
        <v>24</v>
      </c>
      <c r="P296">
        <v>0</v>
      </c>
      <c r="Q296">
        <v>20</v>
      </c>
    </row>
    <row r="297" spans="2:17" x14ac:dyDescent="0.25">
      <c r="B297" t="s">
        <v>169</v>
      </c>
      <c r="C297" t="s">
        <v>254</v>
      </c>
      <c r="D297" t="s">
        <v>418</v>
      </c>
      <c r="E297">
        <v>720</v>
      </c>
      <c r="F297" t="s">
        <v>145</v>
      </c>
      <c r="G297" t="s">
        <v>146</v>
      </c>
      <c r="H297" t="s">
        <v>147</v>
      </c>
      <c r="I297" t="s">
        <v>148</v>
      </c>
      <c r="J297">
        <v>0</v>
      </c>
      <c r="K297">
        <v>45271.585949074077</v>
      </c>
      <c r="L297">
        <v>288</v>
      </c>
      <c r="O297">
        <v>144</v>
      </c>
      <c r="P297">
        <v>5</v>
      </c>
      <c r="Q297">
        <v>0</v>
      </c>
    </row>
    <row r="298" spans="2:17" x14ac:dyDescent="0.25">
      <c r="B298" t="s">
        <v>169</v>
      </c>
      <c r="C298" t="s">
        <v>254</v>
      </c>
      <c r="D298" t="s">
        <v>418</v>
      </c>
      <c r="E298">
        <v>360</v>
      </c>
      <c r="F298" t="s">
        <v>145</v>
      </c>
      <c r="G298" t="s">
        <v>149</v>
      </c>
      <c r="H298" t="s">
        <v>147</v>
      </c>
      <c r="I298" t="s">
        <v>148</v>
      </c>
      <c r="J298">
        <v>0</v>
      </c>
      <c r="K298">
        <v>45271.586168981485</v>
      </c>
      <c r="L298">
        <v>4448</v>
      </c>
      <c r="O298">
        <v>144</v>
      </c>
      <c r="P298">
        <v>2</v>
      </c>
      <c r="Q298">
        <v>72</v>
      </c>
    </row>
    <row r="299" spans="2:17" x14ac:dyDescent="0.25">
      <c r="B299" t="s">
        <v>169</v>
      </c>
      <c r="C299" t="s">
        <v>255</v>
      </c>
      <c r="D299" t="s">
        <v>419</v>
      </c>
      <c r="E299">
        <v>10</v>
      </c>
      <c r="F299" t="s">
        <v>137</v>
      </c>
      <c r="G299" t="s">
        <v>141</v>
      </c>
      <c r="H299" t="s">
        <v>142</v>
      </c>
      <c r="I299" t="s">
        <v>140</v>
      </c>
      <c r="J299">
        <v>0</v>
      </c>
      <c r="K299">
        <v>45271.586886574078</v>
      </c>
      <c r="L299">
        <v>6283</v>
      </c>
      <c r="O299">
        <v>10</v>
      </c>
      <c r="P299">
        <v>1</v>
      </c>
      <c r="Q299">
        <v>0</v>
      </c>
    </row>
    <row r="300" spans="2:17" x14ac:dyDescent="0.25">
      <c r="B300" t="s">
        <v>169</v>
      </c>
      <c r="C300" t="s">
        <v>255</v>
      </c>
      <c r="D300" t="s">
        <v>419</v>
      </c>
      <c r="E300">
        <v>350</v>
      </c>
      <c r="F300" t="s">
        <v>68</v>
      </c>
      <c r="G300" t="s">
        <v>177</v>
      </c>
      <c r="H300" t="s">
        <v>178</v>
      </c>
      <c r="J300">
        <v>0</v>
      </c>
      <c r="K300">
        <v>45271.587118055555</v>
      </c>
      <c r="L300">
        <v>670</v>
      </c>
      <c r="O300">
        <v>4</v>
      </c>
      <c r="P300">
        <v>87</v>
      </c>
      <c r="Q300">
        <v>2</v>
      </c>
    </row>
    <row r="301" spans="2:17" x14ac:dyDescent="0.25">
      <c r="B301" t="s">
        <v>169</v>
      </c>
      <c r="C301" t="s">
        <v>255</v>
      </c>
      <c r="D301" t="s">
        <v>419</v>
      </c>
      <c r="E301">
        <v>1180</v>
      </c>
      <c r="F301" t="s">
        <v>68</v>
      </c>
      <c r="G301" t="s">
        <v>420</v>
      </c>
      <c r="H301" t="s">
        <v>159</v>
      </c>
      <c r="I301" t="s">
        <v>154</v>
      </c>
      <c r="J301">
        <v>0</v>
      </c>
      <c r="K301">
        <v>45271.590092592596</v>
      </c>
      <c r="L301">
        <v>1680</v>
      </c>
      <c r="O301">
        <v>60</v>
      </c>
      <c r="P301">
        <v>19</v>
      </c>
      <c r="Q301">
        <v>40.000000000000071</v>
      </c>
    </row>
    <row r="302" spans="2:17" x14ac:dyDescent="0.25">
      <c r="B302" t="s">
        <v>169</v>
      </c>
      <c r="C302" t="s">
        <v>305</v>
      </c>
      <c r="D302" t="s">
        <v>421</v>
      </c>
      <c r="E302">
        <v>5000</v>
      </c>
      <c r="F302" t="s">
        <v>68</v>
      </c>
      <c r="G302" t="s">
        <v>113</v>
      </c>
      <c r="H302" t="s">
        <v>114</v>
      </c>
      <c r="I302" t="s">
        <v>115</v>
      </c>
      <c r="J302">
        <v>0</v>
      </c>
      <c r="K302">
        <v>45271.590694444443</v>
      </c>
      <c r="L302">
        <v>203600</v>
      </c>
      <c r="O302">
        <v>2400</v>
      </c>
      <c r="P302">
        <v>2</v>
      </c>
      <c r="Q302">
        <v>200.00000000000034</v>
      </c>
    </row>
    <row r="303" spans="2:17" x14ac:dyDescent="0.25">
      <c r="B303" t="s">
        <v>314</v>
      </c>
      <c r="C303" t="s">
        <v>422</v>
      </c>
      <c r="D303" t="s">
        <v>167</v>
      </c>
      <c r="E303">
        <v>900</v>
      </c>
      <c r="F303" t="s">
        <v>68</v>
      </c>
      <c r="G303" t="s">
        <v>165</v>
      </c>
      <c r="H303" t="s">
        <v>166</v>
      </c>
      <c r="J303">
        <v>0</v>
      </c>
      <c r="K303">
        <v>45272.438946759263</v>
      </c>
      <c r="L303">
        <v>1662</v>
      </c>
      <c r="O303">
        <v>1</v>
      </c>
      <c r="P303">
        <v>900</v>
      </c>
      <c r="Q303">
        <v>0</v>
      </c>
    </row>
    <row r="304" spans="2:17" x14ac:dyDescent="0.25">
      <c r="B304" t="s">
        <v>314</v>
      </c>
      <c r="C304" t="s">
        <v>422</v>
      </c>
      <c r="D304" t="s">
        <v>167</v>
      </c>
      <c r="E304">
        <v>800</v>
      </c>
      <c r="F304" t="s">
        <v>68</v>
      </c>
      <c r="G304" t="s">
        <v>212</v>
      </c>
      <c r="H304" t="s">
        <v>213</v>
      </c>
      <c r="I304" t="s">
        <v>154</v>
      </c>
      <c r="J304">
        <v>0</v>
      </c>
      <c r="K304">
        <v>45272.439247685186</v>
      </c>
      <c r="L304">
        <v>8700</v>
      </c>
      <c r="O304">
        <v>1</v>
      </c>
      <c r="P304">
        <v>800</v>
      </c>
      <c r="Q304">
        <v>0</v>
      </c>
    </row>
    <row r="305" spans="2:17" x14ac:dyDescent="0.25">
      <c r="B305" t="s">
        <v>314</v>
      </c>
      <c r="C305" t="s">
        <v>422</v>
      </c>
      <c r="D305" t="s">
        <v>167</v>
      </c>
      <c r="E305">
        <v>10</v>
      </c>
      <c r="F305" t="s">
        <v>68</v>
      </c>
      <c r="G305" t="s">
        <v>423</v>
      </c>
      <c r="H305" t="s">
        <v>192</v>
      </c>
      <c r="J305">
        <v>0</v>
      </c>
      <c r="K305">
        <v>45272.440648148149</v>
      </c>
      <c r="L305">
        <v>48</v>
      </c>
      <c r="O305">
        <v>40</v>
      </c>
      <c r="P305">
        <v>0</v>
      </c>
      <c r="Q305">
        <v>10</v>
      </c>
    </row>
    <row r="306" spans="2:17" x14ac:dyDescent="0.25">
      <c r="B306" t="s">
        <v>314</v>
      </c>
      <c r="C306" t="s">
        <v>361</v>
      </c>
      <c r="D306" t="s">
        <v>424</v>
      </c>
      <c r="E306">
        <v>11600</v>
      </c>
      <c r="F306" t="s">
        <v>68</v>
      </c>
      <c r="G306" t="s">
        <v>117</v>
      </c>
      <c r="H306" t="s">
        <v>118</v>
      </c>
      <c r="I306" t="s">
        <v>115</v>
      </c>
      <c r="J306">
        <v>0</v>
      </c>
      <c r="K306">
        <v>45272.441388888888</v>
      </c>
      <c r="L306">
        <v>40000</v>
      </c>
      <c r="O306">
        <v>1200</v>
      </c>
      <c r="P306">
        <v>9</v>
      </c>
      <c r="Q306">
        <v>799.99999999999932</v>
      </c>
    </row>
    <row r="307" spans="2:17" x14ac:dyDescent="0.25">
      <c r="B307" t="s">
        <v>314</v>
      </c>
      <c r="C307" t="s">
        <v>258</v>
      </c>
      <c r="D307" t="s">
        <v>425</v>
      </c>
      <c r="E307">
        <v>400</v>
      </c>
      <c r="F307" t="s">
        <v>68</v>
      </c>
      <c r="G307" t="s">
        <v>125</v>
      </c>
      <c r="H307" t="s">
        <v>126</v>
      </c>
      <c r="I307" t="s">
        <v>115</v>
      </c>
      <c r="J307">
        <v>0</v>
      </c>
      <c r="K307">
        <v>45272.442002314812</v>
      </c>
      <c r="L307">
        <v>14100</v>
      </c>
      <c r="O307">
        <v>1200</v>
      </c>
      <c r="P307">
        <v>0</v>
      </c>
      <c r="Q307">
        <v>400</v>
      </c>
    </row>
    <row r="308" spans="2:17" x14ac:dyDescent="0.25">
      <c r="B308" t="s">
        <v>314</v>
      </c>
      <c r="C308" t="s">
        <v>260</v>
      </c>
      <c r="D308" t="s">
        <v>426</v>
      </c>
      <c r="E308">
        <v>1100</v>
      </c>
      <c r="F308" t="s">
        <v>68</v>
      </c>
      <c r="G308" t="s">
        <v>125</v>
      </c>
      <c r="H308" t="s">
        <v>126</v>
      </c>
      <c r="I308" t="s">
        <v>115</v>
      </c>
      <c r="J308">
        <v>0</v>
      </c>
      <c r="K308">
        <v>45272.442569444444</v>
      </c>
      <c r="L308">
        <v>13000</v>
      </c>
      <c r="O308">
        <v>1200</v>
      </c>
      <c r="P308">
        <v>0</v>
      </c>
      <c r="Q308">
        <v>1100</v>
      </c>
    </row>
    <row r="309" spans="2:17" x14ac:dyDescent="0.25">
      <c r="B309" t="s">
        <v>314</v>
      </c>
      <c r="C309" t="s">
        <v>338</v>
      </c>
      <c r="D309" t="s">
        <v>427</v>
      </c>
      <c r="E309">
        <v>50</v>
      </c>
      <c r="F309" t="s">
        <v>68</v>
      </c>
      <c r="G309" t="s">
        <v>119</v>
      </c>
      <c r="H309" t="s">
        <v>173</v>
      </c>
      <c r="J309">
        <v>0</v>
      </c>
      <c r="K309">
        <v>45272.443171296298</v>
      </c>
      <c r="L309">
        <v>232</v>
      </c>
      <c r="O309">
        <v>96</v>
      </c>
      <c r="P309">
        <v>0</v>
      </c>
      <c r="Q309">
        <v>50</v>
      </c>
    </row>
    <row r="310" spans="2:17" x14ac:dyDescent="0.25">
      <c r="B310" t="s">
        <v>428</v>
      </c>
      <c r="C310" t="s">
        <v>429</v>
      </c>
      <c r="D310" t="s">
        <v>430</v>
      </c>
      <c r="E310">
        <v>1512</v>
      </c>
      <c r="F310" t="s">
        <v>68</v>
      </c>
      <c r="G310" t="s">
        <v>170</v>
      </c>
      <c r="H310" t="s">
        <v>171</v>
      </c>
      <c r="I310" t="s">
        <v>172</v>
      </c>
      <c r="J310">
        <v>1</v>
      </c>
      <c r="K310">
        <v>45272.578101851854</v>
      </c>
      <c r="L310">
        <v>3400</v>
      </c>
      <c r="M310" t="s">
        <v>342</v>
      </c>
      <c r="O310">
        <v>36</v>
      </c>
      <c r="P310">
        <v>42</v>
      </c>
      <c r="Q310">
        <v>0</v>
      </c>
    </row>
    <row r="311" spans="2:17" x14ac:dyDescent="0.25">
      <c r="B311" t="s">
        <v>169</v>
      </c>
      <c r="C311" t="s">
        <v>388</v>
      </c>
      <c r="D311" t="s">
        <v>431</v>
      </c>
      <c r="E311">
        <v>1</v>
      </c>
      <c r="F311" t="s">
        <v>145</v>
      </c>
      <c r="G311" t="s">
        <v>231</v>
      </c>
      <c r="H311" t="s">
        <v>219</v>
      </c>
      <c r="I311" t="s">
        <v>220</v>
      </c>
      <c r="J311">
        <v>0</v>
      </c>
      <c r="K311">
        <v>45273.510208333333</v>
      </c>
      <c r="L311">
        <v>0</v>
      </c>
      <c r="O311">
        <v>1</v>
      </c>
      <c r="P311">
        <v>1</v>
      </c>
      <c r="Q311">
        <v>0</v>
      </c>
    </row>
    <row r="312" spans="2:17" x14ac:dyDescent="0.25">
      <c r="B312" t="s">
        <v>169</v>
      </c>
      <c r="C312" t="s">
        <v>388</v>
      </c>
      <c r="D312" t="s">
        <v>431</v>
      </c>
      <c r="E312">
        <v>13</v>
      </c>
      <c r="F312" t="s">
        <v>145</v>
      </c>
      <c r="G312" t="s">
        <v>370</v>
      </c>
      <c r="H312" t="s">
        <v>219</v>
      </c>
      <c r="I312" t="s">
        <v>220</v>
      </c>
      <c r="J312">
        <v>0</v>
      </c>
      <c r="K312">
        <v>45273.510729166665</v>
      </c>
      <c r="L312">
        <v>11</v>
      </c>
      <c r="O312">
        <v>1</v>
      </c>
      <c r="P312">
        <v>13</v>
      </c>
      <c r="Q312">
        <v>0</v>
      </c>
    </row>
    <row r="313" spans="2:17" x14ac:dyDescent="0.25">
      <c r="B313" t="s">
        <v>169</v>
      </c>
      <c r="C313" t="s">
        <v>388</v>
      </c>
      <c r="D313" t="s">
        <v>431</v>
      </c>
      <c r="E313">
        <v>25</v>
      </c>
      <c r="F313" t="s">
        <v>145</v>
      </c>
      <c r="G313" t="s">
        <v>62</v>
      </c>
      <c r="H313" t="s">
        <v>219</v>
      </c>
      <c r="I313" t="s">
        <v>220</v>
      </c>
      <c r="J313">
        <v>0</v>
      </c>
      <c r="K313">
        <v>45273.511030092595</v>
      </c>
      <c r="L313">
        <v>19</v>
      </c>
      <c r="O313">
        <v>1</v>
      </c>
      <c r="P313">
        <v>25</v>
      </c>
      <c r="Q313">
        <v>0</v>
      </c>
    </row>
    <row r="314" spans="2:17" x14ac:dyDescent="0.25">
      <c r="B314" t="s">
        <v>169</v>
      </c>
      <c r="C314" t="s">
        <v>388</v>
      </c>
      <c r="D314" t="s">
        <v>431</v>
      </c>
      <c r="E314">
        <v>10</v>
      </c>
      <c r="F314" t="s">
        <v>145</v>
      </c>
      <c r="G314" t="s">
        <v>238</v>
      </c>
      <c r="H314" t="s">
        <v>219</v>
      </c>
      <c r="I314" t="s">
        <v>220</v>
      </c>
      <c r="J314">
        <v>0</v>
      </c>
      <c r="K314">
        <v>45273.511331018519</v>
      </c>
      <c r="L314">
        <v>0</v>
      </c>
      <c r="O314">
        <v>1</v>
      </c>
      <c r="P314">
        <v>10</v>
      </c>
      <c r="Q314">
        <v>0</v>
      </c>
    </row>
    <row r="315" spans="2:17" x14ac:dyDescent="0.25">
      <c r="B315" t="s">
        <v>169</v>
      </c>
      <c r="C315" t="s">
        <v>388</v>
      </c>
      <c r="D315" t="s">
        <v>431</v>
      </c>
      <c r="E315">
        <v>45</v>
      </c>
      <c r="F315" t="s">
        <v>145</v>
      </c>
      <c r="G315" t="s">
        <v>227</v>
      </c>
      <c r="H315" t="s">
        <v>219</v>
      </c>
      <c r="I315" t="s">
        <v>220</v>
      </c>
      <c r="J315">
        <v>0</v>
      </c>
      <c r="K315">
        <v>45273.511759259258</v>
      </c>
      <c r="L315">
        <v>0</v>
      </c>
      <c r="O315">
        <v>1</v>
      </c>
      <c r="P315">
        <v>45</v>
      </c>
      <c r="Q315">
        <v>0</v>
      </c>
    </row>
    <row r="316" spans="2:17" x14ac:dyDescent="0.25">
      <c r="B316" t="s">
        <v>169</v>
      </c>
      <c r="C316" t="s">
        <v>388</v>
      </c>
      <c r="D316" t="s">
        <v>431</v>
      </c>
      <c r="E316">
        <v>29</v>
      </c>
      <c r="F316" t="s">
        <v>145</v>
      </c>
      <c r="G316" t="s">
        <v>408</v>
      </c>
      <c r="H316" t="s">
        <v>219</v>
      </c>
      <c r="I316" t="s">
        <v>220</v>
      </c>
      <c r="J316">
        <v>0</v>
      </c>
      <c r="K316">
        <v>45273.52171296296</v>
      </c>
      <c r="L316">
        <v>0</v>
      </c>
      <c r="O316">
        <v>1</v>
      </c>
      <c r="P316">
        <v>29</v>
      </c>
      <c r="Q316">
        <v>0</v>
      </c>
    </row>
    <row r="317" spans="2:17" x14ac:dyDescent="0.25">
      <c r="B317" t="s">
        <v>169</v>
      </c>
      <c r="C317" t="s">
        <v>388</v>
      </c>
      <c r="D317" t="s">
        <v>431</v>
      </c>
      <c r="E317">
        <v>23</v>
      </c>
      <c r="F317" t="s">
        <v>145</v>
      </c>
      <c r="G317" t="s">
        <v>64</v>
      </c>
      <c r="H317" t="s">
        <v>219</v>
      </c>
      <c r="I317" t="s">
        <v>220</v>
      </c>
      <c r="J317">
        <v>0</v>
      </c>
      <c r="K317">
        <v>45273.52275462963</v>
      </c>
      <c r="L317">
        <v>0</v>
      </c>
      <c r="O317">
        <v>1</v>
      </c>
      <c r="P317">
        <v>23</v>
      </c>
      <c r="Q317">
        <v>0</v>
      </c>
    </row>
    <row r="318" spans="2:17" x14ac:dyDescent="0.25">
      <c r="B318" t="s">
        <v>169</v>
      </c>
      <c r="C318" t="s">
        <v>388</v>
      </c>
      <c r="D318" t="s">
        <v>431</v>
      </c>
      <c r="E318">
        <v>10</v>
      </c>
      <c r="F318" t="s">
        <v>145</v>
      </c>
      <c r="G318" t="s">
        <v>228</v>
      </c>
      <c r="H318" t="s">
        <v>219</v>
      </c>
      <c r="I318" t="s">
        <v>220</v>
      </c>
      <c r="J318">
        <v>0</v>
      </c>
      <c r="K318">
        <v>45273.522997685184</v>
      </c>
      <c r="L318">
        <v>0</v>
      </c>
      <c r="O318">
        <v>1</v>
      </c>
      <c r="P318">
        <v>10</v>
      </c>
      <c r="Q318">
        <v>0</v>
      </c>
    </row>
    <row r="319" spans="2:17" x14ac:dyDescent="0.25">
      <c r="B319" t="s">
        <v>169</v>
      </c>
      <c r="C319" t="s">
        <v>388</v>
      </c>
      <c r="D319" t="s">
        <v>431</v>
      </c>
      <c r="E319">
        <v>44</v>
      </c>
      <c r="F319" t="s">
        <v>145</v>
      </c>
      <c r="G319" t="s">
        <v>369</v>
      </c>
      <c r="H319" t="s">
        <v>219</v>
      </c>
      <c r="I319" t="s">
        <v>220</v>
      </c>
      <c r="J319">
        <v>0</v>
      </c>
      <c r="K319">
        <v>45273.523206018515</v>
      </c>
      <c r="L319">
        <v>0</v>
      </c>
      <c r="O319">
        <v>1</v>
      </c>
      <c r="P319">
        <v>44</v>
      </c>
      <c r="Q319">
        <v>0</v>
      </c>
    </row>
    <row r="320" spans="2:17" x14ac:dyDescent="0.25">
      <c r="B320" t="s">
        <v>169</v>
      </c>
      <c r="C320" t="s">
        <v>388</v>
      </c>
      <c r="D320" t="s">
        <v>431</v>
      </c>
      <c r="E320">
        <v>18</v>
      </c>
      <c r="F320" t="s">
        <v>145</v>
      </c>
      <c r="G320" t="s">
        <v>229</v>
      </c>
      <c r="H320" t="s">
        <v>219</v>
      </c>
      <c r="I320" t="s">
        <v>220</v>
      </c>
      <c r="J320">
        <v>0</v>
      </c>
      <c r="K320">
        <v>45273.523495370369</v>
      </c>
      <c r="L320">
        <v>0</v>
      </c>
      <c r="O320">
        <v>1</v>
      </c>
      <c r="P320">
        <v>18</v>
      </c>
      <c r="Q320">
        <v>0</v>
      </c>
    </row>
    <row r="321" spans="2:17" x14ac:dyDescent="0.25">
      <c r="B321" t="s">
        <v>169</v>
      </c>
      <c r="C321" t="s">
        <v>388</v>
      </c>
      <c r="D321" t="s">
        <v>431</v>
      </c>
      <c r="E321">
        <v>38</v>
      </c>
      <c r="F321" t="s">
        <v>145</v>
      </c>
      <c r="G321" t="s">
        <v>65</v>
      </c>
      <c r="H321" t="s">
        <v>219</v>
      </c>
      <c r="I321" t="s">
        <v>220</v>
      </c>
      <c r="J321">
        <v>0</v>
      </c>
      <c r="K321">
        <v>45273.523877314816</v>
      </c>
      <c r="L321">
        <v>0</v>
      </c>
      <c r="O321">
        <v>1</v>
      </c>
      <c r="P321">
        <v>38</v>
      </c>
      <c r="Q321">
        <v>0</v>
      </c>
    </row>
    <row r="322" spans="2:17" x14ac:dyDescent="0.25">
      <c r="B322" t="s">
        <v>169</v>
      </c>
      <c r="C322" t="s">
        <v>305</v>
      </c>
      <c r="D322" t="s">
        <v>432</v>
      </c>
      <c r="E322">
        <v>1200</v>
      </c>
      <c r="F322" t="s">
        <v>68</v>
      </c>
      <c r="G322" t="s">
        <v>113</v>
      </c>
      <c r="H322" t="s">
        <v>114</v>
      </c>
      <c r="I322" t="s">
        <v>115</v>
      </c>
      <c r="J322">
        <v>0</v>
      </c>
      <c r="K322">
        <v>45274.395173611112</v>
      </c>
      <c r="L322">
        <v>202400</v>
      </c>
      <c r="O322">
        <v>2400</v>
      </c>
      <c r="P322">
        <v>0</v>
      </c>
      <c r="Q322">
        <v>1200</v>
      </c>
    </row>
    <row r="323" spans="2:17" x14ac:dyDescent="0.25">
      <c r="B323" t="s">
        <v>169</v>
      </c>
      <c r="C323" t="s">
        <v>380</v>
      </c>
      <c r="D323" t="s">
        <v>433</v>
      </c>
      <c r="E323">
        <v>2000</v>
      </c>
      <c r="F323" t="s">
        <v>68</v>
      </c>
      <c r="G323" t="s">
        <v>181</v>
      </c>
      <c r="H323" t="s">
        <v>182</v>
      </c>
      <c r="I323" t="s">
        <v>115</v>
      </c>
      <c r="J323">
        <v>0</v>
      </c>
      <c r="K323">
        <v>45274.395868055559</v>
      </c>
      <c r="L323">
        <v>0</v>
      </c>
      <c r="O323">
        <v>2400</v>
      </c>
      <c r="P323">
        <v>0</v>
      </c>
      <c r="Q323">
        <v>2000</v>
      </c>
    </row>
    <row r="324" spans="2:17" x14ac:dyDescent="0.25">
      <c r="B324" t="s">
        <v>169</v>
      </c>
      <c r="C324" t="s">
        <v>411</v>
      </c>
      <c r="D324" t="s">
        <v>434</v>
      </c>
      <c r="E324">
        <v>1000</v>
      </c>
      <c r="F324" t="s">
        <v>68</v>
      </c>
      <c r="G324" t="s">
        <v>120</v>
      </c>
      <c r="H324" t="s">
        <v>121</v>
      </c>
      <c r="I324" t="s">
        <v>115</v>
      </c>
      <c r="J324">
        <v>0</v>
      </c>
      <c r="K324">
        <v>45274.396469907406</v>
      </c>
      <c r="L324">
        <v>4000</v>
      </c>
      <c r="O324">
        <v>2400</v>
      </c>
      <c r="P324">
        <v>0</v>
      </c>
      <c r="Q324">
        <v>1000</v>
      </c>
    </row>
    <row r="325" spans="2:17" x14ac:dyDescent="0.25">
      <c r="B325" t="s">
        <v>169</v>
      </c>
      <c r="C325" t="s">
        <v>385</v>
      </c>
      <c r="D325" t="s">
        <v>435</v>
      </c>
      <c r="E325">
        <v>6000</v>
      </c>
      <c r="F325" t="s">
        <v>68</v>
      </c>
      <c r="G325" t="s">
        <v>133</v>
      </c>
      <c r="H325" t="s">
        <v>134</v>
      </c>
      <c r="I325" t="s">
        <v>115</v>
      </c>
      <c r="J325">
        <v>0</v>
      </c>
      <c r="K325">
        <v>45274.397557870368</v>
      </c>
      <c r="L325">
        <v>197000</v>
      </c>
      <c r="O325">
        <v>2400</v>
      </c>
      <c r="P325">
        <v>2</v>
      </c>
      <c r="Q325">
        <v>1200</v>
      </c>
    </row>
    <row r="326" spans="2:17" x14ac:dyDescent="0.25">
      <c r="B326" t="s">
        <v>169</v>
      </c>
      <c r="C326" t="s">
        <v>385</v>
      </c>
      <c r="D326" t="s">
        <v>435</v>
      </c>
      <c r="E326">
        <v>900</v>
      </c>
      <c r="F326" t="s">
        <v>68</v>
      </c>
      <c r="G326" t="s">
        <v>174</v>
      </c>
      <c r="H326" t="s">
        <v>175</v>
      </c>
      <c r="I326" t="s">
        <v>176</v>
      </c>
      <c r="J326">
        <v>0</v>
      </c>
      <c r="K326">
        <v>45274.397858796299</v>
      </c>
      <c r="L326">
        <v>1446</v>
      </c>
      <c r="O326">
        <v>300</v>
      </c>
      <c r="P326">
        <v>3</v>
      </c>
      <c r="Q326">
        <v>0</v>
      </c>
    </row>
    <row r="327" spans="2:17" x14ac:dyDescent="0.25">
      <c r="B327" t="s">
        <v>169</v>
      </c>
      <c r="C327" t="s">
        <v>385</v>
      </c>
      <c r="D327" t="s">
        <v>435</v>
      </c>
      <c r="E327">
        <v>200</v>
      </c>
      <c r="F327" t="s">
        <v>68</v>
      </c>
      <c r="G327" t="s">
        <v>212</v>
      </c>
      <c r="H327" t="s">
        <v>213</v>
      </c>
      <c r="I327" t="s">
        <v>154</v>
      </c>
      <c r="J327">
        <v>0</v>
      </c>
      <c r="K327">
        <v>45274.398159722223</v>
      </c>
      <c r="L327">
        <v>8500</v>
      </c>
      <c r="O327">
        <v>1</v>
      </c>
      <c r="P327">
        <v>200</v>
      </c>
      <c r="Q327">
        <v>0</v>
      </c>
    </row>
    <row r="328" spans="2:17" x14ac:dyDescent="0.25">
      <c r="B328" t="s">
        <v>169</v>
      </c>
      <c r="C328" t="s">
        <v>385</v>
      </c>
      <c r="D328" t="s">
        <v>435</v>
      </c>
      <c r="E328">
        <v>60</v>
      </c>
      <c r="F328" t="s">
        <v>68</v>
      </c>
      <c r="G328" t="s">
        <v>436</v>
      </c>
      <c r="H328" t="s">
        <v>158</v>
      </c>
      <c r="I328" t="s">
        <v>154</v>
      </c>
      <c r="J328">
        <v>0</v>
      </c>
      <c r="K328">
        <v>45274.406736111108</v>
      </c>
      <c r="L328">
        <v>215</v>
      </c>
      <c r="O328">
        <v>24</v>
      </c>
      <c r="P328">
        <v>2</v>
      </c>
      <c r="Q328">
        <v>12</v>
      </c>
    </row>
    <row r="329" spans="2:17" x14ac:dyDescent="0.25">
      <c r="B329" t="s">
        <v>169</v>
      </c>
      <c r="C329" t="s">
        <v>255</v>
      </c>
      <c r="D329" t="s">
        <v>437</v>
      </c>
      <c r="E329">
        <v>8</v>
      </c>
      <c r="F329" t="s">
        <v>137</v>
      </c>
      <c r="G329" t="s">
        <v>141</v>
      </c>
      <c r="H329" t="s">
        <v>142</v>
      </c>
      <c r="I329" t="s">
        <v>140</v>
      </c>
      <c r="J329">
        <v>0</v>
      </c>
      <c r="K329">
        <v>45274.40766203704</v>
      </c>
      <c r="L329">
        <v>6275</v>
      </c>
      <c r="O329">
        <v>10</v>
      </c>
      <c r="P329">
        <v>0</v>
      </c>
      <c r="Q329">
        <v>8</v>
      </c>
    </row>
    <row r="330" spans="2:17" x14ac:dyDescent="0.25">
      <c r="B330" t="s">
        <v>314</v>
      </c>
      <c r="C330" t="s">
        <v>337</v>
      </c>
      <c r="D330" t="s">
        <v>438</v>
      </c>
      <c r="E330">
        <v>756</v>
      </c>
      <c r="F330" t="s">
        <v>68</v>
      </c>
      <c r="G330" t="s">
        <v>174</v>
      </c>
      <c r="H330" t="s">
        <v>175</v>
      </c>
      <c r="I330" t="s">
        <v>176</v>
      </c>
      <c r="J330">
        <v>0</v>
      </c>
      <c r="K330">
        <v>45274.415567129632</v>
      </c>
      <c r="L330">
        <v>690</v>
      </c>
      <c r="O330">
        <v>300</v>
      </c>
      <c r="P330">
        <v>2</v>
      </c>
      <c r="Q330">
        <v>156</v>
      </c>
    </row>
    <row r="331" spans="2:17" x14ac:dyDescent="0.25">
      <c r="B331" t="s">
        <v>314</v>
      </c>
      <c r="C331" t="s">
        <v>260</v>
      </c>
      <c r="D331" t="s">
        <v>439</v>
      </c>
      <c r="E331">
        <v>900</v>
      </c>
      <c r="F331" t="s">
        <v>68</v>
      </c>
      <c r="G331" t="s">
        <v>125</v>
      </c>
      <c r="H331" t="s">
        <v>126</v>
      </c>
      <c r="I331" t="s">
        <v>115</v>
      </c>
      <c r="J331">
        <v>0</v>
      </c>
      <c r="K331">
        <v>45274.415925925925</v>
      </c>
      <c r="L331">
        <v>12100</v>
      </c>
      <c r="O331">
        <v>1200</v>
      </c>
      <c r="P331">
        <v>0</v>
      </c>
      <c r="Q331">
        <v>900</v>
      </c>
    </row>
    <row r="332" spans="2:17" x14ac:dyDescent="0.25">
      <c r="B332" t="s">
        <v>314</v>
      </c>
      <c r="C332" t="s">
        <v>260</v>
      </c>
      <c r="D332" t="s">
        <v>439</v>
      </c>
      <c r="E332">
        <v>30</v>
      </c>
      <c r="F332" t="s">
        <v>68</v>
      </c>
      <c r="G332" t="s">
        <v>177</v>
      </c>
      <c r="H332" t="s">
        <v>178</v>
      </c>
      <c r="J332">
        <v>0</v>
      </c>
      <c r="K332">
        <v>45274.415983796294</v>
      </c>
      <c r="L332">
        <v>640</v>
      </c>
      <c r="O332">
        <v>4</v>
      </c>
      <c r="P332">
        <v>7</v>
      </c>
      <c r="Q332">
        <v>2</v>
      </c>
    </row>
    <row r="333" spans="2:17" x14ac:dyDescent="0.25">
      <c r="B333" t="s">
        <v>314</v>
      </c>
      <c r="C333" t="s">
        <v>260</v>
      </c>
      <c r="D333" t="s">
        <v>439</v>
      </c>
      <c r="E333">
        <v>30</v>
      </c>
      <c r="F333" t="s">
        <v>68</v>
      </c>
      <c r="G333" t="s">
        <v>772</v>
      </c>
      <c r="H333" t="s">
        <v>160</v>
      </c>
      <c r="I333" t="s">
        <v>154</v>
      </c>
      <c r="J333">
        <v>0</v>
      </c>
      <c r="K333">
        <v>45274.416041666664</v>
      </c>
      <c r="L333">
        <v>283</v>
      </c>
      <c r="O333">
        <v>4</v>
      </c>
      <c r="P333">
        <v>7</v>
      </c>
      <c r="Q333">
        <v>2</v>
      </c>
    </row>
    <row r="334" spans="2:17" x14ac:dyDescent="0.25">
      <c r="B334" t="s">
        <v>314</v>
      </c>
      <c r="C334" t="s">
        <v>338</v>
      </c>
      <c r="D334" t="s">
        <v>440</v>
      </c>
      <c r="E334">
        <v>4400</v>
      </c>
      <c r="F334" t="s">
        <v>68</v>
      </c>
      <c r="G334" t="s">
        <v>190</v>
      </c>
      <c r="H334" t="s">
        <v>191</v>
      </c>
      <c r="I334" t="s">
        <v>154</v>
      </c>
      <c r="J334">
        <v>0</v>
      </c>
      <c r="K334">
        <v>45274.416076388887</v>
      </c>
      <c r="L334">
        <v>2800</v>
      </c>
      <c r="O334">
        <v>2000</v>
      </c>
      <c r="P334">
        <v>2</v>
      </c>
      <c r="Q334">
        <v>400.00000000000034</v>
      </c>
    </row>
    <row r="335" spans="2:17" x14ac:dyDescent="0.25">
      <c r="B335" t="s">
        <v>314</v>
      </c>
      <c r="C335" t="s">
        <v>338</v>
      </c>
      <c r="D335" t="s">
        <v>440</v>
      </c>
      <c r="E335">
        <v>3900</v>
      </c>
      <c r="F335" t="s">
        <v>68</v>
      </c>
      <c r="G335" t="s">
        <v>156</v>
      </c>
      <c r="H335" t="s">
        <v>157</v>
      </c>
      <c r="I335" t="s">
        <v>154</v>
      </c>
      <c r="J335">
        <v>0</v>
      </c>
      <c r="K335">
        <v>45274.416122685187</v>
      </c>
      <c r="L335">
        <v>19120</v>
      </c>
      <c r="O335">
        <v>500</v>
      </c>
      <c r="P335">
        <v>7</v>
      </c>
      <c r="Q335">
        <v>399.99999999999989</v>
      </c>
    </row>
    <row r="336" spans="2:17" x14ac:dyDescent="0.25">
      <c r="B336" t="s">
        <v>314</v>
      </c>
      <c r="C336" t="s">
        <v>258</v>
      </c>
      <c r="D336" t="s">
        <v>441</v>
      </c>
      <c r="E336">
        <v>400</v>
      </c>
      <c r="F336" t="s">
        <v>68</v>
      </c>
      <c r="G336" t="s">
        <v>163</v>
      </c>
      <c r="H336" t="s">
        <v>164</v>
      </c>
      <c r="I336" t="s">
        <v>115</v>
      </c>
      <c r="J336">
        <v>0</v>
      </c>
      <c r="K336">
        <v>45274.416168981479</v>
      </c>
      <c r="L336">
        <v>2350</v>
      </c>
      <c r="O336">
        <v>100</v>
      </c>
      <c r="P336">
        <v>4</v>
      </c>
      <c r="Q336">
        <v>0</v>
      </c>
    </row>
    <row r="337" spans="2:17" x14ac:dyDescent="0.25">
      <c r="B337" t="s">
        <v>314</v>
      </c>
      <c r="C337" t="s">
        <v>259</v>
      </c>
      <c r="D337" t="s">
        <v>442</v>
      </c>
      <c r="E337">
        <v>250</v>
      </c>
      <c r="F337" t="s">
        <v>68</v>
      </c>
      <c r="G337" t="s">
        <v>161</v>
      </c>
      <c r="H337" t="s">
        <v>162</v>
      </c>
      <c r="I337" t="s">
        <v>115</v>
      </c>
      <c r="J337">
        <v>0</v>
      </c>
      <c r="K337">
        <v>45274.416226851848</v>
      </c>
      <c r="L337">
        <v>1756</v>
      </c>
      <c r="O337">
        <v>200</v>
      </c>
      <c r="P337">
        <v>1</v>
      </c>
      <c r="Q337">
        <v>50</v>
      </c>
    </row>
    <row r="338" spans="2:17" x14ac:dyDescent="0.25">
      <c r="B338" t="s">
        <v>443</v>
      </c>
      <c r="C338" t="s">
        <v>313</v>
      </c>
      <c r="D338" t="s">
        <v>66</v>
      </c>
      <c r="E338">
        <v>432</v>
      </c>
      <c r="F338" t="s">
        <v>145</v>
      </c>
      <c r="G338" t="s">
        <v>151</v>
      </c>
      <c r="H338" t="s">
        <v>147</v>
      </c>
      <c r="I338" t="s">
        <v>148</v>
      </c>
      <c r="J338">
        <v>1</v>
      </c>
      <c r="K338">
        <v>45275.592824074076</v>
      </c>
      <c r="L338">
        <v>432</v>
      </c>
      <c r="M338">
        <v>45272</v>
      </c>
      <c r="O338">
        <v>144</v>
      </c>
      <c r="P338">
        <v>3</v>
      </c>
      <c r="Q338">
        <v>0</v>
      </c>
    </row>
    <row r="339" spans="2:17" x14ac:dyDescent="0.25">
      <c r="B339" t="s">
        <v>444</v>
      </c>
      <c r="C339" t="s">
        <v>445</v>
      </c>
      <c r="D339" t="s">
        <v>66</v>
      </c>
      <c r="E339">
        <v>4032</v>
      </c>
      <c r="F339" t="s">
        <v>145</v>
      </c>
      <c r="G339" t="s">
        <v>150</v>
      </c>
      <c r="H339" t="s">
        <v>147</v>
      </c>
      <c r="I339" t="s">
        <v>148</v>
      </c>
      <c r="J339">
        <v>1</v>
      </c>
      <c r="K339">
        <v>45275.593807870369</v>
      </c>
      <c r="L339">
        <v>4032</v>
      </c>
      <c r="M339">
        <v>45272</v>
      </c>
      <c r="O339">
        <v>144</v>
      </c>
      <c r="P339">
        <v>28</v>
      </c>
      <c r="Q339">
        <v>0</v>
      </c>
    </row>
    <row r="340" spans="2:17" x14ac:dyDescent="0.25">
      <c r="B340" t="s">
        <v>444</v>
      </c>
      <c r="C340" t="s">
        <v>445</v>
      </c>
      <c r="D340" t="s">
        <v>66</v>
      </c>
      <c r="E340">
        <v>1440</v>
      </c>
      <c r="F340" t="s">
        <v>145</v>
      </c>
      <c r="G340" t="s">
        <v>151</v>
      </c>
      <c r="H340" t="s">
        <v>147</v>
      </c>
      <c r="I340" t="s">
        <v>148</v>
      </c>
      <c r="J340">
        <v>1</v>
      </c>
      <c r="K340">
        <v>45275.594340277778</v>
      </c>
      <c r="L340">
        <v>1872</v>
      </c>
      <c r="M340">
        <v>45272</v>
      </c>
      <c r="O340">
        <v>144</v>
      </c>
      <c r="P340">
        <v>10</v>
      </c>
      <c r="Q340">
        <v>0</v>
      </c>
    </row>
    <row r="341" spans="2:17" x14ac:dyDescent="0.25">
      <c r="B341" t="s">
        <v>314</v>
      </c>
      <c r="C341" t="s">
        <v>260</v>
      </c>
      <c r="D341" t="s">
        <v>446</v>
      </c>
      <c r="E341">
        <v>50</v>
      </c>
      <c r="F341" t="s">
        <v>68</v>
      </c>
      <c r="G341" t="s">
        <v>177</v>
      </c>
      <c r="H341" t="s">
        <v>178</v>
      </c>
      <c r="J341">
        <v>0</v>
      </c>
      <c r="K341">
        <v>45275.750590277778</v>
      </c>
      <c r="L341">
        <v>590</v>
      </c>
      <c r="O341">
        <v>4</v>
      </c>
      <c r="P341">
        <v>12</v>
      </c>
      <c r="Q341">
        <v>2</v>
      </c>
    </row>
    <row r="342" spans="2:17" x14ac:dyDescent="0.25">
      <c r="B342" t="s">
        <v>314</v>
      </c>
      <c r="C342" t="s">
        <v>260</v>
      </c>
      <c r="D342" t="s">
        <v>446</v>
      </c>
      <c r="E342">
        <v>25000</v>
      </c>
      <c r="F342" t="s">
        <v>68</v>
      </c>
      <c r="G342" t="s">
        <v>113</v>
      </c>
      <c r="H342" t="s">
        <v>114</v>
      </c>
      <c r="I342" t="s">
        <v>115</v>
      </c>
      <c r="J342">
        <v>0</v>
      </c>
      <c r="K342">
        <v>45275.751030092593</v>
      </c>
      <c r="L342">
        <v>177400</v>
      </c>
      <c r="O342">
        <v>2400</v>
      </c>
      <c r="P342">
        <v>10</v>
      </c>
      <c r="Q342">
        <v>999.99999999999864</v>
      </c>
    </row>
    <row r="343" spans="2:17" x14ac:dyDescent="0.25">
      <c r="B343" t="s">
        <v>314</v>
      </c>
      <c r="C343" t="s">
        <v>447</v>
      </c>
      <c r="D343" t="s">
        <v>448</v>
      </c>
      <c r="E343">
        <v>300</v>
      </c>
      <c r="F343" t="s">
        <v>68</v>
      </c>
      <c r="G343" t="s">
        <v>161</v>
      </c>
      <c r="H343" t="s">
        <v>162</v>
      </c>
      <c r="I343" t="s">
        <v>115</v>
      </c>
      <c r="J343">
        <v>0</v>
      </c>
      <c r="K343">
        <v>45275.751550925925</v>
      </c>
      <c r="L343">
        <v>1456</v>
      </c>
      <c r="O343">
        <v>200</v>
      </c>
      <c r="P343">
        <v>1</v>
      </c>
      <c r="Q343">
        <v>100</v>
      </c>
    </row>
    <row r="344" spans="2:17" x14ac:dyDescent="0.25">
      <c r="B344" t="s">
        <v>314</v>
      </c>
      <c r="C344" t="s">
        <v>258</v>
      </c>
      <c r="D344" t="s">
        <v>449</v>
      </c>
      <c r="E344">
        <v>400</v>
      </c>
      <c r="F344" t="s">
        <v>68</v>
      </c>
      <c r="G344" t="s">
        <v>163</v>
      </c>
      <c r="H344" t="s">
        <v>164</v>
      </c>
      <c r="I344" t="s">
        <v>115</v>
      </c>
      <c r="J344">
        <v>0</v>
      </c>
      <c r="K344">
        <v>45275.752060185187</v>
      </c>
      <c r="L344">
        <v>1950</v>
      </c>
      <c r="O344">
        <v>100</v>
      </c>
      <c r="P344">
        <v>4</v>
      </c>
      <c r="Q344">
        <v>0</v>
      </c>
    </row>
    <row r="345" spans="2:17" x14ac:dyDescent="0.25">
      <c r="B345" t="s">
        <v>314</v>
      </c>
      <c r="C345" t="s">
        <v>450</v>
      </c>
      <c r="D345" t="s">
        <v>450</v>
      </c>
      <c r="E345">
        <v>400</v>
      </c>
      <c r="F345" t="s">
        <v>137</v>
      </c>
      <c r="G345" t="s">
        <v>138</v>
      </c>
      <c r="H345" t="s">
        <v>139</v>
      </c>
      <c r="I345" t="s">
        <v>451</v>
      </c>
      <c r="J345">
        <v>0</v>
      </c>
      <c r="K345">
        <v>45279.525069444448</v>
      </c>
      <c r="L345">
        <v>1718</v>
      </c>
      <c r="O345">
        <v>10</v>
      </c>
      <c r="P345">
        <v>40</v>
      </c>
      <c r="Q345">
        <v>0</v>
      </c>
    </row>
    <row r="346" spans="2:17" x14ac:dyDescent="0.25">
      <c r="B346" t="s">
        <v>314</v>
      </c>
      <c r="C346" t="s">
        <v>758</v>
      </c>
      <c r="D346">
        <v>478</v>
      </c>
      <c r="E346">
        <v>1600</v>
      </c>
      <c r="F346" t="s">
        <v>68</v>
      </c>
      <c r="G346" t="s">
        <v>113</v>
      </c>
      <c r="H346" t="s">
        <v>114</v>
      </c>
      <c r="I346" t="s">
        <v>115</v>
      </c>
      <c r="J346">
        <v>0</v>
      </c>
      <c r="K346">
        <v>45279.52511574074</v>
      </c>
      <c r="L346">
        <v>175800</v>
      </c>
      <c r="O346">
        <v>2400</v>
      </c>
      <c r="P346">
        <v>0</v>
      </c>
      <c r="Q346">
        <v>1600</v>
      </c>
    </row>
    <row r="347" spans="2:17" x14ac:dyDescent="0.25">
      <c r="B347" t="s">
        <v>314</v>
      </c>
      <c r="C347" t="s">
        <v>337</v>
      </c>
      <c r="D347">
        <v>479</v>
      </c>
      <c r="E347">
        <v>640</v>
      </c>
      <c r="F347" t="s">
        <v>68</v>
      </c>
      <c r="G347" t="s">
        <v>174</v>
      </c>
      <c r="H347" t="s">
        <v>175</v>
      </c>
      <c r="I347" t="s">
        <v>176</v>
      </c>
      <c r="J347">
        <v>0</v>
      </c>
      <c r="K347">
        <v>45279.525138888886</v>
      </c>
      <c r="L347">
        <v>50</v>
      </c>
      <c r="O347">
        <v>300</v>
      </c>
      <c r="P347">
        <v>2</v>
      </c>
      <c r="Q347">
        <v>39.999999999999993</v>
      </c>
    </row>
    <row r="348" spans="2:17" x14ac:dyDescent="0.25">
      <c r="B348" t="s">
        <v>314</v>
      </c>
      <c r="C348" t="s">
        <v>502</v>
      </c>
      <c r="D348">
        <v>480</v>
      </c>
      <c r="E348">
        <v>30000</v>
      </c>
      <c r="F348" t="s">
        <v>68</v>
      </c>
      <c r="G348" t="s">
        <v>113</v>
      </c>
      <c r="H348" t="s">
        <v>114</v>
      </c>
      <c r="I348" t="s">
        <v>115</v>
      </c>
      <c r="J348">
        <v>0</v>
      </c>
      <c r="K348">
        <v>45279.525185185186</v>
      </c>
      <c r="L348">
        <v>145800</v>
      </c>
      <c r="O348">
        <v>2400</v>
      </c>
      <c r="P348">
        <v>12</v>
      </c>
      <c r="Q348">
        <v>1200</v>
      </c>
    </row>
    <row r="349" spans="2:17" x14ac:dyDescent="0.25">
      <c r="B349" t="s">
        <v>314</v>
      </c>
      <c r="C349" t="s">
        <v>338</v>
      </c>
      <c r="D349">
        <v>481</v>
      </c>
      <c r="E349">
        <v>2000</v>
      </c>
      <c r="F349" t="s">
        <v>68</v>
      </c>
      <c r="G349" t="s">
        <v>190</v>
      </c>
      <c r="H349" t="s">
        <v>191</v>
      </c>
      <c r="I349" t="s">
        <v>154</v>
      </c>
      <c r="J349">
        <v>0</v>
      </c>
      <c r="K349">
        <v>45279.525208333333</v>
      </c>
      <c r="L349">
        <v>800</v>
      </c>
      <c r="O349">
        <v>2000</v>
      </c>
      <c r="P349">
        <v>1</v>
      </c>
      <c r="Q349">
        <v>0</v>
      </c>
    </row>
    <row r="350" spans="2:17" x14ac:dyDescent="0.25">
      <c r="B350" t="s">
        <v>314</v>
      </c>
      <c r="C350" t="s">
        <v>759</v>
      </c>
      <c r="D350">
        <v>482</v>
      </c>
      <c r="E350">
        <v>100</v>
      </c>
      <c r="F350" t="s">
        <v>68</v>
      </c>
      <c r="G350" t="s">
        <v>138</v>
      </c>
      <c r="H350" t="s">
        <v>139</v>
      </c>
      <c r="I350" t="s">
        <v>140</v>
      </c>
      <c r="J350">
        <v>0</v>
      </c>
      <c r="K350">
        <v>45279.525231481479</v>
      </c>
      <c r="L350">
        <v>1618</v>
      </c>
      <c r="O350">
        <v>10</v>
      </c>
      <c r="P350">
        <v>10</v>
      </c>
      <c r="Q350">
        <v>0</v>
      </c>
    </row>
    <row r="351" spans="2:17" x14ac:dyDescent="0.25">
      <c r="B351" t="s">
        <v>314</v>
      </c>
      <c r="C351" t="s">
        <v>259</v>
      </c>
      <c r="D351">
        <v>483</v>
      </c>
      <c r="E351">
        <v>50</v>
      </c>
      <c r="F351" t="s">
        <v>68</v>
      </c>
      <c r="G351" t="s">
        <v>138</v>
      </c>
      <c r="H351" t="s">
        <v>139</v>
      </c>
      <c r="I351" t="s">
        <v>140</v>
      </c>
      <c r="J351">
        <v>0</v>
      </c>
      <c r="K351">
        <v>45279.525254629632</v>
      </c>
      <c r="L351">
        <v>1568</v>
      </c>
      <c r="O351">
        <v>10</v>
      </c>
      <c r="P351">
        <v>5</v>
      </c>
      <c r="Q351">
        <v>0</v>
      </c>
    </row>
    <row r="352" spans="2:17" x14ac:dyDescent="0.25">
      <c r="B352" t="s">
        <v>314</v>
      </c>
      <c r="C352" t="s">
        <v>361</v>
      </c>
      <c r="D352">
        <v>477</v>
      </c>
      <c r="E352">
        <v>20000</v>
      </c>
      <c r="F352" t="s">
        <v>68</v>
      </c>
      <c r="G352" t="s">
        <v>117</v>
      </c>
      <c r="H352" t="s">
        <v>118</v>
      </c>
      <c r="I352" t="s">
        <v>115</v>
      </c>
      <c r="J352">
        <v>0</v>
      </c>
      <c r="K352">
        <v>45279.525289351855</v>
      </c>
      <c r="L352">
        <v>20000</v>
      </c>
      <c r="O352">
        <v>1200</v>
      </c>
      <c r="P352">
        <v>16</v>
      </c>
      <c r="Q352">
        <v>800.00000000000136</v>
      </c>
    </row>
    <row r="353" spans="2:17" x14ac:dyDescent="0.25">
      <c r="B353" t="s">
        <v>452</v>
      </c>
      <c r="C353" t="s">
        <v>453</v>
      </c>
      <c r="D353" t="s">
        <v>454</v>
      </c>
      <c r="E353">
        <v>30000</v>
      </c>
      <c r="F353" t="s">
        <v>68</v>
      </c>
      <c r="G353" t="s">
        <v>183</v>
      </c>
      <c r="H353" t="s">
        <v>184</v>
      </c>
      <c r="I353" t="s">
        <v>115</v>
      </c>
      <c r="J353">
        <v>1</v>
      </c>
      <c r="K353">
        <v>45279.606608796297</v>
      </c>
      <c r="L353">
        <v>30000</v>
      </c>
      <c r="M353" t="s">
        <v>455</v>
      </c>
      <c r="O353">
        <v>1</v>
      </c>
      <c r="P353">
        <v>30000</v>
      </c>
      <c r="Q353">
        <v>0</v>
      </c>
    </row>
    <row r="354" spans="2:17" x14ac:dyDescent="0.25">
      <c r="B354" t="s">
        <v>452</v>
      </c>
      <c r="C354" t="s">
        <v>453</v>
      </c>
      <c r="D354" t="s">
        <v>454</v>
      </c>
      <c r="E354">
        <v>30000</v>
      </c>
      <c r="F354" t="s">
        <v>68</v>
      </c>
      <c r="G354" t="s">
        <v>293</v>
      </c>
      <c r="H354" t="s">
        <v>294</v>
      </c>
      <c r="I354" t="s">
        <v>115</v>
      </c>
      <c r="J354">
        <v>1</v>
      </c>
      <c r="K354">
        <v>45279.606712962966</v>
      </c>
      <c r="L354">
        <v>31200</v>
      </c>
      <c r="M354" t="s">
        <v>455</v>
      </c>
      <c r="O354">
        <v>1</v>
      </c>
      <c r="P354">
        <v>30000</v>
      </c>
      <c r="Q354">
        <v>0</v>
      </c>
    </row>
    <row r="355" spans="2:17" x14ac:dyDescent="0.25">
      <c r="B355" t="s">
        <v>452</v>
      </c>
      <c r="C355" t="s">
        <v>453</v>
      </c>
      <c r="D355" t="s">
        <v>454</v>
      </c>
      <c r="E355">
        <v>30000</v>
      </c>
      <c r="F355" t="s">
        <v>68</v>
      </c>
      <c r="G355" t="s">
        <v>129</v>
      </c>
      <c r="H355" t="s">
        <v>130</v>
      </c>
      <c r="I355" t="s">
        <v>115</v>
      </c>
      <c r="J355">
        <v>1</v>
      </c>
      <c r="K355">
        <v>45279.606828703705</v>
      </c>
      <c r="L355">
        <v>30000</v>
      </c>
      <c r="M355" t="s">
        <v>455</v>
      </c>
      <c r="O355">
        <v>2400</v>
      </c>
      <c r="P355">
        <v>12</v>
      </c>
      <c r="Q355">
        <v>1200</v>
      </c>
    </row>
    <row r="356" spans="2:17" x14ac:dyDescent="0.25">
      <c r="B356" t="s">
        <v>452</v>
      </c>
      <c r="C356" t="s">
        <v>453</v>
      </c>
      <c r="D356" t="s">
        <v>454</v>
      </c>
      <c r="E356">
        <v>30000</v>
      </c>
      <c r="F356" t="s">
        <v>68</v>
      </c>
      <c r="G356" t="s">
        <v>181</v>
      </c>
      <c r="H356" t="s">
        <v>182</v>
      </c>
      <c r="I356" t="s">
        <v>115</v>
      </c>
      <c r="J356">
        <v>1</v>
      </c>
      <c r="K356">
        <v>45279.606886574074</v>
      </c>
      <c r="L356">
        <v>30000</v>
      </c>
      <c r="M356" t="s">
        <v>455</v>
      </c>
      <c r="O356">
        <v>2400</v>
      </c>
      <c r="P356">
        <v>12</v>
      </c>
      <c r="Q356">
        <v>1200</v>
      </c>
    </row>
    <row r="357" spans="2:17" x14ac:dyDescent="0.25">
      <c r="B357" t="s">
        <v>169</v>
      </c>
      <c r="C357" t="s">
        <v>411</v>
      </c>
      <c r="D357" t="s">
        <v>456</v>
      </c>
      <c r="E357">
        <v>20</v>
      </c>
      <c r="F357" t="s">
        <v>68</v>
      </c>
      <c r="G357" t="s">
        <v>772</v>
      </c>
      <c r="H357" t="s">
        <v>160</v>
      </c>
      <c r="I357" t="s">
        <v>154</v>
      </c>
      <c r="J357">
        <v>0</v>
      </c>
      <c r="K357">
        <v>45280.54178240741</v>
      </c>
      <c r="L357">
        <v>263</v>
      </c>
      <c r="O357">
        <v>4</v>
      </c>
      <c r="P357">
        <v>5</v>
      </c>
      <c r="Q357">
        <v>0</v>
      </c>
    </row>
    <row r="358" spans="2:17" x14ac:dyDescent="0.25">
      <c r="B358" t="s">
        <v>457</v>
      </c>
      <c r="C358" t="s">
        <v>458</v>
      </c>
      <c r="D358" t="s">
        <v>373</v>
      </c>
      <c r="E358">
        <v>15</v>
      </c>
      <c r="F358" t="s">
        <v>145</v>
      </c>
      <c r="G358" t="s">
        <v>372</v>
      </c>
      <c r="H358" t="s">
        <v>219</v>
      </c>
      <c r="I358" t="s">
        <v>220</v>
      </c>
      <c r="J358">
        <v>1</v>
      </c>
      <c r="K358">
        <v>45280.706423611111</v>
      </c>
      <c r="L358">
        <v>22</v>
      </c>
      <c r="M358" t="s">
        <v>455</v>
      </c>
      <c r="O358">
        <v>1</v>
      </c>
      <c r="P358">
        <v>15</v>
      </c>
      <c r="Q358">
        <v>0</v>
      </c>
    </row>
    <row r="359" spans="2:17" x14ac:dyDescent="0.25">
      <c r="B359" t="s">
        <v>457</v>
      </c>
      <c r="C359" t="s">
        <v>458</v>
      </c>
      <c r="D359" t="s">
        <v>373</v>
      </c>
      <c r="E359">
        <v>11</v>
      </c>
      <c r="F359" t="s">
        <v>145</v>
      </c>
      <c r="G359" t="s">
        <v>236</v>
      </c>
      <c r="H359" t="s">
        <v>219</v>
      </c>
      <c r="I359" t="s">
        <v>220</v>
      </c>
      <c r="J359">
        <v>1</v>
      </c>
      <c r="K359">
        <v>45280.70652777778</v>
      </c>
      <c r="L359">
        <v>11</v>
      </c>
      <c r="M359" t="s">
        <v>455</v>
      </c>
      <c r="O359">
        <v>1</v>
      </c>
      <c r="P359">
        <v>11</v>
      </c>
      <c r="Q359">
        <v>0</v>
      </c>
    </row>
    <row r="360" spans="2:17" x14ac:dyDescent="0.25">
      <c r="B360" t="s">
        <v>457</v>
      </c>
      <c r="C360" t="s">
        <v>458</v>
      </c>
      <c r="D360" t="s">
        <v>373</v>
      </c>
      <c r="E360">
        <v>21</v>
      </c>
      <c r="F360" t="s">
        <v>145</v>
      </c>
      <c r="G360" t="s">
        <v>237</v>
      </c>
      <c r="H360" t="s">
        <v>219</v>
      </c>
      <c r="I360" t="s">
        <v>220</v>
      </c>
      <c r="J360">
        <v>1</v>
      </c>
      <c r="K360">
        <v>45280.706956018519</v>
      </c>
      <c r="L360">
        <v>21</v>
      </c>
      <c r="M360" t="s">
        <v>455</v>
      </c>
      <c r="O360">
        <v>1</v>
      </c>
      <c r="P360">
        <v>21</v>
      </c>
      <c r="Q360">
        <v>0</v>
      </c>
    </row>
    <row r="361" spans="2:17" x14ac:dyDescent="0.25">
      <c r="B361" t="s">
        <v>457</v>
      </c>
      <c r="C361" t="s">
        <v>458</v>
      </c>
      <c r="D361" t="s">
        <v>373</v>
      </c>
      <c r="E361">
        <v>21</v>
      </c>
      <c r="F361" t="s">
        <v>145</v>
      </c>
      <c r="G361" t="s">
        <v>370</v>
      </c>
      <c r="H361" t="s">
        <v>219</v>
      </c>
      <c r="I361" t="s">
        <v>220</v>
      </c>
      <c r="J361">
        <v>1</v>
      </c>
      <c r="K361">
        <v>45280.70716435185</v>
      </c>
      <c r="L361">
        <v>32</v>
      </c>
      <c r="M361" t="s">
        <v>455</v>
      </c>
      <c r="O361">
        <v>1</v>
      </c>
      <c r="P361">
        <v>21</v>
      </c>
      <c r="Q361">
        <v>0</v>
      </c>
    </row>
    <row r="362" spans="2:17" x14ac:dyDescent="0.25">
      <c r="B362" t="s">
        <v>457</v>
      </c>
      <c r="C362" t="s">
        <v>458</v>
      </c>
      <c r="D362" t="s">
        <v>373</v>
      </c>
      <c r="E362">
        <v>18</v>
      </c>
      <c r="F362" t="s">
        <v>145</v>
      </c>
      <c r="G362" t="s">
        <v>371</v>
      </c>
      <c r="H362" t="s">
        <v>219</v>
      </c>
      <c r="I362" t="s">
        <v>220</v>
      </c>
      <c r="J362">
        <v>1</v>
      </c>
      <c r="K362">
        <v>45280.707384259258</v>
      </c>
      <c r="L362">
        <v>18</v>
      </c>
      <c r="M362" t="s">
        <v>455</v>
      </c>
      <c r="O362">
        <v>1</v>
      </c>
      <c r="P362">
        <v>18</v>
      </c>
      <c r="Q362">
        <v>0</v>
      </c>
    </row>
    <row r="363" spans="2:17" x14ac:dyDescent="0.25">
      <c r="B363" t="s">
        <v>457</v>
      </c>
      <c r="C363" t="s">
        <v>458</v>
      </c>
      <c r="D363" t="s">
        <v>373</v>
      </c>
      <c r="E363">
        <v>32</v>
      </c>
      <c r="F363" t="s">
        <v>145</v>
      </c>
      <c r="G363" t="s">
        <v>238</v>
      </c>
      <c r="H363" t="s">
        <v>219</v>
      </c>
      <c r="I363" t="s">
        <v>220</v>
      </c>
      <c r="J363">
        <v>1</v>
      </c>
      <c r="K363">
        <v>45280.70758101852</v>
      </c>
      <c r="L363">
        <v>32</v>
      </c>
      <c r="M363" t="s">
        <v>455</v>
      </c>
      <c r="O363">
        <v>1</v>
      </c>
      <c r="P363">
        <v>32</v>
      </c>
      <c r="Q363">
        <v>0</v>
      </c>
    </row>
    <row r="364" spans="2:17" x14ac:dyDescent="0.25">
      <c r="B364" t="s">
        <v>457</v>
      </c>
      <c r="C364" t="s">
        <v>458</v>
      </c>
      <c r="D364" t="s">
        <v>373</v>
      </c>
      <c r="E364">
        <v>26</v>
      </c>
      <c r="F364" t="s">
        <v>145</v>
      </c>
      <c r="G364" t="s">
        <v>408</v>
      </c>
      <c r="H364" t="s">
        <v>219</v>
      </c>
      <c r="I364" t="s">
        <v>220</v>
      </c>
      <c r="J364">
        <v>1</v>
      </c>
      <c r="K364">
        <v>45280.707766203705</v>
      </c>
      <c r="L364">
        <v>26</v>
      </c>
      <c r="M364" t="s">
        <v>455</v>
      </c>
      <c r="O364">
        <v>1</v>
      </c>
      <c r="P364">
        <v>26</v>
      </c>
      <c r="Q364">
        <v>0</v>
      </c>
    </row>
    <row r="365" spans="2:17" x14ac:dyDescent="0.25">
      <c r="B365" t="s">
        <v>457</v>
      </c>
      <c r="C365" t="s">
        <v>458</v>
      </c>
      <c r="D365" t="s">
        <v>373</v>
      </c>
      <c r="E365">
        <v>14</v>
      </c>
      <c r="F365" t="s">
        <v>145</v>
      </c>
      <c r="G365" t="s">
        <v>64</v>
      </c>
      <c r="H365" t="s">
        <v>219</v>
      </c>
      <c r="I365" t="s">
        <v>220</v>
      </c>
      <c r="J365">
        <v>1</v>
      </c>
      <c r="K365">
        <v>45280.707997685182</v>
      </c>
      <c r="L365">
        <v>14</v>
      </c>
      <c r="M365" t="s">
        <v>455</v>
      </c>
      <c r="O365">
        <v>1</v>
      </c>
      <c r="P365">
        <v>14</v>
      </c>
      <c r="Q365">
        <v>0</v>
      </c>
    </row>
    <row r="366" spans="2:17" x14ac:dyDescent="0.25">
      <c r="B366" t="s">
        <v>457</v>
      </c>
      <c r="C366" t="s">
        <v>458</v>
      </c>
      <c r="D366" t="s">
        <v>373</v>
      </c>
      <c r="E366">
        <v>10</v>
      </c>
      <c r="F366" t="s">
        <v>145</v>
      </c>
      <c r="G366" t="s">
        <v>228</v>
      </c>
      <c r="H366" t="s">
        <v>219</v>
      </c>
      <c r="I366" t="s">
        <v>220</v>
      </c>
      <c r="J366">
        <v>1</v>
      </c>
      <c r="K366">
        <v>45280.70820601852</v>
      </c>
      <c r="L366">
        <v>10</v>
      </c>
      <c r="M366" t="s">
        <v>455</v>
      </c>
      <c r="O366">
        <v>1</v>
      </c>
      <c r="P366">
        <v>10</v>
      </c>
      <c r="Q366">
        <v>0</v>
      </c>
    </row>
    <row r="367" spans="2:17" x14ac:dyDescent="0.25">
      <c r="B367" t="s">
        <v>459</v>
      </c>
      <c r="C367" t="s">
        <v>460</v>
      </c>
      <c r="D367" t="s">
        <v>461</v>
      </c>
      <c r="E367">
        <v>20000</v>
      </c>
      <c r="F367" t="s">
        <v>68</v>
      </c>
      <c r="G367" t="s">
        <v>133</v>
      </c>
      <c r="H367" t="s">
        <v>134</v>
      </c>
      <c r="I367" t="s">
        <v>115</v>
      </c>
      <c r="J367">
        <v>1</v>
      </c>
      <c r="K367">
        <v>45654.526423611111</v>
      </c>
      <c r="L367">
        <v>217000</v>
      </c>
      <c r="M367" t="s">
        <v>462</v>
      </c>
      <c r="O367">
        <v>2400</v>
      </c>
      <c r="P367">
        <v>8</v>
      </c>
      <c r="Q367">
        <v>800.00000000000136</v>
      </c>
    </row>
    <row r="368" spans="2:17" x14ac:dyDescent="0.25">
      <c r="B368" t="s">
        <v>169</v>
      </c>
      <c r="C368" t="s">
        <v>380</v>
      </c>
      <c r="D368" t="s">
        <v>463</v>
      </c>
      <c r="E368">
        <v>1600</v>
      </c>
      <c r="F368" t="s">
        <v>68</v>
      </c>
      <c r="G368" t="s">
        <v>181</v>
      </c>
      <c r="H368" t="s">
        <v>182</v>
      </c>
      <c r="I368" t="s">
        <v>115</v>
      </c>
      <c r="J368">
        <v>0</v>
      </c>
      <c r="K368">
        <v>45294.571736111109</v>
      </c>
      <c r="L368">
        <v>30200</v>
      </c>
      <c r="O368">
        <v>2400</v>
      </c>
      <c r="P368">
        <v>0</v>
      </c>
      <c r="Q368">
        <v>1600</v>
      </c>
    </row>
    <row r="369" spans="2:17" x14ac:dyDescent="0.25">
      <c r="B369" t="s">
        <v>169</v>
      </c>
      <c r="C369" t="s">
        <v>380</v>
      </c>
      <c r="D369" t="s">
        <v>463</v>
      </c>
      <c r="E369">
        <v>1000</v>
      </c>
      <c r="F369" t="s">
        <v>68</v>
      </c>
      <c r="G369" t="s">
        <v>183</v>
      </c>
      <c r="H369" t="s">
        <v>184</v>
      </c>
      <c r="I369" t="s">
        <v>115</v>
      </c>
      <c r="J369">
        <v>0</v>
      </c>
      <c r="K369">
        <v>45294.57203703704</v>
      </c>
      <c r="L369">
        <v>29000</v>
      </c>
      <c r="O369">
        <v>2400</v>
      </c>
      <c r="P369">
        <v>0</v>
      </c>
      <c r="Q369">
        <v>1000</v>
      </c>
    </row>
    <row r="370" spans="2:17" x14ac:dyDescent="0.25">
      <c r="B370" t="s">
        <v>169</v>
      </c>
      <c r="C370" t="s">
        <v>415</v>
      </c>
      <c r="D370" t="s">
        <v>464</v>
      </c>
      <c r="E370">
        <v>400</v>
      </c>
      <c r="F370" t="s">
        <v>68</v>
      </c>
      <c r="G370" t="s">
        <v>127</v>
      </c>
      <c r="H370" t="s">
        <v>128</v>
      </c>
      <c r="I370" t="s">
        <v>115</v>
      </c>
      <c r="J370">
        <v>0</v>
      </c>
      <c r="K370">
        <v>45294.572604166664</v>
      </c>
      <c r="L370">
        <v>5400</v>
      </c>
      <c r="O370">
        <v>3000</v>
      </c>
      <c r="P370">
        <v>0</v>
      </c>
      <c r="Q370">
        <v>400</v>
      </c>
    </row>
    <row r="371" spans="2:17" x14ac:dyDescent="0.25">
      <c r="B371" t="s">
        <v>169</v>
      </c>
      <c r="C371" t="s">
        <v>415</v>
      </c>
      <c r="D371" t="s">
        <v>464</v>
      </c>
      <c r="E371">
        <v>400</v>
      </c>
      <c r="F371" t="s">
        <v>68</v>
      </c>
      <c r="G371" t="s">
        <v>129</v>
      </c>
      <c r="H371" t="s">
        <v>130</v>
      </c>
      <c r="I371" t="s">
        <v>115</v>
      </c>
      <c r="J371">
        <v>0</v>
      </c>
      <c r="K371">
        <v>45294.572870370372</v>
      </c>
      <c r="L371">
        <v>29600</v>
      </c>
      <c r="O371">
        <v>2400</v>
      </c>
      <c r="P371">
        <v>0</v>
      </c>
      <c r="Q371">
        <v>400</v>
      </c>
    </row>
    <row r="372" spans="2:17" x14ac:dyDescent="0.25">
      <c r="B372" t="s">
        <v>169</v>
      </c>
      <c r="C372" t="s">
        <v>385</v>
      </c>
      <c r="D372" t="s">
        <v>465</v>
      </c>
      <c r="E372">
        <v>4700</v>
      </c>
      <c r="F372" t="s">
        <v>68</v>
      </c>
      <c r="G372" t="s">
        <v>156</v>
      </c>
      <c r="H372" t="s">
        <v>157</v>
      </c>
      <c r="I372" t="s">
        <v>154</v>
      </c>
      <c r="J372">
        <v>0</v>
      </c>
      <c r="K372">
        <v>45294.573483796295</v>
      </c>
      <c r="L372">
        <v>14420</v>
      </c>
      <c r="O372">
        <v>500</v>
      </c>
      <c r="P372">
        <v>9</v>
      </c>
      <c r="Q372">
        <v>200.00000000000017</v>
      </c>
    </row>
    <row r="373" spans="2:17" x14ac:dyDescent="0.25">
      <c r="B373" t="s">
        <v>169</v>
      </c>
      <c r="C373" t="s">
        <v>385</v>
      </c>
      <c r="D373" t="s">
        <v>465</v>
      </c>
      <c r="E373">
        <v>60</v>
      </c>
      <c r="F373" t="s">
        <v>68</v>
      </c>
      <c r="G373" t="s">
        <v>174</v>
      </c>
      <c r="H373" t="s">
        <v>175</v>
      </c>
      <c r="I373" t="s">
        <v>176</v>
      </c>
      <c r="J373">
        <v>0</v>
      </c>
      <c r="K373">
        <v>45294.573819444442</v>
      </c>
      <c r="L373">
        <v>-10</v>
      </c>
      <c r="O373">
        <v>300</v>
      </c>
      <c r="P373">
        <v>0</v>
      </c>
      <c r="Q373">
        <v>60</v>
      </c>
    </row>
    <row r="374" spans="2:17" x14ac:dyDescent="0.25">
      <c r="B374" t="s">
        <v>169</v>
      </c>
      <c r="C374" t="s">
        <v>385</v>
      </c>
      <c r="D374" t="s">
        <v>465</v>
      </c>
      <c r="E374">
        <v>40</v>
      </c>
      <c r="F374" t="s">
        <v>68</v>
      </c>
      <c r="G374" t="s">
        <v>119</v>
      </c>
      <c r="H374" t="s">
        <v>173</v>
      </c>
      <c r="J374">
        <v>0</v>
      </c>
      <c r="K374">
        <v>45294.574189814812</v>
      </c>
      <c r="L374">
        <v>192</v>
      </c>
      <c r="O374">
        <v>96</v>
      </c>
      <c r="P374">
        <v>0</v>
      </c>
      <c r="Q374">
        <v>40</v>
      </c>
    </row>
    <row r="375" spans="2:17" x14ac:dyDescent="0.25">
      <c r="B375" t="s">
        <v>169</v>
      </c>
      <c r="C375" t="s">
        <v>385</v>
      </c>
      <c r="D375" t="s">
        <v>465</v>
      </c>
      <c r="E375">
        <v>1300</v>
      </c>
      <c r="F375" t="s">
        <v>68</v>
      </c>
      <c r="G375" t="s">
        <v>212</v>
      </c>
      <c r="H375" t="s">
        <v>213</v>
      </c>
      <c r="I375" t="s">
        <v>154</v>
      </c>
      <c r="J375">
        <v>0</v>
      </c>
      <c r="K375">
        <v>45294.574537037035</v>
      </c>
      <c r="L375">
        <v>7200</v>
      </c>
      <c r="O375">
        <v>1</v>
      </c>
      <c r="P375">
        <v>1300</v>
      </c>
      <c r="Q375">
        <v>0</v>
      </c>
    </row>
    <row r="376" spans="2:17" x14ac:dyDescent="0.25">
      <c r="B376" t="s">
        <v>169</v>
      </c>
      <c r="C376" t="s">
        <v>385</v>
      </c>
      <c r="D376" t="s">
        <v>465</v>
      </c>
      <c r="E376">
        <v>760</v>
      </c>
      <c r="F376" t="s">
        <v>145</v>
      </c>
      <c r="G376" t="s">
        <v>149</v>
      </c>
      <c r="H376" t="s">
        <v>147</v>
      </c>
      <c r="I376" t="s">
        <v>148</v>
      </c>
      <c r="J376">
        <v>0</v>
      </c>
      <c r="K376">
        <v>45294.574872685182</v>
      </c>
      <c r="L376">
        <v>3688</v>
      </c>
      <c r="O376">
        <v>144</v>
      </c>
      <c r="P376">
        <v>5</v>
      </c>
      <c r="Q376">
        <v>39.999999999999986</v>
      </c>
    </row>
    <row r="377" spans="2:17" x14ac:dyDescent="0.25">
      <c r="B377" t="s">
        <v>169</v>
      </c>
      <c r="C377" t="s">
        <v>385</v>
      </c>
      <c r="D377" t="s">
        <v>465</v>
      </c>
      <c r="E377">
        <v>670</v>
      </c>
      <c r="F377" t="s">
        <v>145</v>
      </c>
      <c r="G377" t="s">
        <v>150</v>
      </c>
      <c r="H377" t="s">
        <v>147</v>
      </c>
      <c r="I377" t="s">
        <v>148</v>
      </c>
      <c r="J377">
        <v>0</v>
      </c>
      <c r="K377">
        <v>45294.575104166666</v>
      </c>
      <c r="L377">
        <v>3362</v>
      </c>
      <c r="O377">
        <v>144</v>
      </c>
      <c r="P377">
        <v>4</v>
      </c>
      <c r="Q377">
        <v>93.999999999999986</v>
      </c>
    </row>
    <row r="378" spans="2:17" x14ac:dyDescent="0.25">
      <c r="B378" t="s">
        <v>169</v>
      </c>
      <c r="C378" t="s">
        <v>411</v>
      </c>
      <c r="D378" t="s">
        <v>466</v>
      </c>
      <c r="E378">
        <v>2200</v>
      </c>
      <c r="F378" t="s">
        <v>68</v>
      </c>
      <c r="G378" t="s">
        <v>120</v>
      </c>
      <c r="H378" t="s">
        <v>121</v>
      </c>
      <c r="I378" t="s">
        <v>115</v>
      </c>
      <c r="J378">
        <v>0</v>
      </c>
      <c r="K378">
        <v>45294.575648148151</v>
      </c>
      <c r="L378">
        <v>1800</v>
      </c>
      <c r="O378">
        <v>2400</v>
      </c>
      <c r="P378">
        <v>0</v>
      </c>
      <c r="Q378">
        <v>2200</v>
      </c>
    </row>
    <row r="379" spans="2:17" x14ac:dyDescent="0.25">
      <c r="B379" t="s">
        <v>169</v>
      </c>
      <c r="C379" t="s">
        <v>411</v>
      </c>
      <c r="D379" t="s">
        <v>466</v>
      </c>
      <c r="E379">
        <v>2600</v>
      </c>
      <c r="F379" t="s">
        <v>68</v>
      </c>
      <c r="G379" t="s">
        <v>135</v>
      </c>
      <c r="H379" t="s">
        <v>136</v>
      </c>
      <c r="I379" t="s">
        <v>115</v>
      </c>
      <c r="J379">
        <v>0</v>
      </c>
      <c r="K379">
        <v>45294.575972222221</v>
      </c>
      <c r="L379">
        <v>4600</v>
      </c>
      <c r="O379">
        <v>2400</v>
      </c>
      <c r="P379">
        <v>1</v>
      </c>
      <c r="Q379">
        <v>199.99999999999983</v>
      </c>
    </row>
    <row r="380" spans="2:17" x14ac:dyDescent="0.25">
      <c r="B380" t="s">
        <v>169</v>
      </c>
      <c r="C380" t="s">
        <v>411</v>
      </c>
      <c r="D380" t="s">
        <v>466</v>
      </c>
      <c r="E380">
        <v>35</v>
      </c>
      <c r="F380" t="s">
        <v>68</v>
      </c>
      <c r="G380" t="s">
        <v>773</v>
      </c>
      <c r="H380" t="s">
        <v>180</v>
      </c>
      <c r="I380" t="s">
        <v>154</v>
      </c>
      <c r="J380">
        <v>0</v>
      </c>
      <c r="K380">
        <v>45294.576192129629</v>
      </c>
      <c r="L380">
        <v>600</v>
      </c>
      <c r="O380">
        <v>100</v>
      </c>
      <c r="P380">
        <v>0</v>
      </c>
      <c r="Q380">
        <v>35</v>
      </c>
    </row>
    <row r="381" spans="2:17" x14ac:dyDescent="0.25">
      <c r="B381" t="s">
        <v>169</v>
      </c>
      <c r="C381" t="s">
        <v>255</v>
      </c>
      <c r="D381" t="s">
        <v>467</v>
      </c>
      <c r="E381">
        <v>5600</v>
      </c>
      <c r="F381" t="s">
        <v>68</v>
      </c>
      <c r="G381" t="s">
        <v>131</v>
      </c>
      <c r="H381" t="s">
        <v>132</v>
      </c>
      <c r="I381" t="s">
        <v>115</v>
      </c>
      <c r="J381">
        <v>0</v>
      </c>
      <c r="K381">
        <v>45294.576666666668</v>
      </c>
      <c r="L381">
        <v>14300</v>
      </c>
      <c r="O381">
        <v>3000</v>
      </c>
      <c r="P381">
        <v>1</v>
      </c>
      <c r="Q381">
        <v>2600</v>
      </c>
    </row>
    <row r="382" spans="2:17" x14ac:dyDescent="0.25">
      <c r="B382" t="s">
        <v>169</v>
      </c>
      <c r="C382" t="s">
        <v>255</v>
      </c>
      <c r="D382" t="s">
        <v>467</v>
      </c>
      <c r="E382">
        <v>26</v>
      </c>
      <c r="F382" t="s">
        <v>137</v>
      </c>
      <c r="G382" t="s">
        <v>143</v>
      </c>
      <c r="H382" t="s">
        <v>144</v>
      </c>
      <c r="I382" t="s">
        <v>140</v>
      </c>
      <c r="J382">
        <v>0</v>
      </c>
      <c r="K382">
        <v>45294.577060185184</v>
      </c>
      <c r="L382">
        <v>920</v>
      </c>
      <c r="O382">
        <v>10</v>
      </c>
      <c r="P382">
        <v>2</v>
      </c>
      <c r="Q382">
        <v>6.0000000000000009</v>
      </c>
    </row>
    <row r="383" spans="2:17" x14ac:dyDescent="0.25">
      <c r="B383" t="s">
        <v>169</v>
      </c>
      <c r="C383" t="s">
        <v>255</v>
      </c>
      <c r="D383" t="s">
        <v>467</v>
      </c>
      <c r="E383">
        <v>34</v>
      </c>
      <c r="F383" t="s">
        <v>137</v>
      </c>
      <c r="G383" t="s">
        <v>141</v>
      </c>
      <c r="H383" t="s">
        <v>142</v>
      </c>
      <c r="I383" t="s">
        <v>140</v>
      </c>
      <c r="J383">
        <v>0</v>
      </c>
      <c r="K383">
        <v>45294.577361111114</v>
      </c>
      <c r="L383">
        <v>6741</v>
      </c>
      <c r="M383">
        <v>466</v>
      </c>
      <c r="O383">
        <v>10</v>
      </c>
      <c r="P383">
        <v>3</v>
      </c>
      <c r="Q383">
        <v>3.9999999999999991</v>
      </c>
    </row>
    <row r="384" spans="2:17" x14ac:dyDescent="0.25">
      <c r="B384" t="s">
        <v>169</v>
      </c>
      <c r="C384" t="s">
        <v>383</v>
      </c>
      <c r="D384" t="s">
        <v>468</v>
      </c>
      <c r="E384">
        <v>512</v>
      </c>
      <c r="F384" t="s">
        <v>145</v>
      </c>
      <c r="G384" t="s">
        <v>151</v>
      </c>
      <c r="H384" t="s">
        <v>147</v>
      </c>
      <c r="I384" t="s">
        <v>148</v>
      </c>
      <c r="J384">
        <v>0</v>
      </c>
      <c r="K384">
        <v>45294.577939814815</v>
      </c>
      <c r="L384">
        <v>1360</v>
      </c>
      <c r="O384">
        <v>144</v>
      </c>
      <c r="P384">
        <v>3</v>
      </c>
      <c r="Q384">
        <v>79.999999999999972</v>
      </c>
    </row>
    <row r="385" spans="2:17" x14ac:dyDescent="0.25">
      <c r="B385" t="s">
        <v>169</v>
      </c>
      <c r="C385" t="s">
        <v>322</v>
      </c>
      <c r="D385" t="s">
        <v>469</v>
      </c>
      <c r="E385">
        <v>150</v>
      </c>
      <c r="F385" t="s">
        <v>68</v>
      </c>
      <c r="G385" t="s">
        <v>774</v>
      </c>
      <c r="H385" t="s">
        <v>189</v>
      </c>
      <c r="I385" t="s">
        <v>154</v>
      </c>
      <c r="J385">
        <v>0</v>
      </c>
      <c r="K385">
        <v>45294.578425925924</v>
      </c>
      <c r="L385">
        <v>2110</v>
      </c>
      <c r="O385">
        <v>100</v>
      </c>
      <c r="P385">
        <v>1</v>
      </c>
      <c r="Q385">
        <v>50</v>
      </c>
    </row>
    <row r="386" spans="2:17" x14ac:dyDescent="0.25">
      <c r="B386" t="s">
        <v>169</v>
      </c>
      <c r="C386" t="s">
        <v>256</v>
      </c>
      <c r="D386" t="s">
        <v>470</v>
      </c>
      <c r="E386">
        <v>180</v>
      </c>
      <c r="F386" t="s">
        <v>185</v>
      </c>
      <c r="G386" t="s">
        <v>186</v>
      </c>
      <c r="H386" t="s">
        <v>187</v>
      </c>
      <c r="J386">
        <v>0</v>
      </c>
      <c r="K386">
        <v>45294.579074074078</v>
      </c>
      <c r="L386">
        <v>500</v>
      </c>
      <c r="O386">
        <v>20</v>
      </c>
      <c r="P386">
        <v>9</v>
      </c>
      <c r="Q386">
        <v>0</v>
      </c>
    </row>
    <row r="387" spans="2:17" x14ac:dyDescent="0.25">
      <c r="B387" t="s">
        <v>314</v>
      </c>
      <c r="C387" t="s">
        <v>336</v>
      </c>
      <c r="D387" t="s">
        <v>471</v>
      </c>
      <c r="E387">
        <v>8100</v>
      </c>
      <c r="F387" t="s">
        <v>68</v>
      </c>
      <c r="G387" t="s">
        <v>133</v>
      </c>
      <c r="H387" t="s">
        <v>134</v>
      </c>
      <c r="I387" t="s">
        <v>115</v>
      </c>
      <c r="J387">
        <v>0</v>
      </c>
      <c r="K387">
        <v>45296.550023148149</v>
      </c>
      <c r="L387">
        <v>208900</v>
      </c>
      <c r="O387">
        <v>2400</v>
      </c>
      <c r="P387">
        <v>3</v>
      </c>
      <c r="Q387">
        <v>900</v>
      </c>
    </row>
    <row r="388" spans="2:17" x14ac:dyDescent="0.25">
      <c r="B388" t="s">
        <v>314</v>
      </c>
      <c r="C388" t="s">
        <v>472</v>
      </c>
      <c r="D388" t="s">
        <v>473</v>
      </c>
      <c r="E388">
        <v>30</v>
      </c>
      <c r="F388" t="s">
        <v>137</v>
      </c>
      <c r="G388" t="s">
        <v>138</v>
      </c>
      <c r="H388" t="s">
        <v>139</v>
      </c>
      <c r="I388" t="s">
        <v>140</v>
      </c>
      <c r="J388">
        <v>0</v>
      </c>
      <c r="K388">
        <v>45296.581724537034</v>
      </c>
      <c r="L388">
        <v>1538</v>
      </c>
      <c r="N388" t="s">
        <v>474</v>
      </c>
      <c r="O388">
        <v>10</v>
      </c>
      <c r="P388">
        <v>3</v>
      </c>
      <c r="Q388">
        <v>0</v>
      </c>
    </row>
    <row r="389" spans="2:17" x14ac:dyDescent="0.25">
      <c r="B389" t="s">
        <v>314</v>
      </c>
      <c r="C389" t="s">
        <v>472</v>
      </c>
      <c r="D389" t="s">
        <v>473</v>
      </c>
      <c r="E389">
        <v>30</v>
      </c>
      <c r="F389" t="s">
        <v>137</v>
      </c>
      <c r="G389" t="s">
        <v>141</v>
      </c>
      <c r="H389" t="s">
        <v>142</v>
      </c>
      <c r="I389" t="s">
        <v>140</v>
      </c>
      <c r="J389">
        <v>0</v>
      </c>
      <c r="K389">
        <v>45296.581782407404</v>
      </c>
      <c r="L389">
        <v>6711</v>
      </c>
      <c r="N389" t="s">
        <v>474</v>
      </c>
      <c r="O389">
        <v>10</v>
      </c>
      <c r="P389">
        <v>3</v>
      </c>
      <c r="Q389">
        <v>0</v>
      </c>
    </row>
    <row r="390" spans="2:17" x14ac:dyDescent="0.25">
      <c r="B390" t="s">
        <v>314</v>
      </c>
      <c r="C390" t="s">
        <v>472</v>
      </c>
      <c r="D390" t="s">
        <v>473</v>
      </c>
      <c r="E390">
        <v>60</v>
      </c>
      <c r="F390" t="s">
        <v>137</v>
      </c>
      <c r="G390" t="s">
        <v>143</v>
      </c>
      <c r="H390" t="s">
        <v>144</v>
      </c>
      <c r="I390" t="s">
        <v>140</v>
      </c>
      <c r="J390">
        <v>0</v>
      </c>
      <c r="K390">
        <v>45296.582013888888</v>
      </c>
      <c r="L390">
        <v>860</v>
      </c>
      <c r="N390" t="s">
        <v>474</v>
      </c>
      <c r="O390">
        <v>10</v>
      </c>
      <c r="P390">
        <v>6</v>
      </c>
      <c r="Q390">
        <v>0</v>
      </c>
    </row>
    <row r="391" spans="2:17" x14ac:dyDescent="0.25">
      <c r="B391" t="s">
        <v>314</v>
      </c>
      <c r="C391" t="s">
        <v>475</v>
      </c>
      <c r="D391" t="s">
        <v>476</v>
      </c>
      <c r="E391">
        <v>115</v>
      </c>
      <c r="F391" t="s">
        <v>68</v>
      </c>
      <c r="G391" t="s">
        <v>773</v>
      </c>
      <c r="H391" t="s">
        <v>180</v>
      </c>
      <c r="I391" t="s">
        <v>154</v>
      </c>
      <c r="J391">
        <v>0</v>
      </c>
      <c r="K391">
        <v>45299.399756944447</v>
      </c>
      <c r="L391">
        <v>485</v>
      </c>
      <c r="O391">
        <v>100</v>
      </c>
      <c r="P391">
        <v>1</v>
      </c>
      <c r="Q391">
        <v>14.999999999999991</v>
      </c>
    </row>
    <row r="392" spans="2:17" x14ac:dyDescent="0.25">
      <c r="B392" t="s">
        <v>314</v>
      </c>
      <c r="C392" t="s">
        <v>338</v>
      </c>
      <c r="D392" t="s">
        <v>477</v>
      </c>
      <c r="E392">
        <v>2500</v>
      </c>
      <c r="F392" t="s">
        <v>68</v>
      </c>
      <c r="G392" t="s">
        <v>156</v>
      </c>
      <c r="H392" t="s">
        <v>157</v>
      </c>
      <c r="I392" t="s">
        <v>154</v>
      </c>
      <c r="J392">
        <v>0</v>
      </c>
      <c r="K392">
        <v>45299.400509259256</v>
      </c>
      <c r="L392">
        <v>11920</v>
      </c>
      <c r="O392">
        <v>500</v>
      </c>
      <c r="P392">
        <v>5</v>
      </c>
      <c r="Q392">
        <v>0</v>
      </c>
    </row>
    <row r="393" spans="2:17" x14ac:dyDescent="0.25">
      <c r="B393" t="s">
        <v>314</v>
      </c>
      <c r="C393" t="s">
        <v>478</v>
      </c>
      <c r="D393" t="s">
        <v>479</v>
      </c>
      <c r="E393">
        <v>5</v>
      </c>
      <c r="F393" t="s">
        <v>68</v>
      </c>
      <c r="G393" t="s">
        <v>193</v>
      </c>
      <c r="H393" t="s">
        <v>194</v>
      </c>
      <c r="J393">
        <v>0</v>
      </c>
      <c r="K393">
        <v>45299.401192129626</v>
      </c>
      <c r="L393">
        <v>29</v>
      </c>
      <c r="O393">
        <v>36</v>
      </c>
      <c r="P393">
        <v>0</v>
      </c>
      <c r="Q393">
        <v>5</v>
      </c>
    </row>
    <row r="394" spans="2:17" x14ac:dyDescent="0.25">
      <c r="B394" t="s">
        <v>314</v>
      </c>
      <c r="C394" t="s">
        <v>478</v>
      </c>
      <c r="D394" t="s">
        <v>479</v>
      </c>
      <c r="E394">
        <v>200</v>
      </c>
      <c r="F394" t="s">
        <v>68</v>
      </c>
      <c r="G394" t="s">
        <v>170</v>
      </c>
      <c r="H394" t="s">
        <v>171</v>
      </c>
      <c r="I394" t="s">
        <v>172</v>
      </c>
      <c r="J394">
        <v>0</v>
      </c>
      <c r="K394">
        <v>45299.401458333334</v>
      </c>
      <c r="L394">
        <v>3012</v>
      </c>
      <c r="O394">
        <v>36</v>
      </c>
      <c r="P394">
        <v>5</v>
      </c>
      <c r="Q394">
        <v>19.999999999999993</v>
      </c>
    </row>
    <row r="395" spans="2:17" x14ac:dyDescent="0.25">
      <c r="B395" t="s">
        <v>314</v>
      </c>
      <c r="C395" t="s">
        <v>478</v>
      </c>
      <c r="D395" t="s">
        <v>479</v>
      </c>
      <c r="E395">
        <v>30</v>
      </c>
      <c r="F395" t="s">
        <v>68</v>
      </c>
      <c r="G395" t="s">
        <v>773</v>
      </c>
      <c r="H395" t="s">
        <v>180</v>
      </c>
      <c r="I395" t="s">
        <v>154</v>
      </c>
      <c r="J395">
        <v>0</v>
      </c>
      <c r="K395">
        <v>45299.401990740742</v>
      </c>
      <c r="L395">
        <v>455</v>
      </c>
      <c r="O395">
        <v>100</v>
      </c>
      <c r="P395">
        <v>0</v>
      </c>
      <c r="Q395">
        <v>30</v>
      </c>
    </row>
    <row r="396" spans="2:17" x14ac:dyDescent="0.25">
      <c r="B396" t="s">
        <v>314</v>
      </c>
      <c r="C396" t="s">
        <v>478</v>
      </c>
      <c r="D396" t="s">
        <v>479</v>
      </c>
      <c r="E396">
        <v>24</v>
      </c>
      <c r="F396" t="s">
        <v>68</v>
      </c>
      <c r="G396" t="s">
        <v>177</v>
      </c>
      <c r="H396" t="s">
        <v>178</v>
      </c>
      <c r="J396">
        <v>0</v>
      </c>
      <c r="K396">
        <v>45299.402303240742</v>
      </c>
      <c r="L396">
        <v>632</v>
      </c>
      <c r="O396">
        <v>4</v>
      </c>
      <c r="P396">
        <v>6</v>
      </c>
      <c r="Q396">
        <v>0</v>
      </c>
    </row>
    <row r="397" spans="2:17" x14ac:dyDescent="0.25">
      <c r="B397" t="s">
        <v>314</v>
      </c>
      <c r="C397" t="s">
        <v>478</v>
      </c>
      <c r="D397" t="s">
        <v>479</v>
      </c>
      <c r="E397">
        <v>24</v>
      </c>
      <c r="F397" t="s">
        <v>68</v>
      </c>
      <c r="G397" t="s">
        <v>772</v>
      </c>
      <c r="H397" t="s">
        <v>160</v>
      </c>
      <c r="I397" t="s">
        <v>154</v>
      </c>
      <c r="J397">
        <v>0</v>
      </c>
      <c r="K397">
        <v>45299.402569444443</v>
      </c>
      <c r="L397">
        <v>239</v>
      </c>
      <c r="O397">
        <v>4</v>
      </c>
      <c r="P397">
        <v>6</v>
      </c>
      <c r="Q397">
        <v>0</v>
      </c>
    </row>
    <row r="398" spans="2:17" x14ac:dyDescent="0.25">
      <c r="B398" t="s">
        <v>314</v>
      </c>
      <c r="C398" t="s">
        <v>480</v>
      </c>
      <c r="D398" t="s">
        <v>481</v>
      </c>
      <c r="E398">
        <v>25</v>
      </c>
      <c r="F398" t="s">
        <v>68</v>
      </c>
      <c r="G398" t="s">
        <v>177</v>
      </c>
      <c r="H398" t="s">
        <v>178</v>
      </c>
      <c r="J398">
        <v>0</v>
      </c>
      <c r="K398">
        <v>45299.403101851851</v>
      </c>
      <c r="L398">
        <v>607</v>
      </c>
      <c r="O398">
        <v>4</v>
      </c>
      <c r="P398">
        <v>6</v>
      </c>
      <c r="Q398">
        <v>1</v>
      </c>
    </row>
    <row r="399" spans="2:17" x14ac:dyDescent="0.25">
      <c r="B399" t="s">
        <v>314</v>
      </c>
      <c r="C399" t="s">
        <v>472</v>
      </c>
      <c r="D399" t="s">
        <v>482</v>
      </c>
      <c r="E399">
        <v>120</v>
      </c>
      <c r="F399" t="s">
        <v>137</v>
      </c>
      <c r="G399" t="s">
        <v>143</v>
      </c>
      <c r="H399" t="s">
        <v>144</v>
      </c>
      <c r="I399" t="s">
        <v>140</v>
      </c>
      <c r="J399">
        <v>0</v>
      </c>
      <c r="K399">
        <v>45299.403854166667</v>
      </c>
      <c r="L399">
        <v>740</v>
      </c>
      <c r="O399">
        <v>10</v>
      </c>
      <c r="P399">
        <v>12</v>
      </c>
      <c r="Q399">
        <v>0</v>
      </c>
    </row>
    <row r="400" spans="2:17" x14ac:dyDescent="0.25">
      <c r="B400" t="s">
        <v>314</v>
      </c>
      <c r="C400" t="s">
        <v>472</v>
      </c>
      <c r="D400" t="s">
        <v>482</v>
      </c>
      <c r="E400">
        <v>60</v>
      </c>
      <c r="F400" t="s">
        <v>137</v>
      </c>
      <c r="G400" t="s">
        <v>138</v>
      </c>
      <c r="H400" t="s">
        <v>139</v>
      </c>
      <c r="I400" t="s">
        <v>140</v>
      </c>
      <c r="J400">
        <v>0</v>
      </c>
      <c r="K400">
        <v>45299.404166666667</v>
      </c>
      <c r="L400">
        <v>1478</v>
      </c>
      <c r="O400">
        <v>10</v>
      </c>
      <c r="P400">
        <v>6</v>
      </c>
      <c r="Q400">
        <v>0</v>
      </c>
    </row>
    <row r="401" spans="2:17" x14ac:dyDescent="0.25">
      <c r="B401" t="s">
        <v>314</v>
      </c>
      <c r="C401" t="s">
        <v>472</v>
      </c>
      <c r="D401" t="s">
        <v>482</v>
      </c>
      <c r="E401">
        <v>60</v>
      </c>
      <c r="F401" t="s">
        <v>137</v>
      </c>
      <c r="G401" t="s">
        <v>141</v>
      </c>
      <c r="H401" t="s">
        <v>142</v>
      </c>
      <c r="I401" t="s">
        <v>140</v>
      </c>
      <c r="J401">
        <v>0</v>
      </c>
      <c r="K401">
        <v>45299.404479166667</v>
      </c>
      <c r="L401">
        <v>6651</v>
      </c>
      <c r="M401">
        <v>6422</v>
      </c>
      <c r="O401">
        <v>10</v>
      </c>
      <c r="P401">
        <v>6</v>
      </c>
      <c r="Q401">
        <v>0</v>
      </c>
    </row>
    <row r="402" spans="2:17" x14ac:dyDescent="0.25">
      <c r="B402" t="s">
        <v>483</v>
      </c>
      <c r="C402" t="s">
        <v>484</v>
      </c>
      <c r="D402" t="s">
        <v>116</v>
      </c>
      <c r="E402">
        <v>1000</v>
      </c>
      <c r="F402" t="s">
        <v>68</v>
      </c>
      <c r="G402" t="s">
        <v>774</v>
      </c>
      <c r="H402" t="s">
        <v>189</v>
      </c>
      <c r="I402" t="s">
        <v>154</v>
      </c>
      <c r="J402">
        <v>1</v>
      </c>
      <c r="K402">
        <v>45299.642060185186</v>
      </c>
      <c r="L402">
        <v>3110</v>
      </c>
      <c r="M402">
        <v>45383</v>
      </c>
      <c r="O402">
        <v>100</v>
      </c>
      <c r="P402">
        <v>10</v>
      </c>
      <c r="Q402">
        <v>0</v>
      </c>
    </row>
    <row r="403" spans="2:17" x14ac:dyDescent="0.25">
      <c r="B403" t="s">
        <v>483</v>
      </c>
      <c r="C403" t="s">
        <v>484</v>
      </c>
      <c r="D403" t="s">
        <v>116</v>
      </c>
      <c r="E403">
        <v>2000</v>
      </c>
      <c r="F403" t="s">
        <v>68</v>
      </c>
      <c r="G403" t="s">
        <v>212</v>
      </c>
      <c r="H403" t="s">
        <v>213</v>
      </c>
      <c r="I403" t="s">
        <v>154</v>
      </c>
      <c r="J403">
        <v>1</v>
      </c>
      <c r="K403">
        <v>45299.643900462965</v>
      </c>
      <c r="L403">
        <v>9200</v>
      </c>
      <c r="M403">
        <v>45383</v>
      </c>
      <c r="O403">
        <v>1</v>
      </c>
      <c r="P403">
        <v>2000</v>
      </c>
      <c r="Q403">
        <v>0</v>
      </c>
    </row>
    <row r="404" spans="2:17" x14ac:dyDescent="0.25">
      <c r="B404" t="s">
        <v>485</v>
      </c>
      <c r="C404" t="s">
        <v>486</v>
      </c>
      <c r="D404" t="s">
        <v>116</v>
      </c>
      <c r="E404">
        <v>6420</v>
      </c>
      <c r="F404" t="s">
        <v>68</v>
      </c>
      <c r="G404" t="s">
        <v>420</v>
      </c>
      <c r="H404" t="s">
        <v>159</v>
      </c>
      <c r="I404" t="s">
        <v>154</v>
      </c>
      <c r="J404">
        <v>1</v>
      </c>
      <c r="K404">
        <v>45299.646527777775</v>
      </c>
      <c r="L404">
        <v>8100</v>
      </c>
      <c r="M404">
        <v>45383</v>
      </c>
      <c r="O404">
        <v>60</v>
      </c>
      <c r="P404">
        <v>107</v>
      </c>
      <c r="Q404">
        <v>0</v>
      </c>
    </row>
    <row r="405" spans="2:17" x14ac:dyDescent="0.25">
      <c r="B405" t="s">
        <v>487</v>
      </c>
      <c r="C405" t="s">
        <v>488</v>
      </c>
      <c r="D405" t="s">
        <v>116</v>
      </c>
      <c r="E405">
        <v>20000</v>
      </c>
      <c r="F405" t="s">
        <v>68</v>
      </c>
      <c r="G405" t="s">
        <v>156</v>
      </c>
      <c r="H405" t="s">
        <v>157</v>
      </c>
      <c r="I405" t="s">
        <v>154</v>
      </c>
      <c r="J405">
        <v>1</v>
      </c>
      <c r="K405">
        <v>45299.649270833332</v>
      </c>
      <c r="L405">
        <v>31920</v>
      </c>
      <c r="M405">
        <v>45383</v>
      </c>
      <c r="O405">
        <v>440</v>
      </c>
      <c r="P405">
        <v>45</v>
      </c>
      <c r="Q405">
        <v>199.99999999999943</v>
      </c>
    </row>
    <row r="406" spans="2:17" x14ac:dyDescent="0.25">
      <c r="B406" t="s">
        <v>314</v>
      </c>
      <c r="C406" t="s">
        <v>422</v>
      </c>
      <c r="D406" t="s">
        <v>489</v>
      </c>
      <c r="E406">
        <v>1150</v>
      </c>
      <c r="F406" t="s">
        <v>68</v>
      </c>
      <c r="G406" t="s">
        <v>165</v>
      </c>
      <c r="H406" t="s">
        <v>166</v>
      </c>
      <c r="J406">
        <v>0</v>
      </c>
      <c r="K406">
        <v>45300.569618055553</v>
      </c>
      <c r="L406">
        <v>548</v>
      </c>
      <c r="O406">
        <v>1</v>
      </c>
      <c r="P406">
        <v>1150</v>
      </c>
      <c r="Q406">
        <v>0</v>
      </c>
    </row>
    <row r="407" spans="2:17" x14ac:dyDescent="0.25">
      <c r="B407" t="s">
        <v>169</v>
      </c>
      <c r="C407" t="s">
        <v>385</v>
      </c>
      <c r="D407" t="s">
        <v>490</v>
      </c>
      <c r="E407">
        <v>4700</v>
      </c>
      <c r="F407" t="s">
        <v>68</v>
      </c>
      <c r="G407" t="s">
        <v>156</v>
      </c>
      <c r="H407" t="s">
        <v>157</v>
      </c>
      <c r="I407" t="s">
        <v>154</v>
      </c>
      <c r="J407">
        <v>0</v>
      </c>
      <c r="K407">
        <v>45300.570497685185</v>
      </c>
      <c r="L407">
        <v>27220</v>
      </c>
      <c r="O407">
        <v>440</v>
      </c>
      <c r="P407">
        <v>10</v>
      </c>
      <c r="Q407">
        <v>299.99999999999994</v>
      </c>
    </row>
    <row r="408" spans="2:17" x14ac:dyDescent="0.25">
      <c r="B408" t="s">
        <v>169</v>
      </c>
      <c r="C408" t="s">
        <v>255</v>
      </c>
      <c r="D408" t="s">
        <v>491</v>
      </c>
      <c r="E408">
        <v>5100</v>
      </c>
      <c r="F408" t="s">
        <v>68</v>
      </c>
      <c r="G408" t="s">
        <v>131</v>
      </c>
      <c r="H408" t="s">
        <v>132</v>
      </c>
      <c r="I408" t="s">
        <v>115</v>
      </c>
      <c r="J408">
        <v>0</v>
      </c>
      <c r="K408">
        <v>45300.571342592593</v>
      </c>
      <c r="L408">
        <v>9200</v>
      </c>
      <c r="O408">
        <v>3000</v>
      </c>
      <c r="P408">
        <v>1</v>
      </c>
      <c r="Q408">
        <v>2100</v>
      </c>
    </row>
    <row r="409" spans="2:17" x14ac:dyDescent="0.25">
      <c r="B409" t="s">
        <v>169</v>
      </c>
      <c r="C409" t="s">
        <v>255</v>
      </c>
      <c r="D409" t="s">
        <v>491</v>
      </c>
      <c r="E409">
        <v>34</v>
      </c>
      <c r="F409" t="s">
        <v>137</v>
      </c>
      <c r="G409" t="s">
        <v>141</v>
      </c>
      <c r="H409" t="s">
        <v>142</v>
      </c>
      <c r="I409" t="s">
        <v>140</v>
      </c>
      <c r="J409">
        <v>0</v>
      </c>
      <c r="K409">
        <v>45300.571840277778</v>
      </c>
      <c r="L409">
        <v>6617</v>
      </c>
      <c r="O409">
        <v>10</v>
      </c>
      <c r="P409">
        <v>3</v>
      </c>
      <c r="Q409">
        <v>3.9999999999999991</v>
      </c>
    </row>
    <row r="410" spans="2:17" x14ac:dyDescent="0.25">
      <c r="B410" t="s">
        <v>492</v>
      </c>
      <c r="C410" t="s">
        <v>493</v>
      </c>
      <c r="D410" t="s">
        <v>373</v>
      </c>
      <c r="E410">
        <v>2</v>
      </c>
      <c r="F410" t="s">
        <v>68</v>
      </c>
      <c r="G410" t="s">
        <v>372</v>
      </c>
      <c r="H410" t="s">
        <v>219</v>
      </c>
      <c r="I410" t="s">
        <v>220</v>
      </c>
      <c r="J410">
        <v>1</v>
      </c>
      <c r="K410">
        <v>45302.429699074077</v>
      </c>
      <c r="L410">
        <v>24</v>
      </c>
      <c r="M410">
        <v>45352</v>
      </c>
      <c r="O410">
        <v>1</v>
      </c>
      <c r="P410">
        <v>2</v>
      </c>
      <c r="Q410">
        <v>0</v>
      </c>
    </row>
    <row r="411" spans="2:17" x14ac:dyDescent="0.25">
      <c r="B411" t="s">
        <v>492</v>
      </c>
      <c r="C411" t="s">
        <v>493</v>
      </c>
      <c r="D411" t="s">
        <v>373</v>
      </c>
      <c r="E411">
        <v>3</v>
      </c>
      <c r="F411" t="s">
        <v>145</v>
      </c>
      <c r="G411" t="s">
        <v>237</v>
      </c>
      <c r="H411" t="s">
        <v>219</v>
      </c>
      <c r="I411" t="s">
        <v>220</v>
      </c>
      <c r="J411">
        <v>1</v>
      </c>
      <c r="K411">
        <v>45302.429872685185</v>
      </c>
      <c r="L411">
        <v>24</v>
      </c>
      <c r="M411">
        <v>45352</v>
      </c>
      <c r="O411">
        <v>1</v>
      </c>
      <c r="P411">
        <v>3</v>
      </c>
      <c r="Q411">
        <v>0</v>
      </c>
    </row>
    <row r="412" spans="2:17" x14ac:dyDescent="0.25">
      <c r="B412" t="s">
        <v>492</v>
      </c>
      <c r="C412" t="s">
        <v>493</v>
      </c>
      <c r="D412" t="s">
        <v>373</v>
      </c>
      <c r="E412">
        <v>19</v>
      </c>
      <c r="F412" t="s">
        <v>145</v>
      </c>
      <c r="G412" t="s">
        <v>371</v>
      </c>
      <c r="H412" t="s">
        <v>219</v>
      </c>
      <c r="I412" t="s">
        <v>220</v>
      </c>
      <c r="J412">
        <v>1</v>
      </c>
      <c r="K412">
        <v>45302.4299537037</v>
      </c>
      <c r="L412">
        <v>37</v>
      </c>
      <c r="M412">
        <v>45352</v>
      </c>
      <c r="O412">
        <v>1</v>
      </c>
      <c r="P412">
        <v>19</v>
      </c>
      <c r="Q412">
        <v>0</v>
      </c>
    </row>
    <row r="413" spans="2:17" x14ac:dyDescent="0.25">
      <c r="B413" t="s">
        <v>492</v>
      </c>
      <c r="C413" t="s">
        <v>493</v>
      </c>
      <c r="D413" t="s">
        <v>373</v>
      </c>
      <c r="E413">
        <v>8</v>
      </c>
      <c r="F413" t="s">
        <v>145</v>
      </c>
      <c r="G413" t="s">
        <v>238</v>
      </c>
      <c r="H413" t="s">
        <v>219</v>
      </c>
      <c r="I413" t="s">
        <v>220</v>
      </c>
      <c r="J413">
        <v>1</v>
      </c>
      <c r="K413">
        <v>45302.430034722223</v>
      </c>
      <c r="L413">
        <v>40</v>
      </c>
      <c r="M413">
        <v>45352</v>
      </c>
      <c r="O413">
        <v>1</v>
      </c>
      <c r="P413">
        <v>8</v>
      </c>
      <c r="Q413">
        <v>0</v>
      </c>
    </row>
    <row r="414" spans="2:17" x14ac:dyDescent="0.25">
      <c r="B414" t="s">
        <v>492</v>
      </c>
      <c r="C414" t="s">
        <v>493</v>
      </c>
      <c r="D414" t="s">
        <v>373</v>
      </c>
      <c r="E414">
        <v>25</v>
      </c>
      <c r="F414" t="s">
        <v>145</v>
      </c>
      <c r="G414" t="s">
        <v>408</v>
      </c>
      <c r="H414" t="s">
        <v>219</v>
      </c>
      <c r="I414" t="s">
        <v>220</v>
      </c>
      <c r="J414">
        <v>1</v>
      </c>
      <c r="K414">
        <v>45302.430162037039</v>
      </c>
      <c r="L414">
        <v>51</v>
      </c>
      <c r="M414">
        <v>45352</v>
      </c>
      <c r="O414">
        <v>1</v>
      </c>
      <c r="P414">
        <v>25</v>
      </c>
      <c r="Q414">
        <v>0</v>
      </c>
    </row>
    <row r="415" spans="2:17" x14ac:dyDescent="0.25">
      <c r="B415" t="s">
        <v>492</v>
      </c>
      <c r="C415" t="s">
        <v>493</v>
      </c>
      <c r="D415" t="s">
        <v>373</v>
      </c>
      <c r="E415">
        <v>50</v>
      </c>
      <c r="F415" t="s">
        <v>145</v>
      </c>
      <c r="G415" t="s">
        <v>228</v>
      </c>
      <c r="H415" t="s">
        <v>219</v>
      </c>
      <c r="I415" t="s">
        <v>220</v>
      </c>
      <c r="J415">
        <v>1</v>
      </c>
      <c r="K415">
        <v>45302.430347222224</v>
      </c>
      <c r="L415">
        <v>60</v>
      </c>
      <c r="M415">
        <v>45352</v>
      </c>
      <c r="O415">
        <v>1</v>
      </c>
      <c r="P415">
        <v>50</v>
      </c>
      <c r="Q415">
        <v>0</v>
      </c>
    </row>
    <row r="416" spans="2:17" x14ac:dyDescent="0.25">
      <c r="B416" t="s">
        <v>492</v>
      </c>
      <c r="C416" t="s">
        <v>493</v>
      </c>
      <c r="D416" t="s">
        <v>373</v>
      </c>
      <c r="E416">
        <v>42</v>
      </c>
      <c r="F416" t="s">
        <v>145</v>
      </c>
      <c r="G416" t="s">
        <v>229</v>
      </c>
      <c r="H416" t="s">
        <v>219</v>
      </c>
      <c r="I416" t="s">
        <v>220</v>
      </c>
      <c r="J416">
        <v>1</v>
      </c>
      <c r="K416">
        <v>45302.430520833332</v>
      </c>
      <c r="L416">
        <v>42</v>
      </c>
      <c r="M416">
        <v>45352</v>
      </c>
      <c r="O416">
        <v>1</v>
      </c>
      <c r="P416">
        <v>42</v>
      </c>
      <c r="Q416">
        <v>0</v>
      </c>
    </row>
    <row r="417" spans="2:17" x14ac:dyDescent="0.25">
      <c r="B417" t="s">
        <v>492</v>
      </c>
      <c r="C417" t="s">
        <v>493</v>
      </c>
      <c r="D417" t="s">
        <v>373</v>
      </c>
      <c r="E417">
        <v>8</v>
      </c>
      <c r="F417" t="s">
        <v>145</v>
      </c>
      <c r="G417" t="s">
        <v>65</v>
      </c>
      <c r="H417" t="s">
        <v>219</v>
      </c>
      <c r="I417" t="s">
        <v>220</v>
      </c>
      <c r="J417">
        <v>1</v>
      </c>
      <c r="K417">
        <v>45302.430601851855</v>
      </c>
      <c r="L417">
        <v>8</v>
      </c>
      <c r="M417">
        <v>45352</v>
      </c>
      <c r="O417">
        <v>1</v>
      </c>
      <c r="P417">
        <v>8</v>
      </c>
      <c r="Q417">
        <v>0</v>
      </c>
    </row>
    <row r="418" spans="2:17" x14ac:dyDescent="0.25">
      <c r="B418" t="s">
        <v>492</v>
      </c>
      <c r="C418" t="s">
        <v>493</v>
      </c>
      <c r="D418" t="s">
        <v>373</v>
      </c>
      <c r="E418">
        <v>27</v>
      </c>
      <c r="F418" t="s">
        <v>145</v>
      </c>
      <c r="G418" t="s">
        <v>230</v>
      </c>
      <c r="H418" t="s">
        <v>219</v>
      </c>
      <c r="I418" t="s">
        <v>220</v>
      </c>
      <c r="J418">
        <v>1</v>
      </c>
      <c r="K418">
        <v>45302.430787037039</v>
      </c>
      <c r="L418">
        <v>27</v>
      </c>
      <c r="M418">
        <v>45352</v>
      </c>
      <c r="O418">
        <v>1</v>
      </c>
      <c r="P418">
        <v>27</v>
      </c>
      <c r="Q418">
        <v>0</v>
      </c>
    </row>
    <row r="419" spans="2:17" x14ac:dyDescent="0.25">
      <c r="B419" t="s">
        <v>314</v>
      </c>
      <c r="C419" t="s">
        <v>338</v>
      </c>
      <c r="D419" t="s">
        <v>494</v>
      </c>
      <c r="E419">
        <v>800</v>
      </c>
      <c r="F419" t="s">
        <v>68</v>
      </c>
      <c r="G419" t="s">
        <v>190</v>
      </c>
      <c r="H419" t="s">
        <v>191</v>
      </c>
      <c r="I419" t="s">
        <v>154</v>
      </c>
      <c r="J419">
        <v>0</v>
      </c>
      <c r="K419">
        <v>45301.473229166666</v>
      </c>
      <c r="L419">
        <v>0</v>
      </c>
      <c r="O419">
        <v>2000</v>
      </c>
      <c r="P419">
        <v>0</v>
      </c>
      <c r="Q419">
        <v>800</v>
      </c>
    </row>
    <row r="420" spans="2:17" x14ac:dyDescent="0.25">
      <c r="B420" t="s">
        <v>314</v>
      </c>
      <c r="C420" t="s">
        <v>338</v>
      </c>
      <c r="D420" t="s">
        <v>494</v>
      </c>
      <c r="E420">
        <v>2500</v>
      </c>
      <c r="F420" t="s">
        <v>68</v>
      </c>
      <c r="G420" t="s">
        <v>156</v>
      </c>
      <c r="H420" t="s">
        <v>157</v>
      </c>
      <c r="I420" t="s">
        <v>154</v>
      </c>
      <c r="J420">
        <v>0</v>
      </c>
      <c r="K420">
        <v>45301.473645833335</v>
      </c>
      <c r="L420">
        <v>24720</v>
      </c>
      <c r="O420">
        <v>440</v>
      </c>
      <c r="P420">
        <v>5</v>
      </c>
      <c r="Q420">
        <v>299.99999999999994</v>
      </c>
    </row>
    <row r="421" spans="2:17" x14ac:dyDescent="0.25">
      <c r="B421" t="s">
        <v>314</v>
      </c>
      <c r="C421" t="s">
        <v>338</v>
      </c>
      <c r="D421" t="s">
        <v>494</v>
      </c>
      <c r="E421">
        <v>500</v>
      </c>
      <c r="F421" t="s">
        <v>68</v>
      </c>
      <c r="G421" t="s">
        <v>165</v>
      </c>
      <c r="H421" t="s">
        <v>166</v>
      </c>
      <c r="J421">
        <v>0</v>
      </c>
      <c r="K421">
        <v>45301.473981481482</v>
      </c>
      <c r="L421">
        <v>48</v>
      </c>
      <c r="O421">
        <v>1</v>
      </c>
      <c r="P421">
        <v>500</v>
      </c>
      <c r="Q421">
        <v>0</v>
      </c>
    </row>
    <row r="422" spans="2:17" x14ac:dyDescent="0.25">
      <c r="B422" t="s">
        <v>314</v>
      </c>
      <c r="C422" t="s">
        <v>472</v>
      </c>
      <c r="D422" t="s">
        <v>495</v>
      </c>
      <c r="E422">
        <v>120</v>
      </c>
      <c r="F422" t="s">
        <v>137</v>
      </c>
      <c r="G422" t="s">
        <v>143</v>
      </c>
      <c r="H422" t="s">
        <v>139</v>
      </c>
      <c r="I422" t="s">
        <v>140</v>
      </c>
      <c r="J422">
        <v>0</v>
      </c>
      <c r="K422">
        <v>45301.47583333333</v>
      </c>
      <c r="L422">
        <v>620</v>
      </c>
      <c r="O422">
        <v>10</v>
      </c>
      <c r="P422">
        <v>12</v>
      </c>
      <c r="Q422">
        <v>0</v>
      </c>
    </row>
    <row r="423" spans="2:17" x14ac:dyDescent="0.25">
      <c r="B423" t="s">
        <v>314</v>
      </c>
      <c r="C423" t="s">
        <v>472</v>
      </c>
      <c r="D423" t="s">
        <v>495</v>
      </c>
      <c r="E423">
        <v>60</v>
      </c>
      <c r="F423" t="s">
        <v>137</v>
      </c>
      <c r="G423" t="s">
        <v>138</v>
      </c>
      <c r="H423" t="s">
        <v>139</v>
      </c>
      <c r="I423" t="s">
        <v>140</v>
      </c>
      <c r="J423">
        <v>0</v>
      </c>
      <c r="K423">
        <v>45301.476111111115</v>
      </c>
      <c r="L423">
        <v>1418</v>
      </c>
      <c r="O423">
        <v>10</v>
      </c>
      <c r="P423">
        <v>6</v>
      </c>
      <c r="Q423">
        <v>0</v>
      </c>
    </row>
    <row r="424" spans="2:17" x14ac:dyDescent="0.25">
      <c r="B424" t="s">
        <v>314</v>
      </c>
      <c r="C424" t="s">
        <v>472</v>
      </c>
      <c r="D424" t="s">
        <v>495</v>
      </c>
      <c r="E424">
        <v>60</v>
      </c>
      <c r="F424" t="s">
        <v>137</v>
      </c>
      <c r="G424" t="s">
        <v>141</v>
      </c>
      <c r="H424" t="s">
        <v>142</v>
      </c>
      <c r="I424" t="s">
        <v>140</v>
      </c>
      <c r="J424">
        <v>0</v>
      </c>
      <c r="K424">
        <v>45301.476331018515</v>
      </c>
      <c r="L424">
        <v>6557</v>
      </c>
      <c r="O424">
        <v>10</v>
      </c>
      <c r="P424">
        <v>6</v>
      </c>
      <c r="Q424">
        <v>0</v>
      </c>
    </row>
    <row r="425" spans="2:17" x14ac:dyDescent="0.25">
      <c r="B425" t="s">
        <v>314</v>
      </c>
      <c r="C425" t="s">
        <v>357</v>
      </c>
      <c r="D425" t="s">
        <v>496</v>
      </c>
      <c r="E425">
        <v>144</v>
      </c>
      <c r="F425" t="s">
        <v>145</v>
      </c>
      <c r="G425" t="s">
        <v>150</v>
      </c>
      <c r="H425" t="s">
        <v>147</v>
      </c>
      <c r="I425" t="s">
        <v>148</v>
      </c>
      <c r="J425">
        <v>0</v>
      </c>
      <c r="K425">
        <v>45301.477175925924</v>
      </c>
      <c r="L425">
        <v>3218</v>
      </c>
      <c r="O425">
        <v>144</v>
      </c>
      <c r="P425">
        <v>1</v>
      </c>
      <c r="Q425">
        <v>0</v>
      </c>
    </row>
    <row r="426" spans="2:17" x14ac:dyDescent="0.25">
      <c r="B426" t="s">
        <v>314</v>
      </c>
      <c r="C426" t="s">
        <v>497</v>
      </c>
      <c r="D426" t="s">
        <v>498</v>
      </c>
      <c r="E426">
        <v>36</v>
      </c>
      <c r="F426" t="s">
        <v>68</v>
      </c>
      <c r="G426" t="s">
        <v>177</v>
      </c>
      <c r="H426" t="s">
        <v>178</v>
      </c>
      <c r="J426">
        <v>0</v>
      </c>
      <c r="K426">
        <v>45301.477685185186</v>
      </c>
      <c r="L426">
        <v>571</v>
      </c>
      <c r="O426">
        <v>4</v>
      </c>
      <c r="P426">
        <v>9</v>
      </c>
      <c r="Q426">
        <v>0</v>
      </c>
    </row>
    <row r="427" spans="2:17" x14ac:dyDescent="0.25">
      <c r="B427" t="s">
        <v>314</v>
      </c>
      <c r="C427" t="s">
        <v>258</v>
      </c>
      <c r="D427" t="s">
        <v>499</v>
      </c>
      <c r="E427">
        <v>6</v>
      </c>
      <c r="F427" t="s">
        <v>68</v>
      </c>
      <c r="G427" t="s">
        <v>771</v>
      </c>
      <c r="H427" t="s">
        <v>158</v>
      </c>
      <c r="I427" t="s">
        <v>154</v>
      </c>
      <c r="J427">
        <v>0</v>
      </c>
      <c r="K427">
        <v>45301.478587962964</v>
      </c>
      <c r="L427">
        <v>209</v>
      </c>
      <c r="O427">
        <v>24</v>
      </c>
      <c r="P427">
        <v>0</v>
      </c>
      <c r="Q427">
        <v>6</v>
      </c>
    </row>
    <row r="428" spans="2:17" x14ac:dyDescent="0.25">
      <c r="B428" t="s">
        <v>314</v>
      </c>
      <c r="C428" t="s">
        <v>258</v>
      </c>
      <c r="D428" t="s">
        <v>499</v>
      </c>
      <c r="E428">
        <v>150</v>
      </c>
      <c r="F428" t="s">
        <v>68</v>
      </c>
      <c r="G428" t="s">
        <v>163</v>
      </c>
      <c r="H428" t="s">
        <v>164</v>
      </c>
      <c r="I428" t="s">
        <v>115</v>
      </c>
      <c r="J428">
        <v>0</v>
      </c>
      <c r="K428">
        <v>45301.478842592594</v>
      </c>
      <c r="L428">
        <v>1800</v>
      </c>
      <c r="O428">
        <v>100</v>
      </c>
      <c r="P428">
        <v>1</v>
      </c>
      <c r="Q428">
        <v>50</v>
      </c>
    </row>
    <row r="429" spans="2:17" x14ac:dyDescent="0.25">
      <c r="B429" t="s">
        <v>314</v>
      </c>
      <c r="C429" t="s">
        <v>361</v>
      </c>
      <c r="D429" t="s">
        <v>500</v>
      </c>
      <c r="E429">
        <v>6000</v>
      </c>
      <c r="F429" t="s">
        <v>68</v>
      </c>
      <c r="G429" t="s">
        <v>117</v>
      </c>
      <c r="H429" t="s">
        <v>118</v>
      </c>
      <c r="I429" t="s">
        <v>115</v>
      </c>
      <c r="J429">
        <v>0</v>
      </c>
      <c r="K429">
        <v>45301.479675925926</v>
      </c>
      <c r="L429">
        <v>14000</v>
      </c>
      <c r="O429">
        <v>1200</v>
      </c>
      <c r="P429">
        <v>5</v>
      </c>
      <c r="Q429">
        <v>0</v>
      </c>
    </row>
    <row r="430" spans="2:17" x14ac:dyDescent="0.25">
      <c r="B430" t="s">
        <v>314</v>
      </c>
      <c r="C430" t="s">
        <v>259</v>
      </c>
      <c r="D430" t="s">
        <v>501</v>
      </c>
      <c r="E430">
        <v>300</v>
      </c>
      <c r="F430" t="s">
        <v>68</v>
      </c>
      <c r="G430" t="s">
        <v>170</v>
      </c>
      <c r="H430" t="s">
        <v>171</v>
      </c>
      <c r="I430" t="s">
        <v>172</v>
      </c>
      <c r="J430">
        <v>0</v>
      </c>
      <c r="K430">
        <v>45301.480138888888</v>
      </c>
      <c r="L430">
        <v>2712</v>
      </c>
      <c r="O430">
        <v>36</v>
      </c>
      <c r="P430">
        <v>8</v>
      </c>
      <c r="Q430">
        <v>12.000000000000021</v>
      </c>
    </row>
    <row r="431" spans="2:17" x14ac:dyDescent="0.25">
      <c r="B431" t="s">
        <v>314</v>
      </c>
      <c r="C431" t="s">
        <v>259</v>
      </c>
      <c r="D431" t="s">
        <v>501</v>
      </c>
      <c r="E431">
        <v>10</v>
      </c>
      <c r="F431" t="s">
        <v>68</v>
      </c>
      <c r="G431" t="s">
        <v>772</v>
      </c>
      <c r="H431" t="s">
        <v>160</v>
      </c>
      <c r="I431" t="s">
        <v>154</v>
      </c>
      <c r="J431">
        <v>0</v>
      </c>
      <c r="K431">
        <v>45301.480381944442</v>
      </c>
      <c r="L431">
        <v>229</v>
      </c>
      <c r="O431">
        <v>4</v>
      </c>
      <c r="P431">
        <v>2</v>
      </c>
      <c r="Q431">
        <v>2</v>
      </c>
    </row>
    <row r="432" spans="2:17" x14ac:dyDescent="0.25">
      <c r="B432" t="s">
        <v>314</v>
      </c>
      <c r="C432" t="s">
        <v>502</v>
      </c>
      <c r="D432" t="s">
        <v>503</v>
      </c>
      <c r="E432">
        <v>12000</v>
      </c>
      <c r="F432" t="s">
        <v>68</v>
      </c>
      <c r="G432" t="s">
        <v>113</v>
      </c>
      <c r="H432" t="s">
        <v>114</v>
      </c>
      <c r="I432" t="s">
        <v>115</v>
      </c>
      <c r="J432">
        <v>0</v>
      </c>
      <c r="K432">
        <v>45301.480902777781</v>
      </c>
      <c r="L432">
        <v>133800</v>
      </c>
      <c r="O432">
        <v>2400</v>
      </c>
      <c r="P432">
        <v>5</v>
      </c>
      <c r="Q432">
        <v>0</v>
      </c>
    </row>
    <row r="433" spans="2:17" x14ac:dyDescent="0.25">
      <c r="B433" t="s">
        <v>314</v>
      </c>
      <c r="C433" t="s">
        <v>422</v>
      </c>
      <c r="D433" t="s">
        <v>504</v>
      </c>
      <c r="E433">
        <v>12000</v>
      </c>
      <c r="F433" t="s">
        <v>68</v>
      </c>
      <c r="G433" t="s">
        <v>133</v>
      </c>
      <c r="H433" t="s">
        <v>134</v>
      </c>
      <c r="I433" t="s">
        <v>115</v>
      </c>
      <c r="J433">
        <v>0</v>
      </c>
      <c r="K433">
        <v>45301.481377314813</v>
      </c>
      <c r="L433">
        <v>196900</v>
      </c>
      <c r="O433">
        <v>2400</v>
      </c>
      <c r="P433">
        <v>5</v>
      </c>
      <c r="Q433">
        <v>0</v>
      </c>
    </row>
    <row r="434" spans="2:17" x14ac:dyDescent="0.25">
      <c r="B434" t="s">
        <v>314</v>
      </c>
      <c r="C434" t="s">
        <v>422</v>
      </c>
      <c r="D434" t="s">
        <v>504</v>
      </c>
      <c r="E434">
        <v>2</v>
      </c>
      <c r="F434" t="s">
        <v>68</v>
      </c>
      <c r="G434" t="s">
        <v>423</v>
      </c>
      <c r="H434" t="s">
        <v>192</v>
      </c>
      <c r="J434">
        <v>0</v>
      </c>
      <c r="K434">
        <v>45301.482268518521</v>
      </c>
      <c r="L434">
        <v>46</v>
      </c>
      <c r="O434">
        <v>40</v>
      </c>
      <c r="P434">
        <v>0</v>
      </c>
      <c r="Q434">
        <v>2</v>
      </c>
    </row>
    <row r="435" spans="2:17" x14ac:dyDescent="0.25">
      <c r="B435" t="s">
        <v>314</v>
      </c>
      <c r="C435" t="s">
        <v>260</v>
      </c>
      <c r="D435" t="s">
        <v>505</v>
      </c>
      <c r="E435">
        <v>2</v>
      </c>
      <c r="F435" t="s">
        <v>68</v>
      </c>
      <c r="G435" t="s">
        <v>193</v>
      </c>
      <c r="H435" t="s">
        <v>194</v>
      </c>
      <c r="J435">
        <v>0</v>
      </c>
      <c r="K435">
        <v>45301.482731481483</v>
      </c>
      <c r="L435">
        <v>27</v>
      </c>
      <c r="O435">
        <v>36</v>
      </c>
      <c r="P435">
        <v>0</v>
      </c>
      <c r="Q435">
        <v>2</v>
      </c>
    </row>
    <row r="436" spans="2:17" x14ac:dyDescent="0.25">
      <c r="B436" t="s">
        <v>314</v>
      </c>
      <c r="C436" t="s">
        <v>260</v>
      </c>
      <c r="D436" t="s">
        <v>505</v>
      </c>
      <c r="E436">
        <v>120</v>
      </c>
      <c r="F436" t="s">
        <v>68</v>
      </c>
      <c r="G436" t="s">
        <v>212</v>
      </c>
      <c r="H436" t="s">
        <v>213</v>
      </c>
      <c r="I436" t="s">
        <v>154</v>
      </c>
      <c r="J436">
        <v>0</v>
      </c>
      <c r="K436">
        <v>45301.483032407406</v>
      </c>
      <c r="L436">
        <v>9080</v>
      </c>
      <c r="O436">
        <v>1</v>
      </c>
      <c r="P436">
        <v>120</v>
      </c>
      <c r="Q436">
        <v>0</v>
      </c>
    </row>
    <row r="437" spans="2:17" x14ac:dyDescent="0.25">
      <c r="B437" t="s">
        <v>314</v>
      </c>
      <c r="C437" t="s">
        <v>260</v>
      </c>
      <c r="D437" t="s">
        <v>505</v>
      </c>
      <c r="E437">
        <v>120</v>
      </c>
      <c r="F437" t="s">
        <v>68</v>
      </c>
      <c r="G437" t="s">
        <v>420</v>
      </c>
      <c r="H437" t="s">
        <v>159</v>
      </c>
      <c r="I437" t="s">
        <v>154</v>
      </c>
      <c r="J437">
        <v>0</v>
      </c>
      <c r="K437">
        <v>45301.483217592591</v>
      </c>
      <c r="L437">
        <v>7980</v>
      </c>
      <c r="O437">
        <v>60</v>
      </c>
      <c r="P437">
        <v>2</v>
      </c>
      <c r="Q437">
        <v>0</v>
      </c>
    </row>
    <row r="438" spans="2:17" x14ac:dyDescent="0.25">
      <c r="B438" t="s">
        <v>169</v>
      </c>
      <c r="C438" t="s">
        <v>411</v>
      </c>
      <c r="D438" t="s">
        <v>506</v>
      </c>
      <c r="E438">
        <v>35</v>
      </c>
      <c r="F438" t="s">
        <v>68</v>
      </c>
      <c r="G438" t="s">
        <v>773</v>
      </c>
      <c r="H438" t="s">
        <v>180</v>
      </c>
      <c r="I438" t="s">
        <v>154</v>
      </c>
      <c r="J438">
        <v>0</v>
      </c>
      <c r="K438">
        <v>45303.641331018516</v>
      </c>
      <c r="L438">
        <v>420</v>
      </c>
      <c r="O438">
        <v>100</v>
      </c>
      <c r="P438">
        <v>0</v>
      </c>
      <c r="Q438">
        <v>35</v>
      </c>
    </row>
    <row r="439" spans="2:17" x14ac:dyDescent="0.25">
      <c r="B439" t="s">
        <v>169</v>
      </c>
      <c r="C439" t="s">
        <v>411</v>
      </c>
      <c r="D439" t="s">
        <v>506</v>
      </c>
      <c r="E439">
        <v>10</v>
      </c>
      <c r="F439" t="s">
        <v>68</v>
      </c>
      <c r="G439" t="s">
        <v>772</v>
      </c>
      <c r="H439" t="s">
        <v>160</v>
      </c>
      <c r="I439" t="s">
        <v>154</v>
      </c>
      <c r="J439">
        <v>0</v>
      </c>
      <c r="K439">
        <v>45303.641550925924</v>
      </c>
      <c r="L439">
        <v>219</v>
      </c>
      <c r="O439">
        <v>4</v>
      </c>
      <c r="P439">
        <v>2</v>
      </c>
      <c r="Q439">
        <v>2</v>
      </c>
    </row>
    <row r="440" spans="2:17" x14ac:dyDescent="0.25">
      <c r="B440" t="s">
        <v>169</v>
      </c>
      <c r="C440" t="s">
        <v>385</v>
      </c>
      <c r="D440" t="s">
        <v>507</v>
      </c>
      <c r="E440">
        <v>5600</v>
      </c>
      <c r="F440" t="s">
        <v>68</v>
      </c>
      <c r="G440" t="s">
        <v>133</v>
      </c>
      <c r="H440" t="s">
        <v>134</v>
      </c>
      <c r="I440" t="s">
        <v>115</v>
      </c>
      <c r="J440">
        <v>0</v>
      </c>
      <c r="K440">
        <v>45303.642175925925</v>
      </c>
      <c r="L440">
        <v>191300</v>
      </c>
      <c r="O440">
        <v>2400</v>
      </c>
      <c r="P440">
        <v>2</v>
      </c>
      <c r="Q440">
        <v>800.00000000000034</v>
      </c>
    </row>
    <row r="441" spans="2:17" x14ac:dyDescent="0.25">
      <c r="B441" t="s">
        <v>169</v>
      </c>
      <c r="C441" t="s">
        <v>385</v>
      </c>
      <c r="D441" t="s">
        <v>507</v>
      </c>
      <c r="E441">
        <v>760</v>
      </c>
      <c r="F441" t="s">
        <v>145</v>
      </c>
      <c r="G441" t="s">
        <v>149</v>
      </c>
      <c r="H441" t="s">
        <v>147</v>
      </c>
      <c r="I441" t="s">
        <v>148</v>
      </c>
      <c r="J441">
        <v>0</v>
      </c>
      <c r="K441">
        <v>45303.642777777779</v>
      </c>
      <c r="L441">
        <v>2928</v>
      </c>
      <c r="O441">
        <v>144</v>
      </c>
      <c r="P441">
        <v>5</v>
      </c>
      <c r="Q441">
        <v>39.999999999999986</v>
      </c>
    </row>
    <row r="442" spans="2:17" x14ac:dyDescent="0.25">
      <c r="B442" t="s">
        <v>169</v>
      </c>
      <c r="C442" t="s">
        <v>380</v>
      </c>
      <c r="D442" t="s">
        <v>508</v>
      </c>
      <c r="E442">
        <v>1600</v>
      </c>
      <c r="F442" t="s">
        <v>68</v>
      </c>
      <c r="G442" t="s">
        <v>181</v>
      </c>
      <c r="H442" t="s">
        <v>182</v>
      </c>
      <c r="I442" t="s">
        <v>115</v>
      </c>
      <c r="J442">
        <v>0</v>
      </c>
      <c r="K442">
        <v>45303.64371527778</v>
      </c>
      <c r="L442">
        <v>28600</v>
      </c>
      <c r="O442">
        <v>2400</v>
      </c>
      <c r="P442">
        <v>0</v>
      </c>
      <c r="Q442">
        <v>1600</v>
      </c>
    </row>
    <row r="443" spans="2:17" x14ac:dyDescent="0.25">
      <c r="B443" t="s">
        <v>169</v>
      </c>
      <c r="C443" t="s">
        <v>509</v>
      </c>
      <c r="D443" t="s">
        <v>510</v>
      </c>
      <c r="E443">
        <v>1340</v>
      </c>
      <c r="F443" t="s">
        <v>68</v>
      </c>
      <c r="G443" t="s">
        <v>420</v>
      </c>
      <c r="H443" t="s">
        <v>159</v>
      </c>
      <c r="I443" t="s">
        <v>154</v>
      </c>
      <c r="J443">
        <v>0</v>
      </c>
      <c r="K443">
        <v>45303.64875</v>
      </c>
      <c r="L443">
        <v>6640</v>
      </c>
      <c r="O443">
        <v>60</v>
      </c>
      <c r="P443">
        <v>22</v>
      </c>
      <c r="Q443">
        <v>19.999999999999929</v>
      </c>
    </row>
    <row r="444" spans="2:17" x14ac:dyDescent="0.25">
      <c r="B444" t="s">
        <v>511</v>
      </c>
      <c r="C444" t="s">
        <v>512</v>
      </c>
      <c r="D444" t="s">
        <v>513</v>
      </c>
      <c r="E444">
        <v>4000</v>
      </c>
      <c r="F444" t="s">
        <v>68</v>
      </c>
      <c r="G444" t="s">
        <v>174</v>
      </c>
      <c r="H444" t="s">
        <v>175</v>
      </c>
      <c r="I444" t="s">
        <v>176</v>
      </c>
      <c r="J444">
        <v>1</v>
      </c>
      <c r="K444">
        <v>45306.683449074073</v>
      </c>
      <c r="L444">
        <v>3990</v>
      </c>
      <c r="M444">
        <v>45413</v>
      </c>
      <c r="O444">
        <v>300</v>
      </c>
      <c r="P444">
        <v>13</v>
      </c>
      <c r="Q444">
        <v>100.00000000000017</v>
      </c>
    </row>
    <row r="445" spans="2:17" x14ac:dyDescent="0.25">
      <c r="B445" t="s">
        <v>169</v>
      </c>
      <c r="C445" t="s">
        <v>411</v>
      </c>
      <c r="D445" t="s">
        <v>514</v>
      </c>
      <c r="E445">
        <v>40</v>
      </c>
      <c r="F445" t="s">
        <v>68</v>
      </c>
      <c r="G445" t="s">
        <v>773</v>
      </c>
      <c r="H445" t="s">
        <v>180</v>
      </c>
      <c r="I445" t="s">
        <v>154</v>
      </c>
      <c r="J445">
        <v>0</v>
      </c>
      <c r="K445">
        <v>45308.641273148147</v>
      </c>
      <c r="L445">
        <v>380</v>
      </c>
      <c r="O445">
        <v>100</v>
      </c>
      <c r="P445">
        <v>0</v>
      </c>
      <c r="Q445">
        <v>40</v>
      </c>
    </row>
    <row r="446" spans="2:17" x14ac:dyDescent="0.25">
      <c r="B446" t="s">
        <v>169</v>
      </c>
      <c r="C446" t="s">
        <v>380</v>
      </c>
      <c r="D446" t="s">
        <v>515</v>
      </c>
      <c r="E446">
        <v>1600</v>
      </c>
      <c r="F446" t="s">
        <v>68</v>
      </c>
      <c r="G446" t="s">
        <v>181</v>
      </c>
      <c r="H446" t="s">
        <v>182</v>
      </c>
      <c r="I446" t="s">
        <v>115</v>
      </c>
      <c r="J446">
        <v>0</v>
      </c>
      <c r="K446">
        <v>45308.643078703702</v>
      </c>
      <c r="L446">
        <v>27000</v>
      </c>
      <c r="O446">
        <v>2400</v>
      </c>
      <c r="P446">
        <v>0</v>
      </c>
      <c r="Q446">
        <v>1600</v>
      </c>
    </row>
    <row r="447" spans="2:17" x14ac:dyDescent="0.25">
      <c r="B447" t="s">
        <v>169</v>
      </c>
      <c r="C447" t="s">
        <v>254</v>
      </c>
      <c r="D447" t="s">
        <v>516</v>
      </c>
      <c r="E447">
        <v>1000</v>
      </c>
      <c r="F447" t="s">
        <v>68</v>
      </c>
      <c r="G447" t="s">
        <v>174</v>
      </c>
      <c r="H447" t="s">
        <v>175</v>
      </c>
      <c r="I447" t="s">
        <v>176</v>
      </c>
      <c r="J447">
        <v>0</v>
      </c>
      <c r="K447">
        <v>45308.643969907411</v>
      </c>
      <c r="L447">
        <v>3000</v>
      </c>
      <c r="O447">
        <v>300</v>
      </c>
      <c r="P447">
        <v>3</v>
      </c>
      <c r="Q447">
        <v>100.00000000000004</v>
      </c>
    </row>
    <row r="448" spans="2:17" x14ac:dyDescent="0.25">
      <c r="B448" t="s">
        <v>169</v>
      </c>
      <c r="C448" t="s">
        <v>254</v>
      </c>
      <c r="D448" t="s">
        <v>516</v>
      </c>
      <c r="E448">
        <v>288</v>
      </c>
      <c r="F448" t="s">
        <v>145</v>
      </c>
      <c r="G448" t="s">
        <v>146</v>
      </c>
      <c r="H448" t="s">
        <v>147</v>
      </c>
      <c r="I448" t="s">
        <v>148</v>
      </c>
      <c r="J448">
        <v>0</v>
      </c>
      <c r="K448">
        <v>45308.644976851851</v>
      </c>
      <c r="L448">
        <v>0</v>
      </c>
      <c r="O448">
        <v>144</v>
      </c>
      <c r="P448">
        <v>2</v>
      </c>
      <c r="Q448">
        <v>0</v>
      </c>
    </row>
    <row r="449" spans="2:17" x14ac:dyDescent="0.25">
      <c r="B449" t="s">
        <v>169</v>
      </c>
      <c r="C449" t="s">
        <v>255</v>
      </c>
      <c r="D449" t="s">
        <v>517</v>
      </c>
      <c r="E449">
        <v>700</v>
      </c>
      <c r="F449" t="s">
        <v>68</v>
      </c>
      <c r="G449" t="s">
        <v>420</v>
      </c>
      <c r="H449" t="s">
        <v>159</v>
      </c>
      <c r="I449" t="s">
        <v>154</v>
      </c>
      <c r="J449">
        <v>0</v>
      </c>
      <c r="K449">
        <v>45308.64744212963</v>
      </c>
      <c r="L449">
        <v>5940</v>
      </c>
      <c r="O449">
        <v>60</v>
      </c>
      <c r="P449">
        <v>11</v>
      </c>
      <c r="Q449">
        <v>39.999999999999964</v>
      </c>
    </row>
    <row r="450" spans="2:17" x14ac:dyDescent="0.25">
      <c r="B450" t="s">
        <v>314</v>
      </c>
      <c r="C450" t="s">
        <v>518</v>
      </c>
      <c r="D450" t="s">
        <v>519</v>
      </c>
      <c r="E450">
        <v>5000</v>
      </c>
      <c r="F450" t="s">
        <v>68</v>
      </c>
      <c r="G450" t="s">
        <v>152</v>
      </c>
      <c r="H450" t="s">
        <v>153</v>
      </c>
      <c r="I450" t="s">
        <v>154</v>
      </c>
      <c r="J450">
        <v>0</v>
      </c>
      <c r="K450">
        <v>45308.656400462962</v>
      </c>
      <c r="L450">
        <v>696</v>
      </c>
      <c r="O450">
        <v>24</v>
      </c>
      <c r="P450">
        <v>208</v>
      </c>
      <c r="Q450">
        <v>8.0000000000002274</v>
      </c>
    </row>
    <row r="451" spans="2:17" x14ac:dyDescent="0.25">
      <c r="B451" t="s">
        <v>314</v>
      </c>
      <c r="C451" t="s">
        <v>497</v>
      </c>
      <c r="D451" t="s">
        <v>520</v>
      </c>
      <c r="E451">
        <v>36</v>
      </c>
      <c r="F451" t="s">
        <v>68</v>
      </c>
      <c r="G451" t="s">
        <v>177</v>
      </c>
      <c r="H451" t="s">
        <v>178</v>
      </c>
      <c r="J451">
        <v>0</v>
      </c>
      <c r="K451">
        <v>45308.657314814816</v>
      </c>
      <c r="L451">
        <v>535</v>
      </c>
      <c r="O451">
        <v>4</v>
      </c>
      <c r="P451">
        <v>9</v>
      </c>
      <c r="Q451">
        <v>0</v>
      </c>
    </row>
    <row r="452" spans="2:17" x14ac:dyDescent="0.25">
      <c r="B452" t="s">
        <v>314</v>
      </c>
      <c r="C452" t="s">
        <v>422</v>
      </c>
      <c r="D452" t="s">
        <v>521</v>
      </c>
      <c r="E452">
        <v>12000</v>
      </c>
      <c r="F452" t="s">
        <v>68</v>
      </c>
      <c r="G452" t="s">
        <v>133</v>
      </c>
      <c r="H452" t="s">
        <v>134</v>
      </c>
      <c r="I452" t="s">
        <v>115</v>
      </c>
      <c r="J452">
        <v>0</v>
      </c>
      <c r="K452">
        <v>45308.660104166665</v>
      </c>
      <c r="L452">
        <v>179300</v>
      </c>
      <c r="O452">
        <v>2400</v>
      </c>
      <c r="P452">
        <v>5</v>
      </c>
      <c r="Q452">
        <v>0</v>
      </c>
    </row>
    <row r="453" spans="2:17" x14ac:dyDescent="0.25">
      <c r="B453" t="s">
        <v>314</v>
      </c>
      <c r="C453" t="s">
        <v>422</v>
      </c>
      <c r="D453" t="s">
        <v>521</v>
      </c>
      <c r="E453">
        <v>2</v>
      </c>
      <c r="F453" t="s">
        <v>68</v>
      </c>
      <c r="G453" t="s">
        <v>423</v>
      </c>
      <c r="H453" t="s">
        <v>192</v>
      </c>
      <c r="J453">
        <v>0</v>
      </c>
      <c r="K453">
        <v>45308.660636574074</v>
      </c>
      <c r="L453">
        <v>44</v>
      </c>
      <c r="O453">
        <v>40</v>
      </c>
      <c r="P453">
        <v>0</v>
      </c>
      <c r="Q453">
        <v>2</v>
      </c>
    </row>
    <row r="454" spans="2:17" x14ac:dyDescent="0.25">
      <c r="B454" t="s">
        <v>314</v>
      </c>
      <c r="C454" t="s">
        <v>260</v>
      </c>
      <c r="D454" t="s">
        <v>522</v>
      </c>
      <c r="E454">
        <v>2</v>
      </c>
      <c r="F454" t="s">
        <v>68</v>
      </c>
      <c r="G454" t="s">
        <v>193</v>
      </c>
      <c r="H454" t="s">
        <v>194</v>
      </c>
      <c r="J454">
        <v>0</v>
      </c>
      <c r="K454">
        <v>45308.661874999998</v>
      </c>
      <c r="L454">
        <v>25</v>
      </c>
      <c r="O454">
        <v>36</v>
      </c>
      <c r="P454">
        <v>0</v>
      </c>
      <c r="Q454">
        <v>2</v>
      </c>
    </row>
    <row r="455" spans="2:17" x14ac:dyDescent="0.25">
      <c r="B455" t="s">
        <v>314</v>
      </c>
      <c r="C455" t="s">
        <v>260</v>
      </c>
      <c r="D455" t="s">
        <v>522</v>
      </c>
      <c r="E455">
        <v>120</v>
      </c>
      <c r="F455" t="s">
        <v>68</v>
      </c>
      <c r="G455" t="s">
        <v>212</v>
      </c>
      <c r="H455" t="s">
        <v>213</v>
      </c>
      <c r="I455" t="s">
        <v>154</v>
      </c>
      <c r="J455">
        <v>0</v>
      </c>
      <c r="K455">
        <v>45308.662372685183</v>
      </c>
      <c r="L455">
        <v>8960</v>
      </c>
      <c r="O455">
        <v>100</v>
      </c>
      <c r="P455">
        <v>1</v>
      </c>
      <c r="Q455">
        <v>19.999999999999996</v>
      </c>
    </row>
    <row r="456" spans="2:17" x14ac:dyDescent="0.25">
      <c r="B456" t="s">
        <v>314</v>
      </c>
      <c r="C456" t="s">
        <v>260</v>
      </c>
      <c r="D456" t="s">
        <v>522</v>
      </c>
      <c r="E456">
        <v>120</v>
      </c>
      <c r="F456" t="s">
        <v>68</v>
      </c>
      <c r="G456" t="s">
        <v>420</v>
      </c>
      <c r="H456" t="s">
        <v>159</v>
      </c>
      <c r="I456" t="s">
        <v>154</v>
      </c>
      <c r="J456">
        <v>0</v>
      </c>
      <c r="K456">
        <v>45308.662812499999</v>
      </c>
      <c r="L456">
        <v>5820</v>
      </c>
      <c r="O456">
        <v>60</v>
      </c>
      <c r="P456">
        <v>2</v>
      </c>
      <c r="Q456">
        <v>0</v>
      </c>
    </row>
    <row r="457" spans="2:17" x14ac:dyDescent="0.25">
      <c r="B457" t="s">
        <v>314</v>
      </c>
      <c r="C457" t="s">
        <v>259</v>
      </c>
      <c r="D457" t="s">
        <v>523</v>
      </c>
      <c r="E457">
        <v>300</v>
      </c>
      <c r="F457" t="s">
        <v>68</v>
      </c>
      <c r="G457" t="s">
        <v>170</v>
      </c>
      <c r="H457" t="s">
        <v>171</v>
      </c>
      <c r="I457" t="s">
        <v>172</v>
      </c>
      <c r="J457">
        <v>0</v>
      </c>
      <c r="K457">
        <v>45308.665601851855</v>
      </c>
      <c r="L457">
        <v>2412</v>
      </c>
      <c r="O457">
        <v>36</v>
      </c>
      <c r="P457">
        <v>8</v>
      </c>
      <c r="Q457">
        <v>12.000000000000021</v>
      </c>
    </row>
    <row r="458" spans="2:17" x14ac:dyDescent="0.25">
      <c r="B458" t="s">
        <v>314</v>
      </c>
      <c r="C458" t="s">
        <v>259</v>
      </c>
      <c r="D458" t="s">
        <v>523</v>
      </c>
      <c r="E458">
        <v>10</v>
      </c>
      <c r="F458" t="s">
        <v>68</v>
      </c>
      <c r="G458" t="s">
        <v>772</v>
      </c>
      <c r="H458" t="s">
        <v>160</v>
      </c>
      <c r="I458" t="s">
        <v>154</v>
      </c>
      <c r="J458">
        <v>0</v>
      </c>
      <c r="K458">
        <v>45308.66615740741</v>
      </c>
      <c r="L458">
        <v>209</v>
      </c>
      <c r="O458">
        <v>4</v>
      </c>
      <c r="P458">
        <v>2</v>
      </c>
      <c r="Q458">
        <v>2</v>
      </c>
    </row>
    <row r="459" spans="2:17" x14ac:dyDescent="0.25">
      <c r="B459" t="s">
        <v>314</v>
      </c>
      <c r="C459" t="s">
        <v>338</v>
      </c>
      <c r="D459" t="s">
        <v>524</v>
      </c>
      <c r="E459">
        <v>2500</v>
      </c>
      <c r="F459" t="s">
        <v>68</v>
      </c>
      <c r="G459" t="s">
        <v>156</v>
      </c>
      <c r="H459" t="s">
        <v>157</v>
      </c>
      <c r="I459" t="s">
        <v>154</v>
      </c>
      <c r="J459">
        <v>0</v>
      </c>
      <c r="K459">
        <v>45308.667592592596</v>
      </c>
      <c r="L459">
        <v>22220</v>
      </c>
      <c r="O459">
        <v>440</v>
      </c>
      <c r="P459">
        <v>5</v>
      </c>
      <c r="Q459">
        <v>299.99999999999994</v>
      </c>
    </row>
    <row r="460" spans="2:17" x14ac:dyDescent="0.25">
      <c r="B460" t="s">
        <v>314</v>
      </c>
      <c r="C460" t="s">
        <v>258</v>
      </c>
      <c r="D460" t="s">
        <v>525</v>
      </c>
      <c r="E460">
        <v>6</v>
      </c>
      <c r="F460" t="s">
        <v>68</v>
      </c>
      <c r="G460" t="s">
        <v>771</v>
      </c>
      <c r="H460" t="s">
        <v>158</v>
      </c>
      <c r="I460" t="s">
        <v>154</v>
      </c>
      <c r="J460">
        <v>0</v>
      </c>
      <c r="K460">
        <v>45308.671041666668</v>
      </c>
      <c r="L460">
        <v>203</v>
      </c>
      <c r="O460">
        <v>24</v>
      </c>
      <c r="P460">
        <v>0</v>
      </c>
      <c r="Q460">
        <v>6</v>
      </c>
    </row>
    <row r="461" spans="2:17" x14ac:dyDescent="0.25">
      <c r="B461" t="s">
        <v>314</v>
      </c>
      <c r="C461" t="s">
        <v>258</v>
      </c>
      <c r="D461" t="s">
        <v>525</v>
      </c>
      <c r="E461">
        <v>150</v>
      </c>
      <c r="F461" t="s">
        <v>68</v>
      </c>
      <c r="G461" t="s">
        <v>163</v>
      </c>
      <c r="H461" t="s">
        <v>164</v>
      </c>
      <c r="I461" t="s">
        <v>115</v>
      </c>
      <c r="J461">
        <v>0</v>
      </c>
      <c r="K461">
        <v>45308.671840277777</v>
      </c>
      <c r="L461">
        <v>1650</v>
      </c>
      <c r="O461">
        <v>100</v>
      </c>
      <c r="P461">
        <v>1</v>
      </c>
      <c r="Q461">
        <v>50</v>
      </c>
    </row>
    <row r="462" spans="2:17" x14ac:dyDescent="0.25">
      <c r="B462" t="s">
        <v>314</v>
      </c>
      <c r="C462" t="s">
        <v>472</v>
      </c>
      <c r="D462" t="s">
        <v>526</v>
      </c>
      <c r="E462">
        <v>120</v>
      </c>
      <c r="F462" t="s">
        <v>137</v>
      </c>
      <c r="G462" t="s">
        <v>143</v>
      </c>
      <c r="H462" t="s">
        <v>144</v>
      </c>
      <c r="I462" t="s">
        <v>140</v>
      </c>
      <c r="J462">
        <v>0</v>
      </c>
      <c r="K462">
        <v>45308.674560185187</v>
      </c>
      <c r="L462">
        <v>500</v>
      </c>
      <c r="O462">
        <v>10</v>
      </c>
      <c r="P462">
        <v>12</v>
      </c>
      <c r="Q462">
        <v>0</v>
      </c>
    </row>
    <row r="463" spans="2:17" x14ac:dyDescent="0.25">
      <c r="B463" t="s">
        <v>314</v>
      </c>
      <c r="C463" t="s">
        <v>472</v>
      </c>
      <c r="D463" t="s">
        <v>526</v>
      </c>
      <c r="E463">
        <v>60</v>
      </c>
      <c r="F463" t="s">
        <v>137</v>
      </c>
      <c r="G463" t="s">
        <v>138</v>
      </c>
      <c r="H463" t="s">
        <v>139</v>
      </c>
      <c r="I463" t="s">
        <v>140</v>
      </c>
      <c r="J463">
        <v>0</v>
      </c>
      <c r="K463">
        <v>45308.674895833334</v>
      </c>
      <c r="L463">
        <v>1358</v>
      </c>
      <c r="O463">
        <v>10</v>
      </c>
      <c r="P463">
        <v>6</v>
      </c>
      <c r="Q463">
        <v>0</v>
      </c>
    </row>
    <row r="464" spans="2:17" x14ac:dyDescent="0.25">
      <c r="B464" t="s">
        <v>314</v>
      </c>
      <c r="C464" t="s">
        <v>472</v>
      </c>
      <c r="D464" t="s">
        <v>526</v>
      </c>
      <c r="E464">
        <v>60</v>
      </c>
      <c r="F464" t="s">
        <v>137</v>
      </c>
      <c r="G464" t="s">
        <v>141</v>
      </c>
      <c r="H464" t="s">
        <v>142</v>
      </c>
      <c r="I464" t="s">
        <v>140</v>
      </c>
      <c r="J464">
        <v>0</v>
      </c>
      <c r="K464">
        <v>45308.675185185188</v>
      </c>
      <c r="L464">
        <v>6497</v>
      </c>
      <c r="O464">
        <v>10</v>
      </c>
      <c r="P464">
        <v>6</v>
      </c>
      <c r="Q464">
        <v>0</v>
      </c>
    </row>
    <row r="465" spans="2:17" x14ac:dyDescent="0.25">
      <c r="B465" t="s">
        <v>314</v>
      </c>
      <c r="C465" t="s">
        <v>357</v>
      </c>
      <c r="D465" t="s">
        <v>527</v>
      </c>
      <c r="E465">
        <v>120</v>
      </c>
      <c r="F465" t="s">
        <v>145</v>
      </c>
      <c r="G465" t="s">
        <v>150</v>
      </c>
      <c r="H465" t="s">
        <v>147</v>
      </c>
      <c r="I465" t="s">
        <v>148</v>
      </c>
      <c r="J465">
        <v>0</v>
      </c>
      <c r="K465">
        <v>45308.678113425929</v>
      </c>
      <c r="L465">
        <v>3098</v>
      </c>
      <c r="O465">
        <v>144</v>
      </c>
      <c r="P465">
        <v>0</v>
      </c>
      <c r="Q465">
        <v>120</v>
      </c>
    </row>
    <row r="466" spans="2:17" x14ac:dyDescent="0.25">
      <c r="B466" t="s">
        <v>314</v>
      </c>
      <c r="C466" t="s">
        <v>361</v>
      </c>
      <c r="D466" t="s">
        <v>528</v>
      </c>
      <c r="E466">
        <v>6000</v>
      </c>
      <c r="F466" t="s">
        <v>68</v>
      </c>
      <c r="G466" t="s">
        <v>117</v>
      </c>
      <c r="H466" t="s">
        <v>118</v>
      </c>
      <c r="I466" t="s">
        <v>115</v>
      </c>
      <c r="J466">
        <v>0</v>
      </c>
      <c r="K466">
        <v>45308.678182870368</v>
      </c>
      <c r="L466">
        <v>8000</v>
      </c>
      <c r="O466">
        <v>1200</v>
      </c>
      <c r="P466">
        <v>5</v>
      </c>
      <c r="Q466">
        <v>0</v>
      </c>
    </row>
    <row r="467" spans="2:17" x14ac:dyDescent="0.25">
      <c r="B467" t="s">
        <v>314</v>
      </c>
      <c r="C467" t="s">
        <v>502</v>
      </c>
      <c r="D467" t="s">
        <v>529</v>
      </c>
      <c r="E467">
        <v>12000</v>
      </c>
      <c r="F467" t="s">
        <v>68</v>
      </c>
      <c r="G467" t="s">
        <v>113</v>
      </c>
      <c r="H467" t="s">
        <v>114</v>
      </c>
      <c r="I467" t="s">
        <v>115</v>
      </c>
      <c r="J467">
        <v>0</v>
      </c>
      <c r="K467">
        <v>45308.67900462963</v>
      </c>
      <c r="L467">
        <v>121800</v>
      </c>
      <c r="O467">
        <v>2400</v>
      </c>
      <c r="P467">
        <v>5</v>
      </c>
      <c r="Q467">
        <v>0</v>
      </c>
    </row>
    <row r="468" spans="2:17" x14ac:dyDescent="0.25">
      <c r="B468" t="s">
        <v>169</v>
      </c>
      <c r="C468" t="s">
        <v>530</v>
      </c>
      <c r="D468" t="s">
        <v>531</v>
      </c>
      <c r="E468">
        <v>400</v>
      </c>
      <c r="F468" t="s">
        <v>68</v>
      </c>
      <c r="G468" t="s">
        <v>129</v>
      </c>
      <c r="H468" t="s">
        <v>130</v>
      </c>
      <c r="I468" t="s">
        <v>115</v>
      </c>
      <c r="J468">
        <v>0</v>
      </c>
      <c r="K468">
        <v>45310.436712962961</v>
      </c>
      <c r="L468">
        <v>29200</v>
      </c>
      <c r="O468">
        <v>2400</v>
      </c>
      <c r="P468">
        <v>0</v>
      </c>
      <c r="Q468">
        <v>400</v>
      </c>
    </row>
    <row r="469" spans="2:17" x14ac:dyDescent="0.25">
      <c r="B469" t="s">
        <v>169</v>
      </c>
      <c r="C469" t="s">
        <v>530</v>
      </c>
      <c r="D469" t="s">
        <v>531</v>
      </c>
      <c r="E469">
        <v>200</v>
      </c>
      <c r="F469" t="s">
        <v>68</v>
      </c>
      <c r="G469" t="s">
        <v>123</v>
      </c>
      <c r="H469" t="s">
        <v>124</v>
      </c>
      <c r="I469" t="s">
        <v>115</v>
      </c>
      <c r="J469">
        <v>0</v>
      </c>
      <c r="K469">
        <v>45310.436828703707</v>
      </c>
      <c r="L469">
        <v>4200</v>
      </c>
      <c r="O469">
        <v>3000</v>
      </c>
      <c r="P469">
        <v>0</v>
      </c>
      <c r="Q469">
        <v>200</v>
      </c>
    </row>
    <row r="470" spans="2:17" x14ac:dyDescent="0.25">
      <c r="B470" t="s">
        <v>169</v>
      </c>
      <c r="C470" t="s">
        <v>530</v>
      </c>
      <c r="D470" t="s">
        <v>531</v>
      </c>
      <c r="E470">
        <v>400</v>
      </c>
      <c r="F470" t="s">
        <v>68</v>
      </c>
      <c r="G470" t="s">
        <v>127</v>
      </c>
      <c r="H470" t="s">
        <v>128</v>
      </c>
      <c r="I470" t="s">
        <v>115</v>
      </c>
      <c r="J470">
        <v>0</v>
      </c>
      <c r="K470">
        <v>45310.436898148146</v>
      </c>
      <c r="L470">
        <v>5000</v>
      </c>
      <c r="O470">
        <v>3000</v>
      </c>
      <c r="P470">
        <v>0</v>
      </c>
      <c r="Q470">
        <v>400</v>
      </c>
    </row>
    <row r="471" spans="2:17" x14ac:dyDescent="0.25">
      <c r="B471" t="s">
        <v>169</v>
      </c>
      <c r="C471" t="s">
        <v>530</v>
      </c>
      <c r="D471" t="s">
        <v>531</v>
      </c>
      <c r="E471">
        <v>5500</v>
      </c>
      <c r="F471" t="s">
        <v>68</v>
      </c>
      <c r="G471" t="s">
        <v>131</v>
      </c>
      <c r="H471" t="s">
        <v>132</v>
      </c>
      <c r="I471" t="s">
        <v>115</v>
      </c>
      <c r="J471">
        <v>0</v>
      </c>
      <c r="K471">
        <v>45310.437013888892</v>
      </c>
      <c r="L471">
        <v>3700</v>
      </c>
      <c r="O471">
        <v>3000</v>
      </c>
      <c r="P471">
        <v>1</v>
      </c>
      <c r="Q471">
        <v>2500</v>
      </c>
    </row>
    <row r="472" spans="2:17" x14ac:dyDescent="0.25">
      <c r="B472" t="s">
        <v>532</v>
      </c>
      <c r="C472" t="s">
        <v>533</v>
      </c>
      <c r="D472" t="s">
        <v>534</v>
      </c>
      <c r="E472">
        <v>600</v>
      </c>
      <c r="F472" t="s">
        <v>137</v>
      </c>
      <c r="G472" t="s">
        <v>143</v>
      </c>
      <c r="H472" t="s">
        <v>144</v>
      </c>
      <c r="I472" t="s">
        <v>140</v>
      </c>
      <c r="J472">
        <v>1</v>
      </c>
      <c r="K472">
        <v>45310.577164351853</v>
      </c>
      <c r="L472">
        <v>1100</v>
      </c>
      <c r="M472" t="s">
        <v>535</v>
      </c>
      <c r="O472">
        <v>10</v>
      </c>
      <c r="P472">
        <v>60</v>
      </c>
      <c r="Q472">
        <v>0</v>
      </c>
    </row>
    <row r="473" spans="2:17" x14ac:dyDescent="0.25">
      <c r="B473" t="s">
        <v>532</v>
      </c>
      <c r="C473" t="s">
        <v>533</v>
      </c>
      <c r="D473" t="s">
        <v>534</v>
      </c>
      <c r="E473">
        <v>1440</v>
      </c>
      <c r="F473" t="s">
        <v>145</v>
      </c>
      <c r="G473" t="s">
        <v>149</v>
      </c>
      <c r="H473" t="s">
        <v>147</v>
      </c>
      <c r="I473" t="s">
        <v>148</v>
      </c>
      <c r="J473">
        <v>1</v>
      </c>
      <c r="K473">
        <v>45310.577997685185</v>
      </c>
      <c r="L473">
        <v>4368</v>
      </c>
      <c r="M473" t="s">
        <v>535</v>
      </c>
      <c r="O473">
        <v>144</v>
      </c>
      <c r="P473">
        <v>10</v>
      </c>
      <c r="Q473">
        <v>0</v>
      </c>
    </row>
    <row r="474" spans="2:17" x14ac:dyDescent="0.25">
      <c r="B474" t="s">
        <v>532</v>
      </c>
      <c r="C474" t="s">
        <v>533</v>
      </c>
      <c r="D474" t="s">
        <v>534</v>
      </c>
      <c r="E474">
        <v>720</v>
      </c>
      <c r="F474" t="s">
        <v>145</v>
      </c>
      <c r="G474" t="s">
        <v>146</v>
      </c>
      <c r="H474" t="s">
        <v>147</v>
      </c>
      <c r="I474" t="s">
        <v>148</v>
      </c>
      <c r="J474">
        <v>1</v>
      </c>
      <c r="K474">
        <v>45310.578287037039</v>
      </c>
      <c r="L474">
        <v>720</v>
      </c>
      <c r="M474" t="s">
        <v>535</v>
      </c>
      <c r="O474">
        <v>144</v>
      </c>
      <c r="P474">
        <v>5</v>
      </c>
      <c r="Q474">
        <v>0</v>
      </c>
    </row>
    <row r="475" spans="2:17" x14ac:dyDescent="0.25">
      <c r="B475" t="s">
        <v>169</v>
      </c>
      <c r="C475" t="s">
        <v>536</v>
      </c>
      <c r="D475" t="s">
        <v>537</v>
      </c>
      <c r="E475">
        <v>10</v>
      </c>
      <c r="F475" t="s">
        <v>68</v>
      </c>
      <c r="G475" t="s">
        <v>772</v>
      </c>
      <c r="H475" t="s">
        <v>160</v>
      </c>
      <c r="I475" t="s">
        <v>154</v>
      </c>
      <c r="J475">
        <v>0</v>
      </c>
      <c r="K475">
        <v>45310.579756944448</v>
      </c>
      <c r="L475">
        <v>199</v>
      </c>
      <c r="O475">
        <v>4</v>
      </c>
      <c r="P475">
        <v>2</v>
      </c>
      <c r="Q475">
        <v>2</v>
      </c>
    </row>
    <row r="476" spans="2:17" x14ac:dyDescent="0.25">
      <c r="B476" t="s">
        <v>169</v>
      </c>
      <c r="C476" t="s">
        <v>536</v>
      </c>
      <c r="D476" t="s">
        <v>538</v>
      </c>
      <c r="E476">
        <v>500</v>
      </c>
      <c r="F476" t="s">
        <v>145</v>
      </c>
      <c r="G476" t="s">
        <v>151</v>
      </c>
      <c r="H476" t="s">
        <v>147</v>
      </c>
      <c r="I476" t="s">
        <v>148</v>
      </c>
      <c r="J476">
        <v>0</v>
      </c>
      <c r="K476">
        <v>45310.581377314818</v>
      </c>
      <c r="L476">
        <v>860</v>
      </c>
      <c r="O476">
        <v>144</v>
      </c>
      <c r="P476">
        <v>3</v>
      </c>
      <c r="Q476">
        <v>68.000000000000014</v>
      </c>
    </row>
    <row r="477" spans="2:17" x14ac:dyDescent="0.25">
      <c r="B477" t="s">
        <v>169</v>
      </c>
      <c r="C477" t="s">
        <v>536</v>
      </c>
      <c r="D477" t="s">
        <v>538</v>
      </c>
      <c r="E477">
        <v>150</v>
      </c>
      <c r="F477" t="s">
        <v>68</v>
      </c>
      <c r="G477" t="s">
        <v>161</v>
      </c>
      <c r="H477" t="s">
        <v>162</v>
      </c>
      <c r="I477" t="s">
        <v>115</v>
      </c>
      <c r="J477">
        <v>0</v>
      </c>
      <c r="K477">
        <v>45310.58148148148</v>
      </c>
      <c r="L477">
        <v>1306</v>
      </c>
      <c r="O477">
        <v>200</v>
      </c>
      <c r="P477">
        <v>0</v>
      </c>
      <c r="Q477">
        <v>150</v>
      </c>
    </row>
    <row r="478" spans="2:17" x14ac:dyDescent="0.25">
      <c r="B478" t="s">
        <v>169</v>
      </c>
      <c r="C478" t="s">
        <v>380</v>
      </c>
      <c r="D478" t="s">
        <v>539</v>
      </c>
      <c r="E478">
        <v>1600</v>
      </c>
      <c r="F478" t="s">
        <v>68</v>
      </c>
      <c r="G478" t="s">
        <v>181</v>
      </c>
      <c r="H478" t="s">
        <v>182</v>
      </c>
      <c r="I478" t="s">
        <v>115</v>
      </c>
      <c r="J478">
        <v>0</v>
      </c>
      <c r="K478">
        <v>45310.582175925927</v>
      </c>
      <c r="L478">
        <v>25400</v>
      </c>
      <c r="O478">
        <v>2400</v>
      </c>
      <c r="P478">
        <v>0</v>
      </c>
      <c r="Q478">
        <v>1600</v>
      </c>
    </row>
    <row r="479" spans="2:17" x14ac:dyDescent="0.25">
      <c r="B479" t="s">
        <v>169</v>
      </c>
      <c r="C479" t="s">
        <v>385</v>
      </c>
      <c r="D479" t="s">
        <v>540</v>
      </c>
      <c r="E479">
        <v>5600</v>
      </c>
      <c r="F479" t="s">
        <v>68</v>
      </c>
      <c r="G479" t="s">
        <v>133</v>
      </c>
      <c r="H479" t="s">
        <v>134</v>
      </c>
      <c r="I479" t="s">
        <v>115</v>
      </c>
      <c r="J479">
        <v>0</v>
      </c>
      <c r="K479">
        <v>45310.583067129628</v>
      </c>
      <c r="L479">
        <v>173700</v>
      </c>
      <c r="O479">
        <v>2400</v>
      </c>
      <c r="P479">
        <v>2</v>
      </c>
      <c r="Q479">
        <v>800.00000000000034</v>
      </c>
    </row>
    <row r="480" spans="2:17" x14ac:dyDescent="0.25">
      <c r="B480" t="s">
        <v>169</v>
      </c>
      <c r="C480" t="s">
        <v>411</v>
      </c>
      <c r="D480" t="s">
        <v>541</v>
      </c>
      <c r="E480">
        <v>10</v>
      </c>
      <c r="F480" t="s">
        <v>68</v>
      </c>
      <c r="G480" t="s">
        <v>772</v>
      </c>
      <c r="H480" t="s">
        <v>160</v>
      </c>
      <c r="I480" t="s">
        <v>154</v>
      </c>
      <c r="J480">
        <v>0</v>
      </c>
      <c r="K480">
        <v>45310.584201388891</v>
      </c>
      <c r="L480">
        <v>189</v>
      </c>
      <c r="O480">
        <v>4</v>
      </c>
      <c r="P480">
        <v>2</v>
      </c>
      <c r="Q480">
        <v>2</v>
      </c>
    </row>
    <row r="481" spans="2:17" x14ac:dyDescent="0.25">
      <c r="B481" t="s">
        <v>169</v>
      </c>
      <c r="C481" t="s">
        <v>255</v>
      </c>
      <c r="D481" t="s">
        <v>542</v>
      </c>
      <c r="E481">
        <v>700</v>
      </c>
      <c r="F481" t="s">
        <v>68</v>
      </c>
      <c r="G481" t="s">
        <v>420</v>
      </c>
      <c r="H481" t="s">
        <v>159</v>
      </c>
      <c r="I481" t="s">
        <v>154</v>
      </c>
      <c r="J481">
        <v>0</v>
      </c>
      <c r="K481">
        <v>45310.58494212963</v>
      </c>
      <c r="L481">
        <v>5120</v>
      </c>
      <c r="O481">
        <v>60</v>
      </c>
      <c r="P481">
        <v>11</v>
      </c>
      <c r="Q481">
        <v>39.999999999999964</v>
      </c>
    </row>
    <row r="482" spans="2:17" x14ac:dyDescent="0.25">
      <c r="B482" t="s">
        <v>314</v>
      </c>
      <c r="C482" t="s">
        <v>543</v>
      </c>
      <c r="D482" t="s">
        <v>544</v>
      </c>
      <c r="E482" t="s">
        <v>188</v>
      </c>
      <c r="F482" t="s">
        <v>145</v>
      </c>
      <c r="G482" t="s">
        <v>62</v>
      </c>
      <c r="H482" t="s">
        <v>219</v>
      </c>
      <c r="I482" t="s">
        <v>220</v>
      </c>
      <c r="J482">
        <v>0</v>
      </c>
      <c r="K482">
        <v>45313.497696759259</v>
      </c>
      <c r="L482">
        <v>9</v>
      </c>
      <c r="O482">
        <v>1</v>
      </c>
      <c r="P482">
        <v>10</v>
      </c>
      <c r="Q482">
        <v>0</v>
      </c>
    </row>
    <row r="483" spans="2:17" x14ac:dyDescent="0.25">
      <c r="B483" t="s">
        <v>314</v>
      </c>
      <c r="C483" t="s">
        <v>543</v>
      </c>
      <c r="D483" t="s">
        <v>544</v>
      </c>
      <c r="E483" t="s">
        <v>188</v>
      </c>
      <c r="F483" t="s">
        <v>145</v>
      </c>
      <c r="G483" t="s">
        <v>238</v>
      </c>
      <c r="H483" t="s">
        <v>219</v>
      </c>
      <c r="I483" t="s">
        <v>220</v>
      </c>
      <c r="J483">
        <v>0</v>
      </c>
      <c r="K483">
        <v>45313.497766203705</v>
      </c>
      <c r="L483">
        <v>30</v>
      </c>
      <c r="O483">
        <v>1</v>
      </c>
      <c r="P483">
        <v>10</v>
      </c>
      <c r="Q483">
        <v>0</v>
      </c>
    </row>
    <row r="484" spans="2:17" x14ac:dyDescent="0.25">
      <c r="B484" t="s">
        <v>314</v>
      </c>
      <c r="C484" t="s">
        <v>543</v>
      </c>
      <c r="D484" t="s">
        <v>544</v>
      </c>
      <c r="E484" t="s">
        <v>812</v>
      </c>
      <c r="F484" t="s">
        <v>145</v>
      </c>
      <c r="G484" t="s">
        <v>408</v>
      </c>
      <c r="H484" t="s">
        <v>219</v>
      </c>
      <c r="I484" t="s">
        <v>220</v>
      </c>
      <c r="J484">
        <v>0</v>
      </c>
      <c r="K484">
        <v>45313.497858796298</v>
      </c>
      <c r="L484">
        <v>36</v>
      </c>
      <c r="O484">
        <v>1</v>
      </c>
      <c r="P484">
        <v>15</v>
      </c>
      <c r="Q484">
        <v>0</v>
      </c>
    </row>
    <row r="485" spans="2:17" x14ac:dyDescent="0.25">
      <c r="B485" t="s">
        <v>314</v>
      </c>
      <c r="C485" t="s">
        <v>543</v>
      </c>
      <c r="D485" t="s">
        <v>544</v>
      </c>
      <c r="E485" t="s">
        <v>813</v>
      </c>
      <c r="F485" t="s">
        <v>145</v>
      </c>
      <c r="G485" t="s">
        <v>64</v>
      </c>
      <c r="H485" t="s">
        <v>219</v>
      </c>
      <c r="I485" t="s">
        <v>220</v>
      </c>
      <c r="J485">
        <v>0</v>
      </c>
      <c r="K485">
        <v>45313.497916666667</v>
      </c>
      <c r="L485">
        <v>0</v>
      </c>
      <c r="O485">
        <v>1</v>
      </c>
      <c r="P485">
        <v>14</v>
      </c>
      <c r="Q485">
        <v>0</v>
      </c>
    </row>
    <row r="486" spans="2:17" x14ac:dyDescent="0.25">
      <c r="B486" t="s">
        <v>314</v>
      </c>
      <c r="C486" t="s">
        <v>543</v>
      </c>
      <c r="D486" t="s">
        <v>544</v>
      </c>
      <c r="E486" t="s">
        <v>812</v>
      </c>
      <c r="F486" t="s">
        <v>145</v>
      </c>
      <c r="G486" t="s">
        <v>228</v>
      </c>
      <c r="H486" t="s">
        <v>219</v>
      </c>
      <c r="I486" t="s">
        <v>220</v>
      </c>
      <c r="J486">
        <v>0</v>
      </c>
      <c r="K486">
        <v>45313.497986111113</v>
      </c>
      <c r="L486">
        <v>45</v>
      </c>
      <c r="O486">
        <v>1</v>
      </c>
      <c r="P486">
        <v>15</v>
      </c>
      <c r="Q486">
        <v>0</v>
      </c>
    </row>
    <row r="487" spans="2:17" x14ac:dyDescent="0.25">
      <c r="B487" t="s">
        <v>314</v>
      </c>
      <c r="C487" t="s">
        <v>543</v>
      </c>
      <c r="D487" t="s">
        <v>544</v>
      </c>
      <c r="E487" t="s">
        <v>814</v>
      </c>
      <c r="F487" t="s">
        <v>145</v>
      </c>
      <c r="G487" t="s">
        <v>229</v>
      </c>
      <c r="H487" t="s">
        <v>219</v>
      </c>
      <c r="I487" t="s">
        <v>220</v>
      </c>
      <c r="J487">
        <v>0</v>
      </c>
      <c r="K487">
        <v>45313.498020833336</v>
      </c>
      <c r="L487">
        <v>37</v>
      </c>
      <c r="O487">
        <v>1</v>
      </c>
      <c r="P487">
        <v>5</v>
      </c>
      <c r="Q487">
        <v>0</v>
      </c>
    </row>
    <row r="488" spans="2:17" x14ac:dyDescent="0.25">
      <c r="B488" t="s">
        <v>314</v>
      </c>
      <c r="C488" t="s">
        <v>543</v>
      </c>
      <c r="D488" t="s">
        <v>544</v>
      </c>
      <c r="E488" t="s">
        <v>814</v>
      </c>
      <c r="F488" t="s">
        <v>145</v>
      </c>
      <c r="G488" t="s">
        <v>65</v>
      </c>
      <c r="H488" t="s">
        <v>219</v>
      </c>
      <c r="I488" t="s">
        <v>220</v>
      </c>
      <c r="J488">
        <v>0</v>
      </c>
      <c r="K488">
        <v>45313.498055555552</v>
      </c>
      <c r="L488">
        <v>3</v>
      </c>
      <c r="O488">
        <v>1</v>
      </c>
      <c r="P488">
        <v>5</v>
      </c>
      <c r="Q488">
        <v>0</v>
      </c>
    </row>
    <row r="489" spans="2:17" x14ac:dyDescent="0.25">
      <c r="B489" t="s">
        <v>314</v>
      </c>
      <c r="C489" t="s">
        <v>543</v>
      </c>
      <c r="D489" t="s">
        <v>544</v>
      </c>
      <c r="E489" t="s">
        <v>814</v>
      </c>
      <c r="F489" t="s">
        <v>145</v>
      </c>
      <c r="G489" t="s">
        <v>230</v>
      </c>
      <c r="H489" t="s">
        <v>219</v>
      </c>
      <c r="I489" t="s">
        <v>220</v>
      </c>
      <c r="J489">
        <v>0</v>
      </c>
      <c r="K489">
        <v>45313.498090277775</v>
      </c>
      <c r="L489">
        <v>22</v>
      </c>
      <c r="O489">
        <v>1</v>
      </c>
      <c r="P489">
        <v>5</v>
      </c>
      <c r="Q489">
        <v>0</v>
      </c>
    </row>
    <row r="490" spans="2:17" x14ac:dyDescent="0.25">
      <c r="B490" t="s">
        <v>314</v>
      </c>
      <c r="C490" t="s">
        <v>543</v>
      </c>
      <c r="D490" t="s">
        <v>544</v>
      </c>
      <c r="E490" t="s">
        <v>815</v>
      </c>
      <c r="F490" t="s">
        <v>145</v>
      </c>
      <c r="G490" t="s">
        <v>63</v>
      </c>
      <c r="H490" t="s">
        <v>219</v>
      </c>
      <c r="I490" t="s">
        <v>220</v>
      </c>
      <c r="J490">
        <v>0</v>
      </c>
      <c r="K490">
        <v>45313.498124999998</v>
      </c>
      <c r="L490">
        <v>0</v>
      </c>
      <c r="O490">
        <v>1</v>
      </c>
      <c r="P490">
        <v>2</v>
      </c>
      <c r="Q490">
        <v>0</v>
      </c>
    </row>
    <row r="491" spans="2:17" x14ac:dyDescent="0.25">
      <c r="B491" t="s">
        <v>169</v>
      </c>
      <c r="C491" t="s">
        <v>385</v>
      </c>
      <c r="D491" t="s">
        <v>545</v>
      </c>
      <c r="E491">
        <v>1200</v>
      </c>
      <c r="F491" t="s">
        <v>68</v>
      </c>
      <c r="G491" t="s">
        <v>212</v>
      </c>
      <c r="H491" t="s">
        <v>213</v>
      </c>
      <c r="I491" t="s">
        <v>154</v>
      </c>
      <c r="J491">
        <v>0</v>
      </c>
      <c r="K491">
        <v>45313.501574074071</v>
      </c>
      <c r="L491">
        <v>7760</v>
      </c>
      <c r="O491">
        <v>100</v>
      </c>
      <c r="P491">
        <v>12</v>
      </c>
      <c r="Q491">
        <v>0</v>
      </c>
    </row>
    <row r="492" spans="2:17" x14ac:dyDescent="0.25">
      <c r="B492" t="s">
        <v>169</v>
      </c>
      <c r="C492" t="s">
        <v>411</v>
      </c>
      <c r="D492" t="s">
        <v>546</v>
      </c>
      <c r="E492">
        <v>10</v>
      </c>
      <c r="F492" t="s">
        <v>68</v>
      </c>
      <c r="G492" t="s">
        <v>772</v>
      </c>
      <c r="H492" t="s">
        <v>160</v>
      </c>
      <c r="I492" t="s">
        <v>154</v>
      </c>
      <c r="J492">
        <v>0</v>
      </c>
      <c r="K492">
        <v>45313.501886574071</v>
      </c>
      <c r="L492">
        <v>179</v>
      </c>
      <c r="O492">
        <v>4</v>
      </c>
      <c r="P492">
        <v>2</v>
      </c>
      <c r="Q492">
        <v>2</v>
      </c>
    </row>
    <row r="493" spans="2:17" x14ac:dyDescent="0.25">
      <c r="B493" t="s">
        <v>169</v>
      </c>
      <c r="C493" t="s">
        <v>254</v>
      </c>
      <c r="D493" t="s">
        <v>547</v>
      </c>
      <c r="E493">
        <v>1000</v>
      </c>
      <c r="F493" t="s">
        <v>68</v>
      </c>
      <c r="G493" t="s">
        <v>174</v>
      </c>
      <c r="H493" t="s">
        <v>175</v>
      </c>
      <c r="I493" t="s">
        <v>176</v>
      </c>
      <c r="J493">
        <v>0</v>
      </c>
      <c r="K493">
        <v>45313.501956018517</v>
      </c>
      <c r="L493">
        <v>2000</v>
      </c>
      <c r="O493">
        <v>300</v>
      </c>
      <c r="P493">
        <v>3</v>
      </c>
      <c r="Q493">
        <v>100.00000000000004</v>
      </c>
    </row>
    <row r="494" spans="2:17" x14ac:dyDescent="0.25">
      <c r="B494" t="s">
        <v>169</v>
      </c>
      <c r="C494" t="s">
        <v>380</v>
      </c>
      <c r="D494" t="s">
        <v>548</v>
      </c>
      <c r="E494">
        <v>1600</v>
      </c>
      <c r="F494" t="s">
        <v>68</v>
      </c>
      <c r="G494" t="s">
        <v>181</v>
      </c>
      <c r="H494" t="s">
        <v>182</v>
      </c>
      <c r="I494" t="s">
        <v>115</v>
      </c>
      <c r="J494">
        <v>0</v>
      </c>
      <c r="K494">
        <v>45313.50199074074</v>
      </c>
      <c r="L494">
        <v>23800</v>
      </c>
      <c r="O494">
        <v>2400</v>
      </c>
      <c r="P494">
        <v>0</v>
      </c>
      <c r="Q494">
        <v>1600</v>
      </c>
    </row>
    <row r="495" spans="2:17" x14ac:dyDescent="0.25">
      <c r="B495" t="s">
        <v>169</v>
      </c>
      <c r="C495" t="s">
        <v>255</v>
      </c>
      <c r="D495" t="s">
        <v>549</v>
      </c>
      <c r="E495">
        <v>200</v>
      </c>
      <c r="F495" t="s">
        <v>68</v>
      </c>
      <c r="G495" t="s">
        <v>177</v>
      </c>
      <c r="H495" t="s">
        <v>178</v>
      </c>
      <c r="J495">
        <v>0</v>
      </c>
      <c r="K495">
        <v>45313.502060185187</v>
      </c>
      <c r="L495">
        <v>335</v>
      </c>
      <c r="O495">
        <v>4</v>
      </c>
      <c r="P495">
        <v>50</v>
      </c>
      <c r="Q495">
        <v>0</v>
      </c>
    </row>
    <row r="496" spans="2:17" x14ac:dyDescent="0.25">
      <c r="B496" t="s">
        <v>169</v>
      </c>
      <c r="C496" t="s">
        <v>255</v>
      </c>
      <c r="D496" t="s">
        <v>549</v>
      </c>
      <c r="E496">
        <v>34</v>
      </c>
      <c r="F496" t="s">
        <v>137</v>
      </c>
      <c r="G496" t="s">
        <v>141</v>
      </c>
      <c r="H496" t="s">
        <v>142</v>
      </c>
      <c r="I496" t="s">
        <v>140</v>
      </c>
      <c r="J496">
        <v>0</v>
      </c>
      <c r="K496">
        <v>45313.502106481479</v>
      </c>
      <c r="L496">
        <v>6463</v>
      </c>
      <c r="O496">
        <v>10</v>
      </c>
      <c r="P496">
        <v>3</v>
      </c>
      <c r="Q496">
        <v>3.9999999999999991</v>
      </c>
    </row>
    <row r="497" spans="2:17" x14ac:dyDescent="0.25">
      <c r="B497" t="s">
        <v>550</v>
      </c>
      <c r="C497" t="s">
        <v>116</v>
      </c>
      <c r="D497" t="s">
        <v>116</v>
      </c>
      <c r="E497" t="s">
        <v>551</v>
      </c>
      <c r="F497" t="s">
        <v>68</v>
      </c>
      <c r="G497" t="s">
        <v>156</v>
      </c>
      <c r="H497" t="s">
        <v>157</v>
      </c>
      <c r="I497" t="s">
        <v>154</v>
      </c>
      <c r="J497">
        <v>1</v>
      </c>
      <c r="K497">
        <v>45313.737708333334</v>
      </c>
      <c r="L497">
        <v>47220</v>
      </c>
      <c r="M497" t="s">
        <v>552</v>
      </c>
      <c r="O497">
        <v>440</v>
      </c>
      <c r="P497">
        <v>56</v>
      </c>
      <c r="Q497">
        <v>360.00000000000085</v>
      </c>
    </row>
    <row r="498" spans="2:17" x14ac:dyDescent="0.25">
      <c r="B498" t="s">
        <v>314</v>
      </c>
      <c r="C498" t="s">
        <v>357</v>
      </c>
      <c r="D498" t="s">
        <v>553</v>
      </c>
      <c r="E498">
        <v>600</v>
      </c>
      <c r="F498" t="s">
        <v>145</v>
      </c>
      <c r="G498" t="s">
        <v>150</v>
      </c>
      <c r="H498" t="s">
        <v>147</v>
      </c>
      <c r="I498" t="s">
        <v>148</v>
      </c>
      <c r="J498">
        <v>0</v>
      </c>
      <c r="K498">
        <v>45314.640856481485</v>
      </c>
      <c r="L498">
        <v>2498</v>
      </c>
      <c r="O498">
        <v>144</v>
      </c>
      <c r="P498">
        <v>4</v>
      </c>
      <c r="Q498">
        <v>24.000000000000043</v>
      </c>
    </row>
    <row r="499" spans="2:17" x14ac:dyDescent="0.25">
      <c r="B499" t="s">
        <v>314</v>
      </c>
      <c r="C499" t="s">
        <v>554</v>
      </c>
      <c r="D499" t="s">
        <v>555</v>
      </c>
      <c r="E499">
        <v>4200</v>
      </c>
      <c r="F499" t="s">
        <v>68</v>
      </c>
      <c r="G499" t="s">
        <v>131</v>
      </c>
      <c r="H499" t="s">
        <v>132</v>
      </c>
      <c r="I499" t="s">
        <v>115</v>
      </c>
      <c r="J499">
        <v>0</v>
      </c>
      <c r="K499">
        <v>45314.642685185187</v>
      </c>
      <c r="L499">
        <v>-500</v>
      </c>
      <c r="O499">
        <v>3000</v>
      </c>
      <c r="P499">
        <v>1</v>
      </c>
      <c r="Q499">
        <v>1199.9999999999998</v>
      </c>
    </row>
    <row r="500" spans="2:17" x14ac:dyDescent="0.25">
      <c r="B500" t="s">
        <v>169</v>
      </c>
      <c r="C500" t="s">
        <v>380</v>
      </c>
      <c r="D500" t="s">
        <v>556</v>
      </c>
      <c r="E500">
        <v>1600</v>
      </c>
      <c r="F500" t="s">
        <v>68</v>
      </c>
      <c r="G500" t="s">
        <v>181</v>
      </c>
      <c r="H500" t="s">
        <v>182</v>
      </c>
      <c r="I500" t="s">
        <v>115</v>
      </c>
      <c r="J500">
        <v>0</v>
      </c>
      <c r="K500">
        <v>45314.64329861111</v>
      </c>
      <c r="L500">
        <v>22200</v>
      </c>
      <c r="O500">
        <v>2400</v>
      </c>
      <c r="P500">
        <v>0</v>
      </c>
      <c r="Q500">
        <v>1600</v>
      </c>
    </row>
    <row r="501" spans="2:17" x14ac:dyDescent="0.25">
      <c r="B501" t="s">
        <v>169</v>
      </c>
      <c r="C501" t="s">
        <v>411</v>
      </c>
      <c r="D501" t="s">
        <v>557</v>
      </c>
      <c r="E501">
        <v>10</v>
      </c>
      <c r="F501" t="s">
        <v>68</v>
      </c>
      <c r="G501" t="s">
        <v>772</v>
      </c>
      <c r="H501" t="s">
        <v>160</v>
      </c>
      <c r="I501" t="s">
        <v>154</v>
      </c>
      <c r="J501">
        <v>0</v>
      </c>
      <c r="K501">
        <v>45314.64371527778</v>
      </c>
      <c r="L501">
        <v>169</v>
      </c>
      <c r="O501">
        <v>4</v>
      </c>
      <c r="P501">
        <v>2</v>
      </c>
      <c r="Q501">
        <v>2</v>
      </c>
    </row>
    <row r="502" spans="2:17" x14ac:dyDescent="0.25">
      <c r="B502" t="s">
        <v>558</v>
      </c>
      <c r="C502" t="s">
        <v>116</v>
      </c>
      <c r="D502" t="s">
        <v>116</v>
      </c>
      <c r="E502">
        <v>15000</v>
      </c>
      <c r="F502" t="s">
        <v>68</v>
      </c>
      <c r="G502" t="s">
        <v>131</v>
      </c>
      <c r="H502" t="s">
        <v>132</v>
      </c>
      <c r="I502" t="s">
        <v>115</v>
      </c>
      <c r="J502">
        <v>1</v>
      </c>
      <c r="K502">
        <v>45314.651909722219</v>
      </c>
      <c r="L502">
        <v>14500</v>
      </c>
      <c r="M502" t="s">
        <v>559</v>
      </c>
      <c r="O502">
        <v>3000</v>
      </c>
      <c r="P502">
        <v>5</v>
      </c>
      <c r="Q502">
        <v>0</v>
      </c>
    </row>
    <row r="503" spans="2:17" x14ac:dyDescent="0.25">
      <c r="B503" t="s">
        <v>558</v>
      </c>
      <c r="C503" t="s">
        <v>116</v>
      </c>
      <c r="D503" t="s">
        <v>116</v>
      </c>
      <c r="E503">
        <v>3000</v>
      </c>
      <c r="F503" t="s">
        <v>68</v>
      </c>
      <c r="G503" t="s">
        <v>120</v>
      </c>
      <c r="H503" t="s">
        <v>121</v>
      </c>
      <c r="I503" t="s">
        <v>115</v>
      </c>
      <c r="J503">
        <v>1</v>
      </c>
      <c r="K503">
        <v>45314.652384259258</v>
      </c>
      <c r="L503">
        <v>4800</v>
      </c>
      <c r="M503" t="s">
        <v>559</v>
      </c>
      <c r="O503">
        <v>2400</v>
      </c>
      <c r="P503">
        <v>1</v>
      </c>
      <c r="Q503">
        <v>600</v>
      </c>
    </row>
    <row r="504" spans="2:17" x14ac:dyDescent="0.25">
      <c r="B504" t="s">
        <v>560</v>
      </c>
      <c r="C504" t="s">
        <v>116</v>
      </c>
      <c r="D504" t="s">
        <v>116</v>
      </c>
      <c r="E504">
        <v>40000</v>
      </c>
      <c r="F504" t="s">
        <v>68</v>
      </c>
      <c r="G504" t="s">
        <v>117</v>
      </c>
      <c r="H504" t="s">
        <v>118</v>
      </c>
      <c r="I504" t="s">
        <v>115</v>
      </c>
      <c r="J504">
        <v>1</v>
      </c>
      <c r="K504">
        <v>45314.65320601852</v>
      </c>
      <c r="L504">
        <v>48000</v>
      </c>
      <c r="M504" t="s">
        <v>559</v>
      </c>
      <c r="O504">
        <v>1200</v>
      </c>
      <c r="P504">
        <v>33</v>
      </c>
      <c r="Q504">
        <v>400.00000000000284</v>
      </c>
    </row>
    <row r="505" spans="2:17" x14ac:dyDescent="0.25">
      <c r="B505" t="s">
        <v>560</v>
      </c>
      <c r="C505" t="s">
        <v>116</v>
      </c>
      <c r="D505" t="s">
        <v>116</v>
      </c>
      <c r="E505">
        <v>10000</v>
      </c>
      <c r="F505" t="s">
        <v>68</v>
      </c>
      <c r="G505" t="s">
        <v>135</v>
      </c>
      <c r="H505" t="s">
        <v>136</v>
      </c>
      <c r="I505" t="s">
        <v>115</v>
      </c>
      <c r="J505">
        <v>1</v>
      </c>
      <c r="K505">
        <v>45314.653599537036</v>
      </c>
      <c r="L505">
        <v>14600</v>
      </c>
      <c r="M505" t="s">
        <v>559</v>
      </c>
      <c r="O505">
        <v>2400</v>
      </c>
      <c r="P505">
        <v>4</v>
      </c>
      <c r="Q505">
        <v>400.00000000000068</v>
      </c>
    </row>
    <row r="506" spans="2:17" x14ac:dyDescent="0.25">
      <c r="B506" t="s">
        <v>169</v>
      </c>
      <c r="C506" t="s">
        <v>411</v>
      </c>
      <c r="D506" t="s">
        <v>557</v>
      </c>
      <c r="E506">
        <v>10</v>
      </c>
      <c r="F506" t="s">
        <v>68</v>
      </c>
      <c r="G506" t="s">
        <v>772</v>
      </c>
      <c r="H506" t="s">
        <v>160</v>
      </c>
      <c r="I506" t="s">
        <v>154</v>
      </c>
      <c r="J506">
        <v>0</v>
      </c>
      <c r="K506">
        <v>45314.714062500003</v>
      </c>
      <c r="L506">
        <v>159</v>
      </c>
      <c r="O506">
        <v>4</v>
      </c>
      <c r="P506">
        <v>2</v>
      </c>
      <c r="Q506">
        <v>2</v>
      </c>
    </row>
    <row r="507" spans="2:17" x14ac:dyDescent="0.25">
      <c r="B507" t="s">
        <v>169</v>
      </c>
      <c r="C507" t="s">
        <v>380</v>
      </c>
      <c r="D507" t="s">
        <v>556</v>
      </c>
      <c r="E507">
        <v>1600</v>
      </c>
      <c r="F507" t="s">
        <v>68</v>
      </c>
      <c r="G507" t="s">
        <v>181</v>
      </c>
      <c r="H507" t="s">
        <v>182</v>
      </c>
      <c r="I507" t="s">
        <v>115</v>
      </c>
      <c r="J507">
        <v>0</v>
      </c>
      <c r="K507">
        <v>45314.71466435185</v>
      </c>
      <c r="L507">
        <v>20600</v>
      </c>
      <c r="O507">
        <v>2400</v>
      </c>
      <c r="P507">
        <v>0</v>
      </c>
      <c r="Q507">
        <v>1600</v>
      </c>
    </row>
    <row r="508" spans="2:17" x14ac:dyDescent="0.25">
      <c r="B508" t="s">
        <v>314</v>
      </c>
      <c r="C508" t="s">
        <v>561</v>
      </c>
      <c r="D508" t="s">
        <v>562</v>
      </c>
      <c r="E508">
        <v>2600</v>
      </c>
      <c r="F508" t="s">
        <v>68</v>
      </c>
      <c r="G508" t="s">
        <v>117</v>
      </c>
      <c r="H508" t="s">
        <v>118</v>
      </c>
      <c r="I508" t="s">
        <v>115</v>
      </c>
      <c r="J508">
        <v>0</v>
      </c>
      <c r="K508">
        <v>45315.643148148149</v>
      </c>
      <c r="L508">
        <v>45400</v>
      </c>
      <c r="O508">
        <v>1200</v>
      </c>
      <c r="P508">
        <v>2</v>
      </c>
      <c r="Q508">
        <v>199.99999999999983</v>
      </c>
    </row>
    <row r="509" spans="2:17" x14ac:dyDescent="0.25">
      <c r="B509" t="s">
        <v>314</v>
      </c>
      <c r="C509" t="s">
        <v>361</v>
      </c>
      <c r="D509" t="s">
        <v>563</v>
      </c>
      <c r="E509">
        <v>17400</v>
      </c>
      <c r="F509" t="s">
        <v>68</v>
      </c>
      <c r="G509" t="s">
        <v>117</v>
      </c>
      <c r="H509" t="s">
        <v>118</v>
      </c>
      <c r="I509" t="s">
        <v>115</v>
      </c>
      <c r="J509">
        <v>0</v>
      </c>
      <c r="K509">
        <v>45315.643784722219</v>
      </c>
      <c r="L509">
        <v>28000</v>
      </c>
      <c r="O509">
        <v>1200</v>
      </c>
      <c r="P509">
        <v>14</v>
      </c>
      <c r="Q509">
        <v>600</v>
      </c>
    </row>
    <row r="510" spans="2:17" x14ac:dyDescent="0.25">
      <c r="B510" t="s">
        <v>314</v>
      </c>
      <c r="C510" t="s">
        <v>258</v>
      </c>
      <c r="D510" t="s">
        <v>564</v>
      </c>
      <c r="E510">
        <v>6</v>
      </c>
      <c r="F510" t="s">
        <v>68</v>
      </c>
      <c r="G510" t="s">
        <v>771</v>
      </c>
      <c r="H510" t="s">
        <v>158</v>
      </c>
      <c r="I510" t="s">
        <v>154</v>
      </c>
      <c r="J510">
        <v>0</v>
      </c>
      <c r="K510">
        <v>45315.644305555557</v>
      </c>
      <c r="L510">
        <v>197</v>
      </c>
      <c r="O510">
        <v>24</v>
      </c>
      <c r="P510">
        <v>0</v>
      </c>
      <c r="Q510">
        <v>6</v>
      </c>
    </row>
    <row r="511" spans="2:17" x14ac:dyDescent="0.25">
      <c r="B511" t="s">
        <v>314</v>
      </c>
      <c r="C511" t="s">
        <v>258</v>
      </c>
      <c r="D511" t="s">
        <v>564</v>
      </c>
      <c r="E511">
        <v>150</v>
      </c>
      <c r="F511" t="s">
        <v>68</v>
      </c>
      <c r="G511" t="s">
        <v>163</v>
      </c>
      <c r="H511" t="s">
        <v>164</v>
      </c>
      <c r="I511" t="s">
        <v>115</v>
      </c>
      <c r="J511">
        <v>0</v>
      </c>
      <c r="K511">
        <v>45315.644560185188</v>
      </c>
      <c r="L511">
        <v>1500</v>
      </c>
      <c r="O511">
        <v>100</v>
      </c>
      <c r="P511">
        <v>1</v>
      </c>
      <c r="Q511">
        <v>50</v>
      </c>
    </row>
    <row r="512" spans="2:17" x14ac:dyDescent="0.25">
      <c r="B512" t="s">
        <v>314</v>
      </c>
      <c r="C512" t="s">
        <v>357</v>
      </c>
      <c r="D512" t="s">
        <v>565</v>
      </c>
      <c r="E512">
        <v>144</v>
      </c>
      <c r="F512" t="s">
        <v>145</v>
      </c>
      <c r="G512" t="s">
        <v>150</v>
      </c>
      <c r="H512" t="s">
        <v>147</v>
      </c>
      <c r="I512" t="s">
        <v>148</v>
      </c>
      <c r="J512">
        <v>0</v>
      </c>
      <c r="K512">
        <v>45315.645069444443</v>
      </c>
      <c r="L512">
        <v>2354</v>
      </c>
      <c r="O512">
        <v>144</v>
      </c>
      <c r="P512">
        <v>1</v>
      </c>
      <c r="Q512">
        <v>0</v>
      </c>
    </row>
    <row r="513" spans="2:17" x14ac:dyDescent="0.25">
      <c r="B513" t="s">
        <v>314</v>
      </c>
      <c r="C513" t="s">
        <v>260</v>
      </c>
      <c r="D513" t="s">
        <v>566</v>
      </c>
      <c r="E513">
        <v>15</v>
      </c>
      <c r="F513" t="s">
        <v>68</v>
      </c>
      <c r="G513" t="s">
        <v>193</v>
      </c>
      <c r="H513" t="s">
        <v>194</v>
      </c>
      <c r="J513">
        <v>0</v>
      </c>
      <c r="K513">
        <v>45315.645555555559</v>
      </c>
      <c r="L513">
        <v>10</v>
      </c>
      <c r="O513">
        <v>36</v>
      </c>
      <c r="P513">
        <v>0</v>
      </c>
      <c r="Q513">
        <v>15</v>
      </c>
    </row>
    <row r="514" spans="2:17" x14ac:dyDescent="0.25">
      <c r="B514" t="s">
        <v>314</v>
      </c>
      <c r="C514" t="s">
        <v>338</v>
      </c>
      <c r="D514" t="s">
        <v>564</v>
      </c>
      <c r="E514">
        <v>2500</v>
      </c>
      <c r="F514" t="s">
        <v>68</v>
      </c>
      <c r="G514" t="s">
        <v>156</v>
      </c>
      <c r="H514" t="s">
        <v>157</v>
      </c>
      <c r="I514" t="s">
        <v>154</v>
      </c>
      <c r="J514">
        <v>0</v>
      </c>
      <c r="K514">
        <v>45315.64603009259</v>
      </c>
      <c r="L514">
        <v>44720</v>
      </c>
      <c r="O514">
        <v>440</v>
      </c>
      <c r="P514">
        <v>5</v>
      </c>
      <c r="Q514">
        <v>299.99999999999994</v>
      </c>
    </row>
    <row r="515" spans="2:17" x14ac:dyDescent="0.25">
      <c r="B515" t="s">
        <v>314</v>
      </c>
      <c r="C515" t="s">
        <v>472</v>
      </c>
      <c r="D515" t="s">
        <v>567</v>
      </c>
      <c r="E515">
        <v>195</v>
      </c>
      <c r="F515" t="s">
        <v>137</v>
      </c>
      <c r="G515" t="s">
        <v>143</v>
      </c>
      <c r="H515" t="s">
        <v>144</v>
      </c>
      <c r="I515" t="s">
        <v>140</v>
      </c>
      <c r="J515">
        <v>0</v>
      </c>
      <c r="K515">
        <v>45315.646527777775</v>
      </c>
      <c r="L515">
        <v>905</v>
      </c>
      <c r="O515">
        <v>10</v>
      </c>
      <c r="P515">
        <v>19</v>
      </c>
      <c r="Q515">
        <v>5</v>
      </c>
    </row>
    <row r="516" spans="2:17" x14ac:dyDescent="0.25">
      <c r="B516" t="s">
        <v>314</v>
      </c>
      <c r="C516" t="s">
        <v>472</v>
      </c>
      <c r="D516" t="s">
        <v>567</v>
      </c>
      <c r="E516">
        <v>98</v>
      </c>
      <c r="F516" t="s">
        <v>137</v>
      </c>
      <c r="G516" t="s">
        <v>138</v>
      </c>
      <c r="H516" t="s">
        <v>139</v>
      </c>
      <c r="I516" t="s">
        <v>140</v>
      </c>
      <c r="J516">
        <v>0</v>
      </c>
      <c r="K516">
        <v>45315.64671296296</v>
      </c>
      <c r="L516">
        <v>1260</v>
      </c>
      <c r="O516">
        <v>10</v>
      </c>
      <c r="P516">
        <v>9</v>
      </c>
      <c r="Q516">
        <v>8.0000000000000071</v>
      </c>
    </row>
    <row r="517" spans="2:17" x14ac:dyDescent="0.25">
      <c r="B517" t="s">
        <v>314</v>
      </c>
      <c r="C517" t="s">
        <v>472</v>
      </c>
      <c r="D517" t="s">
        <v>567</v>
      </c>
      <c r="E517">
        <v>98</v>
      </c>
      <c r="F517" t="s">
        <v>137</v>
      </c>
      <c r="G517" t="s">
        <v>141</v>
      </c>
      <c r="H517" t="s">
        <v>142</v>
      </c>
      <c r="I517" t="s">
        <v>140</v>
      </c>
      <c r="J517">
        <v>0</v>
      </c>
      <c r="K517">
        <v>45315.646909722222</v>
      </c>
      <c r="L517">
        <v>6365</v>
      </c>
      <c r="O517">
        <v>10</v>
      </c>
      <c r="P517">
        <v>9</v>
      </c>
      <c r="Q517">
        <v>8.0000000000000071</v>
      </c>
    </row>
    <row r="518" spans="2:17" x14ac:dyDescent="0.25">
      <c r="B518" t="s">
        <v>314</v>
      </c>
      <c r="C518" t="s">
        <v>497</v>
      </c>
      <c r="D518" t="s">
        <v>568</v>
      </c>
      <c r="E518">
        <v>36</v>
      </c>
      <c r="F518" t="s">
        <v>68</v>
      </c>
      <c r="G518" t="s">
        <v>177</v>
      </c>
      <c r="H518" t="s">
        <v>178</v>
      </c>
      <c r="J518">
        <v>0</v>
      </c>
      <c r="K518">
        <v>45315.647453703707</v>
      </c>
      <c r="L518">
        <v>299</v>
      </c>
      <c r="O518">
        <v>4</v>
      </c>
      <c r="P518">
        <v>9</v>
      </c>
      <c r="Q518">
        <v>0</v>
      </c>
    </row>
    <row r="519" spans="2:17" x14ac:dyDescent="0.25">
      <c r="B519" t="s">
        <v>314</v>
      </c>
      <c r="C519" t="s">
        <v>259</v>
      </c>
      <c r="D519" t="s">
        <v>569</v>
      </c>
      <c r="E519">
        <v>300</v>
      </c>
      <c r="F519" t="s">
        <v>68</v>
      </c>
      <c r="G519" t="s">
        <v>170</v>
      </c>
      <c r="H519" t="s">
        <v>171</v>
      </c>
      <c r="I519" t="s">
        <v>172</v>
      </c>
      <c r="J519">
        <v>0</v>
      </c>
      <c r="K519">
        <v>45315.647893518515</v>
      </c>
      <c r="L519">
        <v>2112</v>
      </c>
      <c r="O519">
        <v>36</v>
      </c>
      <c r="P519">
        <v>8</v>
      </c>
      <c r="Q519">
        <v>12.000000000000021</v>
      </c>
    </row>
    <row r="520" spans="2:17" x14ac:dyDescent="0.25">
      <c r="B520" t="s">
        <v>314</v>
      </c>
      <c r="C520" t="s">
        <v>259</v>
      </c>
      <c r="D520" t="s">
        <v>569</v>
      </c>
      <c r="E520">
        <v>10</v>
      </c>
      <c r="F520" t="s">
        <v>68</v>
      </c>
      <c r="G520" t="s">
        <v>772</v>
      </c>
      <c r="H520" t="s">
        <v>160</v>
      </c>
      <c r="I520" t="s">
        <v>154</v>
      </c>
      <c r="J520">
        <v>0</v>
      </c>
      <c r="K520">
        <v>45315.6481712963</v>
      </c>
      <c r="L520">
        <v>149</v>
      </c>
      <c r="O520">
        <v>4</v>
      </c>
      <c r="P520">
        <v>2</v>
      </c>
      <c r="Q520">
        <v>2</v>
      </c>
    </row>
    <row r="521" spans="2:17" x14ac:dyDescent="0.25">
      <c r="B521" t="s">
        <v>314</v>
      </c>
      <c r="C521" t="s">
        <v>502</v>
      </c>
      <c r="D521" t="s">
        <v>570</v>
      </c>
      <c r="E521">
        <v>12000</v>
      </c>
      <c r="F521" t="s">
        <v>68</v>
      </c>
      <c r="G521" t="s">
        <v>113</v>
      </c>
      <c r="H521" t="s">
        <v>114</v>
      </c>
      <c r="I521" t="s">
        <v>115</v>
      </c>
      <c r="J521">
        <v>0</v>
      </c>
      <c r="K521">
        <v>45315.648645833331</v>
      </c>
      <c r="L521">
        <v>109800</v>
      </c>
      <c r="O521">
        <v>2400</v>
      </c>
      <c r="P521">
        <v>5</v>
      </c>
      <c r="Q521">
        <v>0</v>
      </c>
    </row>
    <row r="522" spans="2:17" x14ac:dyDescent="0.25">
      <c r="B522" t="s">
        <v>314</v>
      </c>
      <c r="C522" t="s">
        <v>422</v>
      </c>
      <c r="D522" t="s">
        <v>571</v>
      </c>
      <c r="E522">
        <v>2</v>
      </c>
      <c r="F522" t="s">
        <v>68</v>
      </c>
      <c r="G522" t="s">
        <v>423</v>
      </c>
      <c r="H522" t="s">
        <v>192</v>
      </c>
      <c r="J522">
        <v>0</v>
      </c>
      <c r="K522">
        <v>45315.649085648147</v>
      </c>
      <c r="L522">
        <v>42</v>
      </c>
      <c r="O522">
        <v>40</v>
      </c>
      <c r="P522">
        <v>0</v>
      </c>
      <c r="Q522">
        <v>2</v>
      </c>
    </row>
    <row r="523" spans="2:17" x14ac:dyDescent="0.25">
      <c r="B523" t="s">
        <v>314</v>
      </c>
      <c r="C523" t="s">
        <v>422</v>
      </c>
      <c r="D523" t="s">
        <v>571</v>
      </c>
      <c r="E523">
        <v>120</v>
      </c>
      <c r="F523" t="s">
        <v>68</v>
      </c>
      <c r="G523" t="s">
        <v>212</v>
      </c>
      <c r="H523" t="s">
        <v>213</v>
      </c>
      <c r="I523" t="s">
        <v>154</v>
      </c>
      <c r="J523">
        <v>0</v>
      </c>
      <c r="K523">
        <v>45315.649363425924</v>
      </c>
      <c r="L523">
        <v>7640</v>
      </c>
      <c r="O523">
        <v>100</v>
      </c>
      <c r="P523">
        <v>1</v>
      </c>
      <c r="Q523">
        <v>19.999999999999996</v>
      </c>
    </row>
    <row r="524" spans="2:17" x14ac:dyDescent="0.25">
      <c r="B524" t="s">
        <v>314</v>
      </c>
      <c r="C524" t="s">
        <v>422</v>
      </c>
      <c r="D524" t="s">
        <v>571</v>
      </c>
      <c r="E524">
        <v>12000</v>
      </c>
      <c r="F524" t="s">
        <v>68</v>
      </c>
      <c r="G524" t="s">
        <v>133</v>
      </c>
      <c r="H524" t="s">
        <v>134</v>
      </c>
      <c r="I524" t="s">
        <v>115</v>
      </c>
      <c r="J524">
        <v>0</v>
      </c>
      <c r="K524">
        <v>45315.649583333332</v>
      </c>
      <c r="L524">
        <v>161700</v>
      </c>
      <c r="O524">
        <v>2400</v>
      </c>
      <c r="P524">
        <v>5</v>
      </c>
      <c r="Q524">
        <v>0</v>
      </c>
    </row>
    <row r="525" spans="2:17" x14ac:dyDescent="0.25">
      <c r="B525" t="s">
        <v>122</v>
      </c>
      <c r="C525" t="s">
        <v>122</v>
      </c>
      <c r="D525" t="s">
        <v>122</v>
      </c>
      <c r="E525" t="s">
        <v>572</v>
      </c>
      <c r="F525" t="s">
        <v>68</v>
      </c>
      <c r="G525" t="s">
        <v>122</v>
      </c>
      <c r="H525" t="s">
        <v>351</v>
      </c>
      <c r="I525" t="s">
        <v>66</v>
      </c>
      <c r="K525">
        <v>45316.37940972222</v>
      </c>
      <c r="O525">
        <v>100</v>
      </c>
      <c r="P525">
        <v>0</v>
      </c>
      <c r="Q525">
        <v>1</v>
      </c>
    </row>
    <row r="526" spans="2:17" x14ac:dyDescent="0.25">
      <c r="B526" t="s">
        <v>169</v>
      </c>
      <c r="C526" t="s">
        <v>303</v>
      </c>
      <c r="D526" t="s">
        <v>573</v>
      </c>
      <c r="E526">
        <v>5600</v>
      </c>
      <c r="F526" t="s">
        <v>68</v>
      </c>
      <c r="G526" t="s">
        <v>133</v>
      </c>
      <c r="H526" t="s">
        <v>134</v>
      </c>
      <c r="I526" t="s">
        <v>115</v>
      </c>
      <c r="J526">
        <v>0</v>
      </c>
      <c r="K526">
        <v>45320.577719907407</v>
      </c>
      <c r="L526">
        <v>156100</v>
      </c>
      <c r="O526">
        <v>2400</v>
      </c>
      <c r="P526">
        <v>2</v>
      </c>
      <c r="Q526">
        <v>800.00000000000034</v>
      </c>
    </row>
    <row r="527" spans="2:17" x14ac:dyDescent="0.25">
      <c r="B527" t="s">
        <v>169</v>
      </c>
      <c r="C527" t="s">
        <v>303</v>
      </c>
      <c r="D527" t="s">
        <v>573</v>
      </c>
      <c r="E527">
        <v>50</v>
      </c>
      <c r="F527" t="s">
        <v>68</v>
      </c>
      <c r="G527" t="s">
        <v>771</v>
      </c>
      <c r="H527" t="s">
        <v>158</v>
      </c>
      <c r="I527" t="s">
        <v>154</v>
      </c>
      <c r="J527">
        <v>0</v>
      </c>
      <c r="K527">
        <v>45320.577928240738</v>
      </c>
      <c r="L527">
        <v>147</v>
      </c>
      <c r="O527">
        <v>24</v>
      </c>
      <c r="P527">
        <v>2</v>
      </c>
      <c r="Q527">
        <v>2.0000000000000036</v>
      </c>
    </row>
    <row r="528" spans="2:17" x14ac:dyDescent="0.25">
      <c r="B528" t="s">
        <v>169</v>
      </c>
      <c r="C528" t="s">
        <v>411</v>
      </c>
      <c r="D528" t="s">
        <v>574</v>
      </c>
      <c r="E528">
        <v>10</v>
      </c>
      <c r="F528" t="s">
        <v>68</v>
      </c>
      <c r="G528" t="s">
        <v>772</v>
      </c>
      <c r="H528" t="s">
        <v>160</v>
      </c>
      <c r="I528" t="s">
        <v>154</v>
      </c>
      <c r="J528">
        <v>0</v>
      </c>
      <c r="K528">
        <v>45320.578472222223</v>
      </c>
      <c r="L528">
        <v>139</v>
      </c>
      <c r="O528">
        <v>4</v>
      </c>
      <c r="P528">
        <v>2</v>
      </c>
      <c r="Q528">
        <v>2</v>
      </c>
    </row>
    <row r="529" spans="2:17" x14ac:dyDescent="0.25">
      <c r="B529" t="s">
        <v>169</v>
      </c>
      <c r="C529" t="s">
        <v>575</v>
      </c>
      <c r="D529" t="s">
        <v>576</v>
      </c>
      <c r="E529">
        <v>900</v>
      </c>
      <c r="F529" t="s">
        <v>68</v>
      </c>
      <c r="G529" t="s">
        <v>774</v>
      </c>
      <c r="H529" t="s">
        <v>189</v>
      </c>
      <c r="I529" t="s">
        <v>154</v>
      </c>
      <c r="J529">
        <v>0</v>
      </c>
      <c r="K529">
        <v>45320.579062500001</v>
      </c>
      <c r="L529">
        <v>2210</v>
      </c>
      <c r="O529">
        <v>100</v>
      </c>
      <c r="P529">
        <v>9</v>
      </c>
      <c r="Q529">
        <v>0</v>
      </c>
    </row>
    <row r="530" spans="2:17" x14ac:dyDescent="0.25">
      <c r="B530" t="s">
        <v>169</v>
      </c>
      <c r="C530" t="s">
        <v>575</v>
      </c>
      <c r="D530" t="s">
        <v>576</v>
      </c>
      <c r="E530">
        <v>200</v>
      </c>
      <c r="F530" t="s">
        <v>68</v>
      </c>
      <c r="G530" t="s">
        <v>152</v>
      </c>
      <c r="H530" t="s">
        <v>153</v>
      </c>
      <c r="I530" t="s">
        <v>154</v>
      </c>
      <c r="J530">
        <v>0</v>
      </c>
      <c r="K530">
        <v>45320.579467592594</v>
      </c>
      <c r="L530">
        <v>496</v>
      </c>
      <c r="O530">
        <v>24</v>
      </c>
      <c r="P530">
        <v>8</v>
      </c>
      <c r="Q530">
        <v>8.0000000000000142</v>
      </c>
    </row>
    <row r="531" spans="2:17" x14ac:dyDescent="0.25">
      <c r="B531" t="s">
        <v>169</v>
      </c>
      <c r="C531" t="s">
        <v>575</v>
      </c>
      <c r="D531" t="s">
        <v>576</v>
      </c>
      <c r="E531">
        <v>120</v>
      </c>
      <c r="F531" t="s">
        <v>68</v>
      </c>
      <c r="G531" t="s">
        <v>161</v>
      </c>
      <c r="H531" t="s">
        <v>162</v>
      </c>
      <c r="I531" t="s">
        <v>115</v>
      </c>
      <c r="J531">
        <v>0</v>
      </c>
      <c r="K531">
        <v>45320.579687500001</v>
      </c>
      <c r="L531">
        <v>1186</v>
      </c>
      <c r="O531">
        <v>200</v>
      </c>
      <c r="P531">
        <v>0</v>
      </c>
      <c r="Q531">
        <v>120</v>
      </c>
    </row>
    <row r="532" spans="2:17" x14ac:dyDescent="0.25">
      <c r="B532" t="s">
        <v>169</v>
      </c>
      <c r="C532" t="s">
        <v>530</v>
      </c>
      <c r="D532" t="s">
        <v>577</v>
      </c>
      <c r="E532">
        <v>400</v>
      </c>
      <c r="F532" t="s">
        <v>68</v>
      </c>
      <c r="G532" t="s">
        <v>129</v>
      </c>
      <c r="H532" t="s">
        <v>130</v>
      </c>
      <c r="I532" t="s">
        <v>115</v>
      </c>
      <c r="J532">
        <v>0</v>
      </c>
      <c r="K532">
        <v>45320.580335648148</v>
      </c>
      <c r="L532">
        <v>28800</v>
      </c>
      <c r="O532">
        <v>2400</v>
      </c>
      <c r="P532">
        <v>0</v>
      </c>
      <c r="Q532">
        <v>400</v>
      </c>
    </row>
    <row r="533" spans="2:17" x14ac:dyDescent="0.25">
      <c r="B533" t="s">
        <v>169</v>
      </c>
      <c r="C533" t="s">
        <v>530</v>
      </c>
      <c r="D533" t="s">
        <v>577</v>
      </c>
      <c r="E533">
        <v>200</v>
      </c>
      <c r="F533" t="s">
        <v>68</v>
      </c>
      <c r="G533" t="s">
        <v>123</v>
      </c>
      <c r="H533" t="s">
        <v>124</v>
      </c>
      <c r="I533" t="s">
        <v>115</v>
      </c>
      <c r="J533">
        <v>0</v>
      </c>
      <c r="K533">
        <v>45320.580659722225</v>
      </c>
      <c r="L533">
        <v>4000</v>
      </c>
      <c r="O533">
        <v>3000</v>
      </c>
      <c r="P533">
        <v>0</v>
      </c>
      <c r="Q533">
        <v>200</v>
      </c>
    </row>
    <row r="534" spans="2:17" x14ac:dyDescent="0.25">
      <c r="B534" t="s">
        <v>314</v>
      </c>
      <c r="C534" t="s">
        <v>422</v>
      </c>
      <c r="D534" t="s">
        <v>578</v>
      </c>
      <c r="E534">
        <v>12000</v>
      </c>
      <c r="F534" t="s">
        <v>68</v>
      </c>
      <c r="G534" t="s">
        <v>133</v>
      </c>
      <c r="H534" t="s">
        <v>134</v>
      </c>
      <c r="I534" t="s">
        <v>115</v>
      </c>
      <c r="J534">
        <v>0</v>
      </c>
      <c r="K534">
        <v>45324.383287037039</v>
      </c>
      <c r="L534">
        <v>144100</v>
      </c>
      <c r="O534">
        <v>2400</v>
      </c>
      <c r="P534">
        <v>5</v>
      </c>
      <c r="Q534">
        <v>0</v>
      </c>
    </row>
    <row r="535" spans="2:17" x14ac:dyDescent="0.25">
      <c r="B535" t="s">
        <v>314</v>
      </c>
      <c r="C535" t="s">
        <v>422</v>
      </c>
      <c r="D535" t="s">
        <v>578</v>
      </c>
      <c r="E535">
        <v>120</v>
      </c>
      <c r="F535" t="s">
        <v>68</v>
      </c>
      <c r="G535" t="s">
        <v>212</v>
      </c>
      <c r="H535" t="s">
        <v>213</v>
      </c>
      <c r="I535" t="s">
        <v>154</v>
      </c>
      <c r="J535">
        <v>0</v>
      </c>
      <c r="K535">
        <v>45324.383414351854</v>
      </c>
      <c r="L535">
        <v>7520</v>
      </c>
      <c r="O535">
        <v>100</v>
      </c>
      <c r="P535">
        <v>1</v>
      </c>
      <c r="Q535">
        <v>19.999999999999996</v>
      </c>
    </row>
    <row r="536" spans="2:17" x14ac:dyDescent="0.25">
      <c r="B536" t="s">
        <v>314</v>
      </c>
      <c r="C536" t="s">
        <v>422</v>
      </c>
      <c r="D536" t="s">
        <v>578</v>
      </c>
      <c r="E536">
        <v>2</v>
      </c>
      <c r="F536" t="s">
        <v>68</v>
      </c>
      <c r="G536" t="s">
        <v>423</v>
      </c>
      <c r="H536" t="s">
        <v>192</v>
      </c>
      <c r="J536">
        <v>0</v>
      </c>
      <c r="K536">
        <v>45324.383483796293</v>
      </c>
      <c r="L536">
        <v>40</v>
      </c>
      <c r="O536">
        <v>40</v>
      </c>
      <c r="P536">
        <v>0</v>
      </c>
      <c r="Q536">
        <v>2</v>
      </c>
    </row>
    <row r="537" spans="2:17" x14ac:dyDescent="0.25">
      <c r="B537" t="s">
        <v>314</v>
      </c>
      <c r="C537" t="s">
        <v>338</v>
      </c>
      <c r="D537" t="s">
        <v>579</v>
      </c>
      <c r="E537">
        <v>2500</v>
      </c>
      <c r="F537" t="s">
        <v>68</v>
      </c>
      <c r="G537" t="s">
        <v>156</v>
      </c>
      <c r="H537" t="s">
        <v>157</v>
      </c>
      <c r="I537" t="s">
        <v>154</v>
      </c>
      <c r="J537">
        <v>0</v>
      </c>
      <c r="K537">
        <v>45324.383784722224</v>
      </c>
      <c r="L537">
        <v>42220</v>
      </c>
      <c r="O537">
        <v>440</v>
      </c>
      <c r="P537">
        <v>5</v>
      </c>
      <c r="Q537">
        <v>299.99999999999994</v>
      </c>
    </row>
    <row r="538" spans="2:17" x14ac:dyDescent="0.25">
      <c r="B538" t="s">
        <v>314</v>
      </c>
      <c r="C538" t="s">
        <v>338</v>
      </c>
      <c r="D538" t="s">
        <v>579</v>
      </c>
      <c r="E538">
        <v>80</v>
      </c>
      <c r="F538" t="s">
        <v>68</v>
      </c>
      <c r="G538" t="s">
        <v>119</v>
      </c>
      <c r="H538" t="s">
        <v>173</v>
      </c>
      <c r="J538">
        <v>0</v>
      </c>
      <c r="K538">
        <v>45324.383923611109</v>
      </c>
      <c r="L538">
        <v>112</v>
      </c>
      <c r="O538">
        <v>96</v>
      </c>
      <c r="P538">
        <v>0</v>
      </c>
      <c r="Q538">
        <v>80</v>
      </c>
    </row>
    <row r="539" spans="2:17" x14ac:dyDescent="0.25">
      <c r="B539" t="s">
        <v>314</v>
      </c>
      <c r="C539" t="s">
        <v>260</v>
      </c>
      <c r="D539" t="s">
        <v>580</v>
      </c>
      <c r="E539">
        <v>2</v>
      </c>
      <c r="F539" t="s">
        <v>68</v>
      </c>
      <c r="G539" t="s">
        <v>193</v>
      </c>
      <c r="H539" t="s">
        <v>194</v>
      </c>
      <c r="J539">
        <v>0</v>
      </c>
      <c r="K539">
        <v>45324.384108796294</v>
      </c>
      <c r="L539">
        <v>8</v>
      </c>
      <c r="O539">
        <v>36</v>
      </c>
      <c r="P539">
        <v>0</v>
      </c>
      <c r="Q539">
        <v>2</v>
      </c>
    </row>
    <row r="540" spans="2:17" x14ac:dyDescent="0.25">
      <c r="B540" t="s">
        <v>314</v>
      </c>
      <c r="C540" t="s">
        <v>260</v>
      </c>
      <c r="D540" t="s">
        <v>580</v>
      </c>
      <c r="E540">
        <v>120</v>
      </c>
      <c r="F540" t="s">
        <v>68</v>
      </c>
      <c r="G540" t="s">
        <v>420</v>
      </c>
      <c r="H540" t="s">
        <v>159</v>
      </c>
      <c r="I540" t="s">
        <v>154</v>
      </c>
      <c r="J540">
        <v>0</v>
      </c>
      <c r="K540">
        <v>45324.384189814817</v>
      </c>
      <c r="L540">
        <v>5000</v>
      </c>
      <c r="O540">
        <v>60</v>
      </c>
      <c r="P540">
        <v>2</v>
      </c>
      <c r="Q540">
        <v>0</v>
      </c>
    </row>
    <row r="541" spans="2:17" x14ac:dyDescent="0.25">
      <c r="B541" t="s">
        <v>314</v>
      </c>
      <c r="C541" t="s">
        <v>259</v>
      </c>
      <c r="D541" t="s">
        <v>581</v>
      </c>
      <c r="E541">
        <v>10</v>
      </c>
      <c r="F541" t="s">
        <v>68</v>
      </c>
      <c r="G541" t="s">
        <v>772</v>
      </c>
      <c r="H541" t="s">
        <v>160</v>
      </c>
      <c r="I541" t="s">
        <v>154</v>
      </c>
      <c r="J541">
        <v>0</v>
      </c>
      <c r="K541">
        <v>45324.384236111109</v>
      </c>
      <c r="L541">
        <v>129</v>
      </c>
      <c r="O541">
        <v>4</v>
      </c>
      <c r="P541">
        <v>2</v>
      </c>
      <c r="Q541">
        <v>2</v>
      </c>
    </row>
    <row r="542" spans="2:17" x14ac:dyDescent="0.25">
      <c r="B542" t="s">
        <v>314</v>
      </c>
      <c r="C542" t="s">
        <v>258</v>
      </c>
      <c r="D542" t="s">
        <v>582</v>
      </c>
      <c r="E542">
        <v>6</v>
      </c>
      <c r="F542" t="s">
        <v>68</v>
      </c>
      <c r="G542" t="s">
        <v>771</v>
      </c>
      <c r="H542" t="s">
        <v>158</v>
      </c>
      <c r="I542" t="s">
        <v>154</v>
      </c>
      <c r="J542">
        <v>0</v>
      </c>
      <c r="K542">
        <v>45324.384259259263</v>
      </c>
      <c r="L542">
        <v>141</v>
      </c>
      <c r="O542">
        <v>24</v>
      </c>
      <c r="P542">
        <v>0</v>
      </c>
      <c r="Q542">
        <v>6</v>
      </c>
    </row>
    <row r="543" spans="2:17" x14ac:dyDescent="0.25">
      <c r="B543" t="s">
        <v>314</v>
      </c>
      <c r="C543" t="s">
        <v>472</v>
      </c>
      <c r="D543" t="s">
        <v>583</v>
      </c>
      <c r="E543">
        <v>120</v>
      </c>
      <c r="F543" t="s">
        <v>137</v>
      </c>
      <c r="G543" t="s">
        <v>143</v>
      </c>
      <c r="H543" t="s">
        <v>144</v>
      </c>
      <c r="I543" t="s">
        <v>140</v>
      </c>
      <c r="J543">
        <v>0</v>
      </c>
      <c r="K543">
        <v>45324.384282407409</v>
      </c>
      <c r="L543">
        <v>785</v>
      </c>
      <c r="O543">
        <v>10</v>
      </c>
      <c r="P543">
        <v>12</v>
      </c>
      <c r="Q543">
        <v>0</v>
      </c>
    </row>
    <row r="544" spans="2:17" x14ac:dyDescent="0.25">
      <c r="B544" t="s">
        <v>314</v>
      </c>
      <c r="C544" t="s">
        <v>472</v>
      </c>
      <c r="D544" t="s">
        <v>583</v>
      </c>
      <c r="E544">
        <v>60</v>
      </c>
      <c r="F544" t="s">
        <v>137</v>
      </c>
      <c r="G544" t="s">
        <v>138</v>
      </c>
      <c r="H544" t="s">
        <v>139</v>
      </c>
      <c r="I544" t="s">
        <v>140</v>
      </c>
      <c r="J544">
        <v>0</v>
      </c>
      <c r="K544">
        <v>45324.384340277778</v>
      </c>
      <c r="L544">
        <v>1200</v>
      </c>
      <c r="O544">
        <v>10</v>
      </c>
      <c r="P544">
        <v>6</v>
      </c>
      <c r="Q544">
        <v>0</v>
      </c>
    </row>
    <row r="545" spans="2:17" x14ac:dyDescent="0.25">
      <c r="B545" t="s">
        <v>314</v>
      </c>
      <c r="C545" t="s">
        <v>472</v>
      </c>
      <c r="D545" t="s">
        <v>583</v>
      </c>
      <c r="E545">
        <v>60</v>
      </c>
      <c r="F545" t="s">
        <v>137</v>
      </c>
      <c r="G545" t="s">
        <v>141</v>
      </c>
      <c r="H545" t="s">
        <v>142</v>
      </c>
      <c r="I545" t="s">
        <v>140</v>
      </c>
      <c r="J545">
        <v>0</v>
      </c>
      <c r="K545">
        <v>45324.384375000001</v>
      </c>
      <c r="L545">
        <v>6305</v>
      </c>
      <c r="O545">
        <v>10</v>
      </c>
      <c r="P545">
        <v>6</v>
      </c>
      <c r="Q545">
        <v>0</v>
      </c>
    </row>
    <row r="546" spans="2:17" x14ac:dyDescent="0.25">
      <c r="B546" t="s">
        <v>314</v>
      </c>
      <c r="C546" t="s">
        <v>357</v>
      </c>
      <c r="D546" t="s">
        <v>584</v>
      </c>
      <c r="E546">
        <v>144</v>
      </c>
      <c r="F546" t="s">
        <v>145</v>
      </c>
      <c r="G546" t="s">
        <v>150</v>
      </c>
      <c r="H546" t="s">
        <v>147</v>
      </c>
      <c r="I546" t="s">
        <v>148</v>
      </c>
      <c r="J546">
        <v>0</v>
      </c>
      <c r="K546">
        <v>45324.384409722225</v>
      </c>
      <c r="L546">
        <v>2210</v>
      </c>
      <c r="O546">
        <v>144</v>
      </c>
      <c r="P546">
        <v>1</v>
      </c>
      <c r="Q546">
        <v>0</v>
      </c>
    </row>
    <row r="547" spans="2:17" x14ac:dyDescent="0.25">
      <c r="B547" t="s">
        <v>314</v>
      </c>
      <c r="C547" t="s">
        <v>585</v>
      </c>
      <c r="D547" t="s">
        <v>586</v>
      </c>
      <c r="E547">
        <v>6</v>
      </c>
      <c r="F547" t="s">
        <v>68</v>
      </c>
      <c r="G547" t="s">
        <v>168</v>
      </c>
      <c r="H547" t="s">
        <v>166</v>
      </c>
      <c r="J547">
        <v>0</v>
      </c>
      <c r="K547">
        <v>45324.384432870371</v>
      </c>
      <c r="L547">
        <v>1208</v>
      </c>
      <c r="O547">
        <v>12</v>
      </c>
      <c r="P547">
        <v>0</v>
      </c>
      <c r="Q547">
        <v>6</v>
      </c>
    </row>
    <row r="548" spans="2:17" x14ac:dyDescent="0.25">
      <c r="B548" t="s">
        <v>314</v>
      </c>
      <c r="C548" t="s">
        <v>585</v>
      </c>
      <c r="D548" t="s">
        <v>586</v>
      </c>
      <c r="E548">
        <v>200</v>
      </c>
      <c r="F548" t="s">
        <v>68</v>
      </c>
      <c r="G548" t="s">
        <v>163</v>
      </c>
      <c r="H548" t="s">
        <v>164</v>
      </c>
      <c r="I548" t="s">
        <v>115</v>
      </c>
      <c r="J548">
        <v>0</v>
      </c>
      <c r="K548">
        <v>45324.384479166663</v>
      </c>
      <c r="L548">
        <v>1300</v>
      </c>
      <c r="O548">
        <v>100</v>
      </c>
      <c r="P548">
        <v>2</v>
      </c>
      <c r="Q548">
        <v>0</v>
      </c>
    </row>
    <row r="549" spans="2:17" x14ac:dyDescent="0.25">
      <c r="B549" t="s">
        <v>314</v>
      </c>
      <c r="C549" t="s">
        <v>587</v>
      </c>
      <c r="D549" t="s">
        <v>588</v>
      </c>
      <c r="E549">
        <v>240</v>
      </c>
      <c r="F549" t="s">
        <v>68</v>
      </c>
      <c r="G549" t="s">
        <v>174</v>
      </c>
      <c r="H549" t="s">
        <v>175</v>
      </c>
      <c r="I549" t="s">
        <v>176</v>
      </c>
      <c r="J549">
        <v>0</v>
      </c>
      <c r="K549">
        <v>45324.384525462963</v>
      </c>
      <c r="L549">
        <v>1760</v>
      </c>
      <c r="O549">
        <v>300</v>
      </c>
      <c r="P549">
        <v>0</v>
      </c>
      <c r="Q549">
        <v>240</v>
      </c>
    </row>
    <row r="550" spans="2:17" x14ac:dyDescent="0.25">
      <c r="B550" t="s">
        <v>314</v>
      </c>
      <c r="C550" t="s">
        <v>561</v>
      </c>
      <c r="D550" t="s">
        <v>589</v>
      </c>
      <c r="E550">
        <v>6000</v>
      </c>
      <c r="F550" t="s">
        <v>68</v>
      </c>
      <c r="G550" t="s">
        <v>117</v>
      </c>
      <c r="H550" t="s">
        <v>118</v>
      </c>
      <c r="I550" t="s">
        <v>115</v>
      </c>
      <c r="J550">
        <v>0</v>
      </c>
      <c r="K550">
        <v>45324.384560185186</v>
      </c>
      <c r="L550">
        <v>22000</v>
      </c>
      <c r="O550">
        <v>1200</v>
      </c>
      <c r="P550">
        <v>5</v>
      </c>
      <c r="Q550">
        <v>0</v>
      </c>
    </row>
    <row r="551" spans="2:17" x14ac:dyDescent="0.25">
      <c r="B551" t="s">
        <v>314</v>
      </c>
      <c r="C551" t="s">
        <v>502</v>
      </c>
      <c r="D551" t="s">
        <v>590</v>
      </c>
      <c r="E551">
        <v>12000</v>
      </c>
      <c r="F551" t="s">
        <v>68</v>
      </c>
      <c r="G551" t="s">
        <v>113</v>
      </c>
      <c r="H551" t="s">
        <v>114</v>
      </c>
      <c r="I551" t="s">
        <v>115</v>
      </c>
      <c r="J551">
        <v>0</v>
      </c>
      <c r="K551">
        <v>45324.384594907409</v>
      </c>
      <c r="L551">
        <v>97800</v>
      </c>
      <c r="O551">
        <v>2400</v>
      </c>
      <c r="P551">
        <v>5</v>
      </c>
      <c r="Q551">
        <v>0</v>
      </c>
    </row>
    <row r="552" spans="2:17" x14ac:dyDescent="0.25">
      <c r="B552" t="s">
        <v>314</v>
      </c>
      <c r="C552" t="s">
        <v>497</v>
      </c>
      <c r="D552" t="s">
        <v>591</v>
      </c>
      <c r="E552">
        <v>36</v>
      </c>
      <c r="F552" t="s">
        <v>68</v>
      </c>
      <c r="G552" t="s">
        <v>177</v>
      </c>
      <c r="H552" t="s">
        <v>178</v>
      </c>
      <c r="J552">
        <v>0</v>
      </c>
      <c r="K552">
        <v>45324.384722222225</v>
      </c>
      <c r="L552">
        <v>263</v>
      </c>
      <c r="O552">
        <v>4</v>
      </c>
      <c r="P552">
        <v>9</v>
      </c>
      <c r="Q552">
        <v>0</v>
      </c>
    </row>
    <row r="553" spans="2:17" x14ac:dyDescent="0.25">
      <c r="B553" t="s">
        <v>169</v>
      </c>
      <c r="C553" t="s">
        <v>575</v>
      </c>
      <c r="D553" t="s">
        <v>592</v>
      </c>
      <c r="E553">
        <v>200</v>
      </c>
      <c r="F553" t="s">
        <v>68</v>
      </c>
      <c r="G553" t="s">
        <v>152</v>
      </c>
      <c r="H553" t="s">
        <v>153</v>
      </c>
      <c r="I553" t="s">
        <v>154</v>
      </c>
      <c r="J553">
        <v>0</v>
      </c>
      <c r="K553">
        <v>45327.457372685189</v>
      </c>
      <c r="L553">
        <v>296</v>
      </c>
      <c r="O553">
        <v>24</v>
      </c>
      <c r="P553">
        <v>8</v>
      </c>
      <c r="Q553">
        <v>8.0000000000000142</v>
      </c>
    </row>
    <row r="554" spans="2:17" x14ac:dyDescent="0.25">
      <c r="B554" t="s">
        <v>169</v>
      </c>
      <c r="C554" t="s">
        <v>255</v>
      </c>
      <c r="D554" t="s">
        <v>593</v>
      </c>
      <c r="E554">
        <v>53</v>
      </c>
      <c r="F554" t="s">
        <v>137</v>
      </c>
      <c r="G554" t="s">
        <v>141</v>
      </c>
      <c r="H554" t="s">
        <v>142</v>
      </c>
      <c r="I554" t="s">
        <v>140</v>
      </c>
      <c r="J554">
        <v>0</v>
      </c>
      <c r="K554">
        <v>45327.457442129627</v>
      </c>
      <c r="L554">
        <v>6252</v>
      </c>
      <c r="O554">
        <v>10</v>
      </c>
      <c r="P554">
        <v>5</v>
      </c>
      <c r="Q554">
        <v>2.9999999999999982</v>
      </c>
    </row>
    <row r="555" spans="2:17" x14ac:dyDescent="0.25">
      <c r="B555" t="s">
        <v>169</v>
      </c>
      <c r="C555" t="s">
        <v>530</v>
      </c>
      <c r="D555" t="s">
        <v>594</v>
      </c>
      <c r="E555">
        <v>200</v>
      </c>
      <c r="F555" t="s">
        <v>68</v>
      </c>
      <c r="G555" t="s">
        <v>123</v>
      </c>
      <c r="H555" t="s">
        <v>124</v>
      </c>
      <c r="I555" t="s">
        <v>115</v>
      </c>
      <c r="J555">
        <v>0</v>
      </c>
      <c r="K555">
        <v>45327.457488425927</v>
      </c>
      <c r="L555">
        <v>3800</v>
      </c>
      <c r="O555">
        <v>3000</v>
      </c>
      <c r="P555">
        <v>0</v>
      </c>
      <c r="Q555">
        <v>200</v>
      </c>
    </row>
    <row r="556" spans="2:17" x14ac:dyDescent="0.25">
      <c r="B556" t="s">
        <v>169</v>
      </c>
      <c r="C556" t="s">
        <v>530</v>
      </c>
      <c r="D556" t="s">
        <v>595</v>
      </c>
      <c r="E556">
        <v>600</v>
      </c>
      <c r="F556" t="s">
        <v>68</v>
      </c>
      <c r="G556" t="s">
        <v>127</v>
      </c>
      <c r="H556" t="s">
        <v>128</v>
      </c>
      <c r="I556" t="s">
        <v>115</v>
      </c>
      <c r="J556">
        <v>0</v>
      </c>
      <c r="K556">
        <v>45329.670555555553</v>
      </c>
      <c r="L556">
        <v>4400</v>
      </c>
      <c r="O556">
        <v>3000</v>
      </c>
      <c r="P556">
        <v>0</v>
      </c>
      <c r="Q556">
        <v>600</v>
      </c>
    </row>
    <row r="557" spans="2:17" x14ac:dyDescent="0.25">
      <c r="B557" t="s">
        <v>169</v>
      </c>
      <c r="C557" t="s">
        <v>257</v>
      </c>
      <c r="D557" t="s">
        <v>596</v>
      </c>
      <c r="E557">
        <v>400</v>
      </c>
      <c r="F557" t="s">
        <v>68</v>
      </c>
      <c r="G557" t="s">
        <v>289</v>
      </c>
      <c r="H557" t="s">
        <v>290</v>
      </c>
      <c r="I557" t="s">
        <v>115</v>
      </c>
      <c r="J557">
        <v>0</v>
      </c>
      <c r="K557">
        <v>45329.670624999999</v>
      </c>
      <c r="L557">
        <v>0</v>
      </c>
      <c r="O557">
        <v>1</v>
      </c>
      <c r="P557">
        <v>400</v>
      </c>
      <c r="Q557">
        <v>0</v>
      </c>
    </row>
    <row r="558" spans="2:17" x14ac:dyDescent="0.25">
      <c r="B558" t="s">
        <v>169</v>
      </c>
      <c r="C558" t="s">
        <v>254</v>
      </c>
      <c r="D558" t="s">
        <v>597</v>
      </c>
      <c r="E558">
        <v>500</v>
      </c>
      <c r="F558" t="s">
        <v>145</v>
      </c>
      <c r="G558" t="s">
        <v>146</v>
      </c>
      <c r="H558" t="s">
        <v>147</v>
      </c>
      <c r="I558" t="s">
        <v>148</v>
      </c>
      <c r="J558">
        <v>0</v>
      </c>
      <c r="K558">
        <v>45329.670648148145</v>
      </c>
      <c r="L558">
        <v>220</v>
      </c>
      <c r="O558">
        <v>144</v>
      </c>
      <c r="P558">
        <v>3</v>
      </c>
      <c r="Q558">
        <v>68.000000000000014</v>
      </c>
    </row>
    <row r="559" spans="2:17" x14ac:dyDescent="0.25">
      <c r="B559" t="s">
        <v>169</v>
      </c>
      <c r="C559" t="s">
        <v>254</v>
      </c>
      <c r="D559" t="s">
        <v>597</v>
      </c>
      <c r="E559">
        <v>700</v>
      </c>
      <c r="F559" t="s">
        <v>145</v>
      </c>
      <c r="G559" t="s">
        <v>150</v>
      </c>
      <c r="H559" t="s">
        <v>147</v>
      </c>
      <c r="I559" t="s">
        <v>148</v>
      </c>
      <c r="J559">
        <v>0</v>
      </c>
      <c r="K559">
        <v>45329.670682870368</v>
      </c>
      <c r="L559">
        <v>1510</v>
      </c>
      <c r="O559">
        <v>144</v>
      </c>
      <c r="P559">
        <v>4</v>
      </c>
      <c r="Q559">
        <v>123.99999999999994</v>
      </c>
    </row>
    <row r="560" spans="2:17" x14ac:dyDescent="0.25">
      <c r="B560" t="s">
        <v>169</v>
      </c>
      <c r="C560" t="s">
        <v>411</v>
      </c>
      <c r="D560" t="s">
        <v>598</v>
      </c>
      <c r="E560">
        <v>2500</v>
      </c>
      <c r="F560" t="s">
        <v>68</v>
      </c>
      <c r="G560" t="s">
        <v>135</v>
      </c>
      <c r="H560" t="s">
        <v>136</v>
      </c>
      <c r="I560" t="s">
        <v>115</v>
      </c>
      <c r="J560">
        <v>0</v>
      </c>
      <c r="K560">
        <v>45329.670717592591</v>
      </c>
      <c r="L560">
        <v>12100</v>
      </c>
      <c r="O560">
        <v>2400</v>
      </c>
      <c r="P560">
        <v>1</v>
      </c>
      <c r="Q560">
        <v>100.00000000000017</v>
      </c>
    </row>
    <row r="561" spans="2:17" x14ac:dyDescent="0.25">
      <c r="B561" t="s">
        <v>169</v>
      </c>
      <c r="C561" t="s">
        <v>411</v>
      </c>
      <c r="D561" t="s">
        <v>598</v>
      </c>
      <c r="E561">
        <v>40</v>
      </c>
      <c r="F561" t="s">
        <v>68</v>
      </c>
      <c r="G561" t="s">
        <v>773</v>
      </c>
      <c r="H561" t="s">
        <v>180</v>
      </c>
      <c r="I561" t="s">
        <v>154</v>
      </c>
      <c r="J561">
        <v>0</v>
      </c>
      <c r="K561">
        <v>45329.670775462961</v>
      </c>
      <c r="L561">
        <v>340</v>
      </c>
      <c r="O561">
        <v>100</v>
      </c>
      <c r="P561">
        <v>0</v>
      </c>
      <c r="Q561">
        <v>40</v>
      </c>
    </row>
    <row r="562" spans="2:17" x14ac:dyDescent="0.25">
      <c r="B562" t="s">
        <v>169</v>
      </c>
      <c r="C562" t="s">
        <v>380</v>
      </c>
      <c r="D562" t="s">
        <v>599</v>
      </c>
      <c r="E562">
        <v>1600</v>
      </c>
      <c r="F562" t="s">
        <v>68</v>
      </c>
      <c r="G562" t="s">
        <v>181</v>
      </c>
      <c r="H562" t="s">
        <v>182</v>
      </c>
      <c r="I562" t="s">
        <v>115</v>
      </c>
      <c r="J562">
        <v>0</v>
      </c>
      <c r="K562">
        <v>45329.67082175926</v>
      </c>
      <c r="L562">
        <v>19000</v>
      </c>
      <c r="O562">
        <v>2400</v>
      </c>
      <c r="P562">
        <v>0</v>
      </c>
      <c r="Q562">
        <v>1600</v>
      </c>
    </row>
    <row r="563" spans="2:17" x14ac:dyDescent="0.25">
      <c r="B563" t="s">
        <v>169</v>
      </c>
      <c r="C563" t="s">
        <v>385</v>
      </c>
      <c r="D563" t="s">
        <v>600</v>
      </c>
      <c r="E563">
        <v>1600</v>
      </c>
      <c r="F563" t="s">
        <v>68</v>
      </c>
      <c r="G563" t="s">
        <v>156</v>
      </c>
      <c r="H563" t="s">
        <v>157</v>
      </c>
      <c r="I563" t="s">
        <v>154</v>
      </c>
      <c r="J563">
        <v>0</v>
      </c>
      <c r="K563">
        <v>45329.670868055553</v>
      </c>
      <c r="L563">
        <v>40620</v>
      </c>
      <c r="O563">
        <v>440</v>
      </c>
      <c r="P563">
        <v>3</v>
      </c>
      <c r="Q563">
        <v>279.99999999999994</v>
      </c>
    </row>
    <row r="564" spans="2:17" x14ac:dyDescent="0.25">
      <c r="B564" t="s">
        <v>314</v>
      </c>
      <c r="C564" t="s">
        <v>472</v>
      </c>
      <c r="D564" t="s">
        <v>601</v>
      </c>
      <c r="E564">
        <v>250</v>
      </c>
      <c r="F564" t="s">
        <v>137</v>
      </c>
      <c r="G564" t="s">
        <v>138</v>
      </c>
      <c r="H564" t="s">
        <v>139</v>
      </c>
      <c r="I564" t="s">
        <v>140</v>
      </c>
      <c r="J564">
        <v>0</v>
      </c>
      <c r="K564">
        <v>45329.672592592593</v>
      </c>
      <c r="L564">
        <v>950</v>
      </c>
      <c r="O564">
        <v>10</v>
      </c>
      <c r="P564">
        <v>25</v>
      </c>
      <c r="Q564">
        <v>0</v>
      </c>
    </row>
    <row r="565" spans="2:17" x14ac:dyDescent="0.25">
      <c r="B565" t="s">
        <v>314</v>
      </c>
      <c r="C565" t="s">
        <v>472</v>
      </c>
      <c r="D565" t="s">
        <v>601</v>
      </c>
      <c r="E565">
        <v>120</v>
      </c>
      <c r="F565" t="s">
        <v>137</v>
      </c>
      <c r="G565" t="s">
        <v>141</v>
      </c>
      <c r="H565" t="s">
        <v>142</v>
      </c>
      <c r="I565" t="s">
        <v>140</v>
      </c>
      <c r="J565">
        <v>0</v>
      </c>
      <c r="K565">
        <v>45329.672638888886</v>
      </c>
      <c r="L565">
        <v>6132</v>
      </c>
      <c r="O565">
        <v>10</v>
      </c>
      <c r="P565">
        <v>12</v>
      </c>
      <c r="Q565">
        <v>0</v>
      </c>
    </row>
    <row r="566" spans="2:17" x14ac:dyDescent="0.25">
      <c r="B566" t="s">
        <v>314</v>
      </c>
      <c r="C566" t="s">
        <v>472</v>
      </c>
      <c r="D566" t="s">
        <v>601</v>
      </c>
      <c r="E566">
        <v>130</v>
      </c>
      <c r="F566" t="s">
        <v>137</v>
      </c>
      <c r="G566" t="s">
        <v>143</v>
      </c>
      <c r="H566" t="s">
        <v>144</v>
      </c>
      <c r="I566" t="s">
        <v>140</v>
      </c>
      <c r="J566">
        <v>0</v>
      </c>
      <c r="K566">
        <v>45329.672673611109</v>
      </c>
      <c r="L566">
        <v>655</v>
      </c>
      <c r="O566">
        <v>10</v>
      </c>
      <c r="P566">
        <v>13</v>
      </c>
      <c r="Q566">
        <v>0</v>
      </c>
    </row>
    <row r="567" spans="2:17" x14ac:dyDescent="0.25">
      <c r="B567" t="s">
        <v>314</v>
      </c>
      <c r="C567" t="s">
        <v>447</v>
      </c>
      <c r="D567" t="s">
        <v>602</v>
      </c>
      <c r="E567">
        <v>100</v>
      </c>
      <c r="F567" t="s">
        <v>68</v>
      </c>
      <c r="G567" t="s">
        <v>161</v>
      </c>
      <c r="H567" t="s">
        <v>162</v>
      </c>
      <c r="I567" t="s">
        <v>115</v>
      </c>
      <c r="J567">
        <v>0</v>
      </c>
      <c r="K567">
        <v>45330.346666666665</v>
      </c>
      <c r="L567">
        <v>1086</v>
      </c>
      <c r="O567">
        <v>200</v>
      </c>
      <c r="P567">
        <v>0</v>
      </c>
      <c r="Q567">
        <v>100</v>
      </c>
    </row>
    <row r="568" spans="2:17" x14ac:dyDescent="0.25">
      <c r="B568" t="s">
        <v>314</v>
      </c>
      <c r="C568" t="s">
        <v>502</v>
      </c>
      <c r="D568" t="s">
        <v>603</v>
      </c>
      <c r="E568">
        <v>12000</v>
      </c>
      <c r="F568" t="s">
        <v>68</v>
      </c>
      <c r="G568" t="s">
        <v>113</v>
      </c>
      <c r="H568" t="s">
        <v>114</v>
      </c>
      <c r="I568" t="s">
        <v>115</v>
      </c>
      <c r="J568">
        <v>0</v>
      </c>
      <c r="K568">
        <v>45330.346701388888</v>
      </c>
      <c r="L568">
        <v>85800</v>
      </c>
      <c r="O568">
        <v>2400</v>
      </c>
      <c r="P568">
        <v>5</v>
      </c>
      <c r="Q568">
        <v>0</v>
      </c>
    </row>
    <row r="569" spans="2:17" x14ac:dyDescent="0.25">
      <c r="B569" t="s">
        <v>314</v>
      </c>
      <c r="C569" t="s">
        <v>561</v>
      </c>
      <c r="D569" t="s">
        <v>604</v>
      </c>
      <c r="E569">
        <v>8000</v>
      </c>
      <c r="F569" t="s">
        <v>68</v>
      </c>
      <c r="G569" t="s">
        <v>117</v>
      </c>
      <c r="H569" t="s">
        <v>118</v>
      </c>
      <c r="I569" t="s">
        <v>115</v>
      </c>
      <c r="J569">
        <v>0</v>
      </c>
      <c r="K569">
        <v>45330.346805555557</v>
      </c>
      <c r="L569">
        <v>14000</v>
      </c>
      <c r="O569">
        <v>1200</v>
      </c>
      <c r="P569">
        <v>6</v>
      </c>
      <c r="Q569">
        <v>800.00000000000034</v>
      </c>
    </row>
    <row r="570" spans="2:17" x14ac:dyDescent="0.25">
      <c r="B570" t="s">
        <v>314</v>
      </c>
      <c r="C570" t="s">
        <v>585</v>
      </c>
      <c r="D570" t="s">
        <v>605</v>
      </c>
      <c r="E570">
        <v>30</v>
      </c>
      <c r="F570" t="s">
        <v>68</v>
      </c>
      <c r="G570" t="s">
        <v>168</v>
      </c>
      <c r="H570" t="s">
        <v>166</v>
      </c>
      <c r="J570">
        <v>0</v>
      </c>
      <c r="K570">
        <v>45330.346828703703</v>
      </c>
      <c r="L570">
        <v>1178</v>
      </c>
      <c r="O570">
        <v>12</v>
      </c>
      <c r="P570">
        <v>2</v>
      </c>
      <c r="Q570">
        <v>6</v>
      </c>
    </row>
    <row r="571" spans="2:17" x14ac:dyDescent="0.25">
      <c r="B571" t="s">
        <v>314</v>
      </c>
      <c r="C571" t="s">
        <v>585</v>
      </c>
      <c r="D571" t="s">
        <v>605</v>
      </c>
      <c r="E571">
        <v>150</v>
      </c>
      <c r="F571" t="s">
        <v>68</v>
      </c>
      <c r="G571" t="s">
        <v>163</v>
      </c>
      <c r="H571" t="s">
        <v>164</v>
      </c>
      <c r="I571" t="s">
        <v>115</v>
      </c>
      <c r="J571">
        <v>0</v>
      </c>
      <c r="K571">
        <v>45330.346863425926</v>
      </c>
      <c r="L571">
        <v>1150</v>
      </c>
      <c r="O571">
        <v>100</v>
      </c>
      <c r="P571">
        <v>1</v>
      </c>
      <c r="Q571">
        <v>50</v>
      </c>
    </row>
    <row r="572" spans="2:17" x14ac:dyDescent="0.25">
      <c r="B572" t="s">
        <v>314</v>
      </c>
      <c r="C572" t="s">
        <v>357</v>
      </c>
      <c r="D572" t="s">
        <v>606</v>
      </c>
      <c r="E572">
        <v>144</v>
      </c>
      <c r="F572" t="s">
        <v>145</v>
      </c>
      <c r="G572" t="s">
        <v>150</v>
      </c>
      <c r="H572" t="s">
        <v>147</v>
      </c>
      <c r="I572" t="s">
        <v>148</v>
      </c>
      <c r="J572">
        <v>0</v>
      </c>
      <c r="K572">
        <v>45330.346886574072</v>
      </c>
      <c r="L572">
        <v>1366</v>
      </c>
      <c r="O572">
        <v>144</v>
      </c>
      <c r="P572">
        <v>1</v>
      </c>
      <c r="Q572">
        <v>0</v>
      </c>
    </row>
    <row r="573" spans="2:17" x14ac:dyDescent="0.25">
      <c r="B573" t="s">
        <v>314</v>
      </c>
      <c r="C573" t="s">
        <v>258</v>
      </c>
      <c r="D573" t="s">
        <v>607</v>
      </c>
      <c r="E573">
        <v>6</v>
      </c>
      <c r="F573" t="s">
        <v>68</v>
      </c>
      <c r="G573" t="s">
        <v>771</v>
      </c>
      <c r="H573" t="s">
        <v>158</v>
      </c>
      <c r="I573" t="s">
        <v>154</v>
      </c>
      <c r="J573">
        <v>0</v>
      </c>
      <c r="K573">
        <v>45330.346921296295</v>
      </c>
      <c r="L573">
        <v>135</v>
      </c>
      <c r="O573">
        <v>24</v>
      </c>
      <c r="P573">
        <v>0</v>
      </c>
      <c r="Q573">
        <v>6</v>
      </c>
    </row>
    <row r="574" spans="2:17" x14ac:dyDescent="0.25">
      <c r="B574" t="s">
        <v>314</v>
      </c>
      <c r="C574" t="s">
        <v>259</v>
      </c>
      <c r="D574" t="s">
        <v>608</v>
      </c>
      <c r="E574">
        <v>27</v>
      </c>
      <c r="F574" t="s">
        <v>68</v>
      </c>
      <c r="G574" t="s">
        <v>772</v>
      </c>
      <c r="H574" t="s">
        <v>160</v>
      </c>
      <c r="I574" t="s">
        <v>154</v>
      </c>
      <c r="J574">
        <v>0</v>
      </c>
      <c r="K574">
        <v>45330.347013888888</v>
      </c>
      <c r="L574">
        <v>102</v>
      </c>
      <c r="O574">
        <v>4</v>
      </c>
      <c r="P574">
        <v>6</v>
      </c>
      <c r="Q574">
        <v>3</v>
      </c>
    </row>
    <row r="575" spans="2:17" x14ac:dyDescent="0.25">
      <c r="B575" t="s">
        <v>314</v>
      </c>
      <c r="C575" t="s">
        <v>587</v>
      </c>
      <c r="D575" t="s">
        <v>609</v>
      </c>
      <c r="E575">
        <v>240</v>
      </c>
      <c r="F575" t="s">
        <v>68</v>
      </c>
      <c r="G575" t="s">
        <v>174</v>
      </c>
      <c r="H575" t="s">
        <v>175</v>
      </c>
      <c r="I575" t="s">
        <v>176</v>
      </c>
      <c r="J575">
        <v>0</v>
      </c>
      <c r="K575">
        <v>45330.347048611111</v>
      </c>
      <c r="L575">
        <v>1520</v>
      </c>
      <c r="O575">
        <v>300</v>
      </c>
      <c r="P575">
        <v>0</v>
      </c>
      <c r="Q575">
        <v>240</v>
      </c>
    </row>
    <row r="576" spans="2:17" x14ac:dyDescent="0.25">
      <c r="B576" t="s">
        <v>314</v>
      </c>
      <c r="C576" t="s">
        <v>587</v>
      </c>
      <c r="D576" t="s">
        <v>609</v>
      </c>
      <c r="E576">
        <v>50</v>
      </c>
      <c r="F576" t="s">
        <v>68</v>
      </c>
      <c r="G576" t="s">
        <v>773</v>
      </c>
      <c r="H576" t="s">
        <v>180</v>
      </c>
      <c r="I576" t="s">
        <v>154</v>
      </c>
      <c r="J576">
        <v>0</v>
      </c>
      <c r="K576">
        <v>45330.347071759257</v>
      </c>
      <c r="L576">
        <v>290</v>
      </c>
      <c r="O576">
        <v>100</v>
      </c>
      <c r="P576">
        <v>0</v>
      </c>
      <c r="Q576">
        <v>50</v>
      </c>
    </row>
    <row r="577" spans="2:17" x14ac:dyDescent="0.25">
      <c r="B577" t="s">
        <v>314</v>
      </c>
      <c r="C577" t="s">
        <v>338</v>
      </c>
      <c r="D577" t="s">
        <v>610</v>
      </c>
      <c r="E577">
        <v>2500</v>
      </c>
      <c r="F577" t="s">
        <v>68</v>
      </c>
      <c r="G577" t="s">
        <v>156</v>
      </c>
      <c r="H577" t="s">
        <v>157</v>
      </c>
      <c r="I577" t="s">
        <v>154</v>
      </c>
      <c r="J577">
        <v>0</v>
      </c>
      <c r="K577">
        <v>45330.347094907411</v>
      </c>
      <c r="L577">
        <v>38120</v>
      </c>
      <c r="O577">
        <v>440</v>
      </c>
      <c r="P577">
        <v>5</v>
      </c>
      <c r="Q577">
        <v>299.99999999999994</v>
      </c>
    </row>
    <row r="578" spans="2:17" x14ac:dyDescent="0.25">
      <c r="B578" t="s">
        <v>314</v>
      </c>
      <c r="C578" t="s">
        <v>260</v>
      </c>
      <c r="D578" t="s">
        <v>611</v>
      </c>
      <c r="E578">
        <v>2</v>
      </c>
      <c r="F578" t="s">
        <v>68</v>
      </c>
      <c r="G578" t="s">
        <v>193</v>
      </c>
      <c r="H578" t="s">
        <v>194</v>
      </c>
      <c r="J578">
        <v>0</v>
      </c>
      <c r="K578">
        <v>45330.347245370373</v>
      </c>
      <c r="L578">
        <v>6</v>
      </c>
      <c r="O578">
        <v>36</v>
      </c>
      <c r="P578">
        <v>0</v>
      </c>
      <c r="Q578">
        <v>2</v>
      </c>
    </row>
    <row r="579" spans="2:17" x14ac:dyDescent="0.25">
      <c r="B579" t="s">
        <v>314</v>
      </c>
      <c r="C579" t="s">
        <v>260</v>
      </c>
      <c r="D579" t="s">
        <v>611</v>
      </c>
      <c r="E579">
        <v>120</v>
      </c>
      <c r="F579" t="s">
        <v>68</v>
      </c>
      <c r="G579" t="s">
        <v>420</v>
      </c>
      <c r="H579" t="s">
        <v>159</v>
      </c>
      <c r="I579" t="s">
        <v>154</v>
      </c>
      <c r="J579">
        <v>0</v>
      </c>
      <c r="K579">
        <v>45330.347291666665</v>
      </c>
      <c r="L579">
        <v>4880</v>
      </c>
      <c r="O579">
        <v>60</v>
      </c>
      <c r="P579">
        <v>2</v>
      </c>
      <c r="Q579">
        <v>0</v>
      </c>
    </row>
    <row r="580" spans="2:17" x14ac:dyDescent="0.25">
      <c r="B580" t="s">
        <v>314</v>
      </c>
      <c r="C580" t="s">
        <v>422</v>
      </c>
      <c r="D580" t="s">
        <v>612</v>
      </c>
      <c r="E580">
        <v>12000</v>
      </c>
      <c r="F580" t="s">
        <v>68</v>
      </c>
      <c r="G580" t="s">
        <v>133</v>
      </c>
      <c r="H580" t="s">
        <v>134</v>
      </c>
      <c r="I580" t="s">
        <v>115</v>
      </c>
      <c r="J580">
        <v>0</v>
      </c>
      <c r="K580">
        <v>45330.347349537034</v>
      </c>
      <c r="L580">
        <v>132100</v>
      </c>
      <c r="O580">
        <v>2400</v>
      </c>
      <c r="P580">
        <v>5</v>
      </c>
      <c r="Q580">
        <v>0</v>
      </c>
    </row>
    <row r="581" spans="2:17" x14ac:dyDescent="0.25">
      <c r="B581" t="s">
        <v>314</v>
      </c>
      <c r="C581" t="s">
        <v>422</v>
      </c>
      <c r="D581" t="s">
        <v>612</v>
      </c>
      <c r="E581">
        <v>120</v>
      </c>
      <c r="F581" t="s">
        <v>68</v>
      </c>
      <c r="G581" t="s">
        <v>212</v>
      </c>
      <c r="H581" t="s">
        <v>213</v>
      </c>
      <c r="I581" t="s">
        <v>154</v>
      </c>
      <c r="J581">
        <v>0</v>
      </c>
      <c r="K581">
        <v>45330.347384259258</v>
      </c>
      <c r="L581">
        <v>7400</v>
      </c>
      <c r="O581">
        <v>100</v>
      </c>
      <c r="P581">
        <v>1</v>
      </c>
      <c r="Q581">
        <v>19.999999999999996</v>
      </c>
    </row>
    <row r="582" spans="2:17" x14ac:dyDescent="0.25">
      <c r="B582" t="s">
        <v>314</v>
      </c>
      <c r="C582" t="s">
        <v>422</v>
      </c>
      <c r="D582" t="s">
        <v>612</v>
      </c>
      <c r="E582">
        <v>2</v>
      </c>
      <c r="F582" t="s">
        <v>68</v>
      </c>
      <c r="G582" t="s">
        <v>423</v>
      </c>
      <c r="H582" t="s">
        <v>192</v>
      </c>
      <c r="J582">
        <v>0</v>
      </c>
      <c r="K582">
        <v>45330.34747685185</v>
      </c>
      <c r="L582">
        <v>38</v>
      </c>
      <c r="O582">
        <v>40</v>
      </c>
      <c r="P582">
        <v>0</v>
      </c>
      <c r="Q582">
        <v>2</v>
      </c>
    </row>
    <row r="583" spans="2:17" x14ac:dyDescent="0.25">
      <c r="B583" t="s">
        <v>314</v>
      </c>
      <c r="C583" t="s">
        <v>497</v>
      </c>
      <c r="D583" t="s">
        <v>613</v>
      </c>
      <c r="E583">
        <v>36</v>
      </c>
      <c r="F583" t="s">
        <v>68</v>
      </c>
      <c r="G583" t="s">
        <v>177</v>
      </c>
      <c r="H583" t="s">
        <v>178</v>
      </c>
      <c r="J583">
        <v>0</v>
      </c>
      <c r="K583">
        <v>45330.347546296296</v>
      </c>
      <c r="L583">
        <v>227</v>
      </c>
      <c r="O583">
        <v>4</v>
      </c>
      <c r="P583">
        <v>9</v>
      </c>
      <c r="Q583">
        <v>0</v>
      </c>
    </row>
    <row r="584" spans="2:17" x14ac:dyDescent="0.25">
      <c r="B584" t="s">
        <v>169</v>
      </c>
      <c r="C584" t="s">
        <v>575</v>
      </c>
      <c r="D584" t="s">
        <v>614</v>
      </c>
      <c r="E584">
        <v>200</v>
      </c>
      <c r="F584" t="s">
        <v>68</v>
      </c>
      <c r="G584" t="s">
        <v>152</v>
      </c>
      <c r="H584" t="s">
        <v>153</v>
      </c>
      <c r="I584" t="s">
        <v>154</v>
      </c>
      <c r="J584">
        <v>0</v>
      </c>
      <c r="K584">
        <v>45331.510393518518</v>
      </c>
      <c r="L584">
        <v>96</v>
      </c>
      <c r="O584">
        <v>24</v>
      </c>
      <c r="P584">
        <v>8</v>
      </c>
      <c r="Q584">
        <v>8.0000000000000142</v>
      </c>
    </row>
    <row r="585" spans="2:17" x14ac:dyDescent="0.25">
      <c r="B585" t="s">
        <v>169</v>
      </c>
      <c r="C585" t="s">
        <v>380</v>
      </c>
      <c r="D585" t="s">
        <v>615</v>
      </c>
      <c r="E585">
        <v>1000</v>
      </c>
      <c r="F585" t="s">
        <v>68</v>
      </c>
      <c r="G585" t="s">
        <v>117</v>
      </c>
      <c r="H585" t="s">
        <v>118</v>
      </c>
      <c r="I585" t="s">
        <v>115</v>
      </c>
      <c r="J585">
        <v>0</v>
      </c>
      <c r="K585">
        <v>45331.51054398148</v>
      </c>
      <c r="L585">
        <v>13000</v>
      </c>
      <c r="O585">
        <v>1200</v>
      </c>
      <c r="P585">
        <v>0</v>
      </c>
      <c r="Q585">
        <v>1000</v>
      </c>
    </row>
    <row r="586" spans="2:17" x14ac:dyDescent="0.25">
      <c r="B586" t="s">
        <v>314</v>
      </c>
      <c r="C586" t="s">
        <v>616</v>
      </c>
      <c r="D586" t="s">
        <v>617</v>
      </c>
      <c r="E586">
        <v>1000</v>
      </c>
      <c r="F586" t="s">
        <v>68</v>
      </c>
      <c r="G586" t="s">
        <v>170</v>
      </c>
      <c r="H586" t="s">
        <v>171</v>
      </c>
      <c r="I586" t="s">
        <v>172</v>
      </c>
      <c r="J586">
        <v>0</v>
      </c>
      <c r="K586">
        <v>45331.630798611113</v>
      </c>
      <c r="L586">
        <v>1112</v>
      </c>
      <c r="O586">
        <v>36</v>
      </c>
      <c r="P586">
        <v>27</v>
      </c>
      <c r="Q586">
        <v>28.000000000000028</v>
      </c>
    </row>
    <row r="587" spans="2:17" x14ac:dyDescent="0.25">
      <c r="B587" t="s">
        <v>314</v>
      </c>
      <c r="C587" t="s">
        <v>618</v>
      </c>
      <c r="D587" t="s">
        <v>66</v>
      </c>
      <c r="E587">
        <v>5000</v>
      </c>
      <c r="F587" t="s">
        <v>68</v>
      </c>
      <c r="G587" t="s">
        <v>156</v>
      </c>
      <c r="H587" t="s">
        <v>157</v>
      </c>
      <c r="I587" t="s">
        <v>154</v>
      </c>
      <c r="J587">
        <v>0</v>
      </c>
      <c r="K587">
        <v>45332.566516203704</v>
      </c>
      <c r="L587">
        <v>33120</v>
      </c>
      <c r="O587">
        <v>440</v>
      </c>
      <c r="P587">
        <v>11</v>
      </c>
      <c r="Q587">
        <v>159.99999999999986</v>
      </c>
    </row>
    <row r="588" spans="2:17" x14ac:dyDescent="0.25">
      <c r="B588" t="s">
        <v>169</v>
      </c>
      <c r="C588" t="s">
        <v>255</v>
      </c>
      <c r="D588">
        <v>1387</v>
      </c>
      <c r="E588">
        <v>340</v>
      </c>
      <c r="F588" t="s">
        <v>68</v>
      </c>
      <c r="G588" t="s">
        <v>420</v>
      </c>
      <c r="H588" t="s">
        <v>159</v>
      </c>
      <c r="I588" t="s">
        <v>154</v>
      </c>
      <c r="J588">
        <v>0</v>
      </c>
      <c r="K588">
        <v>45335.535011574073</v>
      </c>
      <c r="L588">
        <v>4540</v>
      </c>
      <c r="O588">
        <v>60</v>
      </c>
      <c r="P588">
        <v>5</v>
      </c>
      <c r="Q588">
        <v>40.000000000000014</v>
      </c>
    </row>
    <row r="589" spans="2:17" x14ac:dyDescent="0.25">
      <c r="B589" t="s">
        <v>169</v>
      </c>
      <c r="C589" t="s">
        <v>575</v>
      </c>
      <c r="D589" t="s">
        <v>619</v>
      </c>
      <c r="E589">
        <v>200</v>
      </c>
      <c r="F589" t="s">
        <v>68</v>
      </c>
      <c r="G589" t="s">
        <v>152</v>
      </c>
      <c r="H589" t="s">
        <v>153</v>
      </c>
      <c r="I589" t="s">
        <v>154</v>
      </c>
      <c r="J589">
        <v>0</v>
      </c>
      <c r="K589">
        <v>45335.535081018519</v>
      </c>
      <c r="L589">
        <v>7888</v>
      </c>
      <c r="O589">
        <v>24</v>
      </c>
      <c r="P589">
        <v>8</v>
      </c>
      <c r="Q589">
        <v>8.0000000000000142</v>
      </c>
    </row>
    <row r="590" spans="2:17" x14ac:dyDescent="0.25">
      <c r="B590" t="s">
        <v>169</v>
      </c>
      <c r="C590" t="s">
        <v>254</v>
      </c>
      <c r="D590" t="s">
        <v>620</v>
      </c>
      <c r="E590">
        <v>1000</v>
      </c>
      <c r="F590" t="s">
        <v>68</v>
      </c>
      <c r="G590" t="s">
        <v>174</v>
      </c>
      <c r="H590" t="s">
        <v>175</v>
      </c>
      <c r="I590" t="s">
        <v>176</v>
      </c>
      <c r="J590">
        <v>0</v>
      </c>
      <c r="K590">
        <v>45335.535104166665</v>
      </c>
      <c r="L590">
        <v>520</v>
      </c>
      <c r="O590">
        <v>300</v>
      </c>
      <c r="P590">
        <v>3</v>
      </c>
      <c r="Q590">
        <v>100.00000000000004</v>
      </c>
    </row>
    <row r="591" spans="2:17" x14ac:dyDescent="0.25">
      <c r="B591" t="s">
        <v>169</v>
      </c>
      <c r="C591" t="s">
        <v>254</v>
      </c>
      <c r="D591" t="s">
        <v>620</v>
      </c>
      <c r="E591">
        <v>800</v>
      </c>
      <c r="F591" t="s">
        <v>145</v>
      </c>
      <c r="G591" t="s">
        <v>149</v>
      </c>
      <c r="H591" t="s">
        <v>147</v>
      </c>
      <c r="I591" t="s">
        <v>148</v>
      </c>
      <c r="J591">
        <v>0</v>
      </c>
      <c r="K591">
        <v>45335.535115740742</v>
      </c>
      <c r="L591">
        <v>3568</v>
      </c>
      <c r="O591">
        <v>144</v>
      </c>
      <c r="P591">
        <v>5</v>
      </c>
      <c r="Q591">
        <v>79.999999999999972</v>
      </c>
    </row>
    <row r="592" spans="2:17" x14ac:dyDescent="0.25">
      <c r="B592" t="s">
        <v>169</v>
      </c>
      <c r="C592" t="s">
        <v>621</v>
      </c>
      <c r="D592" t="s">
        <v>622</v>
      </c>
      <c r="E592">
        <v>1200</v>
      </c>
      <c r="F592" t="s">
        <v>68</v>
      </c>
      <c r="G592" t="s">
        <v>113</v>
      </c>
      <c r="H592" t="s">
        <v>114</v>
      </c>
      <c r="I592" t="s">
        <v>115</v>
      </c>
      <c r="J592">
        <v>0</v>
      </c>
      <c r="K592">
        <v>45335.535127314812</v>
      </c>
      <c r="L592">
        <v>84600</v>
      </c>
      <c r="O592">
        <v>2400</v>
      </c>
      <c r="P592">
        <v>0</v>
      </c>
      <c r="Q592">
        <v>1200</v>
      </c>
    </row>
    <row r="593" spans="2:17" x14ac:dyDescent="0.25">
      <c r="B593" t="s">
        <v>169</v>
      </c>
      <c r="C593" t="s">
        <v>621</v>
      </c>
      <c r="D593" t="s">
        <v>622</v>
      </c>
      <c r="E593">
        <v>200</v>
      </c>
      <c r="F593" t="s">
        <v>137</v>
      </c>
      <c r="G593" t="s">
        <v>138</v>
      </c>
      <c r="H593" t="s">
        <v>139</v>
      </c>
      <c r="I593" t="s">
        <v>140</v>
      </c>
      <c r="J593">
        <v>0</v>
      </c>
      <c r="K593">
        <v>45335.535127314812</v>
      </c>
      <c r="L593">
        <v>750</v>
      </c>
      <c r="O593">
        <v>10</v>
      </c>
      <c r="P593">
        <v>20</v>
      </c>
      <c r="Q593">
        <v>0</v>
      </c>
    </row>
    <row r="594" spans="2:17" x14ac:dyDescent="0.25">
      <c r="B594" t="s">
        <v>169</v>
      </c>
      <c r="C594" t="s">
        <v>621</v>
      </c>
      <c r="D594" t="s">
        <v>622</v>
      </c>
      <c r="E594">
        <v>20</v>
      </c>
      <c r="F594" t="s">
        <v>137</v>
      </c>
      <c r="G594" t="s">
        <v>143</v>
      </c>
      <c r="H594" t="s">
        <v>144</v>
      </c>
      <c r="I594" t="s">
        <v>140</v>
      </c>
      <c r="J594">
        <v>0</v>
      </c>
      <c r="K594">
        <v>45335.535138888888</v>
      </c>
      <c r="L594">
        <v>635</v>
      </c>
      <c r="O594">
        <v>10</v>
      </c>
      <c r="P594">
        <v>2</v>
      </c>
      <c r="Q594">
        <v>0</v>
      </c>
    </row>
    <row r="595" spans="2:17" x14ac:dyDescent="0.25">
      <c r="B595" t="s">
        <v>169</v>
      </c>
      <c r="C595" t="s">
        <v>621</v>
      </c>
      <c r="D595" t="s">
        <v>622</v>
      </c>
      <c r="E595">
        <v>34</v>
      </c>
      <c r="F595" t="s">
        <v>137</v>
      </c>
      <c r="G595" t="s">
        <v>141</v>
      </c>
      <c r="H595" t="s">
        <v>142</v>
      </c>
      <c r="I595" t="s">
        <v>140</v>
      </c>
      <c r="J595">
        <v>0</v>
      </c>
      <c r="K595">
        <v>45335.535150462965</v>
      </c>
      <c r="L595">
        <v>6098</v>
      </c>
      <c r="O595">
        <v>10</v>
      </c>
      <c r="P595">
        <v>3</v>
      </c>
      <c r="Q595">
        <v>3.9999999999999991</v>
      </c>
    </row>
    <row r="596" spans="2:17" x14ac:dyDescent="0.25">
      <c r="B596" t="s">
        <v>169</v>
      </c>
      <c r="C596" t="s">
        <v>380</v>
      </c>
      <c r="D596" t="s">
        <v>623</v>
      </c>
      <c r="E596">
        <v>1600</v>
      </c>
      <c r="F596" t="s">
        <v>68</v>
      </c>
      <c r="G596" t="s">
        <v>181</v>
      </c>
      <c r="H596" t="s">
        <v>182</v>
      </c>
      <c r="I596" t="s">
        <v>115</v>
      </c>
      <c r="J596">
        <v>0</v>
      </c>
      <c r="K596">
        <v>45335.535162037035</v>
      </c>
      <c r="L596">
        <v>17400</v>
      </c>
      <c r="O596">
        <v>2400</v>
      </c>
      <c r="P596">
        <v>0</v>
      </c>
      <c r="Q596">
        <v>1600</v>
      </c>
    </row>
    <row r="597" spans="2:17" x14ac:dyDescent="0.25">
      <c r="B597" t="s">
        <v>169</v>
      </c>
      <c r="C597" t="s">
        <v>380</v>
      </c>
      <c r="D597" t="s">
        <v>623</v>
      </c>
      <c r="E597">
        <v>1000</v>
      </c>
      <c r="F597" t="s">
        <v>68</v>
      </c>
      <c r="G597" t="s">
        <v>117</v>
      </c>
      <c r="H597" t="s">
        <v>118</v>
      </c>
      <c r="I597" t="s">
        <v>115</v>
      </c>
      <c r="J597">
        <v>0</v>
      </c>
      <c r="K597">
        <v>45335.535173611112</v>
      </c>
      <c r="L597">
        <v>12000</v>
      </c>
      <c r="O597">
        <v>1200</v>
      </c>
      <c r="P597">
        <v>0</v>
      </c>
      <c r="Q597">
        <v>1000</v>
      </c>
    </row>
    <row r="598" spans="2:17" x14ac:dyDescent="0.25">
      <c r="B598" t="s">
        <v>169</v>
      </c>
      <c r="C598" t="s">
        <v>411</v>
      </c>
      <c r="D598" t="s">
        <v>624</v>
      </c>
      <c r="E598">
        <v>40</v>
      </c>
      <c r="F598" t="s">
        <v>68</v>
      </c>
      <c r="G598" t="s">
        <v>773</v>
      </c>
      <c r="H598" t="s">
        <v>180</v>
      </c>
      <c r="I598" t="s">
        <v>154</v>
      </c>
      <c r="J598">
        <v>0</v>
      </c>
      <c r="K598">
        <v>45335.535208333335</v>
      </c>
      <c r="L598">
        <v>250</v>
      </c>
      <c r="O598">
        <v>100</v>
      </c>
      <c r="P598">
        <v>0</v>
      </c>
      <c r="Q598">
        <v>40</v>
      </c>
    </row>
    <row r="599" spans="2:17" x14ac:dyDescent="0.25">
      <c r="B599" t="s">
        <v>169</v>
      </c>
      <c r="C599" t="s">
        <v>411</v>
      </c>
      <c r="D599" t="s">
        <v>624</v>
      </c>
      <c r="E599">
        <v>10</v>
      </c>
      <c r="F599" t="s">
        <v>68</v>
      </c>
      <c r="G599" t="s">
        <v>772</v>
      </c>
      <c r="H599" t="s">
        <v>160</v>
      </c>
      <c r="I599" t="s">
        <v>154</v>
      </c>
      <c r="J599">
        <v>0</v>
      </c>
      <c r="K599">
        <v>45335.535219907404</v>
      </c>
      <c r="L599">
        <v>92</v>
      </c>
      <c r="O599">
        <v>4</v>
      </c>
      <c r="P599">
        <v>2</v>
      </c>
      <c r="Q599">
        <v>2</v>
      </c>
    </row>
    <row r="600" spans="2:17" x14ac:dyDescent="0.25">
      <c r="B600" t="s">
        <v>169</v>
      </c>
      <c r="C600" t="s">
        <v>625</v>
      </c>
      <c r="D600" t="s">
        <v>626</v>
      </c>
      <c r="E600">
        <v>5000</v>
      </c>
      <c r="F600" t="s">
        <v>68</v>
      </c>
      <c r="G600" t="s">
        <v>156</v>
      </c>
      <c r="H600" t="s">
        <v>157</v>
      </c>
      <c r="I600" t="s">
        <v>154</v>
      </c>
      <c r="J600">
        <v>0</v>
      </c>
      <c r="K600">
        <v>45335.535266203704</v>
      </c>
      <c r="L600">
        <v>28120</v>
      </c>
      <c r="O600">
        <v>440</v>
      </c>
      <c r="P600">
        <v>11</v>
      </c>
      <c r="Q600">
        <v>159.99999999999986</v>
      </c>
    </row>
    <row r="601" spans="2:17" x14ac:dyDescent="0.25">
      <c r="B601" t="s">
        <v>169</v>
      </c>
      <c r="C601" t="s">
        <v>385</v>
      </c>
      <c r="D601" t="s">
        <v>627</v>
      </c>
      <c r="E601">
        <v>1200</v>
      </c>
      <c r="F601" t="s">
        <v>68</v>
      </c>
      <c r="G601" t="s">
        <v>212</v>
      </c>
      <c r="H601" t="s">
        <v>213</v>
      </c>
      <c r="I601" t="s">
        <v>154</v>
      </c>
      <c r="J601">
        <v>0</v>
      </c>
      <c r="K601">
        <v>45335.53533564815</v>
      </c>
      <c r="L601">
        <v>6200</v>
      </c>
      <c r="O601">
        <v>100</v>
      </c>
      <c r="P601">
        <v>12</v>
      </c>
      <c r="Q601">
        <v>0</v>
      </c>
    </row>
    <row r="602" spans="2:17" x14ac:dyDescent="0.25">
      <c r="B602" t="s">
        <v>169</v>
      </c>
      <c r="C602" t="s">
        <v>415</v>
      </c>
      <c r="D602" t="s">
        <v>628</v>
      </c>
      <c r="E602">
        <v>400</v>
      </c>
      <c r="F602" t="s">
        <v>68</v>
      </c>
      <c r="G602" t="s">
        <v>129</v>
      </c>
      <c r="H602" t="s">
        <v>130</v>
      </c>
      <c r="I602" t="s">
        <v>115</v>
      </c>
      <c r="J602">
        <v>0</v>
      </c>
      <c r="K602">
        <v>45335.53534722222</v>
      </c>
      <c r="L602">
        <v>28400</v>
      </c>
      <c r="O602">
        <v>2400</v>
      </c>
      <c r="P602">
        <v>0</v>
      </c>
      <c r="Q602">
        <v>400</v>
      </c>
    </row>
    <row r="603" spans="2:17" x14ac:dyDescent="0.25">
      <c r="B603" t="s">
        <v>169</v>
      </c>
      <c r="C603" t="s">
        <v>530</v>
      </c>
      <c r="D603" t="s">
        <v>629</v>
      </c>
      <c r="E603">
        <v>600</v>
      </c>
      <c r="F603" t="s">
        <v>68</v>
      </c>
      <c r="G603" t="s">
        <v>127</v>
      </c>
      <c r="H603" t="s">
        <v>128</v>
      </c>
      <c r="I603" t="s">
        <v>115</v>
      </c>
      <c r="J603">
        <v>0</v>
      </c>
      <c r="K603">
        <v>45335.535358796296</v>
      </c>
      <c r="L603">
        <v>3800</v>
      </c>
      <c r="O603">
        <v>3000</v>
      </c>
      <c r="P603">
        <v>0</v>
      </c>
      <c r="Q603">
        <v>600</v>
      </c>
    </row>
    <row r="604" spans="2:17" x14ac:dyDescent="0.25">
      <c r="B604" t="s">
        <v>169</v>
      </c>
      <c r="C604" t="s">
        <v>388</v>
      </c>
      <c r="D604" t="s">
        <v>630</v>
      </c>
      <c r="E604">
        <v>5</v>
      </c>
      <c r="F604" t="s">
        <v>145</v>
      </c>
      <c r="G604" t="s">
        <v>228</v>
      </c>
      <c r="H604" t="s">
        <v>219</v>
      </c>
      <c r="I604" t="s">
        <v>220</v>
      </c>
      <c r="J604">
        <v>0</v>
      </c>
      <c r="K604">
        <v>45335.535370370373</v>
      </c>
      <c r="L604">
        <v>40</v>
      </c>
      <c r="O604">
        <v>1</v>
      </c>
      <c r="P604">
        <v>5</v>
      </c>
      <c r="Q604">
        <v>0</v>
      </c>
    </row>
    <row r="605" spans="2:17" x14ac:dyDescent="0.25">
      <c r="B605" t="s">
        <v>169</v>
      </c>
      <c r="C605" t="s">
        <v>388</v>
      </c>
      <c r="D605" t="s">
        <v>630</v>
      </c>
      <c r="E605">
        <v>5</v>
      </c>
      <c r="F605" t="s">
        <v>145</v>
      </c>
      <c r="G605" t="s">
        <v>229</v>
      </c>
      <c r="H605" t="s">
        <v>219</v>
      </c>
      <c r="I605" t="s">
        <v>220</v>
      </c>
      <c r="J605">
        <v>0</v>
      </c>
      <c r="K605">
        <v>45335.535393518519</v>
      </c>
      <c r="L605">
        <v>32</v>
      </c>
      <c r="O605">
        <v>1</v>
      </c>
      <c r="P605">
        <v>5</v>
      </c>
      <c r="Q605">
        <v>0</v>
      </c>
    </row>
    <row r="606" spans="2:17" x14ac:dyDescent="0.25">
      <c r="B606" t="s">
        <v>783</v>
      </c>
      <c r="C606" t="s">
        <v>66</v>
      </c>
      <c r="D606" t="s">
        <v>66</v>
      </c>
      <c r="E606">
        <v>7992</v>
      </c>
      <c r="F606" t="s">
        <v>68</v>
      </c>
      <c r="G606" t="s">
        <v>152</v>
      </c>
      <c r="H606" t="s">
        <v>153</v>
      </c>
      <c r="I606" t="s">
        <v>154</v>
      </c>
      <c r="J606">
        <v>1</v>
      </c>
      <c r="K606">
        <v>45335.534930555557</v>
      </c>
      <c r="L606">
        <v>8088</v>
      </c>
      <c r="M606">
        <v>45506</v>
      </c>
      <c r="O606">
        <v>24</v>
      </c>
      <c r="P606">
        <v>333</v>
      </c>
      <c r="Q606">
        <v>0</v>
      </c>
    </row>
    <row r="607" spans="2:17" x14ac:dyDescent="0.25">
      <c r="B607" t="s">
        <v>783</v>
      </c>
      <c r="C607" t="s">
        <v>66</v>
      </c>
      <c r="D607" t="s">
        <v>66</v>
      </c>
      <c r="E607">
        <v>152</v>
      </c>
      <c r="F607" t="s">
        <v>68</v>
      </c>
      <c r="G607" t="s">
        <v>772</v>
      </c>
      <c r="H607" t="s">
        <v>160</v>
      </c>
      <c r="I607" t="s">
        <v>154</v>
      </c>
      <c r="J607">
        <v>1</v>
      </c>
      <c r="K607">
        <v>45335.53597222222</v>
      </c>
      <c r="L607">
        <v>244</v>
      </c>
      <c r="M607">
        <v>45506</v>
      </c>
      <c r="O607">
        <v>4</v>
      </c>
      <c r="P607">
        <v>38</v>
      </c>
      <c r="Q607">
        <v>0</v>
      </c>
    </row>
    <row r="608" spans="2:17" x14ac:dyDescent="0.25">
      <c r="B608" t="s">
        <v>784</v>
      </c>
      <c r="C608" t="s">
        <v>66</v>
      </c>
      <c r="D608" t="s">
        <v>66</v>
      </c>
      <c r="E608">
        <v>50</v>
      </c>
      <c r="F608" t="s">
        <v>68</v>
      </c>
      <c r="G608" t="s">
        <v>423</v>
      </c>
      <c r="H608" t="s">
        <v>192</v>
      </c>
      <c r="J608">
        <v>1</v>
      </c>
      <c r="K608">
        <v>45335.536909722221</v>
      </c>
      <c r="L608">
        <v>88</v>
      </c>
      <c r="M608">
        <v>45506</v>
      </c>
      <c r="O608">
        <v>40</v>
      </c>
      <c r="P608">
        <v>1</v>
      </c>
      <c r="Q608">
        <v>10</v>
      </c>
    </row>
    <row r="609" spans="2:17" x14ac:dyDescent="0.25">
      <c r="B609" t="s">
        <v>785</v>
      </c>
      <c r="C609" t="s">
        <v>66</v>
      </c>
      <c r="D609" t="s">
        <v>66</v>
      </c>
      <c r="E609">
        <v>2304</v>
      </c>
      <c r="F609" t="s">
        <v>68</v>
      </c>
      <c r="G609" t="s">
        <v>165</v>
      </c>
      <c r="H609" t="s">
        <v>166</v>
      </c>
      <c r="J609">
        <v>1</v>
      </c>
      <c r="K609">
        <v>45335.537511574075</v>
      </c>
      <c r="L609">
        <v>2352</v>
      </c>
      <c r="M609">
        <v>45506</v>
      </c>
      <c r="O609">
        <v>24</v>
      </c>
      <c r="P609">
        <v>96</v>
      </c>
      <c r="Q609">
        <v>0</v>
      </c>
    </row>
    <row r="610" spans="2:17" x14ac:dyDescent="0.25">
      <c r="B610" t="s">
        <v>785</v>
      </c>
      <c r="C610" t="s">
        <v>66</v>
      </c>
      <c r="D610" t="s">
        <v>66</v>
      </c>
      <c r="E610">
        <v>768</v>
      </c>
      <c r="F610" t="s">
        <v>68</v>
      </c>
      <c r="G610" t="s">
        <v>119</v>
      </c>
      <c r="H610" t="s">
        <v>173</v>
      </c>
      <c r="J610">
        <v>1</v>
      </c>
      <c r="K610">
        <v>45335.537835648145</v>
      </c>
      <c r="L610">
        <v>880</v>
      </c>
      <c r="M610">
        <v>45506</v>
      </c>
      <c r="O610">
        <v>96</v>
      </c>
      <c r="P610">
        <v>8</v>
      </c>
      <c r="Q610">
        <v>0</v>
      </c>
    </row>
    <row r="611" spans="2:17" x14ac:dyDescent="0.25">
      <c r="B611" t="s">
        <v>631</v>
      </c>
      <c r="C611" t="s">
        <v>66</v>
      </c>
      <c r="D611" t="s">
        <v>66</v>
      </c>
      <c r="E611">
        <v>1440</v>
      </c>
      <c r="F611" t="s">
        <v>145</v>
      </c>
      <c r="G611" t="s">
        <v>149</v>
      </c>
      <c r="H611" t="s">
        <v>147</v>
      </c>
      <c r="I611" t="s">
        <v>148</v>
      </c>
      <c r="J611">
        <v>1</v>
      </c>
      <c r="K611">
        <v>45335.553124999999</v>
      </c>
      <c r="L611">
        <v>5008</v>
      </c>
      <c r="M611">
        <v>45506</v>
      </c>
      <c r="O611">
        <v>144</v>
      </c>
      <c r="P611">
        <v>10</v>
      </c>
      <c r="Q611">
        <v>0</v>
      </c>
    </row>
    <row r="612" spans="2:17" x14ac:dyDescent="0.25">
      <c r="B612" t="s">
        <v>631</v>
      </c>
      <c r="C612" t="s">
        <v>66</v>
      </c>
      <c r="D612" t="s">
        <v>66</v>
      </c>
      <c r="E612">
        <v>1008</v>
      </c>
      <c r="F612" t="s">
        <v>145</v>
      </c>
      <c r="G612" t="s">
        <v>146</v>
      </c>
      <c r="H612" t="s">
        <v>147</v>
      </c>
      <c r="I612" t="s">
        <v>148</v>
      </c>
      <c r="J612">
        <v>1</v>
      </c>
      <c r="K612">
        <v>45335.553796296299</v>
      </c>
      <c r="L612">
        <v>1228</v>
      </c>
      <c r="M612">
        <v>45506</v>
      </c>
      <c r="O612">
        <v>144</v>
      </c>
      <c r="P612">
        <v>7</v>
      </c>
      <c r="Q612">
        <v>0</v>
      </c>
    </row>
    <row r="613" spans="2:17" x14ac:dyDescent="0.25">
      <c r="B613" t="s">
        <v>631</v>
      </c>
      <c r="C613" t="s">
        <v>66</v>
      </c>
      <c r="D613" t="s">
        <v>66</v>
      </c>
      <c r="E613">
        <v>2880</v>
      </c>
      <c r="F613" t="s">
        <v>145</v>
      </c>
      <c r="G613" t="s">
        <v>150</v>
      </c>
      <c r="H613" t="s">
        <v>147</v>
      </c>
      <c r="I613" t="s">
        <v>148</v>
      </c>
      <c r="J613">
        <v>1</v>
      </c>
      <c r="K613">
        <v>45335.554837962962</v>
      </c>
      <c r="L613">
        <v>4246</v>
      </c>
      <c r="M613">
        <v>45506</v>
      </c>
      <c r="O613">
        <v>144</v>
      </c>
      <c r="P613">
        <v>20</v>
      </c>
      <c r="Q613">
        <v>0</v>
      </c>
    </row>
    <row r="614" spans="2:17" x14ac:dyDescent="0.25">
      <c r="B614" t="s">
        <v>631</v>
      </c>
      <c r="C614" t="s">
        <v>66</v>
      </c>
      <c r="D614" t="s">
        <v>728</v>
      </c>
      <c r="E614">
        <v>1008</v>
      </c>
      <c r="F614" t="s">
        <v>145</v>
      </c>
      <c r="G614" t="s">
        <v>151</v>
      </c>
      <c r="H614" t="s">
        <v>147</v>
      </c>
      <c r="I614" t="s">
        <v>148</v>
      </c>
      <c r="J614">
        <v>1</v>
      </c>
      <c r="K614">
        <v>45335.555208333331</v>
      </c>
      <c r="L614">
        <v>1868</v>
      </c>
      <c r="M614">
        <v>45506</v>
      </c>
      <c r="O614">
        <v>144</v>
      </c>
      <c r="P614">
        <v>7</v>
      </c>
      <c r="Q614">
        <v>0</v>
      </c>
    </row>
    <row r="615" spans="2:17" x14ac:dyDescent="0.25">
      <c r="B615" t="s">
        <v>632</v>
      </c>
      <c r="C615" t="s">
        <v>66</v>
      </c>
      <c r="D615" t="s">
        <v>66</v>
      </c>
      <c r="E615">
        <v>1000</v>
      </c>
      <c r="F615" t="s">
        <v>68</v>
      </c>
      <c r="G615" t="s">
        <v>163</v>
      </c>
      <c r="H615" t="s">
        <v>164</v>
      </c>
      <c r="I615" t="s">
        <v>115</v>
      </c>
      <c r="J615">
        <v>1</v>
      </c>
      <c r="K615">
        <v>45335.672453703701</v>
      </c>
      <c r="L615">
        <v>2150</v>
      </c>
      <c r="M615">
        <v>45330</v>
      </c>
      <c r="O615">
        <v>100</v>
      </c>
      <c r="P615">
        <v>10</v>
      </c>
      <c r="Q615">
        <v>0</v>
      </c>
    </row>
    <row r="616" spans="2:17" x14ac:dyDescent="0.25">
      <c r="B616" t="s">
        <v>314</v>
      </c>
      <c r="C616" t="s">
        <v>447</v>
      </c>
      <c r="D616" t="s">
        <v>633</v>
      </c>
      <c r="E616">
        <v>100</v>
      </c>
      <c r="F616" t="s">
        <v>68</v>
      </c>
      <c r="G616" t="s">
        <v>161</v>
      </c>
      <c r="H616" t="s">
        <v>162</v>
      </c>
      <c r="I616" t="s">
        <v>115</v>
      </c>
      <c r="J616">
        <v>0</v>
      </c>
      <c r="K616">
        <v>45336.484247685185</v>
      </c>
      <c r="L616">
        <v>986</v>
      </c>
      <c r="O616">
        <v>200</v>
      </c>
      <c r="P616">
        <v>0</v>
      </c>
      <c r="Q616">
        <v>100</v>
      </c>
    </row>
    <row r="617" spans="2:17" x14ac:dyDescent="0.25">
      <c r="B617" t="s">
        <v>314</v>
      </c>
      <c r="C617" t="s">
        <v>502</v>
      </c>
      <c r="D617" t="s">
        <v>634</v>
      </c>
      <c r="E617">
        <v>12000</v>
      </c>
      <c r="F617" t="s">
        <v>68</v>
      </c>
      <c r="G617" t="s">
        <v>113</v>
      </c>
      <c r="H617" t="s">
        <v>114</v>
      </c>
      <c r="I617" t="s">
        <v>115</v>
      </c>
      <c r="J617">
        <v>0</v>
      </c>
      <c r="K617">
        <v>45336.484293981484</v>
      </c>
      <c r="L617">
        <v>72600</v>
      </c>
      <c r="O617">
        <v>2400</v>
      </c>
      <c r="P617">
        <v>5</v>
      </c>
      <c r="Q617">
        <v>0</v>
      </c>
    </row>
    <row r="618" spans="2:17" x14ac:dyDescent="0.25">
      <c r="B618" t="s">
        <v>314</v>
      </c>
      <c r="C618" t="s">
        <v>561</v>
      </c>
      <c r="D618" t="s">
        <v>635</v>
      </c>
      <c r="E618">
        <v>6000</v>
      </c>
      <c r="F618" t="s">
        <v>68</v>
      </c>
      <c r="G618" t="s">
        <v>117</v>
      </c>
      <c r="H618" t="s">
        <v>118</v>
      </c>
      <c r="I618" t="s">
        <v>115</v>
      </c>
      <c r="J618">
        <v>0</v>
      </c>
      <c r="K618">
        <v>45336.484317129631</v>
      </c>
      <c r="L618">
        <v>6000</v>
      </c>
      <c r="O618">
        <v>1200</v>
      </c>
      <c r="P618">
        <v>5</v>
      </c>
      <c r="Q618">
        <v>0</v>
      </c>
    </row>
    <row r="619" spans="2:17" x14ac:dyDescent="0.25">
      <c r="B619" t="s">
        <v>314</v>
      </c>
      <c r="C619" t="s">
        <v>585</v>
      </c>
      <c r="D619" t="s">
        <v>636</v>
      </c>
      <c r="E619">
        <v>10</v>
      </c>
      <c r="F619" t="s">
        <v>68</v>
      </c>
      <c r="G619" t="s">
        <v>168</v>
      </c>
      <c r="H619" t="s">
        <v>166</v>
      </c>
      <c r="J619">
        <v>0</v>
      </c>
      <c r="K619">
        <v>45336.484340277777</v>
      </c>
      <c r="L619">
        <v>1168</v>
      </c>
      <c r="O619">
        <v>12</v>
      </c>
      <c r="P619">
        <v>0</v>
      </c>
      <c r="Q619">
        <v>10</v>
      </c>
    </row>
    <row r="620" spans="2:17" x14ac:dyDescent="0.25">
      <c r="B620" t="s">
        <v>314</v>
      </c>
      <c r="C620" t="s">
        <v>585</v>
      </c>
      <c r="D620" t="s">
        <v>636</v>
      </c>
      <c r="E620">
        <v>150</v>
      </c>
      <c r="F620" t="s">
        <v>68</v>
      </c>
      <c r="G620" t="s">
        <v>163</v>
      </c>
      <c r="H620" t="s">
        <v>164</v>
      </c>
      <c r="I620" t="s">
        <v>115</v>
      </c>
      <c r="J620">
        <v>0</v>
      </c>
      <c r="K620">
        <v>45336.484363425923</v>
      </c>
      <c r="L620">
        <v>2000</v>
      </c>
      <c r="O620">
        <v>100</v>
      </c>
      <c r="P620">
        <v>1</v>
      </c>
      <c r="Q620">
        <v>50</v>
      </c>
    </row>
    <row r="621" spans="2:17" x14ac:dyDescent="0.25">
      <c r="B621" t="s">
        <v>314</v>
      </c>
      <c r="C621" t="s">
        <v>357</v>
      </c>
      <c r="D621" t="s">
        <v>637</v>
      </c>
      <c r="E621">
        <v>144</v>
      </c>
      <c r="F621" t="s">
        <v>145</v>
      </c>
      <c r="G621" t="s">
        <v>150</v>
      </c>
      <c r="H621" t="s">
        <v>147</v>
      </c>
      <c r="I621" t="s">
        <v>148</v>
      </c>
      <c r="J621">
        <v>0</v>
      </c>
      <c r="K621">
        <v>45336.484386574077</v>
      </c>
      <c r="L621">
        <v>4102</v>
      </c>
      <c r="O621">
        <v>144</v>
      </c>
      <c r="P621">
        <v>1</v>
      </c>
      <c r="Q621">
        <v>0</v>
      </c>
    </row>
    <row r="622" spans="2:17" x14ac:dyDescent="0.25">
      <c r="B622" t="s">
        <v>314</v>
      </c>
      <c r="C622" t="s">
        <v>472</v>
      </c>
      <c r="D622" t="s">
        <v>638</v>
      </c>
      <c r="E622">
        <v>150</v>
      </c>
      <c r="F622" t="s">
        <v>137</v>
      </c>
      <c r="G622" t="s">
        <v>143</v>
      </c>
      <c r="H622" t="s">
        <v>144</v>
      </c>
      <c r="I622" t="s">
        <v>140</v>
      </c>
      <c r="J622">
        <v>0</v>
      </c>
      <c r="K622">
        <v>45336.484409722223</v>
      </c>
      <c r="L622">
        <v>485</v>
      </c>
      <c r="O622">
        <v>10</v>
      </c>
      <c r="P622">
        <v>15</v>
      </c>
      <c r="Q622">
        <v>0</v>
      </c>
    </row>
    <row r="623" spans="2:17" x14ac:dyDescent="0.25">
      <c r="B623" t="s">
        <v>314</v>
      </c>
      <c r="C623" t="s">
        <v>472</v>
      </c>
      <c r="D623" t="s">
        <v>638</v>
      </c>
      <c r="E623">
        <v>70</v>
      </c>
      <c r="F623" t="s">
        <v>137</v>
      </c>
      <c r="G623" t="s">
        <v>138</v>
      </c>
      <c r="H623" t="s">
        <v>139</v>
      </c>
      <c r="I623" t="s">
        <v>140</v>
      </c>
      <c r="J623">
        <v>0</v>
      </c>
      <c r="K623">
        <v>45336.484432870369</v>
      </c>
      <c r="L623">
        <v>680</v>
      </c>
      <c r="O623">
        <v>10</v>
      </c>
      <c r="P623">
        <v>7</v>
      </c>
      <c r="Q623">
        <v>0</v>
      </c>
    </row>
    <row r="624" spans="2:17" x14ac:dyDescent="0.25">
      <c r="B624" t="s">
        <v>314</v>
      </c>
      <c r="C624" t="s">
        <v>472</v>
      </c>
      <c r="D624" t="s">
        <v>638</v>
      </c>
      <c r="E624">
        <v>80</v>
      </c>
      <c r="F624" t="s">
        <v>137</v>
      </c>
      <c r="G624" t="s">
        <v>141</v>
      </c>
      <c r="H624" t="s">
        <v>142</v>
      </c>
      <c r="I624" t="s">
        <v>140</v>
      </c>
      <c r="J624">
        <v>0</v>
      </c>
      <c r="K624">
        <v>45336.484456018516</v>
      </c>
      <c r="L624">
        <v>6018</v>
      </c>
      <c r="O624">
        <v>10</v>
      </c>
      <c r="P624">
        <v>8</v>
      </c>
      <c r="Q624">
        <v>0</v>
      </c>
    </row>
    <row r="625" spans="2:17" x14ac:dyDescent="0.25">
      <c r="B625" t="s">
        <v>314</v>
      </c>
      <c r="C625" t="s">
        <v>258</v>
      </c>
      <c r="D625" t="s">
        <v>639</v>
      </c>
      <c r="E625">
        <v>6</v>
      </c>
      <c r="F625" t="s">
        <v>68</v>
      </c>
      <c r="G625" t="s">
        <v>771</v>
      </c>
      <c r="H625" t="s">
        <v>158</v>
      </c>
      <c r="I625" t="s">
        <v>154</v>
      </c>
      <c r="J625">
        <v>0</v>
      </c>
      <c r="K625">
        <v>45336.484479166669</v>
      </c>
      <c r="L625">
        <v>129</v>
      </c>
      <c r="O625">
        <v>24</v>
      </c>
      <c r="P625">
        <v>0</v>
      </c>
      <c r="Q625">
        <v>6</v>
      </c>
    </row>
    <row r="626" spans="2:17" x14ac:dyDescent="0.25">
      <c r="B626" t="s">
        <v>314</v>
      </c>
      <c r="C626" t="s">
        <v>587</v>
      </c>
      <c r="D626" t="s">
        <v>640</v>
      </c>
      <c r="E626">
        <v>240</v>
      </c>
      <c r="F626" t="s">
        <v>68</v>
      </c>
      <c r="G626" t="s">
        <v>174</v>
      </c>
      <c r="H626" t="s">
        <v>175</v>
      </c>
      <c r="I626" t="s">
        <v>176</v>
      </c>
      <c r="J626">
        <v>0</v>
      </c>
      <c r="K626">
        <v>45336.484513888892</v>
      </c>
      <c r="L626">
        <v>280</v>
      </c>
      <c r="O626">
        <v>300</v>
      </c>
      <c r="P626">
        <v>0</v>
      </c>
      <c r="Q626">
        <v>240</v>
      </c>
    </row>
    <row r="627" spans="2:17" x14ac:dyDescent="0.25">
      <c r="B627" t="s">
        <v>314</v>
      </c>
      <c r="C627" t="s">
        <v>587</v>
      </c>
      <c r="D627" t="s">
        <v>640</v>
      </c>
      <c r="E627">
        <v>50</v>
      </c>
      <c r="F627" t="s">
        <v>68</v>
      </c>
      <c r="G627" t="s">
        <v>773</v>
      </c>
      <c r="H627" t="s">
        <v>180</v>
      </c>
      <c r="I627" t="s">
        <v>154</v>
      </c>
      <c r="J627">
        <v>0</v>
      </c>
      <c r="K627">
        <v>45336.484537037039</v>
      </c>
      <c r="L627">
        <v>200</v>
      </c>
      <c r="O627">
        <v>100</v>
      </c>
      <c r="P627">
        <v>0</v>
      </c>
      <c r="Q627">
        <v>50</v>
      </c>
    </row>
    <row r="628" spans="2:17" x14ac:dyDescent="0.25">
      <c r="B628" t="s">
        <v>314</v>
      </c>
      <c r="C628" t="s">
        <v>587</v>
      </c>
      <c r="D628" t="s">
        <v>640</v>
      </c>
      <c r="E628">
        <v>10</v>
      </c>
      <c r="F628" t="s">
        <v>68</v>
      </c>
      <c r="G628" t="s">
        <v>772</v>
      </c>
      <c r="H628" t="s">
        <v>160</v>
      </c>
      <c r="I628" t="s">
        <v>154</v>
      </c>
      <c r="J628">
        <v>0</v>
      </c>
      <c r="K628">
        <v>45336.484560185185</v>
      </c>
      <c r="L628">
        <v>234</v>
      </c>
      <c r="O628">
        <v>4</v>
      </c>
      <c r="P628">
        <v>2</v>
      </c>
      <c r="Q628">
        <v>2</v>
      </c>
    </row>
    <row r="629" spans="2:17" x14ac:dyDescent="0.25">
      <c r="B629" t="s">
        <v>314</v>
      </c>
      <c r="C629" t="s">
        <v>338</v>
      </c>
      <c r="D629" t="s">
        <v>641</v>
      </c>
      <c r="E629">
        <v>2500</v>
      </c>
      <c r="F629" t="s">
        <v>68</v>
      </c>
      <c r="G629" t="s">
        <v>156</v>
      </c>
      <c r="H629" t="s">
        <v>157</v>
      </c>
      <c r="I629" t="s">
        <v>154</v>
      </c>
      <c r="J629">
        <v>0</v>
      </c>
      <c r="K629">
        <v>45336.484618055554</v>
      </c>
      <c r="L629">
        <v>25620</v>
      </c>
      <c r="O629">
        <v>440</v>
      </c>
      <c r="P629">
        <v>5</v>
      </c>
      <c r="Q629">
        <v>299.99999999999994</v>
      </c>
    </row>
    <row r="630" spans="2:17" x14ac:dyDescent="0.25">
      <c r="B630" t="s">
        <v>314</v>
      </c>
      <c r="C630" t="s">
        <v>260</v>
      </c>
      <c r="D630" t="s">
        <v>642</v>
      </c>
      <c r="E630">
        <v>2</v>
      </c>
      <c r="F630" t="s">
        <v>68</v>
      </c>
      <c r="G630" t="s">
        <v>193</v>
      </c>
      <c r="H630" t="s">
        <v>194</v>
      </c>
      <c r="J630">
        <v>0</v>
      </c>
      <c r="K630">
        <v>45336.4846875</v>
      </c>
      <c r="L630">
        <v>4</v>
      </c>
      <c r="O630">
        <v>36</v>
      </c>
      <c r="P630">
        <v>0</v>
      </c>
      <c r="Q630">
        <v>2</v>
      </c>
    </row>
    <row r="631" spans="2:17" x14ac:dyDescent="0.25">
      <c r="B631" t="s">
        <v>314</v>
      </c>
      <c r="C631" t="s">
        <v>260</v>
      </c>
      <c r="D631" t="s">
        <v>642</v>
      </c>
      <c r="E631">
        <v>120</v>
      </c>
      <c r="F631" t="s">
        <v>68</v>
      </c>
      <c r="G631" t="s">
        <v>420</v>
      </c>
      <c r="H631" t="s">
        <v>159</v>
      </c>
      <c r="I631" t="s">
        <v>154</v>
      </c>
      <c r="J631">
        <v>0</v>
      </c>
      <c r="K631">
        <v>45336.484722222223</v>
      </c>
      <c r="L631">
        <v>4420</v>
      </c>
      <c r="O631">
        <v>60</v>
      </c>
      <c r="P631">
        <v>2</v>
      </c>
      <c r="Q631">
        <v>0</v>
      </c>
    </row>
    <row r="632" spans="2:17" x14ac:dyDescent="0.25">
      <c r="B632" t="s">
        <v>314</v>
      </c>
      <c r="C632" t="s">
        <v>422</v>
      </c>
      <c r="D632" t="s">
        <v>643</v>
      </c>
      <c r="E632">
        <v>12000</v>
      </c>
      <c r="F632" t="s">
        <v>68</v>
      </c>
      <c r="G632" t="s">
        <v>133</v>
      </c>
      <c r="H632" t="s">
        <v>134</v>
      </c>
      <c r="I632" t="s">
        <v>115</v>
      </c>
      <c r="J632">
        <v>0</v>
      </c>
      <c r="K632">
        <v>45336.484756944446</v>
      </c>
      <c r="L632">
        <v>120100</v>
      </c>
      <c r="O632">
        <v>2400</v>
      </c>
      <c r="P632">
        <v>5</v>
      </c>
      <c r="Q632">
        <v>0</v>
      </c>
    </row>
    <row r="633" spans="2:17" x14ac:dyDescent="0.25">
      <c r="B633" t="s">
        <v>314</v>
      </c>
      <c r="C633" t="s">
        <v>422</v>
      </c>
      <c r="D633" t="s">
        <v>643</v>
      </c>
      <c r="E633">
        <v>120</v>
      </c>
      <c r="F633" t="s">
        <v>68</v>
      </c>
      <c r="G633" t="s">
        <v>212</v>
      </c>
      <c r="H633" t="s">
        <v>213</v>
      </c>
      <c r="I633" t="s">
        <v>154</v>
      </c>
      <c r="J633">
        <v>0</v>
      </c>
      <c r="K633">
        <v>45336.484780092593</v>
      </c>
      <c r="L633">
        <v>6080</v>
      </c>
      <c r="O633">
        <v>100</v>
      </c>
      <c r="P633">
        <v>1</v>
      </c>
      <c r="Q633">
        <v>19.999999999999996</v>
      </c>
    </row>
    <row r="634" spans="2:17" x14ac:dyDescent="0.25">
      <c r="B634" t="s">
        <v>314</v>
      </c>
      <c r="C634" t="s">
        <v>422</v>
      </c>
      <c r="D634" t="s">
        <v>643</v>
      </c>
      <c r="E634">
        <v>2</v>
      </c>
      <c r="F634" t="s">
        <v>68</v>
      </c>
      <c r="G634" t="s">
        <v>423</v>
      </c>
      <c r="H634" t="s">
        <v>192</v>
      </c>
      <c r="J634">
        <v>0</v>
      </c>
      <c r="K634">
        <v>45336.484814814816</v>
      </c>
      <c r="L634">
        <v>86</v>
      </c>
      <c r="O634">
        <v>40</v>
      </c>
      <c r="P634">
        <v>0</v>
      </c>
      <c r="Q634">
        <v>2</v>
      </c>
    </row>
    <row r="635" spans="2:17" x14ac:dyDescent="0.25">
      <c r="B635" t="s">
        <v>314</v>
      </c>
      <c r="C635" t="s">
        <v>497</v>
      </c>
      <c r="D635" t="s">
        <v>644</v>
      </c>
      <c r="E635">
        <v>36</v>
      </c>
      <c r="F635" t="s">
        <v>68</v>
      </c>
      <c r="G635" t="s">
        <v>177</v>
      </c>
      <c r="H635" t="s">
        <v>178</v>
      </c>
      <c r="J635">
        <v>0</v>
      </c>
      <c r="K635">
        <v>45336.484849537039</v>
      </c>
      <c r="L635">
        <v>191</v>
      </c>
      <c r="O635">
        <v>4</v>
      </c>
      <c r="P635">
        <v>9</v>
      </c>
      <c r="Q635">
        <v>0</v>
      </c>
    </row>
    <row r="636" spans="2:17" x14ac:dyDescent="0.25">
      <c r="B636" t="s">
        <v>314</v>
      </c>
      <c r="C636" t="s">
        <v>645</v>
      </c>
      <c r="D636" t="s">
        <v>646</v>
      </c>
      <c r="E636">
        <v>300</v>
      </c>
      <c r="F636" t="s">
        <v>68</v>
      </c>
      <c r="G636" t="s">
        <v>170</v>
      </c>
      <c r="H636" t="s">
        <v>171</v>
      </c>
      <c r="I636" t="s">
        <v>172</v>
      </c>
      <c r="J636">
        <v>0</v>
      </c>
      <c r="K636">
        <v>45336.484907407408</v>
      </c>
      <c r="L636">
        <v>812</v>
      </c>
      <c r="O636">
        <v>36</v>
      </c>
      <c r="P636">
        <v>8</v>
      </c>
      <c r="Q636">
        <v>12.000000000000021</v>
      </c>
    </row>
    <row r="637" spans="2:17" x14ac:dyDescent="0.25">
      <c r="B637" t="s">
        <v>647</v>
      </c>
      <c r="C637" t="s">
        <v>66</v>
      </c>
      <c r="D637" t="s">
        <v>66</v>
      </c>
      <c r="E637">
        <v>400</v>
      </c>
      <c r="F637" t="s">
        <v>68</v>
      </c>
      <c r="G637" t="s">
        <v>289</v>
      </c>
      <c r="H637" t="s">
        <v>290</v>
      </c>
      <c r="I637" t="s">
        <v>115</v>
      </c>
      <c r="J637">
        <v>1</v>
      </c>
      <c r="K637">
        <v>45336.542685185188</v>
      </c>
      <c r="L637">
        <v>400</v>
      </c>
      <c r="M637">
        <v>45537</v>
      </c>
      <c r="O637">
        <v>1</v>
      </c>
      <c r="P637">
        <v>400</v>
      </c>
      <c r="Q637">
        <v>0</v>
      </c>
    </row>
    <row r="638" spans="2:17" x14ac:dyDescent="0.25">
      <c r="B638" t="s">
        <v>647</v>
      </c>
      <c r="C638" t="s">
        <v>66</v>
      </c>
      <c r="D638" t="s">
        <v>66</v>
      </c>
      <c r="E638">
        <v>40000</v>
      </c>
      <c r="F638" t="s">
        <v>68</v>
      </c>
      <c r="G638" t="s">
        <v>117</v>
      </c>
      <c r="H638" t="s">
        <v>118</v>
      </c>
      <c r="I638" t="s">
        <v>115</v>
      </c>
      <c r="J638">
        <v>1</v>
      </c>
      <c r="K638">
        <v>45336.542800925927</v>
      </c>
      <c r="L638">
        <v>46000</v>
      </c>
      <c r="M638">
        <v>45537</v>
      </c>
      <c r="O638">
        <v>1200</v>
      </c>
      <c r="P638">
        <v>33</v>
      </c>
      <c r="Q638">
        <v>400.00000000000284</v>
      </c>
    </row>
    <row r="639" spans="2:17" x14ac:dyDescent="0.25">
      <c r="B639" t="s">
        <v>314</v>
      </c>
      <c r="C639" t="s">
        <v>422</v>
      </c>
      <c r="D639" t="s">
        <v>648</v>
      </c>
      <c r="E639">
        <v>250</v>
      </c>
      <c r="F639" t="s">
        <v>68</v>
      </c>
      <c r="G639" t="s">
        <v>165</v>
      </c>
      <c r="H639" t="s">
        <v>166</v>
      </c>
      <c r="J639">
        <v>0</v>
      </c>
      <c r="K639">
        <v>45337.672777777778</v>
      </c>
      <c r="L639">
        <v>2102</v>
      </c>
      <c r="O639">
        <v>24</v>
      </c>
      <c r="P639">
        <v>10</v>
      </c>
      <c r="Q639">
        <v>9.9999999999999858</v>
      </c>
    </row>
    <row r="640" spans="2:17" x14ac:dyDescent="0.25">
      <c r="B640" t="s">
        <v>314</v>
      </c>
      <c r="C640" t="s">
        <v>649</v>
      </c>
      <c r="D640" t="s">
        <v>650</v>
      </c>
      <c r="E640">
        <v>500</v>
      </c>
      <c r="F640" t="s">
        <v>68</v>
      </c>
      <c r="G640" t="s">
        <v>125</v>
      </c>
      <c r="H640" t="s">
        <v>126</v>
      </c>
      <c r="I640" t="s">
        <v>115</v>
      </c>
      <c r="J640">
        <v>0</v>
      </c>
      <c r="K640">
        <v>45337.673333333332</v>
      </c>
      <c r="L640">
        <v>13800</v>
      </c>
      <c r="O640">
        <v>1200</v>
      </c>
      <c r="P640">
        <v>0</v>
      </c>
      <c r="Q640">
        <v>500</v>
      </c>
    </row>
    <row r="641" spans="1:17" x14ac:dyDescent="0.25">
      <c r="B641" t="s">
        <v>169</v>
      </c>
      <c r="C641" t="s">
        <v>255</v>
      </c>
      <c r="D641" t="s">
        <v>651</v>
      </c>
      <c r="E641">
        <v>100</v>
      </c>
      <c r="F641" t="s">
        <v>68</v>
      </c>
      <c r="G641" t="s">
        <v>177</v>
      </c>
      <c r="H641" t="s">
        <v>178</v>
      </c>
      <c r="J641">
        <v>0</v>
      </c>
      <c r="K641">
        <v>45337.677893518521</v>
      </c>
      <c r="L641">
        <v>91</v>
      </c>
      <c r="O641">
        <v>4</v>
      </c>
      <c r="P641">
        <v>25</v>
      </c>
      <c r="Q641">
        <v>0</v>
      </c>
    </row>
    <row r="642" spans="1:17" x14ac:dyDescent="0.25">
      <c r="B642" t="s">
        <v>169</v>
      </c>
      <c r="C642" t="s">
        <v>652</v>
      </c>
      <c r="D642" t="s">
        <v>653</v>
      </c>
      <c r="E642">
        <v>5600</v>
      </c>
      <c r="F642" t="s">
        <v>68</v>
      </c>
      <c r="G642" t="s">
        <v>133</v>
      </c>
      <c r="H642" t="s">
        <v>134</v>
      </c>
      <c r="I642" t="s">
        <v>115</v>
      </c>
      <c r="J642">
        <v>0</v>
      </c>
      <c r="K642">
        <v>45337.677928240744</v>
      </c>
      <c r="L642">
        <v>114500</v>
      </c>
      <c r="O642">
        <v>2400</v>
      </c>
      <c r="P642">
        <v>2</v>
      </c>
      <c r="Q642">
        <v>800.00000000000034</v>
      </c>
    </row>
    <row r="643" spans="1:17" x14ac:dyDescent="0.25">
      <c r="B643" t="s">
        <v>169</v>
      </c>
      <c r="C643" t="s">
        <v>380</v>
      </c>
      <c r="D643" t="s">
        <v>654</v>
      </c>
      <c r="E643">
        <v>1000</v>
      </c>
      <c r="F643" t="s">
        <v>68</v>
      </c>
      <c r="G643" t="s">
        <v>117</v>
      </c>
      <c r="H643" t="s">
        <v>118</v>
      </c>
      <c r="I643" t="s">
        <v>115</v>
      </c>
      <c r="J643">
        <v>0</v>
      </c>
      <c r="K643">
        <v>45337.67796296296</v>
      </c>
      <c r="L643">
        <v>45000</v>
      </c>
      <c r="O643">
        <v>1200</v>
      </c>
      <c r="P643">
        <v>0</v>
      </c>
      <c r="Q643">
        <v>1000</v>
      </c>
    </row>
    <row r="644" spans="1:17" x14ac:dyDescent="0.25">
      <c r="B644" t="s">
        <v>169</v>
      </c>
      <c r="C644" t="s">
        <v>380</v>
      </c>
      <c r="D644" t="s">
        <v>654</v>
      </c>
      <c r="E644">
        <v>1600</v>
      </c>
      <c r="F644" t="s">
        <v>68</v>
      </c>
      <c r="G644" t="s">
        <v>181</v>
      </c>
      <c r="H644" t="s">
        <v>182</v>
      </c>
      <c r="I644" t="s">
        <v>115</v>
      </c>
      <c r="J644">
        <v>0</v>
      </c>
      <c r="K644">
        <v>45337.677986111114</v>
      </c>
      <c r="L644">
        <v>15800</v>
      </c>
      <c r="O644">
        <v>2400</v>
      </c>
      <c r="P644">
        <v>0</v>
      </c>
      <c r="Q644">
        <v>1600</v>
      </c>
    </row>
    <row r="645" spans="1:17" x14ac:dyDescent="0.25">
      <c r="B645" t="s">
        <v>169</v>
      </c>
      <c r="C645" t="s">
        <v>575</v>
      </c>
      <c r="D645" t="s">
        <v>655</v>
      </c>
      <c r="E645">
        <v>200</v>
      </c>
      <c r="F645" t="s">
        <v>68</v>
      </c>
      <c r="G645" t="s">
        <v>152</v>
      </c>
      <c r="H645" t="s">
        <v>153</v>
      </c>
      <c r="I645" t="s">
        <v>154</v>
      </c>
      <c r="J645">
        <v>0</v>
      </c>
      <c r="K645">
        <v>45337.67800925926</v>
      </c>
      <c r="L645">
        <v>7688</v>
      </c>
      <c r="O645">
        <v>24</v>
      </c>
      <c r="P645">
        <v>8</v>
      </c>
      <c r="Q645">
        <v>8.0000000000000142</v>
      </c>
    </row>
    <row r="646" spans="1:17" x14ac:dyDescent="0.25">
      <c r="B646" t="s">
        <v>169</v>
      </c>
      <c r="C646" t="s">
        <v>621</v>
      </c>
      <c r="D646" t="s">
        <v>656</v>
      </c>
      <c r="E646">
        <v>1200</v>
      </c>
      <c r="F646" t="s">
        <v>68</v>
      </c>
      <c r="G646" t="s">
        <v>113</v>
      </c>
      <c r="H646" t="s">
        <v>114</v>
      </c>
      <c r="I646" t="s">
        <v>115</v>
      </c>
      <c r="J646">
        <v>0</v>
      </c>
      <c r="K646">
        <v>45337.678032407406</v>
      </c>
      <c r="L646">
        <v>71400</v>
      </c>
      <c r="O646">
        <v>2400</v>
      </c>
      <c r="P646">
        <v>0</v>
      </c>
      <c r="Q646">
        <v>1200</v>
      </c>
    </row>
    <row r="647" spans="1:17" x14ac:dyDescent="0.25">
      <c r="B647" t="s">
        <v>169</v>
      </c>
      <c r="C647" t="s">
        <v>621</v>
      </c>
      <c r="D647" t="s">
        <v>656</v>
      </c>
      <c r="E647">
        <v>200</v>
      </c>
      <c r="F647" t="s">
        <v>137</v>
      </c>
      <c r="G647" t="s">
        <v>138</v>
      </c>
      <c r="H647" t="s">
        <v>139</v>
      </c>
      <c r="I647" t="s">
        <v>140</v>
      </c>
      <c r="J647">
        <v>0</v>
      </c>
      <c r="K647">
        <v>45337.678055555552</v>
      </c>
      <c r="L647">
        <v>480</v>
      </c>
      <c r="O647">
        <v>10</v>
      </c>
      <c r="P647">
        <v>20</v>
      </c>
      <c r="Q647">
        <v>0</v>
      </c>
    </row>
    <row r="648" spans="1:17" x14ac:dyDescent="0.25">
      <c r="B648" t="s">
        <v>169</v>
      </c>
      <c r="C648" t="s">
        <v>621</v>
      </c>
      <c r="D648" t="s">
        <v>656</v>
      </c>
      <c r="E648">
        <v>20</v>
      </c>
      <c r="F648" t="s">
        <v>137</v>
      </c>
      <c r="G648" t="s">
        <v>138</v>
      </c>
      <c r="H648" t="s">
        <v>139</v>
      </c>
      <c r="I648" t="s">
        <v>140</v>
      </c>
      <c r="J648">
        <v>0</v>
      </c>
      <c r="K648">
        <v>45337.678078703706</v>
      </c>
      <c r="L648">
        <v>460</v>
      </c>
      <c r="O648">
        <v>10</v>
      </c>
      <c r="P648">
        <v>2</v>
      </c>
      <c r="Q648">
        <v>0</v>
      </c>
    </row>
    <row r="649" spans="1:17" x14ac:dyDescent="0.25">
      <c r="B649" t="s">
        <v>169</v>
      </c>
      <c r="C649" t="s">
        <v>621</v>
      </c>
      <c r="D649" t="s">
        <v>656</v>
      </c>
      <c r="E649">
        <v>34</v>
      </c>
      <c r="F649" t="s">
        <v>137</v>
      </c>
      <c r="G649" t="s">
        <v>141</v>
      </c>
      <c r="H649" t="s">
        <v>142</v>
      </c>
      <c r="I649" t="s">
        <v>140</v>
      </c>
      <c r="J649">
        <v>0</v>
      </c>
      <c r="K649">
        <v>45337.678113425929</v>
      </c>
      <c r="L649">
        <v>5984</v>
      </c>
      <c r="O649">
        <v>10</v>
      </c>
      <c r="P649">
        <v>3</v>
      </c>
      <c r="Q649">
        <v>3.9999999999999991</v>
      </c>
    </row>
    <row r="650" spans="1:17" x14ac:dyDescent="0.25">
      <c r="B650" t="s">
        <v>169</v>
      </c>
      <c r="C650" t="s">
        <v>411</v>
      </c>
      <c r="D650" t="s">
        <v>657</v>
      </c>
      <c r="E650">
        <v>10</v>
      </c>
      <c r="F650" t="s">
        <v>68</v>
      </c>
      <c r="G650" t="s">
        <v>772</v>
      </c>
      <c r="H650" t="s">
        <v>160</v>
      </c>
      <c r="I650" t="s">
        <v>154</v>
      </c>
      <c r="J650">
        <v>0</v>
      </c>
      <c r="K650">
        <v>45337.678136574075</v>
      </c>
      <c r="L650">
        <v>224</v>
      </c>
      <c r="O650">
        <v>4</v>
      </c>
      <c r="P650">
        <v>2</v>
      </c>
      <c r="Q650">
        <v>2</v>
      </c>
    </row>
    <row r="651" spans="1:17" x14ac:dyDescent="0.25">
      <c r="B651" t="s">
        <v>169</v>
      </c>
      <c r="C651" t="s">
        <v>254</v>
      </c>
      <c r="D651" t="s">
        <v>658</v>
      </c>
      <c r="E651">
        <v>120</v>
      </c>
      <c r="F651" t="s">
        <v>68</v>
      </c>
      <c r="G651" t="s">
        <v>174</v>
      </c>
      <c r="H651" t="s">
        <v>175</v>
      </c>
      <c r="I651" t="s">
        <v>176</v>
      </c>
      <c r="J651">
        <v>0</v>
      </c>
      <c r="K651">
        <v>45337.678171296298</v>
      </c>
      <c r="L651">
        <v>160</v>
      </c>
      <c r="O651">
        <v>300</v>
      </c>
      <c r="P651">
        <v>0</v>
      </c>
      <c r="Q651">
        <v>120</v>
      </c>
    </row>
    <row r="652" spans="1:17" x14ac:dyDescent="0.25">
      <c r="B652" t="s">
        <v>659</v>
      </c>
      <c r="C652" t="s">
        <v>67</v>
      </c>
      <c r="D652" t="s">
        <v>67</v>
      </c>
      <c r="E652">
        <v>600</v>
      </c>
      <c r="F652" t="s">
        <v>68</v>
      </c>
      <c r="G652" t="s">
        <v>177</v>
      </c>
      <c r="H652" t="s">
        <v>178</v>
      </c>
      <c r="J652">
        <v>1</v>
      </c>
      <c r="K652">
        <v>45338.583553240744</v>
      </c>
      <c r="L652">
        <v>691</v>
      </c>
      <c r="M652">
        <v>45324</v>
      </c>
      <c r="O652">
        <v>4</v>
      </c>
      <c r="P652">
        <v>150</v>
      </c>
      <c r="Q652">
        <v>0</v>
      </c>
    </row>
    <row r="653" spans="1:17" x14ac:dyDescent="0.25">
      <c r="A653" t="s">
        <v>660</v>
      </c>
      <c r="B653" t="s">
        <v>314</v>
      </c>
      <c r="C653" t="s">
        <v>760</v>
      </c>
      <c r="D653" t="s">
        <v>661</v>
      </c>
      <c r="E653">
        <v>812</v>
      </c>
      <c r="F653" t="s">
        <v>68</v>
      </c>
      <c r="G653" t="s">
        <v>170</v>
      </c>
      <c r="H653" t="s">
        <v>171</v>
      </c>
      <c r="I653" t="s">
        <v>172</v>
      </c>
      <c r="J653">
        <v>0</v>
      </c>
      <c r="K653">
        <v>45342.652199074073</v>
      </c>
      <c r="L653">
        <v>0</v>
      </c>
      <c r="O653">
        <v>36</v>
      </c>
      <c r="P653">
        <v>22</v>
      </c>
      <c r="Q653">
        <v>20.000000000000057</v>
      </c>
    </row>
    <row r="654" spans="1:17" x14ac:dyDescent="0.25">
      <c r="B654" t="s">
        <v>314</v>
      </c>
      <c r="C654" t="s">
        <v>587</v>
      </c>
      <c r="D654" t="s">
        <v>662</v>
      </c>
      <c r="E654">
        <v>170</v>
      </c>
      <c r="F654" t="s">
        <v>68</v>
      </c>
      <c r="G654" t="s">
        <v>174</v>
      </c>
      <c r="H654" t="s">
        <v>175</v>
      </c>
      <c r="I654" t="s">
        <v>176</v>
      </c>
      <c r="J654">
        <v>0</v>
      </c>
      <c r="K654">
        <v>45342.654687499999</v>
      </c>
      <c r="L654">
        <v>-10</v>
      </c>
      <c r="O654">
        <v>300</v>
      </c>
      <c r="P654">
        <v>0</v>
      </c>
      <c r="Q654">
        <v>170</v>
      </c>
    </row>
    <row r="655" spans="1:17" x14ac:dyDescent="0.25">
      <c r="B655" t="s">
        <v>314</v>
      </c>
      <c r="C655" t="s">
        <v>587</v>
      </c>
      <c r="D655" t="s">
        <v>662</v>
      </c>
      <c r="E655">
        <v>20</v>
      </c>
      <c r="F655" t="s">
        <v>68</v>
      </c>
      <c r="G655" t="s">
        <v>772</v>
      </c>
      <c r="H655" t="s">
        <v>160</v>
      </c>
      <c r="I655" t="s">
        <v>154</v>
      </c>
      <c r="J655">
        <v>0</v>
      </c>
      <c r="K655">
        <v>45342.656076388892</v>
      </c>
      <c r="L655">
        <v>204</v>
      </c>
      <c r="O655">
        <v>4</v>
      </c>
      <c r="P655">
        <v>5</v>
      </c>
      <c r="Q655">
        <v>0</v>
      </c>
    </row>
    <row r="656" spans="1:17" x14ac:dyDescent="0.25">
      <c r="B656" t="s">
        <v>314</v>
      </c>
      <c r="C656" t="s">
        <v>472</v>
      </c>
      <c r="D656" t="s">
        <v>663</v>
      </c>
      <c r="E656">
        <v>500</v>
      </c>
      <c r="F656" t="s">
        <v>137</v>
      </c>
      <c r="G656" t="s">
        <v>138</v>
      </c>
      <c r="H656" t="s">
        <v>139</v>
      </c>
      <c r="I656" t="s">
        <v>140</v>
      </c>
      <c r="J656">
        <v>0</v>
      </c>
      <c r="K656">
        <v>45342.647743055553</v>
      </c>
      <c r="L656">
        <v>-40</v>
      </c>
      <c r="O656">
        <v>10</v>
      </c>
      <c r="P656">
        <v>50</v>
      </c>
      <c r="Q656">
        <v>0</v>
      </c>
    </row>
    <row r="657" spans="1:17" x14ac:dyDescent="0.25">
      <c r="B657" t="s">
        <v>314</v>
      </c>
      <c r="C657" t="s">
        <v>357</v>
      </c>
      <c r="D657" t="s">
        <v>664</v>
      </c>
      <c r="E657">
        <v>600</v>
      </c>
      <c r="F657" t="s">
        <v>145</v>
      </c>
      <c r="G657" t="s">
        <v>150</v>
      </c>
      <c r="H657" t="s">
        <v>147</v>
      </c>
      <c r="I657" t="s">
        <v>148</v>
      </c>
      <c r="J657">
        <v>0</v>
      </c>
      <c r="K657">
        <v>45342.656122685185</v>
      </c>
      <c r="L657">
        <v>3502</v>
      </c>
      <c r="O657">
        <v>144</v>
      </c>
      <c r="P657">
        <v>4</v>
      </c>
      <c r="Q657">
        <v>24.000000000000043</v>
      </c>
    </row>
    <row r="658" spans="1:17" x14ac:dyDescent="0.25">
      <c r="B658" t="s">
        <v>314</v>
      </c>
      <c r="C658" t="s">
        <v>561</v>
      </c>
      <c r="D658" t="s">
        <v>665</v>
      </c>
      <c r="E658">
        <v>21400</v>
      </c>
      <c r="F658" t="s">
        <v>68</v>
      </c>
      <c r="G658" t="s">
        <v>117</v>
      </c>
      <c r="H658" t="s">
        <v>118</v>
      </c>
      <c r="I658" t="s">
        <v>115</v>
      </c>
      <c r="J658">
        <v>0</v>
      </c>
      <c r="K658">
        <v>45342.656157407408</v>
      </c>
      <c r="L658">
        <v>23600</v>
      </c>
      <c r="O658">
        <v>1200</v>
      </c>
      <c r="P658">
        <v>17</v>
      </c>
      <c r="Q658">
        <v>999.99999999999864</v>
      </c>
    </row>
    <row r="659" spans="1:17" x14ac:dyDescent="0.25">
      <c r="B659" t="s">
        <v>314</v>
      </c>
      <c r="C659" t="s">
        <v>502</v>
      </c>
      <c r="D659" t="s">
        <v>666</v>
      </c>
      <c r="E659">
        <v>5600</v>
      </c>
      <c r="F659" t="s">
        <v>68</v>
      </c>
      <c r="G659" t="s">
        <v>113</v>
      </c>
      <c r="H659" t="s">
        <v>114</v>
      </c>
      <c r="I659" t="s">
        <v>115</v>
      </c>
      <c r="J659">
        <v>0</v>
      </c>
      <c r="K659">
        <v>45342.656192129631</v>
      </c>
      <c r="L659">
        <v>65800</v>
      </c>
      <c r="O659">
        <v>2400</v>
      </c>
      <c r="P659">
        <v>2</v>
      </c>
      <c r="Q659">
        <v>800.00000000000034</v>
      </c>
    </row>
    <row r="660" spans="1:17" x14ac:dyDescent="0.25">
      <c r="A660" t="s">
        <v>660</v>
      </c>
      <c r="B660" t="s">
        <v>314</v>
      </c>
      <c r="C660" t="s">
        <v>649</v>
      </c>
      <c r="D660" t="s">
        <v>667</v>
      </c>
      <c r="E660">
        <v>20000</v>
      </c>
      <c r="F660" t="s">
        <v>68</v>
      </c>
      <c r="G660" t="s">
        <v>113</v>
      </c>
      <c r="H660" t="s">
        <v>114</v>
      </c>
      <c r="I660" t="s">
        <v>115</v>
      </c>
      <c r="J660">
        <v>0</v>
      </c>
      <c r="K660">
        <v>45342.656226851854</v>
      </c>
      <c r="L660">
        <v>45800</v>
      </c>
      <c r="O660">
        <v>2400</v>
      </c>
      <c r="P660">
        <v>8</v>
      </c>
      <c r="Q660">
        <v>800.00000000000136</v>
      </c>
    </row>
    <row r="661" spans="1:17" x14ac:dyDescent="0.25">
      <c r="B661" t="s">
        <v>314</v>
      </c>
      <c r="C661" t="s">
        <v>649</v>
      </c>
      <c r="D661" t="s">
        <v>667</v>
      </c>
      <c r="E661">
        <v>1250</v>
      </c>
      <c r="F661" t="s">
        <v>68</v>
      </c>
      <c r="G661" t="s">
        <v>125</v>
      </c>
      <c r="H661" t="s">
        <v>126</v>
      </c>
      <c r="I661" t="s">
        <v>115</v>
      </c>
      <c r="J661">
        <v>0</v>
      </c>
      <c r="K661">
        <v>45342.656261574077</v>
      </c>
      <c r="L661">
        <v>12550</v>
      </c>
      <c r="O661">
        <v>1200</v>
      </c>
      <c r="P661">
        <v>1</v>
      </c>
      <c r="Q661">
        <v>50.000000000000085</v>
      </c>
    </row>
    <row r="662" spans="1:17" x14ac:dyDescent="0.25">
      <c r="A662" t="s">
        <v>660</v>
      </c>
      <c r="B662" t="s">
        <v>314</v>
      </c>
      <c r="C662" t="s">
        <v>554</v>
      </c>
      <c r="D662" t="s">
        <v>668</v>
      </c>
      <c r="E662">
        <v>1400</v>
      </c>
      <c r="F662" t="s">
        <v>68</v>
      </c>
      <c r="G662" t="s">
        <v>135</v>
      </c>
      <c r="H662" t="s">
        <v>136</v>
      </c>
      <c r="I662" t="s">
        <v>115</v>
      </c>
      <c r="J662">
        <v>0</v>
      </c>
      <c r="K662">
        <v>45342.6562962963</v>
      </c>
      <c r="L662">
        <v>10700</v>
      </c>
      <c r="O662">
        <v>2400</v>
      </c>
      <c r="P662">
        <v>0</v>
      </c>
      <c r="Q662">
        <v>1400</v>
      </c>
    </row>
    <row r="663" spans="1:17" x14ac:dyDescent="0.25">
      <c r="B663" t="s">
        <v>314</v>
      </c>
      <c r="C663" t="s">
        <v>422</v>
      </c>
      <c r="D663" t="s">
        <v>669</v>
      </c>
      <c r="E663">
        <v>12000</v>
      </c>
      <c r="F663" t="s">
        <v>68</v>
      </c>
      <c r="G663" t="s">
        <v>133</v>
      </c>
      <c r="H663" t="s">
        <v>134</v>
      </c>
      <c r="I663" t="s">
        <v>115</v>
      </c>
      <c r="J663">
        <v>0</v>
      </c>
      <c r="K663">
        <v>45342.656342592592</v>
      </c>
      <c r="L663">
        <v>102500</v>
      </c>
      <c r="O663">
        <v>2400</v>
      </c>
      <c r="P663">
        <v>5</v>
      </c>
      <c r="Q663">
        <v>0</v>
      </c>
    </row>
    <row r="664" spans="1:17" x14ac:dyDescent="0.25">
      <c r="B664" t="s">
        <v>169</v>
      </c>
      <c r="C664" t="s">
        <v>621</v>
      </c>
      <c r="D664" t="s">
        <v>670</v>
      </c>
      <c r="E664">
        <v>20</v>
      </c>
      <c r="F664" t="s">
        <v>137</v>
      </c>
      <c r="G664" t="s">
        <v>143</v>
      </c>
      <c r="H664" t="s">
        <v>144</v>
      </c>
      <c r="I664" t="s">
        <v>140</v>
      </c>
      <c r="J664">
        <v>0</v>
      </c>
      <c r="K664">
        <v>45343.410358796296</v>
      </c>
      <c r="L664">
        <v>465</v>
      </c>
      <c r="O664">
        <v>10</v>
      </c>
      <c r="P664">
        <v>2</v>
      </c>
      <c r="Q664">
        <v>0</v>
      </c>
    </row>
    <row r="665" spans="1:17" x14ac:dyDescent="0.25">
      <c r="B665" t="s">
        <v>169</v>
      </c>
      <c r="C665" t="s">
        <v>621</v>
      </c>
      <c r="D665">
        <v>522</v>
      </c>
      <c r="E665">
        <v>34</v>
      </c>
      <c r="F665" t="s">
        <v>137</v>
      </c>
      <c r="G665" t="s">
        <v>141</v>
      </c>
      <c r="H665" t="s">
        <v>142</v>
      </c>
      <c r="I665" t="s">
        <v>140</v>
      </c>
      <c r="J665">
        <v>0</v>
      </c>
      <c r="K665">
        <v>45343.410393518519</v>
      </c>
      <c r="L665">
        <v>5900</v>
      </c>
      <c r="O665">
        <v>10</v>
      </c>
      <c r="P665">
        <v>3</v>
      </c>
      <c r="Q665">
        <v>3.9999999999999991</v>
      </c>
    </row>
    <row r="666" spans="1:17" x14ac:dyDescent="0.25">
      <c r="B666" t="s">
        <v>169</v>
      </c>
      <c r="C666" t="s">
        <v>380</v>
      </c>
      <c r="D666" t="s">
        <v>671</v>
      </c>
      <c r="E666">
        <v>1600</v>
      </c>
      <c r="F666" t="s">
        <v>68</v>
      </c>
      <c r="G666" t="s">
        <v>181</v>
      </c>
      <c r="H666" t="s">
        <v>182</v>
      </c>
      <c r="I666" t="s">
        <v>115</v>
      </c>
      <c r="J666">
        <v>0</v>
      </c>
      <c r="K666">
        <v>45343.410416666666</v>
      </c>
      <c r="L666">
        <v>14200</v>
      </c>
      <c r="O666">
        <v>2400</v>
      </c>
      <c r="P666">
        <v>0</v>
      </c>
      <c r="Q666">
        <v>1600</v>
      </c>
    </row>
    <row r="667" spans="1:17" x14ac:dyDescent="0.25">
      <c r="B667" t="s">
        <v>169</v>
      </c>
      <c r="C667" t="s">
        <v>380</v>
      </c>
      <c r="D667">
        <v>523</v>
      </c>
      <c r="E667">
        <v>1000</v>
      </c>
      <c r="F667" t="s">
        <v>68</v>
      </c>
      <c r="G667" t="s">
        <v>117</v>
      </c>
      <c r="H667" t="s">
        <v>118</v>
      </c>
      <c r="I667" t="s">
        <v>115</v>
      </c>
      <c r="J667">
        <v>0</v>
      </c>
      <c r="K667">
        <v>45343.410439814812</v>
      </c>
      <c r="L667">
        <v>22600</v>
      </c>
      <c r="O667">
        <v>1200</v>
      </c>
      <c r="P667">
        <v>0</v>
      </c>
      <c r="Q667">
        <v>1000</v>
      </c>
    </row>
    <row r="668" spans="1:17" x14ac:dyDescent="0.25">
      <c r="B668" t="s">
        <v>169</v>
      </c>
      <c r="C668" t="s">
        <v>411</v>
      </c>
      <c r="D668" t="s">
        <v>672</v>
      </c>
      <c r="E668">
        <v>20</v>
      </c>
      <c r="F668" t="s">
        <v>68</v>
      </c>
      <c r="G668" t="s">
        <v>772</v>
      </c>
      <c r="H668" t="s">
        <v>160</v>
      </c>
      <c r="I668" t="s">
        <v>154</v>
      </c>
      <c r="J668">
        <v>0</v>
      </c>
      <c r="K668">
        <v>45343.410532407404</v>
      </c>
      <c r="L668">
        <v>184</v>
      </c>
      <c r="O668">
        <v>4</v>
      </c>
      <c r="P668">
        <v>5</v>
      </c>
      <c r="Q668">
        <v>0</v>
      </c>
    </row>
    <row r="669" spans="1:17" x14ac:dyDescent="0.25">
      <c r="B669" t="s">
        <v>169</v>
      </c>
      <c r="C669" t="s">
        <v>575</v>
      </c>
      <c r="D669" t="s">
        <v>673</v>
      </c>
      <c r="E669">
        <v>200</v>
      </c>
      <c r="F669" t="s">
        <v>68</v>
      </c>
      <c r="G669" t="s">
        <v>152</v>
      </c>
      <c r="H669" t="s">
        <v>153</v>
      </c>
      <c r="I669" t="s">
        <v>154</v>
      </c>
      <c r="J669">
        <v>0</v>
      </c>
      <c r="K669">
        <v>45343.410590277781</v>
      </c>
      <c r="L669">
        <v>7488</v>
      </c>
      <c r="O669">
        <v>24</v>
      </c>
      <c r="P669">
        <v>8</v>
      </c>
      <c r="Q669">
        <v>8.0000000000000142</v>
      </c>
    </row>
    <row r="670" spans="1:17" x14ac:dyDescent="0.25">
      <c r="B670" t="s">
        <v>169</v>
      </c>
      <c r="C670" t="s">
        <v>575</v>
      </c>
      <c r="D670">
        <v>525</v>
      </c>
      <c r="E670">
        <v>900</v>
      </c>
      <c r="F670" t="s">
        <v>68</v>
      </c>
      <c r="G670" t="s">
        <v>212</v>
      </c>
      <c r="H670" t="s">
        <v>213</v>
      </c>
      <c r="I670" t="s">
        <v>154</v>
      </c>
      <c r="J670">
        <v>0</v>
      </c>
      <c r="K670">
        <v>45343.41064814815</v>
      </c>
      <c r="L670">
        <v>5180</v>
      </c>
      <c r="O670">
        <v>100</v>
      </c>
      <c r="P670">
        <v>9</v>
      </c>
      <c r="Q670">
        <v>0</v>
      </c>
    </row>
    <row r="671" spans="1:17" x14ac:dyDescent="0.25">
      <c r="B671" t="s">
        <v>169</v>
      </c>
      <c r="C671" t="s">
        <v>575</v>
      </c>
      <c r="D671" t="s">
        <v>674</v>
      </c>
      <c r="E671">
        <v>900</v>
      </c>
      <c r="F671" t="s">
        <v>68</v>
      </c>
      <c r="G671" t="s">
        <v>774</v>
      </c>
      <c r="H671" t="s">
        <v>189</v>
      </c>
      <c r="I671" t="s">
        <v>154</v>
      </c>
      <c r="J671">
        <v>0</v>
      </c>
      <c r="K671">
        <v>45343.675694444442</v>
      </c>
      <c r="L671">
        <v>1310</v>
      </c>
      <c r="O671">
        <v>100</v>
      </c>
      <c r="P671">
        <v>9</v>
      </c>
      <c r="Q671">
        <v>0</v>
      </c>
    </row>
    <row r="672" spans="1:17" x14ac:dyDescent="0.25">
      <c r="B672" t="s">
        <v>169</v>
      </c>
      <c r="C672" t="s">
        <v>575</v>
      </c>
      <c r="D672">
        <v>535</v>
      </c>
      <c r="E672">
        <v>400</v>
      </c>
      <c r="F672" t="s">
        <v>68</v>
      </c>
      <c r="G672" t="s">
        <v>152</v>
      </c>
      <c r="H672" t="s">
        <v>153</v>
      </c>
      <c r="I672" t="s">
        <v>154</v>
      </c>
      <c r="J672">
        <v>0</v>
      </c>
      <c r="K672">
        <v>45343.675706018519</v>
      </c>
      <c r="L672">
        <v>7088</v>
      </c>
      <c r="O672">
        <v>24</v>
      </c>
      <c r="P672">
        <v>16</v>
      </c>
      <c r="Q672">
        <v>16.000000000000028</v>
      </c>
    </row>
    <row r="673" spans="1:17" x14ac:dyDescent="0.25">
      <c r="B673" t="s">
        <v>169</v>
      </c>
      <c r="C673" t="s">
        <v>621</v>
      </c>
      <c r="D673" t="s">
        <v>675</v>
      </c>
      <c r="E673">
        <v>200</v>
      </c>
      <c r="F673" t="s">
        <v>137</v>
      </c>
      <c r="G673" t="s">
        <v>138</v>
      </c>
      <c r="H673" t="s">
        <v>139</v>
      </c>
      <c r="I673" t="s">
        <v>140</v>
      </c>
      <c r="J673">
        <v>0</v>
      </c>
      <c r="K673">
        <v>45343.675729166665</v>
      </c>
      <c r="L673">
        <v>-193</v>
      </c>
      <c r="N673" t="s">
        <v>676</v>
      </c>
      <c r="O673">
        <v>10</v>
      </c>
      <c r="P673">
        <v>20</v>
      </c>
      <c r="Q673">
        <v>0</v>
      </c>
    </row>
    <row r="674" spans="1:17" x14ac:dyDescent="0.25">
      <c r="B674" t="s">
        <v>169</v>
      </c>
      <c r="C674" t="s">
        <v>621</v>
      </c>
      <c r="D674">
        <v>536</v>
      </c>
      <c r="E674">
        <v>200</v>
      </c>
      <c r="F674" t="s">
        <v>137</v>
      </c>
      <c r="G674" t="s">
        <v>143</v>
      </c>
      <c r="H674" t="s">
        <v>144</v>
      </c>
      <c r="I674" t="s">
        <v>140</v>
      </c>
      <c r="J674">
        <v>0</v>
      </c>
      <c r="K674">
        <v>45343.675775462965</v>
      </c>
      <c r="L674">
        <v>265</v>
      </c>
      <c r="O674">
        <v>10</v>
      </c>
      <c r="P674">
        <v>20</v>
      </c>
      <c r="Q674">
        <v>0</v>
      </c>
    </row>
    <row r="675" spans="1:17" x14ac:dyDescent="0.25">
      <c r="B675" t="s">
        <v>169</v>
      </c>
      <c r="C675" t="s">
        <v>621</v>
      </c>
      <c r="D675">
        <v>536</v>
      </c>
      <c r="E675">
        <v>300</v>
      </c>
      <c r="F675" t="s">
        <v>68</v>
      </c>
      <c r="G675" t="s">
        <v>113</v>
      </c>
      <c r="H675" t="s">
        <v>114</v>
      </c>
      <c r="I675" t="s">
        <v>115</v>
      </c>
      <c r="J675">
        <v>0</v>
      </c>
      <c r="K675">
        <v>45343.675810185188</v>
      </c>
      <c r="L675">
        <v>45500</v>
      </c>
      <c r="O675">
        <v>2400</v>
      </c>
      <c r="P675">
        <v>0</v>
      </c>
      <c r="Q675">
        <v>300</v>
      </c>
    </row>
    <row r="676" spans="1:17" x14ac:dyDescent="0.25">
      <c r="B676" t="s">
        <v>169</v>
      </c>
      <c r="C676" t="s">
        <v>621</v>
      </c>
      <c r="D676">
        <v>536</v>
      </c>
      <c r="E676">
        <v>1200</v>
      </c>
      <c r="F676" t="s">
        <v>137</v>
      </c>
      <c r="G676" t="s">
        <v>141</v>
      </c>
      <c r="H676" t="s">
        <v>142</v>
      </c>
      <c r="I676" t="s">
        <v>140</v>
      </c>
      <c r="J676">
        <v>0</v>
      </c>
      <c r="K676">
        <v>45343.675821759258</v>
      </c>
      <c r="L676">
        <v>4700</v>
      </c>
      <c r="O676">
        <v>10</v>
      </c>
      <c r="P676">
        <v>120</v>
      </c>
      <c r="Q676">
        <v>0</v>
      </c>
    </row>
    <row r="677" spans="1:17" x14ac:dyDescent="0.25">
      <c r="B677" t="s">
        <v>169</v>
      </c>
      <c r="C677" t="s">
        <v>255</v>
      </c>
      <c r="D677" t="s">
        <v>677</v>
      </c>
      <c r="E677">
        <v>200</v>
      </c>
      <c r="F677" t="s">
        <v>68</v>
      </c>
      <c r="G677" t="s">
        <v>177</v>
      </c>
      <c r="H677" t="s">
        <v>178</v>
      </c>
      <c r="J677">
        <v>0</v>
      </c>
      <c r="K677">
        <v>45343.675844907404</v>
      </c>
      <c r="L677">
        <v>491</v>
      </c>
      <c r="O677">
        <v>4</v>
      </c>
      <c r="P677">
        <v>50</v>
      </c>
      <c r="Q677">
        <v>0</v>
      </c>
    </row>
    <row r="678" spans="1:17" x14ac:dyDescent="0.25">
      <c r="B678" t="s">
        <v>169</v>
      </c>
      <c r="C678" t="s">
        <v>380</v>
      </c>
      <c r="D678" t="s">
        <v>678</v>
      </c>
      <c r="E678">
        <v>1000</v>
      </c>
      <c r="F678" t="s">
        <v>68</v>
      </c>
      <c r="G678" t="s">
        <v>117</v>
      </c>
      <c r="H678" t="s">
        <v>118</v>
      </c>
      <c r="I678" t="s">
        <v>115</v>
      </c>
      <c r="J678">
        <v>0</v>
      </c>
      <c r="K678">
        <v>45343.675856481481</v>
      </c>
      <c r="L678">
        <v>21600</v>
      </c>
      <c r="O678">
        <v>1200</v>
      </c>
      <c r="P678">
        <v>0</v>
      </c>
      <c r="Q678">
        <v>1000</v>
      </c>
    </row>
    <row r="679" spans="1:17" x14ac:dyDescent="0.25">
      <c r="B679" t="s">
        <v>169</v>
      </c>
      <c r="C679" t="s">
        <v>380</v>
      </c>
      <c r="D679">
        <v>538</v>
      </c>
      <c r="E679">
        <v>1600</v>
      </c>
      <c r="F679" t="s">
        <v>68</v>
      </c>
      <c r="G679" t="s">
        <v>181</v>
      </c>
      <c r="H679" t="s">
        <v>182</v>
      </c>
      <c r="I679" t="s">
        <v>115</v>
      </c>
      <c r="J679">
        <v>0</v>
      </c>
      <c r="K679">
        <v>45343.675868055558</v>
      </c>
      <c r="L679">
        <v>12600</v>
      </c>
      <c r="O679">
        <v>2400</v>
      </c>
      <c r="P679">
        <v>0</v>
      </c>
      <c r="Q679">
        <v>1600</v>
      </c>
    </row>
    <row r="680" spans="1:17" x14ac:dyDescent="0.25">
      <c r="B680" t="s">
        <v>169</v>
      </c>
      <c r="C680" t="s">
        <v>411</v>
      </c>
      <c r="D680" t="s">
        <v>679</v>
      </c>
      <c r="E680">
        <v>20</v>
      </c>
      <c r="F680" t="s">
        <v>68</v>
      </c>
      <c r="G680" t="s">
        <v>772</v>
      </c>
      <c r="H680" t="s">
        <v>160</v>
      </c>
      <c r="I680" t="s">
        <v>154</v>
      </c>
      <c r="J680">
        <v>0</v>
      </c>
      <c r="K680">
        <v>45343.675891203704</v>
      </c>
      <c r="L680">
        <v>164</v>
      </c>
      <c r="O680">
        <v>4</v>
      </c>
      <c r="P680">
        <v>5</v>
      </c>
      <c r="Q680">
        <v>0</v>
      </c>
    </row>
    <row r="681" spans="1:17" x14ac:dyDescent="0.25">
      <c r="B681" t="s">
        <v>169</v>
      </c>
      <c r="C681" t="s">
        <v>411</v>
      </c>
      <c r="D681">
        <v>539</v>
      </c>
      <c r="E681">
        <v>40</v>
      </c>
      <c r="F681" t="s">
        <v>68</v>
      </c>
      <c r="G681" t="s">
        <v>773</v>
      </c>
      <c r="H681" t="s">
        <v>180</v>
      </c>
      <c r="I681" t="s">
        <v>154</v>
      </c>
      <c r="J681">
        <v>0</v>
      </c>
      <c r="K681">
        <v>45343.675902777781</v>
      </c>
      <c r="L681">
        <v>160</v>
      </c>
      <c r="O681">
        <v>100</v>
      </c>
      <c r="P681">
        <v>0</v>
      </c>
      <c r="Q681">
        <v>40</v>
      </c>
    </row>
    <row r="682" spans="1:17" x14ac:dyDescent="0.25">
      <c r="A682" t="s">
        <v>680</v>
      </c>
      <c r="B682" t="s">
        <v>169</v>
      </c>
      <c r="C682" t="s">
        <v>625</v>
      </c>
      <c r="D682" t="s">
        <v>681</v>
      </c>
      <c r="E682">
        <v>2000</v>
      </c>
      <c r="F682" t="s">
        <v>68</v>
      </c>
      <c r="G682" t="s">
        <v>156</v>
      </c>
      <c r="H682" t="s">
        <v>157</v>
      </c>
      <c r="I682" t="s">
        <v>154</v>
      </c>
      <c r="J682">
        <v>0</v>
      </c>
      <c r="K682">
        <v>45343.67596064815</v>
      </c>
      <c r="L682">
        <v>23620</v>
      </c>
      <c r="O682">
        <v>440</v>
      </c>
      <c r="P682">
        <v>4</v>
      </c>
      <c r="Q682">
        <v>240.00000000000017</v>
      </c>
    </row>
    <row r="683" spans="1:17" x14ac:dyDescent="0.25">
      <c r="B683" t="s">
        <v>682</v>
      </c>
      <c r="C683" t="s">
        <v>67</v>
      </c>
      <c r="D683" t="s">
        <v>67</v>
      </c>
      <c r="E683">
        <v>400</v>
      </c>
      <c r="F683" t="s">
        <v>68</v>
      </c>
      <c r="G683" t="s">
        <v>773</v>
      </c>
      <c r="H683" t="s">
        <v>180</v>
      </c>
      <c r="I683" t="s">
        <v>154</v>
      </c>
      <c r="J683">
        <v>1</v>
      </c>
      <c r="K683">
        <v>45343.676608796297</v>
      </c>
      <c r="L683">
        <v>560</v>
      </c>
      <c r="M683" t="s">
        <v>683</v>
      </c>
      <c r="O683">
        <v>100</v>
      </c>
      <c r="P683">
        <v>4</v>
      </c>
      <c r="Q683">
        <v>0</v>
      </c>
    </row>
    <row r="684" spans="1:17" x14ac:dyDescent="0.25">
      <c r="B684" t="s">
        <v>684</v>
      </c>
      <c r="C684" t="s">
        <v>67</v>
      </c>
      <c r="D684" t="s">
        <v>67</v>
      </c>
      <c r="E684">
        <v>54</v>
      </c>
      <c r="F684" t="s">
        <v>145</v>
      </c>
      <c r="G684" t="s">
        <v>227</v>
      </c>
      <c r="H684" t="s">
        <v>219</v>
      </c>
      <c r="I684" t="s">
        <v>220</v>
      </c>
      <c r="J684">
        <v>1</v>
      </c>
      <c r="K684">
        <v>45343.684895833336</v>
      </c>
      <c r="L684">
        <v>54</v>
      </c>
      <c r="M684" t="s">
        <v>685</v>
      </c>
      <c r="O684">
        <v>1</v>
      </c>
      <c r="P684">
        <v>54</v>
      </c>
      <c r="Q684">
        <v>0</v>
      </c>
    </row>
    <row r="685" spans="1:17" x14ac:dyDescent="0.25">
      <c r="B685" t="s">
        <v>684</v>
      </c>
      <c r="C685" t="s">
        <v>67</v>
      </c>
      <c r="D685" t="s">
        <v>67</v>
      </c>
      <c r="E685">
        <v>4</v>
      </c>
      <c r="F685" t="s">
        <v>145</v>
      </c>
      <c r="G685" t="s">
        <v>231</v>
      </c>
      <c r="H685" t="s">
        <v>219</v>
      </c>
      <c r="I685" t="s">
        <v>220</v>
      </c>
      <c r="J685">
        <v>1</v>
      </c>
      <c r="K685">
        <v>45343.684988425928</v>
      </c>
      <c r="L685">
        <v>4</v>
      </c>
      <c r="M685" t="s">
        <v>685</v>
      </c>
      <c r="O685">
        <v>1</v>
      </c>
      <c r="P685">
        <v>4</v>
      </c>
      <c r="Q685">
        <v>0</v>
      </c>
    </row>
    <row r="686" spans="1:17" x14ac:dyDescent="0.25">
      <c r="B686" t="s">
        <v>684</v>
      </c>
      <c r="C686" t="s">
        <v>67</v>
      </c>
      <c r="D686" t="s">
        <v>67</v>
      </c>
      <c r="E686">
        <v>58</v>
      </c>
      <c r="F686" t="s">
        <v>145</v>
      </c>
      <c r="G686" t="s">
        <v>64</v>
      </c>
      <c r="H686" t="s">
        <v>219</v>
      </c>
      <c r="I686" t="s">
        <v>220</v>
      </c>
      <c r="J686">
        <v>1</v>
      </c>
      <c r="K686">
        <v>45343.685023148151</v>
      </c>
      <c r="L686">
        <v>58</v>
      </c>
      <c r="M686" t="s">
        <v>685</v>
      </c>
      <c r="O686">
        <v>1</v>
      </c>
      <c r="P686">
        <v>58</v>
      </c>
      <c r="Q686">
        <v>0</v>
      </c>
    </row>
    <row r="687" spans="1:17" x14ac:dyDescent="0.25">
      <c r="B687" t="s">
        <v>684</v>
      </c>
      <c r="C687" t="s">
        <v>67</v>
      </c>
      <c r="D687" t="s">
        <v>67</v>
      </c>
      <c r="E687">
        <v>30</v>
      </c>
      <c r="F687" t="s">
        <v>145</v>
      </c>
      <c r="G687" t="s">
        <v>65</v>
      </c>
      <c r="H687" t="s">
        <v>219</v>
      </c>
      <c r="I687" t="s">
        <v>220</v>
      </c>
      <c r="J687">
        <v>1</v>
      </c>
      <c r="K687">
        <v>45343.685046296298</v>
      </c>
      <c r="L687">
        <v>33</v>
      </c>
      <c r="M687" t="s">
        <v>685</v>
      </c>
      <c r="O687">
        <v>1</v>
      </c>
      <c r="P687">
        <v>30</v>
      </c>
      <c r="Q687">
        <v>0</v>
      </c>
    </row>
    <row r="688" spans="1:17" x14ac:dyDescent="0.25">
      <c r="B688" t="s">
        <v>684</v>
      </c>
      <c r="C688" t="s">
        <v>67</v>
      </c>
      <c r="D688" t="s">
        <v>67</v>
      </c>
      <c r="E688">
        <v>60</v>
      </c>
      <c r="F688" t="s">
        <v>145</v>
      </c>
      <c r="G688" t="s">
        <v>62</v>
      </c>
      <c r="H688" t="s">
        <v>219</v>
      </c>
      <c r="I688" t="s">
        <v>220</v>
      </c>
      <c r="J688">
        <v>1</v>
      </c>
      <c r="K688">
        <v>45343.685081018521</v>
      </c>
      <c r="L688">
        <v>69</v>
      </c>
      <c r="M688" t="s">
        <v>685</v>
      </c>
      <c r="O688">
        <v>1</v>
      </c>
      <c r="P688">
        <v>60</v>
      </c>
      <c r="Q688">
        <v>0</v>
      </c>
    </row>
    <row r="689" spans="2:17" x14ac:dyDescent="0.25">
      <c r="B689" t="s">
        <v>684</v>
      </c>
      <c r="C689" t="s">
        <v>67</v>
      </c>
      <c r="D689" t="s">
        <v>67</v>
      </c>
      <c r="E689">
        <v>4</v>
      </c>
      <c r="F689" t="s">
        <v>145</v>
      </c>
      <c r="G689" t="s">
        <v>239</v>
      </c>
      <c r="H689" t="s">
        <v>219</v>
      </c>
      <c r="I689" t="s">
        <v>220</v>
      </c>
      <c r="J689">
        <v>1</v>
      </c>
      <c r="K689">
        <v>45343.685104166667</v>
      </c>
      <c r="L689">
        <v>4</v>
      </c>
      <c r="M689" t="s">
        <v>685</v>
      </c>
      <c r="O689">
        <v>1</v>
      </c>
      <c r="P689">
        <v>4</v>
      </c>
      <c r="Q689">
        <v>0</v>
      </c>
    </row>
    <row r="690" spans="2:17" x14ac:dyDescent="0.25">
      <c r="B690" t="s">
        <v>684</v>
      </c>
      <c r="C690" t="s">
        <v>67</v>
      </c>
      <c r="D690" t="s">
        <v>67</v>
      </c>
      <c r="E690">
        <v>4</v>
      </c>
      <c r="F690" t="s">
        <v>145</v>
      </c>
      <c r="G690" t="s">
        <v>240</v>
      </c>
      <c r="H690" t="s">
        <v>219</v>
      </c>
      <c r="I690" t="s">
        <v>220</v>
      </c>
      <c r="J690">
        <v>1</v>
      </c>
      <c r="K690">
        <v>45343.685127314813</v>
      </c>
      <c r="L690">
        <v>4</v>
      </c>
      <c r="M690" t="s">
        <v>685</v>
      </c>
      <c r="O690">
        <v>1</v>
      </c>
      <c r="P690">
        <v>4</v>
      </c>
      <c r="Q690">
        <v>0</v>
      </c>
    </row>
    <row r="691" spans="2:17" x14ac:dyDescent="0.25">
      <c r="B691" t="s">
        <v>684</v>
      </c>
      <c r="C691" t="s">
        <v>67</v>
      </c>
      <c r="D691" t="s">
        <v>67</v>
      </c>
      <c r="E691">
        <v>22</v>
      </c>
      <c r="F691" t="s">
        <v>145</v>
      </c>
      <c r="G691" t="s">
        <v>369</v>
      </c>
      <c r="H691" t="s">
        <v>219</v>
      </c>
      <c r="I691" t="s">
        <v>220</v>
      </c>
      <c r="J691">
        <v>1</v>
      </c>
      <c r="K691">
        <v>45343.685162037036</v>
      </c>
      <c r="L691">
        <v>22</v>
      </c>
      <c r="M691" t="s">
        <v>685</v>
      </c>
      <c r="O691">
        <v>1</v>
      </c>
      <c r="P691">
        <v>22</v>
      </c>
      <c r="Q691">
        <v>0</v>
      </c>
    </row>
    <row r="692" spans="2:17" x14ac:dyDescent="0.25">
      <c r="B692" t="s">
        <v>684</v>
      </c>
      <c r="C692" t="s">
        <v>67</v>
      </c>
      <c r="D692" t="s">
        <v>67</v>
      </c>
      <c r="E692">
        <v>4</v>
      </c>
      <c r="F692" t="s">
        <v>145</v>
      </c>
      <c r="G692" t="s">
        <v>63</v>
      </c>
      <c r="H692" t="s">
        <v>219</v>
      </c>
      <c r="I692" t="s">
        <v>220</v>
      </c>
      <c r="J692">
        <v>1</v>
      </c>
      <c r="K692">
        <v>45343.685185185182</v>
      </c>
      <c r="L692">
        <v>4</v>
      </c>
      <c r="M692" t="s">
        <v>685</v>
      </c>
      <c r="O692">
        <v>1</v>
      </c>
      <c r="P692">
        <v>4</v>
      </c>
      <c r="Q692">
        <v>0</v>
      </c>
    </row>
    <row r="693" spans="2:17" x14ac:dyDescent="0.25">
      <c r="B693" t="s">
        <v>686</v>
      </c>
      <c r="C693" t="s">
        <v>67</v>
      </c>
      <c r="D693" t="s">
        <v>67</v>
      </c>
      <c r="E693">
        <v>15000</v>
      </c>
      <c r="F693" t="s">
        <v>68</v>
      </c>
      <c r="G693" t="s">
        <v>131</v>
      </c>
      <c r="H693" t="s">
        <v>132</v>
      </c>
      <c r="I693" t="s">
        <v>115</v>
      </c>
      <c r="J693">
        <v>1</v>
      </c>
      <c r="K693">
        <v>45343.689236111109</v>
      </c>
      <c r="L693">
        <v>34200</v>
      </c>
      <c r="M693" t="s">
        <v>685</v>
      </c>
      <c r="O693">
        <v>3000</v>
      </c>
      <c r="P693">
        <v>5</v>
      </c>
      <c r="Q693">
        <v>0</v>
      </c>
    </row>
    <row r="694" spans="2:17" x14ac:dyDescent="0.25">
      <c r="B694" t="s">
        <v>686</v>
      </c>
      <c r="C694" t="s">
        <v>67</v>
      </c>
      <c r="D694" t="s">
        <v>67</v>
      </c>
      <c r="E694">
        <v>3000</v>
      </c>
      <c r="F694" t="s">
        <v>68</v>
      </c>
      <c r="G694" t="s">
        <v>120</v>
      </c>
      <c r="H694" t="s">
        <v>121</v>
      </c>
      <c r="I694" t="s">
        <v>115</v>
      </c>
      <c r="J694">
        <v>1</v>
      </c>
      <c r="K694">
        <v>45343.689282407409</v>
      </c>
      <c r="L694">
        <v>7800</v>
      </c>
      <c r="M694" t="s">
        <v>685</v>
      </c>
      <c r="O694">
        <v>2400</v>
      </c>
      <c r="P694">
        <v>1</v>
      </c>
      <c r="Q694">
        <v>600</v>
      </c>
    </row>
    <row r="695" spans="2:17" x14ac:dyDescent="0.25">
      <c r="B695" t="s">
        <v>687</v>
      </c>
      <c r="C695" t="s">
        <v>688</v>
      </c>
      <c r="D695" t="s">
        <v>67</v>
      </c>
      <c r="E695">
        <v>0</v>
      </c>
      <c r="F695" t="s">
        <v>137</v>
      </c>
      <c r="G695" t="s">
        <v>141</v>
      </c>
      <c r="H695" t="s">
        <v>142</v>
      </c>
      <c r="I695" t="s">
        <v>140</v>
      </c>
      <c r="J695">
        <v>0</v>
      </c>
      <c r="K695">
        <v>45343.731342592589</v>
      </c>
      <c r="L695">
        <v>4700</v>
      </c>
      <c r="O695">
        <v>10</v>
      </c>
      <c r="P695">
        <v>0</v>
      </c>
      <c r="Q695">
        <v>0</v>
      </c>
    </row>
    <row r="696" spans="2:17" x14ac:dyDescent="0.25">
      <c r="B696" t="s">
        <v>687</v>
      </c>
      <c r="C696" t="s">
        <v>689</v>
      </c>
      <c r="D696" t="s">
        <v>67</v>
      </c>
      <c r="E696">
        <v>0</v>
      </c>
      <c r="F696" t="s">
        <v>137</v>
      </c>
      <c r="G696" t="s">
        <v>143</v>
      </c>
      <c r="H696" t="s">
        <v>144</v>
      </c>
      <c r="I696" t="s">
        <v>140</v>
      </c>
      <c r="J696">
        <v>0</v>
      </c>
      <c r="K696">
        <v>45343.731377314813</v>
      </c>
      <c r="L696">
        <v>265</v>
      </c>
      <c r="O696">
        <v>10</v>
      </c>
      <c r="P696">
        <v>0</v>
      </c>
      <c r="Q696">
        <v>0</v>
      </c>
    </row>
    <row r="697" spans="2:17" x14ac:dyDescent="0.25">
      <c r="B697" t="s">
        <v>687</v>
      </c>
      <c r="C697" t="s">
        <v>690</v>
      </c>
      <c r="D697" t="s">
        <v>67</v>
      </c>
      <c r="E697">
        <v>0</v>
      </c>
      <c r="F697" t="s">
        <v>137</v>
      </c>
      <c r="G697" t="s">
        <v>138</v>
      </c>
      <c r="H697" t="s">
        <v>144</v>
      </c>
      <c r="I697" t="s">
        <v>140</v>
      </c>
      <c r="J697">
        <v>0</v>
      </c>
      <c r="K697">
        <v>45344.731377256947</v>
      </c>
      <c r="L697">
        <v>266</v>
      </c>
    </row>
    <row r="698" spans="2:17" x14ac:dyDescent="0.25">
      <c r="B698" t="s">
        <v>314</v>
      </c>
      <c r="C698" t="s">
        <v>543</v>
      </c>
      <c r="D698" t="s">
        <v>89</v>
      </c>
      <c r="E698">
        <v>20</v>
      </c>
      <c r="F698" t="s">
        <v>145</v>
      </c>
      <c r="G698" t="s">
        <v>62</v>
      </c>
      <c r="H698" t="s">
        <v>219</v>
      </c>
      <c r="I698" t="s">
        <v>220</v>
      </c>
      <c r="J698">
        <v>0</v>
      </c>
      <c r="K698">
        <v>45344.378125000003</v>
      </c>
      <c r="L698">
        <v>49</v>
      </c>
      <c r="O698">
        <v>1</v>
      </c>
      <c r="P698">
        <v>20</v>
      </c>
      <c r="Q698">
        <v>0</v>
      </c>
    </row>
    <row r="699" spans="2:17" x14ac:dyDescent="0.25">
      <c r="B699" t="s">
        <v>314</v>
      </c>
      <c r="C699" t="s">
        <v>543</v>
      </c>
      <c r="D699" t="s">
        <v>89</v>
      </c>
      <c r="E699">
        <v>15</v>
      </c>
      <c r="F699" t="s">
        <v>145</v>
      </c>
      <c r="G699" t="s">
        <v>227</v>
      </c>
      <c r="H699" t="s">
        <v>219</v>
      </c>
      <c r="I699" t="s">
        <v>220</v>
      </c>
      <c r="J699">
        <v>0</v>
      </c>
      <c r="K699">
        <v>45344.378159722219</v>
      </c>
      <c r="L699">
        <v>39</v>
      </c>
      <c r="O699">
        <v>1</v>
      </c>
      <c r="P699">
        <v>15</v>
      </c>
      <c r="Q699">
        <v>0</v>
      </c>
    </row>
    <row r="700" spans="2:17" x14ac:dyDescent="0.25">
      <c r="B700" t="s">
        <v>314</v>
      </c>
      <c r="C700" t="s">
        <v>543</v>
      </c>
      <c r="D700" t="s">
        <v>89</v>
      </c>
      <c r="E700">
        <v>30</v>
      </c>
      <c r="F700" t="s">
        <v>145</v>
      </c>
      <c r="G700" t="s">
        <v>64</v>
      </c>
      <c r="H700" t="s">
        <v>219</v>
      </c>
      <c r="I700" t="s">
        <v>220</v>
      </c>
      <c r="J700">
        <v>0</v>
      </c>
      <c r="K700">
        <v>45344.378171296295</v>
      </c>
      <c r="L700">
        <v>28</v>
      </c>
      <c r="O700">
        <v>1</v>
      </c>
      <c r="P700">
        <v>30</v>
      </c>
      <c r="Q700">
        <v>0</v>
      </c>
    </row>
    <row r="701" spans="2:17" x14ac:dyDescent="0.25">
      <c r="B701" t="s">
        <v>314</v>
      </c>
      <c r="C701" t="s">
        <v>543</v>
      </c>
      <c r="D701" t="s">
        <v>89</v>
      </c>
      <c r="E701">
        <v>12</v>
      </c>
      <c r="F701" t="s">
        <v>145</v>
      </c>
      <c r="G701" t="s">
        <v>369</v>
      </c>
      <c r="H701" t="s">
        <v>219</v>
      </c>
      <c r="I701" t="s">
        <v>220</v>
      </c>
      <c r="J701">
        <v>0</v>
      </c>
      <c r="K701">
        <v>45344.378182870372</v>
      </c>
      <c r="L701">
        <v>10</v>
      </c>
      <c r="O701">
        <v>1</v>
      </c>
      <c r="P701">
        <v>12</v>
      </c>
      <c r="Q701">
        <v>0</v>
      </c>
    </row>
    <row r="702" spans="2:17" x14ac:dyDescent="0.25">
      <c r="B702" t="s">
        <v>314</v>
      </c>
      <c r="C702" t="s">
        <v>543</v>
      </c>
      <c r="D702" t="s">
        <v>89</v>
      </c>
      <c r="E702">
        <v>5</v>
      </c>
      <c r="F702" t="s">
        <v>145</v>
      </c>
      <c r="G702" t="s">
        <v>65</v>
      </c>
      <c r="H702" t="s">
        <v>219</v>
      </c>
      <c r="I702" t="s">
        <v>220</v>
      </c>
      <c r="J702">
        <v>0</v>
      </c>
      <c r="K702">
        <v>45344.378194444442</v>
      </c>
      <c r="L702">
        <v>28</v>
      </c>
      <c r="O702">
        <v>1</v>
      </c>
      <c r="P702">
        <v>5</v>
      </c>
      <c r="Q702">
        <v>0</v>
      </c>
    </row>
    <row r="703" spans="2:17" x14ac:dyDescent="0.25">
      <c r="B703" t="s">
        <v>314</v>
      </c>
      <c r="C703" t="s">
        <v>543</v>
      </c>
      <c r="D703" t="s">
        <v>89</v>
      </c>
      <c r="E703">
        <v>2</v>
      </c>
      <c r="F703" t="s">
        <v>145</v>
      </c>
      <c r="G703" t="s">
        <v>231</v>
      </c>
      <c r="H703" t="s">
        <v>219</v>
      </c>
      <c r="I703" t="s">
        <v>220</v>
      </c>
      <c r="J703">
        <v>0</v>
      </c>
      <c r="K703">
        <v>45344.378217592595</v>
      </c>
      <c r="L703">
        <v>2</v>
      </c>
      <c r="O703">
        <v>1</v>
      </c>
      <c r="P703">
        <v>2</v>
      </c>
      <c r="Q703">
        <v>0</v>
      </c>
    </row>
    <row r="704" spans="2:17" x14ac:dyDescent="0.25">
      <c r="B704" t="s">
        <v>314</v>
      </c>
      <c r="C704" t="s">
        <v>543</v>
      </c>
      <c r="D704" t="s">
        <v>89</v>
      </c>
      <c r="E704">
        <v>2</v>
      </c>
      <c r="F704" t="s">
        <v>145</v>
      </c>
      <c r="G704" t="s">
        <v>63</v>
      </c>
      <c r="H704" t="s">
        <v>219</v>
      </c>
      <c r="I704" t="s">
        <v>220</v>
      </c>
      <c r="J704">
        <v>0</v>
      </c>
      <c r="K704">
        <v>45344.378229166665</v>
      </c>
      <c r="L704">
        <v>2</v>
      </c>
      <c r="O704">
        <v>1</v>
      </c>
      <c r="P704">
        <v>2</v>
      </c>
      <c r="Q704">
        <v>0</v>
      </c>
    </row>
    <row r="705" spans="2:17" x14ac:dyDescent="0.25">
      <c r="B705" t="s">
        <v>314</v>
      </c>
      <c r="C705" t="s">
        <v>543</v>
      </c>
      <c r="D705" t="s">
        <v>89</v>
      </c>
      <c r="E705">
        <v>2</v>
      </c>
      <c r="F705" t="s">
        <v>145</v>
      </c>
      <c r="G705" t="s">
        <v>239</v>
      </c>
      <c r="H705" t="s">
        <v>219</v>
      </c>
      <c r="I705" t="s">
        <v>220</v>
      </c>
      <c r="J705">
        <v>0</v>
      </c>
      <c r="K705">
        <v>45344.378240740742</v>
      </c>
      <c r="L705">
        <v>2</v>
      </c>
      <c r="O705">
        <v>1</v>
      </c>
      <c r="P705">
        <v>2</v>
      </c>
      <c r="Q705">
        <v>0</v>
      </c>
    </row>
    <row r="706" spans="2:17" x14ac:dyDescent="0.25">
      <c r="B706" t="s">
        <v>314</v>
      </c>
      <c r="C706" t="s">
        <v>422</v>
      </c>
      <c r="D706" t="s">
        <v>691</v>
      </c>
      <c r="E706">
        <v>250</v>
      </c>
      <c r="F706" t="s">
        <v>68</v>
      </c>
      <c r="G706" t="s">
        <v>165</v>
      </c>
      <c r="H706" t="s">
        <v>166</v>
      </c>
      <c r="J706">
        <v>0</v>
      </c>
      <c r="K706">
        <v>45344.378252314818</v>
      </c>
      <c r="L706">
        <v>1852</v>
      </c>
      <c r="O706">
        <v>24</v>
      </c>
      <c r="P706">
        <v>10</v>
      </c>
      <c r="Q706">
        <v>9.9999999999999858</v>
      </c>
    </row>
    <row r="707" spans="2:17" x14ac:dyDescent="0.25">
      <c r="B707" t="s">
        <v>314</v>
      </c>
      <c r="C707" t="s">
        <v>561</v>
      </c>
      <c r="D707" t="s">
        <v>692</v>
      </c>
      <c r="E707">
        <v>10000</v>
      </c>
      <c r="F707" t="s">
        <v>68</v>
      </c>
      <c r="G707" t="s">
        <v>117</v>
      </c>
      <c r="H707" t="s">
        <v>118</v>
      </c>
      <c r="I707" t="s">
        <v>115</v>
      </c>
      <c r="J707">
        <v>0</v>
      </c>
      <c r="K707">
        <v>45344.378321759257</v>
      </c>
      <c r="L707">
        <v>11600</v>
      </c>
      <c r="O707">
        <v>1200</v>
      </c>
      <c r="P707">
        <v>8</v>
      </c>
      <c r="Q707">
        <v>400.00000000000068</v>
      </c>
    </row>
    <row r="708" spans="2:17" x14ac:dyDescent="0.25">
      <c r="B708" t="s">
        <v>314</v>
      </c>
      <c r="C708" t="s">
        <v>447</v>
      </c>
      <c r="D708" t="s">
        <v>693</v>
      </c>
      <c r="E708">
        <v>200</v>
      </c>
      <c r="F708" t="s">
        <v>68</v>
      </c>
      <c r="G708" t="s">
        <v>161</v>
      </c>
      <c r="H708" t="s">
        <v>162</v>
      </c>
      <c r="I708" t="s">
        <v>115</v>
      </c>
      <c r="J708">
        <v>0</v>
      </c>
      <c r="K708">
        <v>45344.378333333334</v>
      </c>
      <c r="L708">
        <v>786</v>
      </c>
      <c r="O708">
        <v>200</v>
      </c>
      <c r="P708">
        <v>1</v>
      </c>
      <c r="Q708">
        <v>0</v>
      </c>
    </row>
    <row r="709" spans="2:17" x14ac:dyDescent="0.25">
      <c r="B709" t="s">
        <v>314</v>
      </c>
      <c r="C709" t="s">
        <v>649</v>
      </c>
      <c r="D709" t="s">
        <v>694</v>
      </c>
      <c r="E709">
        <v>750</v>
      </c>
      <c r="F709" t="s">
        <v>68</v>
      </c>
      <c r="G709" t="s">
        <v>125</v>
      </c>
      <c r="H709" t="s">
        <v>126</v>
      </c>
      <c r="I709" t="s">
        <v>115</v>
      </c>
      <c r="J709">
        <v>0</v>
      </c>
      <c r="K709">
        <v>45344.378344907411</v>
      </c>
      <c r="L709">
        <v>11800</v>
      </c>
      <c r="O709">
        <v>1200</v>
      </c>
      <c r="P709">
        <v>0</v>
      </c>
      <c r="Q709">
        <v>750</v>
      </c>
    </row>
    <row r="710" spans="2:17" x14ac:dyDescent="0.25">
      <c r="B710" t="s">
        <v>314</v>
      </c>
      <c r="C710" t="s">
        <v>587</v>
      </c>
      <c r="D710" t="s">
        <v>695</v>
      </c>
      <c r="E710">
        <v>240</v>
      </c>
      <c r="F710" t="s">
        <v>68</v>
      </c>
      <c r="G710" t="s">
        <v>174</v>
      </c>
      <c r="H710" t="s">
        <v>175</v>
      </c>
      <c r="I710" t="s">
        <v>176</v>
      </c>
      <c r="J710">
        <v>0</v>
      </c>
      <c r="K710">
        <v>45344.378368055557</v>
      </c>
      <c r="L710">
        <v>-246</v>
      </c>
      <c r="O710">
        <v>300</v>
      </c>
      <c r="P710">
        <v>0</v>
      </c>
      <c r="Q710">
        <v>240</v>
      </c>
    </row>
    <row r="711" spans="2:17" x14ac:dyDescent="0.25">
      <c r="B711" t="s">
        <v>169</v>
      </c>
      <c r="C711" t="s">
        <v>621</v>
      </c>
      <c r="D711" t="s">
        <v>701</v>
      </c>
      <c r="E711">
        <v>40</v>
      </c>
      <c r="F711" t="s">
        <v>137</v>
      </c>
      <c r="G711" t="s">
        <v>141</v>
      </c>
      <c r="H711" t="s">
        <v>142</v>
      </c>
      <c r="I711" t="s">
        <v>140</v>
      </c>
      <c r="J711">
        <v>0</v>
      </c>
      <c r="K711">
        <v>45345.714942129627</v>
      </c>
      <c r="L711">
        <v>4660</v>
      </c>
      <c r="O711">
        <v>10</v>
      </c>
      <c r="P711">
        <v>4</v>
      </c>
      <c r="Q711">
        <v>0</v>
      </c>
    </row>
    <row r="712" spans="2:17" x14ac:dyDescent="0.25">
      <c r="B712" t="s">
        <v>169</v>
      </c>
      <c r="C712" t="s">
        <v>621</v>
      </c>
      <c r="D712">
        <v>548</v>
      </c>
      <c r="E712">
        <v>20</v>
      </c>
      <c r="F712" t="s">
        <v>137</v>
      </c>
      <c r="G712" t="s">
        <v>143</v>
      </c>
      <c r="H712" t="s">
        <v>144</v>
      </c>
      <c r="I712" t="s">
        <v>140</v>
      </c>
      <c r="J712">
        <v>0</v>
      </c>
      <c r="K712">
        <v>45345.714965277781</v>
      </c>
      <c r="L712">
        <v>245</v>
      </c>
      <c r="O712">
        <v>10</v>
      </c>
      <c r="P712">
        <v>2</v>
      </c>
      <c r="Q712">
        <v>0</v>
      </c>
    </row>
    <row r="713" spans="2:17" x14ac:dyDescent="0.25">
      <c r="B713" t="s">
        <v>169</v>
      </c>
      <c r="C713" t="s">
        <v>575</v>
      </c>
      <c r="D713" t="s">
        <v>702</v>
      </c>
      <c r="E713">
        <v>200</v>
      </c>
      <c r="F713" t="s">
        <v>68</v>
      </c>
      <c r="G713" t="s">
        <v>152</v>
      </c>
      <c r="H713" t="s">
        <v>153</v>
      </c>
      <c r="I713" t="s">
        <v>154</v>
      </c>
      <c r="J713">
        <v>0</v>
      </c>
      <c r="K713">
        <v>45345.71497685185</v>
      </c>
      <c r="L713">
        <v>6888</v>
      </c>
      <c r="O713">
        <v>24</v>
      </c>
      <c r="P713">
        <v>8</v>
      </c>
      <c r="Q713">
        <v>8.0000000000000142</v>
      </c>
    </row>
    <row r="714" spans="2:17" x14ac:dyDescent="0.25">
      <c r="B714" t="s">
        <v>169</v>
      </c>
      <c r="C714" t="s">
        <v>385</v>
      </c>
      <c r="D714" t="s">
        <v>703</v>
      </c>
      <c r="E714">
        <v>1000</v>
      </c>
      <c r="F714" t="s">
        <v>68</v>
      </c>
      <c r="G714" t="s">
        <v>174</v>
      </c>
      <c r="H714" t="s">
        <v>175</v>
      </c>
      <c r="I714" t="s">
        <v>176</v>
      </c>
      <c r="J714">
        <v>0</v>
      </c>
      <c r="K714">
        <v>45345.71497685185</v>
      </c>
      <c r="L714">
        <v>-1246</v>
      </c>
      <c r="O714">
        <v>300</v>
      </c>
      <c r="P714">
        <v>3</v>
      </c>
      <c r="Q714">
        <v>100.00000000000004</v>
      </c>
    </row>
    <row r="715" spans="2:17" x14ac:dyDescent="0.25">
      <c r="B715" t="s">
        <v>169</v>
      </c>
      <c r="C715" t="s">
        <v>761</v>
      </c>
      <c r="D715" t="s">
        <v>704</v>
      </c>
      <c r="E715">
        <v>500</v>
      </c>
      <c r="F715" t="s">
        <v>145</v>
      </c>
      <c r="G715" t="s">
        <v>151</v>
      </c>
      <c r="H715" t="s">
        <v>147</v>
      </c>
      <c r="I715" t="s">
        <v>148</v>
      </c>
      <c r="J715">
        <v>0</v>
      </c>
      <c r="K715">
        <v>45345.714999999997</v>
      </c>
      <c r="L715">
        <v>1368</v>
      </c>
      <c r="O715">
        <v>144</v>
      </c>
      <c r="P715">
        <v>3</v>
      </c>
      <c r="Q715">
        <v>68.000000000000014</v>
      </c>
    </row>
    <row r="716" spans="2:17" x14ac:dyDescent="0.25">
      <c r="B716" t="s">
        <v>314</v>
      </c>
      <c r="C716" t="s">
        <v>585</v>
      </c>
      <c r="D716" t="s">
        <v>696</v>
      </c>
      <c r="E716">
        <v>50</v>
      </c>
      <c r="F716" t="s">
        <v>68</v>
      </c>
      <c r="G716" t="s">
        <v>168</v>
      </c>
      <c r="H716" t="s">
        <v>166</v>
      </c>
      <c r="J716">
        <v>0</v>
      </c>
      <c r="K716">
        <v>45348.563460648147</v>
      </c>
      <c r="L716">
        <v>1118</v>
      </c>
      <c r="O716">
        <v>12</v>
      </c>
      <c r="P716">
        <v>4</v>
      </c>
      <c r="Q716">
        <v>2.0000000000000036</v>
      </c>
    </row>
    <row r="717" spans="2:17" x14ac:dyDescent="0.25">
      <c r="B717" t="s">
        <v>314</v>
      </c>
      <c r="C717" t="s">
        <v>258</v>
      </c>
      <c r="D717" t="s">
        <v>697</v>
      </c>
      <c r="E717">
        <v>3000</v>
      </c>
      <c r="F717" t="s">
        <v>68</v>
      </c>
      <c r="G717" t="s">
        <v>131</v>
      </c>
      <c r="H717" t="s">
        <v>132</v>
      </c>
      <c r="I717" t="s">
        <v>115</v>
      </c>
      <c r="J717">
        <v>0</v>
      </c>
      <c r="K717">
        <v>45348.56349537037</v>
      </c>
      <c r="L717">
        <v>31200</v>
      </c>
      <c r="O717">
        <v>3000</v>
      </c>
      <c r="P717">
        <v>1</v>
      </c>
      <c r="Q717">
        <v>0</v>
      </c>
    </row>
    <row r="718" spans="2:17" x14ac:dyDescent="0.25">
      <c r="B718" t="s">
        <v>314</v>
      </c>
      <c r="C718" t="s">
        <v>338</v>
      </c>
      <c r="D718" t="s">
        <v>698</v>
      </c>
      <c r="E718">
        <v>2000</v>
      </c>
      <c r="F718" t="s">
        <v>68</v>
      </c>
      <c r="G718" t="s">
        <v>190</v>
      </c>
      <c r="H718" t="s">
        <v>191</v>
      </c>
      <c r="I718" t="s">
        <v>154</v>
      </c>
      <c r="J718">
        <v>0</v>
      </c>
      <c r="K718">
        <v>45348.563530092593</v>
      </c>
      <c r="L718">
        <v>-2000</v>
      </c>
      <c r="O718">
        <v>2000</v>
      </c>
      <c r="P718">
        <v>1</v>
      </c>
      <c r="Q718">
        <v>0</v>
      </c>
    </row>
    <row r="719" spans="2:17" x14ac:dyDescent="0.25">
      <c r="B719" t="s">
        <v>314</v>
      </c>
      <c r="C719" t="s">
        <v>762</v>
      </c>
      <c r="D719" t="s">
        <v>699</v>
      </c>
      <c r="E719">
        <v>20</v>
      </c>
      <c r="F719" t="s">
        <v>68</v>
      </c>
      <c r="G719" t="s">
        <v>779</v>
      </c>
      <c r="H719" t="s">
        <v>244</v>
      </c>
      <c r="I719" t="s">
        <v>245</v>
      </c>
      <c r="J719">
        <v>0</v>
      </c>
      <c r="K719">
        <v>45348.563622685186</v>
      </c>
      <c r="L719">
        <v>0</v>
      </c>
      <c r="O719">
        <v>1</v>
      </c>
      <c r="P719">
        <v>20</v>
      </c>
      <c r="Q719">
        <v>0</v>
      </c>
    </row>
    <row r="720" spans="2:17" x14ac:dyDescent="0.25">
      <c r="B720" t="s">
        <v>314</v>
      </c>
      <c r="C720" t="s">
        <v>472</v>
      </c>
      <c r="D720" t="s">
        <v>700</v>
      </c>
      <c r="E720">
        <v>170</v>
      </c>
      <c r="F720" t="s">
        <v>137</v>
      </c>
      <c r="G720" t="s">
        <v>141</v>
      </c>
      <c r="H720" t="s">
        <v>142</v>
      </c>
      <c r="I720" t="s">
        <v>140</v>
      </c>
      <c r="J720">
        <v>0</v>
      </c>
      <c r="K720">
        <v>45348.563692129632</v>
      </c>
      <c r="L720">
        <v>4490</v>
      </c>
      <c r="O720">
        <v>10</v>
      </c>
      <c r="P720">
        <v>17</v>
      </c>
      <c r="Q720">
        <v>0</v>
      </c>
    </row>
    <row r="721" spans="2:17" x14ac:dyDescent="0.25">
      <c r="B721" t="s">
        <v>705</v>
      </c>
      <c r="C721" t="s">
        <v>67</v>
      </c>
      <c r="D721" t="s">
        <v>67</v>
      </c>
      <c r="E721">
        <v>10000</v>
      </c>
      <c r="F721" t="s">
        <v>68</v>
      </c>
      <c r="G721" t="s">
        <v>190</v>
      </c>
      <c r="H721" t="s">
        <v>191</v>
      </c>
      <c r="I721" t="s">
        <v>154</v>
      </c>
      <c r="J721">
        <v>1</v>
      </c>
      <c r="K721">
        <v>45348.5705787037</v>
      </c>
      <c r="L721">
        <v>8000</v>
      </c>
      <c r="M721" t="s">
        <v>706</v>
      </c>
      <c r="O721">
        <v>2000</v>
      </c>
      <c r="P721">
        <v>5</v>
      </c>
      <c r="Q721">
        <v>0</v>
      </c>
    </row>
    <row r="722" spans="2:17" x14ac:dyDescent="0.25">
      <c r="B722" t="s">
        <v>707</v>
      </c>
      <c r="C722" t="s">
        <v>67</v>
      </c>
      <c r="D722" t="s">
        <v>67</v>
      </c>
      <c r="E722">
        <v>14000</v>
      </c>
      <c r="F722" t="s">
        <v>68</v>
      </c>
      <c r="G722" t="s">
        <v>190</v>
      </c>
      <c r="H722" t="s">
        <v>191</v>
      </c>
      <c r="I722" t="s">
        <v>154</v>
      </c>
      <c r="J722">
        <v>1</v>
      </c>
      <c r="K722">
        <v>45348.571747685186</v>
      </c>
      <c r="L722">
        <v>22000</v>
      </c>
      <c r="M722" t="s">
        <v>706</v>
      </c>
      <c r="O722">
        <v>2000</v>
      </c>
      <c r="P722">
        <v>7</v>
      </c>
      <c r="Q722">
        <v>0</v>
      </c>
    </row>
    <row r="723" spans="2:17" x14ac:dyDescent="0.25">
      <c r="B723" t="s">
        <v>708</v>
      </c>
      <c r="C723" t="s">
        <v>67</v>
      </c>
      <c r="D723" t="s">
        <v>67</v>
      </c>
      <c r="E723">
        <v>8000</v>
      </c>
      <c r="F723" t="s">
        <v>68</v>
      </c>
      <c r="G723" t="s">
        <v>190</v>
      </c>
      <c r="H723" t="s">
        <v>191</v>
      </c>
      <c r="I723" t="s">
        <v>154</v>
      </c>
      <c r="J723">
        <v>1</v>
      </c>
      <c r="K723">
        <v>45348.572233796294</v>
      </c>
      <c r="L723">
        <v>30000</v>
      </c>
      <c r="M723" t="s">
        <v>706</v>
      </c>
      <c r="O723">
        <v>2000</v>
      </c>
      <c r="P723">
        <v>4</v>
      </c>
      <c r="Q723">
        <v>0</v>
      </c>
    </row>
    <row r="724" spans="2:17" x14ac:dyDescent="0.25">
      <c r="B724" t="s">
        <v>709</v>
      </c>
      <c r="C724" t="s">
        <v>67</v>
      </c>
      <c r="D724" t="s">
        <v>67</v>
      </c>
      <c r="E724">
        <v>40</v>
      </c>
      <c r="F724" t="s">
        <v>145</v>
      </c>
      <c r="G724" t="s">
        <v>408</v>
      </c>
      <c r="H724" t="s">
        <v>219</v>
      </c>
      <c r="I724" t="s">
        <v>220</v>
      </c>
      <c r="J724">
        <v>1</v>
      </c>
      <c r="K724">
        <v>45348.57980324074</v>
      </c>
      <c r="L724">
        <v>76</v>
      </c>
      <c r="M724" t="s">
        <v>706</v>
      </c>
      <c r="O724">
        <v>1</v>
      </c>
      <c r="P724">
        <v>40</v>
      </c>
      <c r="Q724">
        <v>0</v>
      </c>
    </row>
    <row r="725" spans="2:17" x14ac:dyDescent="0.25">
      <c r="B725" t="s">
        <v>709</v>
      </c>
      <c r="C725" t="s">
        <v>67</v>
      </c>
      <c r="D725" t="s">
        <v>67</v>
      </c>
      <c r="E725">
        <v>44</v>
      </c>
      <c r="F725" t="s">
        <v>145</v>
      </c>
      <c r="G725" t="s">
        <v>369</v>
      </c>
      <c r="H725" t="s">
        <v>219</v>
      </c>
      <c r="I725" t="s">
        <v>220</v>
      </c>
      <c r="J725">
        <v>1</v>
      </c>
      <c r="K725">
        <v>45348.579942129632</v>
      </c>
      <c r="L725">
        <v>54</v>
      </c>
      <c r="M725" t="s">
        <v>706</v>
      </c>
      <c r="O725">
        <v>1</v>
      </c>
      <c r="P725">
        <v>44</v>
      </c>
      <c r="Q725">
        <v>0</v>
      </c>
    </row>
    <row r="726" spans="2:17" x14ac:dyDescent="0.25">
      <c r="B726" t="s">
        <v>709</v>
      </c>
      <c r="C726" t="s">
        <v>67</v>
      </c>
      <c r="D726" t="s">
        <v>67</v>
      </c>
      <c r="E726">
        <v>40</v>
      </c>
      <c r="F726" t="s">
        <v>145</v>
      </c>
      <c r="G726" t="s">
        <v>238</v>
      </c>
      <c r="H726" t="s">
        <v>219</v>
      </c>
      <c r="I726" t="s">
        <v>220</v>
      </c>
      <c r="J726">
        <v>1</v>
      </c>
      <c r="K726">
        <v>45348.58</v>
      </c>
      <c r="L726">
        <v>70</v>
      </c>
      <c r="M726" t="s">
        <v>706</v>
      </c>
      <c r="O726">
        <v>1</v>
      </c>
      <c r="P726">
        <v>40</v>
      </c>
      <c r="Q726">
        <v>0</v>
      </c>
    </row>
    <row r="727" spans="2:17" x14ac:dyDescent="0.25">
      <c r="B727" t="s">
        <v>709</v>
      </c>
      <c r="C727" t="s">
        <v>67</v>
      </c>
      <c r="D727" t="s">
        <v>67</v>
      </c>
      <c r="E727">
        <v>26</v>
      </c>
      <c r="F727" t="s">
        <v>145</v>
      </c>
      <c r="G727" t="s">
        <v>227</v>
      </c>
      <c r="H727" t="s">
        <v>219</v>
      </c>
      <c r="I727" t="s">
        <v>220</v>
      </c>
      <c r="J727">
        <v>1</v>
      </c>
      <c r="K727">
        <v>45348.580046296294</v>
      </c>
      <c r="L727">
        <v>65</v>
      </c>
      <c r="M727" t="s">
        <v>706</v>
      </c>
      <c r="O727">
        <v>1</v>
      </c>
      <c r="P727">
        <v>26</v>
      </c>
      <c r="Q727">
        <v>0</v>
      </c>
    </row>
    <row r="728" spans="2:17" x14ac:dyDescent="0.25">
      <c r="B728" t="s">
        <v>709</v>
      </c>
      <c r="C728" t="s">
        <v>67</v>
      </c>
      <c r="D728" t="s">
        <v>67</v>
      </c>
      <c r="E728">
        <v>4</v>
      </c>
      <c r="F728" t="s">
        <v>145</v>
      </c>
      <c r="G728" t="s">
        <v>241</v>
      </c>
      <c r="H728" t="s">
        <v>219</v>
      </c>
      <c r="I728" t="s">
        <v>220</v>
      </c>
      <c r="J728">
        <v>1</v>
      </c>
      <c r="K728">
        <v>45348.580104166664</v>
      </c>
      <c r="L728">
        <v>4</v>
      </c>
      <c r="M728" t="s">
        <v>706</v>
      </c>
      <c r="O728">
        <v>1</v>
      </c>
      <c r="P728">
        <v>4</v>
      </c>
      <c r="Q728">
        <v>0</v>
      </c>
    </row>
    <row r="729" spans="2:17" x14ac:dyDescent="0.25">
      <c r="B729" t="s">
        <v>709</v>
      </c>
      <c r="C729" t="s">
        <v>67</v>
      </c>
      <c r="D729" t="s">
        <v>67</v>
      </c>
      <c r="E729">
        <v>28</v>
      </c>
      <c r="F729" t="s">
        <v>145</v>
      </c>
      <c r="G729" t="s">
        <v>64</v>
      </c>
      <c r="H729" t="s">
        <v>219</v>
      </c>
      <c r="I729" t="s">
        <v>220</v>
      </c>
      <c r="J729">
        <v>1</v>
      </c>
      <c r="K729">
        <v>45348.580150462964</v>
      </c>
      <c r="L729">
        <v>56</v>
      </c>
      <c r="M729" t="s">
        <v>706</v>
      </c>
      <c r="O729">
        <v>1</v>
      </c>
      <c r="P729">
        <v>28</v>
      </c>
      <c r="Q729">
        <v>0</v>
      </c>
    </row>
    <row r="730" spans="2:17" x14ac:dyDescent="0.25">
      <c r="B730" t="s">
        <v>709</v>
      </c>
      <c r="C730" t="s">
        <v>67</v>
      </c>
      <c r="D730" t="s">
        <v>67</v>
      </c>
      <c r="E730">
        <v>10</v>
      </c>
      <c r="F730" t="s">
        <v>145</v>
      </c>
      <c r="G730" t="s">
        <v>65</v>
      </c>
      <c r="H730" t="s">
        <v>219</v>
      </c>
      <c r="I730" t="s">
        <v>220</v>
      </c>
      <c r="J730">
        <v>1</v>
      </c>
      <c r="K730">
        <v>45348.580208333333</v>
      </c>
      <c r="L730">
        <v>38</v>
      </c>
      <c r="M730" t="s">
        <v>706</v>
      </c>
      <c r="O730">
        <v>1</v>
      </c>
      <c r="P730">
        <v>10</v>
      </c>
      <c r="Q730">
        <v>0</v>
      </c>
    </row>
    <row r="731" spans="2:17" x14ac:dyDescent="0.25">
      <c r="B731" t="s">
        <v>169</v>
      </c>
      <c r="C731" t="s">
        <v>411</v>
      </c>
      <c r="D731" t="s">
        <v>729</v>
      </c>
      <c r="E731">
        <v>40</v>
      </c>
      <c r="F731" t="s">
        <v>68</v>
      </c>
      <c r="G731" t="s">
        <v>773</v>
      </c>
      <c r="H731" t="s">
        <v>180</v>
      </c>
      <c r="I731" t="s">
        <v>154</v>
      </c>
      <c r="J731">
        <v>0</v>
      </c>
      <c r="K731">
        <v>45349.692291666666</v>
      </c>
      <c r="L731">
        <v>520</v>
      </c>
      <c r="O731">
        <v>100</v>
      </c>
      <c r="P731">
        <v>0</v>
      </c>
      <c r="Q731">
        <v>40</v>
      </c>
    </row>
    <row r="732" spans="2:17" x14ac:dyDescent="0.25">
      <c r="B732" t="s">
        <v>169</v>
      </c>
      <c r="C732" t="s">
        <v>411</v>
      </c>
      <c r="D732" t="s">
        <v>729</v>
      </c>
      <c r="E732">
        <v>30</v>
      </c>
      <c r="F732" t="s">
        <v>68</v>
      </c>
      <c r="G732" t="s">
        <v>772</v>
      </c>
      <c r="H732" t="s">
        <v>160</v>
      </c>
      <c r="I732" t="s">
        <v>154</v>
      </c>
      <c r="J732">
        <v>0</v>
      </c>
      <c r="K732">
        <v>45349.692395833335</v>
      </c>
      <c r="L732">
        <v>134</v>
      </c>
      <c r="O732">
        <v>4</v>
      </c>
      <c r="P732">
        <v>7</v>
      </c>
      <c r="Q732">
        <v>2</v>
      </c>
    </row>
    <row r="733" spans="2:17" x14ac:dyDescent="0.25">
      <c r="B733" t="s">
        <v>169</v>
      </c>
      <c r="C733" t="s">
        <v>380</v>
      </c>
      <c r="D733" t="s">
        <v>730</v>
      </c>
      <c r="E733">
        <v>1000</v>
      </c>
      <c r="F733" t="s">
        <v>68</v>
      </c>
      <c r="G733" t="s">
        <v>117</v>
      </c>
      <c r="H733" t="s">
        <v>118</v>
      </c>
      <c r="I733" t="s">
        <v>115</v>
      </c>
      <c r="J733">
        <v>0</v>
      </c>
      <c r="K733">
        <v>45349.692407407405</v>
      </c>
      <c r="L733">
        <v>10600</v>
      </c>
      <c r="O733">
        <v>1200</v>
      </c>
      <c r="P733">
        <v>0</v>
      </c>
      <c r="Q733">
        <v>1000</v>
      </c>
    </row>
    <row r="734" spans="2:17" x14ac:dyDescent="0.25">
      <c r="B734" t="s">
        <v>169</v>
      </c>
      <c r="C734" t="s">
        <v>380</v>
      </c>
      <c r="D734" t="s">
        <v>730</v>
      </c>
      <c r="E734">
        <v>1600</v>
      </c>
      <c r="F734" t="s">
        <v>68</v>
      </c>
      <c r="G734" t="s">
        <v>181</v>
      </c>
      <c r="H734" t="s">
        <v>182</v>
      </c>
      <c r="I734" t="s">
        <v>115</v>
      </c>
      <c r="J734">
        <v>0</v>
      </c>
      <c r="K734">
        <v>45349.692430555559</v>
      </c>
      <c r="L734">
        <v>11000</v>
      </c>
      <c r="O734">
        <v>2400</v>
      </c>
      <c r="P734">
        <v>0</v>
      </c>
      <c r="Q734">
        <v>1600</v>
      </c>
    </row>
    <row r="735" spans="2:17" x14ac:dyDescent="0.25">
      <c r="B735" t="s">
        <v>169</v>
      </c>
      <c r="C735" t="s">
        <v>385</v>
      </c>
      <c r="D735" t="s">
        <v>731</v>
      </c>
      <c r="E735">
        <v>1000</v>
      </c>
      <c r="F735" t="s">
        <v>68</v>
      </c>
      <c r="G735" t="s">
        <v>174</v>
      </c>
      <c r="H735" t="s">
        <v>175</v>
      </c>
      <c r="I735" t="s">
        <v>176</v>
      </c>
      <c r="J735">
        <v>0</v>
      </c>
      <c r="K735">
        <v>45349.692523148151</v>
      </c>
      <c r="L735">
        <v>-2246</v>
      </c>
      <c r="O735">
        <v>300</v>
      </c>
      <c r="P735">
        <v>3</v>
      </c>
      <c r="Q735">
        <v>100.00000000000004</v>
      </c>
    </row>
    <row r="736" spans="2:17" x14ac:dyDescent="0.25">
      <c r="B736" t="s">
        <v>169</v>
      </c>
      <c r="C736" t="s">
        <v>621</v>
      </c>
      <c r="D736" t="s">
        <v>732</v>
      </c>
      <c r="E736">
        <v>40</v>
      </c>
      <c r="F736" t="s">
        <v>137</v>
      </c>
      <c r="G736" t="s">
        <v>141</v>
      </c>
      <c r="H736" t="s">
        <v>142</v>
      </c>
      <c r="I736" t="s">
        <v>140</v>
      </c>
      <c r="J736">
        <v>0</v>
      </c>
      <c r="K736">
        <v>45349.692615740743</v>
      </c>
      <c r="L736">
        <v>4450</v>
      </c>
      <c r="O736">
        <v>10</v>
      </c>
      <c r="P736">
        <v>4</v>
      </c>
      <c r="Q736">
        <v>0</v>
      </c>
    </row>
    <row r="737" spans="2:17" x14ac:dyDescent="0.25">
      <c r="B737" t="s">
        <v>169</v>
      </c>
      <c r="C737" t="s">
        <v>621</v>
      </c>
      <c r="D737" t="s">
        <v>732</v>
      </c>
      <c r="E737">
        <v>1200</v>
      </c>
      <c r="F737" t="s">
        <v>68</v>
      </c>
      <c r="G737" t="s">
        <v>113</v>
      </c>
      <c r="H737" t="s">
        <v>114</v>
      </c>
      <c r="I737" t="s">
        <v>115</v>
      </c>
      <c r="J737">
        <v>0</v>
      </c>
      <c r="K737">
        <v>45349.69263888889</v>
      </c>
      <c r="L737">
        <v>44300</v>
      </c>
      <c r="O737">
        <v>2400</v>
      </c>
      <c r="P737">
        <v>0</v>
      </c>
      <c r="Q737">
        <v>1200</v>
      </c>
    </row>
    <row r="738" spans="2:17" x14ac:dyDescent="0.25">
      <c r="B738" t="s">
        <v>169</v>
      </c>
      <c r="C738" t="s">
        <v>621</v>
      </c>
      <c r="D738" t="s">
        <v>732</v>
      </c>
      <c r="E738">
        <v>50</v>
      </c>
      <c r="F738" t="s">
        <v>137</v>
      </c>
      <c r="G738" t="s">
        <v>143</v>
      </c>
      <c r="H738" t="s">
        <v>144</v>
      </c>
      <c r="I738" t="s">
        <v>140</v>
      </c>
      <c r="J738">
        <v>0</v>
      </c>
      <c r="K738">
        <v>45349.692650462966</v>
      </c>
      <c r="L738">
        <v>195</v>
      </c>
      <c r="O738">
        <v>10</v>
      </c>
      <c r="P738">
        <v>5</v>
      </c>
      <c r="Q738">
        <v>0</v>
      </c>
    </row>
    <row r="739" spans="2:17" x14ac:dyDescent="0.25">
      <c r="B739" t="s">
        <v>733</v>
      </c>
      <c r="C739" t="s">
        <v>734</v>
      </c>
      <c r="D739" t="s">
        <v>66</v>
      </c>
      <c r="E739">
        <v>4000</v>
      </c>
      <c r="F739" t="s">
        <v>68</v>
      </c>
      <c r="G739" t="s">
        <v>174</v>
      </c>
      <c r="H739" t="s">
        <v>175</v>
      </c>
      <c r="I739" t="s">
        <v>176</v>
      </c>
      <c r="J739">
        <v>1</v>
      </c>
      <c r="K739">
        <v>45349.709305555552</v>
      </c>
      <c r="L739">
        <v>-6246</v>
      </c>
      <c r="M739">
        <v>45324</v>
      </c>
      <c r="O739">
        <v>300</v>
      </c>
      <c r="P739">
        <v>13</v>
      </c>
      <c r="Q739">
        <v>100.00000000000017</v>
      </c>
    </row>
    <row r="740" spans="2:17" x14ac:dyDescent="0.25">
      <c r="B740" t="s">
        <v>687</v>
      </c>
      <c r="C740" t="s">
        <v>116</v>
      </c>
      <c r="D740">
        <v>1905</v>
      </c>
      <c r="E740">
        <v>0</v>
      </c>
      <c r="F740" t="s">
        <v>137</v>
      </c>
      <c r="G740" t="s">
        <v>143</v>
      </c>
      <c r="H740" t="s">
        <v>144</v>
      </c>
      <c r="I740" t="s">
        <v>140</v>
      </c>
      <c r="J740">
        <v>0</v>
      </c>
      <c r="K740">
        <v>45349.71366898148</v>
      </c>
      <c r="L740">
        <v>1905</v>
      </c>
      <c r="O740">
        <v>10</v>
      </c>
      <c r="P740">
        <v>0</v>
      </c>
      <c r="Q740">
        <v>0</v>
      </c>
    </row>
    <row r="741" spans="2:17" x14ac:dyDescent="0.25">
      <c r="B741" t="s">
        <v>687</v>
      </c>
      <c r="C741" t="s">
        <v>116</v>
      </c>
      <c r="D741" t="s">
        <v>188</v>
      </c>
      <c r="E741">
        <v>0</v>
      </c>
      <c r="F741" t="s">
        <v>137</v>
      </c>
      <c r="G741" t="s">
        <v>138</v>
      </c>
      <c r="H741" t="s">
        <v>139</v>
      </c>
      <c r="I741" t="s">
        <v>140</v>
      </c>
      <c r="J741">
        <v>0</v>
      </c>
      <c r="K741">
        <v>45349.714375000003</v>
      </c>
      <c r="L741">
        <v>-193</v>
      </c>
      <c r="O741">
        <v>10</v>
      </c>
      <c r="P741">
        <v>0</v>
      </c>
      <c r="Q741">
        <v>0</v>
      </c>
    </row>
    <row r="742" spans="2:17" x14ac:dyDescent="0.25">
      <c r="B742" t="s">
        <v>687</v>
      </c>
      <c r="C742" t="s">
        <v>735</v>
      </c>
      <c r="D742" t="s">
        <v>66</v>
      </c>
      <c r="E742">
        <v>0</v>
      </c>
      <c r="F742" t="s">
        <v>137</v>
      </c>
      <c r="G742" t="s">
        <v>141</v>
      </c>
      <c r="H742" t="s">
        <v>142</v>
      </c>
      <c r="I742" t="s">
        <v>140</v>
      </c>
      <c r="J742">
        <v>0</v>
      </c>
      <c r="K742">
        <v>45349.715868055559</v>
      </c>
      <c r="L742">
        <v>4450</v>
      </c>
      <c r="O742">
        <v>10</v>
      </c>
      <c r="P742">
        <v>0</v>
      </c>
      <c r="Q742">
        <v>0</v>
      </c>
    </row>
    <row r="743" spans="2:17" x14ac:dyDescent="0.25">
      <c r="B743" t="s">
        <v>687</v>
      </c>
      <c r="C743" t="s">
        <v>736</v>
      </c>
      <c r="D743" t="s">
        <v>737</v>
      </c>
      <c r="E743">
        <v>0</v>
      </c>
      <c r="F743" t="s">
        <v>145</v>
      </c>
      <c r="G743" t="s">
        <v>146</v>
      </c>
      <c r="H743" t="s">
        <v>147</v>
      </c>
      <c r="I743" t="s">
        <v>148</v>
      </c>
      <c r="J743">
        <v>0</v>
      </c>
      <c r="K743">
        <v>45350.666354166664</v>
      </c>
      <c r="L743">
        <v>1228</v>
      </c>
      <c r="O743">
        <v>144</v>
      </c>
      <c r="P743">
        <v>0</v>
      </c>
      <c r="Q743">
        <v>0</v>
      </c>
    </row>
    <row r="744" spans="2:17" x14ac:dyDescent="0.25">
      <c r="B744" t="s">
        <v>687</v>
      </c>
      <c r="C744" t="s">
        <v>738</v>
      </c>
      <c r="D744" t="s">
        <v>739</v>
      </c>
      <c r="E744">
        <v>0</v>
      </c>
      <c r="F744" t="s">
        <v>145</v>
      </c>
      <c r="G744" t="s">
        <v>149</v>
      </c>
      <c r="H744" t="s">
        <v>147</v>
      </c>
      <c r="I744" t="s">
        <v>148</v>
      </c>
      <c r="J744">
        <v>0</v>
      </c>
      <c r="K744">
        <v>45350.666400462964</v>
      </c>
      <c r="L744">
        <v>5008</v>
      </c>
      <c r="O744">
        <v>144</v>
      </c>
      <c r="P744">
        <v>0</v>
      </c>
      <c r="Q744">
        <v>0</v>
      </c>
    </row>
    <row r="745" spans="2:17" x14ac:dyDescent="0.25">
      <c r="B745" t="s">
        <v>687</v>
      </c>
      <c r="C745" t="s">
        <v>740</v>
      </c>
      <c r="D745" t="s">
        <v>741</v>
      </c>
      <c r="E745">
        <v>0</v>
      </c>
      <c r="F745" t="s">
        <v>145</v>
      </c>
      <c r="G745" t="s">
        <v>150</v>
      </c>
      <c r="H745" t="s">
        <v>147</v>
      </c>
      <c r="I745" t="s">
        <v>148</v>
      </c>
      <c r="J745">
        <v>0</v>
      </c>
      <c r="K745">
        <v>45350.666446759256</v>
      </c>
      <c r="L745">
        <v>3502</v>
      </c>
      <c r="O745">
        <v>144</v>
      </c>
      <c r="P745">
        <v>0</v>
      </c>
      <c r="Q745">
        <v>0</v>
      </c>
    </row>
    <row r="746" spans="2:17" x14ac:dyDescent="0.25">
      <c r="B746" t="s">
        <v>687</v>
      </c>
      <c r="C746" t="s">
        <v>613</v>
      </c>
      <c r="D746" t="s">
        <v>742</v>
      </c>
      <c r="E746">
        <v>0</v>
      </c>
      <c r="F746" t="s">
        <v>145</v>
      </c>
      <c r="G746" t="s">
        <v>151</v>
      </c>
      <c r="H746" t="s">
        <v>147</v>
      </c>
      <c r="I746" t="s">
        <v>148</v>
      </c>
      <c r="J746">
        <v>0</v>
      </c>
      <c r="K746">
        <v>45350.666481481479</v>
      </c>
      <c r="L746">
        <v>1368</v>
      </c>
      <c r="O746">
        <v>144</v>
      </c>
      <c r="P746">
        <v>0</v>
      </c>
      <c r="Q746">
        <v>0</v>
      </c>
    </row>
    <row r="747" spans="2:17" x14ac:dyDescent="0.25">
      <c r="B747" t="s">
        <v>169</v>
      </c>
      <c r="C747" t="s">
        <v>385</v>
      </c>
      <c r="D747" t="s">
        <v>743</v>
      </c>
      <c r="E747">
        <v>220</v>
      </c>
      <c r="F747" t="s">
        <v>145</v>
      </c>
      <c r="G747" t="s">
        <v>146</v>
      </c>
      <c r="H747" t="s">
        <v>147</v>
      </c>
      <c r="I747" t="s">
        <v>148</v>
      </c>
      <c r="J747">
        <v>0</v>
      </c>
      <c r="K747">
        <v>45330.688067129631</v>
      </c>
      <c r="L747">
        <v>788</v>
      </c>
      <c r="O747">
        <v>144</v>
      </c>
      <c r="P747">
        <v>1</v>
      </c>
      <c r="Q747">
        <v>75.999999999999986</v>
      </c>
    </row>
    <row r="748" spans="2:17" x14ac:dyDescent="0.25">
      <c r="B748" t="s">
        <v>169</v>
      </c>
      <c r="C748" t="s">
        <v>385</v>
      </c>
      <c r="D748" t="s">
        <v>743</v>
      </c>
      <c r="E748">
        <v>800</v>
      </c>
      <c r="F748" t="s">
        <v>145</v>
      </c>
      <c r="G748" t="s">
        <v>149</v>
      </c>
      <c r="H748" t="s">
        <v>147</v>
      </c>
      <c r="I748" t="s">
        <v>148</v>
      </c>
      <c r="J748">
        <v>0</v>
      </c>
      <c r="K748">
        <v>45330.688067129631</v>
      </c>
      <c r="L748">
        <v>4208</v>
      </c>
      <c r="O748">
        <v>144</v>
      </c>
      <c r="P748">
        <v>5</v>
      </c>
      <c r="Q748">
        <v>79.999999999999972</v>
      </c>
    </row>
    <row r="749" spans="2:17" x14ac:dyDescent="0.25">
      <c r="B749" t="s">
        <v>169</v>
      </c>
      <c r="C749" t="s">
        <v>385</v>
      </c>
      <c r="D749" t="s">
        <v>743</v>
      </c>
      <c r="E749">
        <v>700</v>
      </c>
      <c r="F749" t="s">
        <v>145</v>
      </c>
      <c r="G749" t="s">
        <v>150</v>
      </c>
      <c r="H749" t="s">
        <v>147</v>
      </c>
      <c r="I749" t="s">
        <v>148</v>
      </c>
      <c r="J749">
        <v>0</v>
      </c>
      <c r="K749">
        <v>45330.688067129631</v>
      </c>
      <c r="L749">
        <v>2802</v>
      </c>
      <c r="O749">
        <v>144</v>
      </c>
      <c r="P749">
        <v>4</v>
      </c>
      <c r="Q749">
        <v>123.99999999999994</v>
      </c>
    </row>
    <row r="750" spans="2:17" x14ac:dyDescent="0.25">
      <c r="B750" t="s">
        <v>169</v>
      </c>
      <c r="C750" t="s">
        <v>380</v>
      </c>
      <c r="D750" t="s">
        <v>744</v>
      </c>
      <c r="E750">
        <v>1600</v>
      </c>
      <c r="F750" t="s">
        <v>68</v>
      </c>
      <c r="G750" t="s">
        <v>181</v>
      </c>
      <c r="H750" t="s">
        <v>182</v>
      </c>
      <c r="I750" t="s">
        <v>115</v>
      </c>
      <c r="J750">
        <v>0</v>
      </c>
      <c r="K750">
        <v>45330.688067129631</v>
      </c>
      <c r="L750">
        <v>9400</v>
      </c>
      <c r="O750">
        <v>2400</v>
      </c>
      <c r="P750">
        <v>0</v>
      </c>
      <c r="Q750">
        <v>1600</v>
      </c>
    </row>
    <row r="751" spans="2:17" x14ac:dyDescent="0.25">
      <c r="B751" t="s">
        <v>169</v>
      </c>
      <c r="C751" t="s">
        <v>411</v>
      </c>
      <c r="D751" t="s">
        <v>745</v>
      </c>
      <c r="E751">
        <v>2500</v>
      </c>
      <c r="F751" t="s">
        <v>68</v>
      </c>
      <c r="G751" t="s">
        <v>135</v>
      </c>
      <c r="H751" t="s">
        <v>136</v>
      </c>
      <c r="I751" t="s">
        <v>115</v>
      </c>
      <c r="J751">
        <v>0</v>
      </c>
      <c r="K751">
        <v>45330.688067129631</v>
      </c>
      <c r="L751">
        <v>8200</v>
      </c>
      <c r="O751">
        <v>2400</v>
      </c>
      <c r="P751">
        <v>1</v>
      </c>
      <c r="Q751">
        <v>100.00000000000017</v>
      </c>
    </row>
    <row r="752" spans="2:17" x14ac:dyDescent="0.25">
      <c r="B752" t="s">
        <v>169</v>
      </c>
      <c r="C752" t="s">
        <v>411</v>
      </c>
      <c r="D752" t="s">
        <v>745</v>
      </c>
      <c r="E752">
        <v>40</v>
      </c>
      <c r="F752" t="s">
        <v>68</v>
      </c>
      <c r="G752" t="s">
        <v>773</v>
      </c>
      <c r="H752" t="s">
        <v>180</v>
      </c>
      <c r="I752" t="s">
        <v>154</v>
      </c>
      <c r="J752">
        <v>0</v>
      </c>
      <c r="K752">
        <v>45330.688067129631</v>
      </c>
      <c r="L752">
        <v>480</v>
      </c>
      <c r="O752">
        <v>100</v>
      </c>
      <c r="P752">
        <v>0</v>
      </c>
      <c r="Q752">
        <v>40</v>
      </c>
    </row>
    <row r="753" spans="2:17" x14ac:dyDescent="0.25">
      <c r="B753" t="s">
        <v>314</v>
      </c>
      <c r="C753" t="s">
        <v>554</v>
      </c>
      <c r="D753" t="s">
        <v>746</v>
      </c>
      <c r="E753">
        <v>600</v>
      </c>
      <c r="F753" t="s">
        <v>68</v>
      </c>
      <c r="G753" t="s">
        <v>135</v>
      </c>
      <c r="H753" t="s">
        <v>136</v>
      </c>
      <c r="I753" t="s">
        <v>115</v>
      </c>
      <c r="J753">
        <v>0</v>
      </c>
      <c r="K753">
        <v>45330.688067129631</v>
      </c>
      <c r="L753">
        <v>7600</v>
      </c>
      <c r="O753">
        <v>2400</v>
      </c>
      <c r="P753">
        <v>0</v>
      </c>
      <c r="Q753">
        <v>600</v>
      </c>
    </row>
    <row r="754" spans="2:17" x14ac:dyDescent="0.25">
      <c r="B754" t="s">
        <v>314</v>
      </c>
      <c r="C754" t="s">
        <v>747</v>
      </c>
      <c r="D754" t="s">
        <v>748</v>
      </c>
      <c r="E754">
        <v>500</v>
      </c>
      <c r="F754" t="s">
        <v>68</v>
      </c>
      <c r="G754" t="s">
        <v>125</v>
      </c>
      <c r="H754" t="s">
        <v>126</v>
      </c>
      <c r="I754" t="s">
        <v>115</v>
      </c>
      <c r="J754">
        <v>0</v>
      </c>
      <c r="K754">
        <v>45330.688067129631</v>
      </c>
      <c r="L754">
        <v>11300</v>
      </c>
      <c r="O754">
        <v>1200</v>
      </c>
      <c r="P754">
        <v>0</v>
      </c>
      <c r="Q754">
        <v>500</v>
      </c>
    </row>
    <row r="755" spans="2:17" x14ac:dyDescent="0.25">
      <c r="B755" t="s">
        <v>169</v>
      </c>
      <c r="C755" t="s">
        <v>621</v>
      </c>
      <c r="D755" t="s">
        <v>749</v>
      </c>
      <c r="E755">
        <v>40</v>
      </c>
      <c r="F755" t="s">
        <v>137</v>
      </c>
      <c r="G755" t="s">
        <v>141</v>
      </c>
      <c r="H755" t="s">
        <v>142</v>
      </c>
      <c r="I755" t="s">
        <v>140</v>
      </c>
      <c r="J755">
        <v>0</v>
      </c>
      <c r="K755">
        <v>45351.560983796298</v>
      </c>
      <c r="L755">
        <v>4810</v>
      </c>
      <c r="O755">
        <v>10</v>
      </c>
      <c r="P755">
        <v>4</v>
      </c>
      <c r="Q755">
        <v>0</v>
      </c>
    </row>
    <row r="756" spans="2:17" x14ac:dyDescent="0.25">
      <c r="B756" t="s">
        <v>169</v>
      </c>
      <c r="C756" t="s">
        <v>621</v>
      </c>
      <c r="D756" t="s">
        <v>749</v>
      </c>
      <c r="E756">
        <v>1200</v>
      </c>
      <c r="F756" t="s">
        <v>68</v>
      </c>
      <c r="G756" t="s">
        <v>113</v>
      </c>
      <c r="H756" t="s">
        <v>114</v>
      </c>
      <c r="I756" t="s">
        <v>115</v>
      </c>
      <c r="J756">
        <v>0</v>
      </c>
      <c r="K756">
        <v>45351.561030092591</v>
      </c>
      <c r="L756">
        <v>43100</v>
      </c>
      <c r="O756">
        <v>2400</v>
      </c>
      <c r="P756">
        <v>0</v>
      </c>
      <c r="Q756">
        <v>1200</v>
      </c>
    </row>
    <row r="757" spans="2:17" x14ac:dyDescent="0.25">
      <c r="B757" t="s">
        <v>169</v>
      </c>
      <c r="C757" t="s">
        <v>621</v>
      </c>
      <c r="D757" t="s">
        <v>749</v>
      </c>
      <c r="E757">
        <v>20</v>
      </c>
      <c r="F757" t="s">
        <v>137</v>
      </c>
      <c r="G757" t="s">
        <v>143</v>
      </c>
      <c r="H757" t="s">
        <v>144</v>
      </c>
      <c r="I757" t="s">
        <v>140</v>
      </c>
      <c r="J757">
        <v>0</v>
      </c>
      <c r="K757">
        <v>45351.56318287037</v>
      </c>
      <c r="L757">
        <v>1885</v>
      </c>
      <c r="O757">
        <v>10</v>
      </c>
      <c r="P757">
        <v>2</v>
      </c>
      <c r="Q757">
        <v>0</v>
      </c>
    </row>
    <row r="758" spans="2:17" x14ac:dyDescent="0.25">
      <c r="B758" t="s">
        <v>169</v>
      </c>
      <c r="C758" t="s">
        <v>411</v>
      </c>
      <c r="D758" t="s">
        <v>750</v>
      </c>
      <c r="E758">
        <v>40</v>
      </c>
      <c r="F758" t="s">
        <v>68</v>
      </c>
      <c r="G758" t="s">
        <v>773</v>
      </c>
      <c r="H758" t="s">
        <v>180</v>
      </c>
      <c r="I758" t="s">
        <v>154</v>
      </c>
      <c r="J758">
        <v>0</v>
      </c>
      <c r="K758">
        <v>45351.563217592593</v>
      </c>
      <c r="L758">
        <v>440</v>
      </c>
      <c r="O758">
        <v>100</v>
      </c>
      <c r="P758">
        <v>0</v>
      </c>
      <c r="Q758">
        <v>40</v>
      </c>
    </row>
    <row r="759" spans="2:17" x14ac:dyDescent="0.25">
      <c r="B759" t="s">
        <v>169</v>
      </c>
      <c r="C759" t="s">
        <v>303</v>
      </c>
      <c r="D759" t="s">
        <v>751</v>
      </c>
      <c r="E759">
        <v>5600</v>
      </c>
      <c r="F759" t="s">
        <v>68</v>
      </c>
      <c r="G759" t="s">
        <v>133</v>
      </c>
      <c r="H759" t="s">
        <v>134</v>
      </c>
      <c r="I759" t="s">
        <v>115</v>
      </c>
      <c r="J759">
        <v>0</v>
      </c>
      <c r="K759">
        <v>45351.563263888886</v>
      </c>
      <c r="L759">
        <v>96900</v>
      </c>
      <c r="O759">
        <v>2400</v>
      </c>
      <c r="P759">
        <v>2</v>
      </c>
      <c r="Q759">
        <v>800.00000000000034</v>
      </c>
    </row>
    <row r="760" spans="2:17" x14ac:dyDescent="0.25">
      <c r="B760" t="s">
        <v>169</v>
      </c>
      <c r="C760" t="s">
        <v>385</v>
      </c>
      <c r="D760" t="s">
        <v>752</v>
      </c>
      <c r="E760">
        <v>1000</v>
      </c>
      <c r="F760" t="s">
        <v>68</v>
      </c>
      <c r="G760" t="s">
        <v>174</v>
      </c>
      <c r="H760" t="s">
        <v>175</v>
      </c>
      <c r="I760" t="s">
        <v>176</v>
      </c>
      <c r="J760">
        <v>0</v>
      </c>
      <c r="K760">
        <v>45351.563356481478</v>
      </c>
      <c r="L760">
        <v>-7246</v>
      </c>
      <c r="O760">
        <v>300</v>
      </c>
      <c r="P760">
        <v>3</v>
      </c>
      <c r="Q760">
        <v>100.00000000000004</v>
      </c>
    </row>
    <row r="761" spans="2:17" x14ac:dyDescent="0.25">
      <c r="B761" t="s">
        <v>169</v>
      </c>
      <c r="C761" t="s">
        <v>385</v>
      </c>
      <c r="D761" t="s">
        <v>717</v>
      </c>
      <c r="E761">
        <v>5600</v>
      </c>
      <c r="F761" t="s">
        <v>68</v>
      </c>
      <c r="G761" t="s">
        <v>133</v>
      </c>
      <c r="H761" t="s">
        <v>134</v>
      </c>
      <c r="I761" t="s">
        <v>115</v>
      </c>
      <c r="J761">
        <v>0</v>
      </c>
      <c r="K761">
        <v>45352.328344907408</v>
      </c>
      <c r="L761">
        <v>91300</v>
      </c>
      <c r="O761">
        <v>2400</v>
      </c>
      <c r="P761">
        <v>2</v>
      </c>
      <c r="Q761">
        <v>800.00000000000034</v>
      </c>
    </row>
    <row r="762" spans="2:17" x14ac:dyDescent="0.25">
      <c r="B762" t="s">
        <v>169</v>
      </c>
      <c r="C762" t="s">
        <v>385</v>
      </c>
      <c r="D762" t="s">
        <v>717</v>
      </c>
      <c r="E762">
        <v>698</v>
      </c>
      <c r="F762" t="s">
        <v>145</v>
      </c>
      <c r="G762" t="s">
        <v>146</v>
      </c>
      <c r="H762" t="s">
        <v>147</v>
      </c>
      <c r="I762" t="s">
        <v>148</v>
      </c>
      <c r="J762">
        <v>0</v>
      </c>
      <c r="K762">
        <v>45352.3283912037</v>
      </c>
      <c r="L762">
        <v>90</v>
      </c>
      <c r="O762">
        <v>144</v>
      </c>
      <c r="P762">
        <v>4</v>
      </c>
      <c r="Q762">
        <v>122.00000000000001</v>
      </c>
    </row>
    <row r="763" spans="2:17" x14ac:dyDescent="0.25">
      <c r="B763" t="s">
        <v>169</v>
      </c>
      <c r="C763" t="s">
        <v>411</v>
      </c>
      <c r="D763" t="s">
        <v>718</v>
      </c>
      <c r="E763">
        <v>30</v>
      </c>
      <c r="F763" t="s">
        <v>68</v>
      </c>
      <c r="G763" t="s">
        <v>773</v>
      </c>
      <c r="H763" t="s">
        <v>180</v>
      </c>
      <c r="I763" t="s">
        <v>154</v>
      </c>
      <c r="J763">
        <v>0</v>
      </c>
      <c r="K763">
        <v>45352.328414351854</v>
      </c>
      <c r="L763">
        <v>410</v>
      </c>
      <c r="O763">
        <v>100</v>
      </c>
      <c r="P763">
        <v>0</v>
      </c>
      <c r="Q763">
        <v>30</v>
      </c>
    </row>
    <row r="764" spans="2:17" x14ac:dyDescent="0.25">
      <c r="B764" t="s">
        <v>169</v>
      </c>
      <c r="C764" t="s">
        <v>621</v>
      </c>
      <c r="D764" t="s">
        <v>719</v>
      </c>
      <c r="E764">
        <v>40</v>
      </c>
      <c r="F764" t="s">
        <v>137</v>
      </c>
      <c r="G764" t="s">
        <v>141</v>
      </c>
      <c r="H764" t="s">
        <v>142</v>
      </c>
      <c r="I764" t="s">
        <v>140</v>
      </c>
      <c r="J764">
        <v>0</v>
      </c>
      <c r="K764">
        <v>45352.3284375</v>
      </c>
      <c r="L764">
        <v>4770</v>
      </c>
      <c r="O764">
        <v>10</v>
      </c>
      <c r="P764">
        <v>4</v>
      </c>
      <c r="Q764">
        <v>0</v>
      </c>
    </row>
    <row r="765" spans="2:17" x14ac:dyDescent="0.25">
      <c r="B765" t="s">
        <v>169</v>
      </c>
      <c r="C765" t="s">
        <v>621</v>
      </c>
      <c r="D765" t="s">
        <v>719</v>
      </c>
      <c r="E765">
        <v>1200</v>
      </c>
      <c r="F765" t="s">
        <v>68</v>
      </c>
      <c r="G765" t="s">
        <v>113</v>
      </c>
      <c r="H765" t="s">
        <v>114</v>
      </c>
      <c r="I765" t="s">
        <v>115</v>
      </c>
      <c r="J765">
        <v>0</v>
      </c>
      <c r="K765">
        <v>45352.328460648147</v>
      </c>
      <c r="L765">
        <v>41900</v>
      </c>
      <c r="O765">
        <v>2400</v>
      </c>
      <c r="P765">
        <v>0</v>
      </c>
      <c r="Q765">
        <v>1200</v>
      </c>
    </row>
    <row r="766" spans="2:17" x14ac:dyDescent="0.25">
      <c r="B766" t="s">
        <v>169</v>
      </c>
      <c r="C766" t="s">
        <v>763</v>
      </c>
      <c r="D766" t="s">
        <v>720</v>
      </c>
      <c r="E766">
        <v>500</v>
      </c>
      <c r="F766" t="s">
        <v>145</v>
      </c>
      <c r="G766" t="s">
        <v>151</v>
      </c>
      <c r="H766" t="s">
        <v>147</v>
      </c>
      <c r="I766" t="s">
        <v>148</v>
      </c>
      <c r="J766">
        <v>0</v>
      </c>
      <c r="K766">
        <v>45352.328472222223</v>
      </c>
      <c r="L766">
        <v>868</v>
      </c>
      <c r="O766">
        <v>144</v>
      </c>
      <c r="P766">
        <v>3</v>
      </c>
      <c r="Q766">
        <v>68.000000000000014</v>
      </c>
    </row>
    <row r="767" spans="2:17" x14ac:dyDescent="0.25">
      <c r="B767" t="s">
        <v>169</v>
      </c>
      <c r="C767" t="s">
        <v>763</v>
      </c>
      <c r="D767" t="s">
        <v>720</v>
      </c>
      <c r="E767">
        <v>30</v>
      </c>
      <c r="F767" t="s">
        <v>68</v>
      </c>
      <c r="G767" t="s">
        <v>772</v>
      </c>
      <c r="H767" t="s">
        <v>160</v>
      </c>
      <c r="I767" t="s">
        <v>154</v>
      </c>
      <c r="J767">
        <v>0</v>
      </c>
      <c r="K767">
        <v>45352.328483796293</v>
      </c>
      <c r="L767">
        <v>104</v>
      </c>
      <c r="O767">
        <v>4</v>
      </c>
      <c r="P767">
        <v>7</v>
      </c>
      <c r="Q767">
        <v>2</v>
      </c>
    </row>
    <row r="768" spans="2:17" x14ac:dyDescent="0.25">
      <c r="B768" t="s">
        <v>169</v>
      </c>
      <c r="C768" t="s">
        <v>763</v>
      </c>
      <c r="D768" t="s">
        <v>720</v>
      </c>
      <c r="E768">
        <v>1000</v>
      </c>
      <c r="F768" t="s">
        <v>68</v>
      </c>
      <c r="G768" t="s">
        <v>152</v>
      </c>
      <c r="H768" t="s">
        <v>153</v>
      </c>
      <c r="I768" t="s">
        <v>154</v>
      </c>
      <c r="J768">
        <v>0</v>
      </c>
      <c r="K768">
        <v>45352.328506944446</v>
      </c>
      <c r="L768">
        <v>5888</v>
      </c>
      <c r="O768">
        <v>24</v>
      </c>
      <c r="P768">
        <v>41</v>
      </c>
      <c r="Q768">
        <v>15.999999999999943</v>
      </c>
    </row>
    <row r="769" spans="2:17" x14ac:dyDescent="0.25">
      <c r="B769" t="s">
        <v>169</v>
      </c>
      <c r="C769" t="s">
        <v>764</v>
      </c>
      <c r="D769" t="s">
        <v>721</v>
      </c>
      <c r="E769">
        <v>5000</v>
      </c>
      <c r="F769" t="s">
        <v>68</v>
      </c>
      <c r="G769" t="s">
        <v>156</v>
      </c>
      <c r="H769" t="s">
        <v>157</v>
      </c>
      <c r="I769" t="s">
        <v>154</v>
      </c>
      <c r="J769">
        <v>0</v>
      </c>
      <c r="K769">
        <v>45352.328541666669</v>
      </c>
      <c r="L769">
        <v>18620</v>
      </c>
      <c r="O769">
        <v>440</v>
      </c>
      <c r="P769">
        <v>11</v>
      </c>
      <c r="Q769">
        <v>159.99999999999986</v>
      </c>
    </row>
    <row r="770" spans="2:17" x14ac:dyDescent="0.25">
      <c r="B770" t="s">
        <v>314</v>
      </c>
      <c r="C770" t="s">
        <v>724</v>
      </c>
      <c r="D770">
        <v>2113</v>
      </c>
      <c r="E770">
        <v>2500</v>
      </c>
      <c r="F770" t="s">
        <v>68</v>
      </c>
      <c r="G770" t="s">
        <v>156</v>
      </c>
      <c r="H770" t="s">
        <v>157</v>
      </c>
      <c r="I770" t="s">
        <v>154</v>
      </c>
      <c r="K770">
        <v>45352.37127314815</v>
      </c>
      <c r="O770">
        <v>440</v>
      </c>
      <c r="P770">
        <v>5</v>
      </c>
      <c r="Q770">
        <v>299.99999999999994</v>
      </c>
    </row>
    <row r="771" spans="2:17" x14ac:dyDescent="0.25">
      <c r="B771" t="s">
        <v>314</v>
      </c>
      <c r="C771" t="s">
        <v>724</v>
      </c>
      <c r="D771">
        <v>2113</v>
      </c>
      <c r="E771">
        <v>1000</v>
      </c>
      <c r="F771" t="s">
        <v>68</v>
      </c>
      <c r="G771" t="s">
        <v>190</v>
      </c>
      <c r="H771" t="s">
        <v>191</v>
      </c>
      <c r="I771" t="s">
        <v>154</v>
      </c>
      <c r="K771">
        <v>45352.371354166666</v>
      </c>
      <c r="O771">
        <v>2000</v>
      </c>
      <c r="P771">
        <v>0</v>
      </c>
      <c r="Q771">
        <v>1000</v>
      </c>
    </row>
    <row r="772" spans="2:17" x14ac:dyDescent="0.25">
      <c r="B772" t="s">
        <v>314</v>
      </c>
      <c r="C772" t="s">
        <v>716</v>
      </c>
      <c r="D772">
        <v>2111</v>
      </c>
      <c r="E772">
        <v>2</v>
      </c>
      <c r="F772" t="s">
        <v>68</v>
      </c>
      <c r="G772" t="s">
        <v>423</v>
      </c>
      <c r="H772" t="s">
        <v>192</v>
      </c>
      <c r="K772">
        <v>45352.371932870374</v>
      </c>
      <c r="O772">
        <v>40</v>
      </c>
      <c r="P772">
        <v>0</v>
      </c>
      <c r="Q772">
        <v>2</v>
      </c>
    </row>
    <row r="773" spans="2:17" x14ac:dyDescent="0.25">
      <c r="B773" t="s">
        <v>314</v>
      </c>
      <c r="C773" t="s">
        <v>716</v>
      </c>
      <c r="D773">
        <v>2111</v>
      </c>
      <c r="E773">
        <v>120</v>
      </c>
      <c r="F773" t="s">
        <v>68</v>
      </c>
      <c r="G773" t="s">
        <v>212</v>
      </c>
      <c r="H773" t="s">
        <v>213</v>
      </c>
      <c r="I773" t="s">
        <v>154</v>
      </c>
      <c r="K773">
        <v>45352.372048611112</v>
      </c>
      <c r="O773">
        <v>100</v>
      </c>
      <c r="P773">
        <v>1</v>
      </c>
      <c r="Q773">
        <v>19.999999999999996</v>
      </c>
    </row>
    <row r="774" spans="2:17" x14ac:dyDescent="0.25">
      <c r="B774" t="s">
        <v>314</v>
      </c>
      <c r="C774" t="s">
        <v>716</v>
      </c>
      <c r="D774">
        <v>2111</v>
      </c>
      <c r="E774">
        <v>250</v>
      </c>
      <c r="F774" t="s">
        <v>68</v>
      </c>
      <c r="G774" t="s">
        <v>165</v>
      </c>
      <c r="H774" t="s">
        <v>166</v>
      </c>
      <c r="K774">
        <v>45352.372777777775</v>
      </c>
      <c r="O774">
        <v>24</v>
      </c>
      <c r="P774">
        <v>10</v>
      </c>
      <c r="Q774">
        <v>9.9999999999999858</v>
      </c>
    </row>
    <row r="775" spans="2:17" x14ac:dyDescent="0.25">
      <c r="B775" t="s">
        <v>314</v>
      </c>
      <c r="C775" t="s">
        <v>716</v>
      </c>
      <c r="D775">
        <v>2111</v>
      </c>
      <c r="E775">
        <v>12000</v>
      </c>
      <c r="F775" t="s">
        <v>68</v>
      </c>
      <c r="G775" t="s">
        <v>133</v>
      </c>
      <c r="H775" t="s">
        <v>134</v>
      </c>
      <c r="I775" t="s">
        <v>115</v>
      </c>
      <c r="K775">
        <v>45352.372777777775</v>
      </c>
      <c r="O775">
        <v>2400</v>
      </c>
      <c r="P775">
        <v>5</v>
      </c>
      <c r="Q775">
        <v>0</v>
      </c>
    </row>
    <row r="776" spans="2:17" x14ac:dyDescent="0.25">
      <c r="B776" t="s">
        <v>314</v>
      </c>
      <c r="C776" t="s">
        <v>716</v>
      </c>
      <c r="D776">
        <v>2112</v>
      </c>
      <c r="E776">
        <v>2</v>
      </c>
      <c r="F776" t="s">
        <v>68</v>
      </c>
      <c r="G776" t="s">
        <v>193</v>
      </c>
      <c r="H776" t="s">
        <v>194</v>
      </c>
      <c r="K776">
        <v>45352.372789351852</v>
      </c>
      <c r="O776">
        <v>36</v>
      </c>
      <c r="P776">
        <v>0</v>
      </c>
      <c r="Q776">
        <v>2</v>
      </c>
    </row>
    <row r="777" spans="2:17" x14ac:dyDescent="0.25">
      <c r="B777" t="s">
        <v>314</v>
      </c>
      <c r="C777" t="s">
        <v>716</v>
      </c>
      <c r="D777">
        <v>2112</v>
      </c>
      <c r="E777">
        <v>120</v>
      </c>
      <c r="F777" t="s">
        <v>68</v>
      </c>
      <c r="G777" t="s">
        <v>420</v>
      </c>
      <c r="H777" t="s">
        <v>159</v>
      </c>
      <c r="I777" t="s">
        <v>154</v>
      </c>
      <c r="K777">
        <v>45352.372789351852</v>
      </c>
      <c r="O777">
        <v>60</v>
      </c>
      <c r="P777">
        <v>2</v>
      </c>
      <c r="Q777">
        <v>0</v>
      </c>
    </row>
    <row r="778" spans="2:17" x14ac:dyDescent="0.25">
      <c r="B778" t="s">
        <v>314</v>
      </c>
      <c r="C778" t="s">
        <v>716</v>
      </c>
      <c r="D778">
        <v>2119</v>
      </c>
      <c r="E778">
        <v>10</v>
      </c>
      <c r="F778" t="s">
        <v>68</v>
      </c>
      <c r="G778" t="s">
        <v>168</v>
      </c>
      <c r="H778" t="s">
        <v>166</v>
      </c>
      <c r="K778">
        <v>45352.372800925928</v>
      </c>
      <c r="O778">
        <v>12</v>
      </c>
      <c r="P778">
        <v>0</v>
      </c>
      <c r="Q778">
        <v>10</v>
      </c>
    </row>
    <row r="779" spans="2:17" x14ac:dyDescent="0.25">
      <c r="B779" t="s">
        <v>314</v>
      </c>
      <c r="C779" t="s">
        <v>716</v>
      </c>
      <c r="D779">
        <v>2119</v>
      </c>
      <c r="E779">
        <v>200</v>
      </c>
      <c r="F779" t="s">
        <v>68</v>
      </c>
      <c r="G779" t="s">
        <v>163</v>
      </c>
      <c r="H779" t="s">
        <v>164</v>
      </c>
      <c r="I779" t="s">
        <v>115</v>
      </c>
      <c r="K779">
        <v>45352.372800925928</v>
      </c>
      <c r="O779">
        <v>100</v>
      </c>
      <c r="P779">
        <v>2</v>
      </c>
      <c r="Q779">
        <v>0</v>
      </c>
    </row>
    <row r="780" spans="2:17" x14ac:dyDescent="0.25">
      <c r="B780" t="s">
        <v>314</v>
      </c>
      <c r="C780" t="s">
        <v>716</v>
      </c>
      <c r="D780">
        <v>2122</v>
      </c>
      <c r="E780">
        <v>130</v>
      </c>
      <c r="F780" t="s">
        <v>68</v>
      </c>
      <c r="G780" t="s">
        <v>161</v>
      </c>
      <c r="H780" t="s">
        <v>162</v>
      </c>
      <c r="I780" t="s">
        <v>115</v>
      </c>
      <c r="K780">
        <v>45352.372835648152</v>
      </c>
      <c r="O780">
        <v>200</v>
      </c>
      <c r="P780">
        <v>0</v>
      </c>
      <c r="Q780">
        <v>130</v>
      </c>
    </row>
    <row r="781" spans="2:17" x14ac:dyDescent="0.25">
      <c r="B781" t="s">
        <v>314</v>
      </c>
      <c r="C781" t="s">
        <v>716</v>
      </c>
      <c r="D781">
        <v>2120</v>
      </c>
      <c r="E781">
        <v>10000</v>
      </c>
      <c r="F781" t="s">
        <v>68</v>
      </c>
      <c r="G781" t="s">
        <v>117</v>
      </c>
      <c r="H781" t="s">
        <v>118</v>
      </c>
      <c r="I781" t="s">
        <v>115</v>
      </c>
      <c r="K781">
        <v>45352.373055555552</v>
      </c>
      <c r="O781">
        <v>1200</v>
      </c>
      <c r="P781">
        <v>8</v>
      </c>
      <c r="Q781">
        <v>400.00000000000068</v>
      </c>
    </row>
    <row r="782" spans="2:17" x14ac:dyDescent="0.25">
      <c r="B782" t="s">
        <v>314</v>
      </c>
      <c r="C782" t="s">
        <v>716</v>
      </c>
      <c r="D782">
        <v>2118</v>
      </c>
      <c r="E782">
        <v>144</v>
      </c>
      <c r="F782" t="s">
        <v>145</v>
      </c>
      <c r="G782" t="s">
        <v>150</v>
      </c>
      <c r="H782" t="s">
        <v>147</v>
      </c>
      <c r="I782" t="s">
        <v>148</v>
      </c>
      <c r="K782">
        <v>45352.373055555552</v>
      </c>
      <c r="O782">
        <v>144</v>
      </c>
      <c r="P782">
        <v>1</v>
      </c>
      <c r="Q782">
        <v>0</v>
      </c>
    </row>
    <row r="783" spans="2:17" x14ac:dyDescent="0.25">
      <c r="B783" t="s">
        <v>314</v>
      </c>
      <c r="C783" t="s">
        <v>716</v>
      </c>
      <c r="D783">
        <v>2117</v>
      </c>
      <c r="E783">
        <v>175</v>
      </c>
      <c r="F783" t="s">
        <v>137</v>
      </c>
      <c r="G783" t="s">
        <v>143</v>
      </c>
      <c r="H783" t="s">
        <v>144</v>
      </c>
      <c r="I783" t="s">
        <v>140</v>
      </c>
      <c r="K783">
        <v>45352.373067129629</v>
      </c>
      <c r="O783">
        <v>10</v>
      </c>
      <c r="P783">
        <v>17</v>
      </c>
      <c r="Q783">
        <v>5</v>
      </c>
    </row>
    <row r="784" spans="2:17" x14ac:dyDescent="0.25">
      <c r="B784" t="s">
        <v>314</v>
      </c>
      <c r="C784" t="s">
        <v>716</v>
      </c>
      <c r="D784">
        <v>2117</v>
      </c>
      <c r="E784">
        <v>4</v>
      </c>
      <c r="F784" t="s">
        <v>137</v>
      </c>
      <c r="G784" t="s">
        <v>141</v>
      </c>
      <c r="H784" t="s">
        <v>142</v>
      </c>
      <c r="I784" t="s">
        <v>140</v>
      </c>
      <c r="K784">
        <v>45352.373067129629</v>
      </c>
      <c r="O784">
        <v>10</v>
      </c>
      <c r="P784">
        <v>0</v>
      </c>
      <c r="Q784">
        <v>4</v>
      </c>
    </row>
    <row r="785" spans="1:17" x14ac:dyDescent="0.25">
      <c r="B785" t="s">
        <v>314</v>
      </c>
      <c r="C785" t="s">
        <v>716</v>
      </c>
      <c r="D785">
        <v>2115</v>
      </c>
      <c r="E785">
        <v>6</v>
      </c>
      <c r="F785" t="s">
        <v>68</v>
      </c>
      <c r="G785" t="s">
        <v>771</v>
      </c>
      <c r="H785" t="s">
        <v>158</v>
      </c>
      <c r="I785" t="s">
        <v>154</v>
      </c>
      <c r="K785">
        <v>45352.373090277775</v>
      </c>
      <c r="O785">
        <v>24</v>
      </c>
      <c r="P785">
        <v>0</v>
      </c>
      <c r="Q785">
        <v>6</v>
      </c>
    </row>
    <row r="786" spans="1:17" x14ac:dyDescent="0.25">
      <c r="B786" t="s">
        <v>314</v>
      </c>
      <c r="C786" t="s">
        <v>716</v>
      </c>
      <c r="D786">
        <v>2115</v>
      </c>
      <c r="E786">
        <v>3700</v>
      </c>
      <c r="F786" t="s">
        <v>68</v>
      </c>
      <c r="G786" t="s">
        <v>131</v>
      </c>
      <c r="H786" t="s">
        <v>132</v>
      </c>
      <c r="I786" t="s">
        <v>115</v>
      </c>
      <c r="K786">
        <v>45352.373229166667</v>
      </c>
      <c r="O786">
        <v>3000</v>
      </c>
      <c r="P786">
        <v>1</v>
      </c>
      <c r="Q786">
        <v>700.00000000000023</v>
      </c>
    </row>
    <row r="787" spans="1:17" x14ac:dyDescent="0.25">
      <c r="B787" t="s">
        <v>314</v>
      </c>
      <c r="C787" t="s">
        <v>716</v>
      </c>
      <c r="D787">
        <v>2121</v>
      </c>
      <c r="E787">
        <v>12000</v>
      </c>
      <c r="F787" t="s">
        <v>68</v>
      </c>
      <c r="G787" t="s">
        <v>113</v>
      </c>
      <c r="H787" t="s">
        <v>114</v>
      </c>
      <c r="I787" t="s">
        <v>115</v>
      </c>
      <c r="K787">
        <v>45352.373437499999</v>
      </c>
      <c r="O787">
        <v>2400</v>
      </c>
      <c r="P787">
        <v>5</v>
      </c>
      <c r="Q787">
        <v>0</v>
      </c>
    </row>
    <row r="788" spans="1:17" x14ac:dyDescent="0.25">
      <c r="B788" t="s">
        <v>314</v>
      </c>
      <c r="C788" t="s">
        <v>716</v>
      </c>
      <c r="D788">
        <v>2121</v>
      </c>
      <c r="E788">
        <v>500</v>
      </c>
      <c r="F788" t="s">
        <v>68</v>
      </c>
      <c r="G788" t="s">
        <v>125</v>
      </c>
      <c r="H788" t="s">
        <v>126</v>
      </c>
      <c r="I788" t="s">
        <v>115</v>
      </c>
      <c r="K788">
        <v>45352.373449074075</v>
      </c>
      <c r="O788">
        <v>1200</v>
      </c>
      <c r="P788">
        <v>0</v>
      </c>
      <c r="Q788">
        <v>500</v>
      </c>
    </row>
    <row r="789" spans="1:17" x14ac:dyDescent="0.25">
      <c r="B789" t="s">
        <v>314</v>
      </c>
      <c r="C789" t="s">
        <v>716</v>
      </c>
      <c r="D789">
        <v>2114</v>
      </c>
      <c r="E789">
        <v>240</v>
      </c>
      <c r="F789" t="s">
        <v>68</v>
      </c>
      <c r="G789" t="s">
        <v>174</v>
      </c>
      <c r="H789" t="s">
        <v>175</v>
      </c>
      <c r="I789" t="s">
        <v>176</v>
      </c>
      <c r="K789">
        <v>45352.373449074075</v>
      </c>
      <c r="O789">
        <v>300</v>
      </c>
      <c r="P789">
        <v>0</v>
      </c>
      <c r="Q789">
        <v>240</v>
      </c>
    </row>
    <row r="790" spans="1:17" x14ac:dyDescent="0.25">
      <c r="B790" t="s">
        <v>314</v>
      </c>
      <c r="C790" t="s">
        <v>716</v>
      </c>
      <c r="D790">
        <v>2114</v>
      </c>
      <c r="E790">
        <v>10</v>
      </c>
      <c r="F790" t="s">
        <v>68</v>
      </c>
      <c r="G790" t="s">
        <v>772</v>
      </c>
      <c r="H790" t="s">
        <v>160</v>
      </c>
      <c r="I790" t="s">
        <v>154</v>
      </c>
      <c r="K790">
        <v>45352.373449074075</v>
      </c>
      <c r="O790">
        <v>4</v>
      </c>
      <c r="P790">
        <v>2</v>
      </c>
      <c r="Q790">
        <v>2</v>
      </c>
    </row>
    <row r="791" spans="1:17" x14ac:dyDescent="0.25">
      <c r="B791" t="s">
        <v>314</v>
      </c>
      <c r="C791" t="s">
        <v>716</v>
      </c>
      <c r="D791">
        <v>2114</v>
      </c>
      <c r="E791">
        <v>50</v>
      </c>
      <c r="F791" t="s">
        <v>68</v>
      </c>
      <c r="G791" t="s">
        <v>773</v>
      </c>
      <c r="H791" t="s">
        <v>180</v>
      </c>
      <c r="I791" t="s">
        <v>154</v>
      </c>
      <c r="K791">
        <v>45352.373460648145</v>
      </c>
      <c r="O791">
        <v>100</v>
      </c>
      <c r="P791">
        <v>0</v>
      </c>
      <c r="Q791">
        <v>50</v>
      </c>
    </row>
    <row r="792" spans="1:17" x14ac:dyDescent="0.25">
      <c r="B792" t="s">
        <v>314</v>
      </c>
      <c r="C792" t="s">
        <v>716</v>
      </c>
      <c r="D792">
        <v>2110</v>
      </c>
      <c r="E792">
        <v>36</v>
      </c>
      <c r="F792" t="s">
        <v>68</v>
      </c>
      <c r="G792" t="s">
        <v>177</v>
      </c>
      <c r="H792" t="s">
        <v>178</v>
      </c>
      <c r="K792">
        <v>45352.373460648145</v>
      </c>
      <c r="O792">
        <v>4</v>
      </c>
      <c r="P792">
        <v>9</v>
      </c>
      <c r="Q792">
        <v>0</v>
      </c>
    </row>
    <row r="793" spans="1:17" x14ac:dyDescent="0.25">
      <c r="A793" t="s">
        <v>786</v>
      </c>
      <c r="B793" t="s">
        <v>314</v>
      </c>
      <c r="C793">
        <v>41219425</v>
      </c>
      <c r="D793" t="s">
        <v>787</v>
      </c>
      <c r="E793">
        <v>12000</v>
      </c>
      <c r="F793" t="s">
        <v>68</v>
      </c>
      <c r="G793" t="s">
        <v>133</v>
      </c>
      <c r="H793" t="s">
        <v>134</v>
      </c>
      <c r="I793" t="s">
        <v>115</v>
      </c>
      <c r="J793">
        <v>0</v>
      </c>
      <c r="K793">
        <v>45352.662499999999</v>
      </c>
      <c r="L793">
        <v>79300</v>
      </c>
      <c r="O793">
        <v>2400</v>
      </c>
      <c r="P793">
        <v>5</v>
      </c>
      <c r="Q793">
        <v>0</v>
      </c>
    </row>
    <row r="794" spans="1:17" x14ac:dyDescent="0.25">
      <c r="A794" t="s">
        <v>786</v>
      </c>
      <c r="B794" t="s">
        <v>314</v>
      </c>
      <c r="C794">
        <v>41219425</v>
      </c>
      <c r="D794" t="s">
        <v>787</v>
      </c>
      <c r="E794">
        <v>250</v>
      </c>
      <c r="F794" t="s">
        <v>68</v>
      </c>
      <c r="G794" t="s">
        <v>165</v>
      </c>
      <c r="H794" t="s">
        <v>166</v>
      </c>
      <c r="J794">
        <v>0</v>
      </c>
      <c r="K794">
        <v>45352.662592592591</v>
      </c>
      <c r="L794">
        <v>1602</v>
      </c>
      <c r="O794">
        <v>24</v>
      </c>
      <c r="P794">
        <v>10</v>
      </c>
      <c r="Q794">
        <v>9.9999999999999858</v>
      </c>
    </row>
    <row r="795" spans="1:17" x14ac:dyDescent="0.25">
      <c r="A795" t="s">
        <v>786</v>
      </c>
      <c r="B795" t="s">
        <v>314</v>
      </c>
      <c r="C795">
        <v>41219425</v>
      </c>
      <c r="D795" t="s">
        <v>787</v>
      </c>
      <c r="E795">
        <v>120</v>
      </c>
      <c r="F795" t="s">
        <v>68</v>
      </c>
      <c r="G795" t="s">
        <v>212</v>
      </c>
      <c r="H795" t="s">
        <v>213</v>
      </c>
      <c r="I795" t="s">
        <v>154</v>
      </c>
      <c r="J795">
        <v>0</v>
      </c>
      <c r="K795">
        <v>45352.662615740737</v>
      </c>
      <c r="L795">
        <v>5060</v>
      </c>
      <c r="O795">
        <v>100</v>
      </c>
      <c r="P795">
        <v>1</v>
      </c>
      <c r="Q795">
        <v>19.999999999999996</v>
      </c>
    </row>
    <row r="796" spans="1:17" x14ac:dyDescent="0.25">
      <c r="A796" t="s">
        <v>786</v>
      </c>
      <c r="B796" t="s">
        <v>314</v>
      </c>
      <c r="C796">
        <v>41219425</v>
      </c>
      <c r="D796" t="s">
        <v>787</v>
      </c>
      <c r="E796">
        <v>2</v>
      </c>
      <c r="F796" t="s">
        <v>68</v>
      </c>
      <c r="G796" t="s">
        <v>423</v>
      </c>
      <c r="H796" t="s">
        <v>192</v>
      </c>
      <c r="J796">
        <v>0</v>
      </c>
      <c r="K796">
        <v>45352.662638888891</v>
      </c>
      <c r="L796">
        <v>84</v>
      </c>
      <c r="O796">
        <v>40</v>
      </c>
      <c r="P796">
        <v>0</v>
      </c>
      <c r="Q796">
        <v>2</v>
      </c>
    </row>
    <row r="797" spans="1:17" x14ac:dyDescent="0.25">
      <c r="A797" t="s">
        <v>786</v>
      </c>
      <c r="B797" t="s">
        <v>314</v>
      </c>
      <c r="C797">
        <v>41218860</v>
      </c>
      <c r="D797" t="s">
        <v>788</v>
      </c>
      <c r="E797">
        <v>2</v>
      </c>
      <c r="F797" t="s">
        <v>68</v>
      </c>
      <c r="G797" t="s">
        <v>193</v>
      </c>
      <c r="H797" t="s">
        <v>194</v>
      </c>
      <c r="J797">
        <v>0</v>
      </c>
      <c r="K797">
        <v>45352.662662037037</v>
      </c>
      <c r="L797">
        <v>2</v>
      </c>
      <c r="O797">
        <v>36</v>
      </c>
      <c r="P797">
        <v>0</v>
      </c>
      <c r="Q797">
        <v>2</v>
      </c>
    </row>
    <row r="798" spans="1:17" x14ac:dyDescent="0.25">
      <c r="A798" t="s">
        <v>786</v>
      </c>
      <c r="B798" t="s">
        <v>314</v>
      </c>
      <c r="C798">
        <v>41218860</v>
      </c>
      <c r="D798" t="s">
        <v>788</v>
      </c>
      <c r="E798">
        <v>120</v>
      </c>
      <c r="F798" t="s">
        <v>68</v>
      </c>
      <c r="G798" t="s">
        <v>420</v>
      </c>
      <c r="H798" t="s">
        <v>159</v>
      </c>
      <c r="I798" t="s">
        <v>154</v>
      </c>
      <c r="J798">
        <v>0</v>
      </c>
      <c r="K798">
        <v>45352.662685185183</v>
      </c>
      <c r="L798">
        <v>4300</v>
      </c>
      <c r="O798">
        <v>60</v>
      </c>
      <c r="P798">
        <v>2</v>
      </c>
      <c r="Q798">
        <v>0</v>
      </c>
    </row>
    <row r="799" spans="1:17" x14ac:dyDescent="0.25">
      <c r="A799" t="s">
        <v>786</v>
      </c>
      <c r="B799" t="s">
        <v>314</v>
      </c>
      <c r="C799">
        <v>41219252</v>
      </c>
      <c r="D799" t="s">
        <v>789</v>
      </c>
      <c r="E799">
        <v>1000</v>
      </c>
      <c r="F799" t="s">
        <v>68</v>
      </c>
      <c r="G799" t="s">
        <v>190</v>
      </c>
      <c r="H799" t="s">
        <v>191</v>
      </c>
      <c r="I799" t="s">
        <v>154</v>
      </c>
      <c r="J799">
        <v>0</v>
      </c>
      <c r="K799">
        <v>45352.66269675926</v>
      </c>
      <c r="L799">
        <v>29000</v>
      </c>
      <c r="O799">
        <v>2000</v>
      </c>
      <c r="P799">
        <v>0</v>
      </c>
      <c r="Q799">
        <v>1000</v>
      </c>
    </row>
    <row r="800" spans="1:17" x14ac:dyDescent="0.25">
      <c r="A800" t="s">
        <v>786</v>
      </c>
      <c r="B800" t="s">
        <v>314</v>
      </c>
      <c r="C800">
        <v>41219252</v>
      </c>
      <c r="D800" t="s">
        <v>789</v>
      </c>
      <c r="E800">
        <v>2500</v>
      </c>
      <c r="F800" t="s">
        <v>68</v>
      </c>
      <c r="G800" t="s">
        <v>156</v>
      </c>
      <c r="H800" t="s">
        <v>157</v>
      </c>
      <c r="I800" t="s">
        <v>154</v>
      </c>
      <c r="J800">
        <v>0</v>
      </c>
      <c r="K800">
        <v>45352.662731481483</v>
      </c>
      <c r="L800">
        <v>16120</v>
      </c>
      <c r="O800">
        <v>440</v>
      </c>
      <c r="P800">
        <v>5</v>
      </c>
      <c r="Q800">
        <v>299.99999999999994</v>
      </c>
    </row>
    <row r="801" spans="1:17" x14ac:dyDescent="0.25">
      <c r="A801" t="s">
        <v>786</v>
      </c>
      <c r="B801" t="s">
        <v>314</v>
      </c>
      <c r="C801">
        <v>41219949</v>
      </c>
      <c r="D801" t="s">
        <v>790</v>
      </c>
      <c r="E801">
        <v>240</v>
      </c>
      <c r="F801" t="s">
        <v>68</v>
      </c>
      <c r="G801" t="s">
        <v>174</v>
      </c>
      <c r="H801" t="s">
        <v>175</v>
      </c>
      <c r="I801" t="s">
        <v>176</v>
      </c>
      <c r="J801">
        <v>0</v>
      </c>
      <c r="K801">
        <v>45352.662777777776</v>
      </c>
      <c r="L801">
        <v>-7486</v>
      </c>
      <c r="O801">
        <v>300</v>
      </c>
      <c r="P801">
        <v>0</v>
      </c>
      <c r="Q801">
        <v>240</v>
      </c>
    </row>
    <row r="802" spans="1:17" x14ac:dyDescent="0.25">
      <c r="A802" t="s">
        <v>786</v>
      </c>
      <c r="B802" t="s">
        <v>314</v>
      </c>
      <c r="C802">
        <v>41219949</v>
      </c>
      <c r="D802" t="s">
        <v>790</v>
      </c>
      <c r="E802">
        <v>50</v>
      </c>
      <c r="F802" t="s">
        <v>68</v>
      </c>
      <c r="G802" t="s">
        <v>773</v>
      </c>
      <c r="H802" t="s">
        <v>180</v>
      </c>
      <c r="I802" t="s">
        <v>154</v>
      </c>
      <c r="J802">
        <v>0</v>
      </c>
      <c r="K802">
        <v>45352.662812499999</v>
      </c>
      <c r="L802">
        <v>360</v>
      </c>
      <c r="O802">
        <v>100</v>
      </c>
      <c r="P802">
        <v>0</v>
      </c>
      <c r="Q802">
        <v>50</v>
      </c>
    </row>
    <row r="803" spans="1:17" x14ac:dyDescent="0.25">
      <c r="A803" t="s">
        <v>786</v>
      </c>
      <c r="B803" t="s">
        <v>314</v>
      </c>
      <c r="C803">
        <v>41219949</v>
      </c>
      <c r="D803" t="s">
        <v>790</v>
      </c>
      <c r="E803">
        <v>10</v>
      </c>
      <c r="F803" t="s">
        <v>68</v>
      </c>
      <c r="G803" t="s">
        <v>772</v>
      </c>
      <c r="H803" t="s">
        <v>160</v>
      </c>
      <c r="I803" t="s">
        <v>154</v>
      </c>
      <c r="J803">
        <v>0</v>
      </c>
      <c r="K803">
        <v>45352.662824074076</v>
      </c>
      <c r="L803">
        <v>94</v>
      </c>
      <c r="O803">
        <v>4</v>
      </c>
      <c r="P803">
        <v>2</v>
      </c>
      <c r="Q803">
        <v>2</v>
      </c>
    </row>
    <row r="804" spans="1:17" x14ac:dyDescent="0.25">
      <c r="A804" t="s">
        <v>786</v>
      </c>
      <c r="B804" t="s">
        <v>314</v>
      </c>
      <c r="C804">
        <v>41218896</v>
      </c>
      <c r="D804" t="s">
        <v>791</v>
      </c>
      <c r="E804">
        <v>3700</v>
      </c>
      <c r="F804" t="s">
        <v>68</v>
      </c>
      <c r="G804" t="s">
        <v>131</v>
      </c>
      <c r="H804" t="s">
        <v>132</v>
      </c>
      <c r="I804" t="s">
        <v>115</v>
      </c>
      <c r="J804">
        <v>0</v>
      </c>
      <c r="K804">
        <v>45352.662835648145</v>
      </c>
      <c r="L804">
        <v>27500</v>
      </c>
      <c r="O804">
        <v>3000</v>
      </c>
      <c r="P804">
        <v>1</v>
      </c>
      <c r="Q804">
        <v>700.00000000000023</v>
      </c>
    </row>
    <row r="805" spans="1:17" x14ac:dyDescent="0.25">
      <c r="A805" t="s">
        <v>786</v>
      </c>
      <c r="B805" t="s">
        <v>314</v>
      </c>
      <c r="C805">
        <v>41218896</v>
      </c>
      <c r="D805" t="s">
        <v>791</v>
      </c>
      <c r="E805">
        <v>6</v>
      </c>
      <c r="F805" t="s">
        <v>68</v>
      </c>
      <c r="G805" t="s">
        <v>771</v>
      </c>
      <c r="H805" t="s">
        <v>158</v>
      </c>
      <c r="I805" t="s">
        <v>154</v>
      </c>
      <c r="J805">
        <v>0</v>
      </c>
      <c r="K805">
        <v>45352.662847222222</v>
      </c>
      <c r="L805">
        <v>123</v>
      </c>
      <c r="O805">
        <v>24</v>
      </c>
      <c r="P805">
        <v>0</v>
      </c>
      <c r="Q805">
        <v>6</v>
      </c>
    </row>
    <row r="806" spans="1:17" x14ac:dyDescent="0.25">
      <c r="A806" t="s">
        <v>786</v>
      </c>
      <c r="B806" t="s">
        <v>314</v>
      </c>
      <c r="C806">
        <v>41219694</v>
      </c>
      <c r="D806" t="s">
        <v>792</v>
      </c>
      <c r="E806">
        <v>175</v>
      </c>
      <c r="F806" t="s">
        <v>137</v>
      </c>
      <c r="G806" t="s">
        <v>143</v>
      </c>
      <c r="H806" t="s">
        <v>144</v>
      </c>
      <c r="I806" t="s">
        <v>140</v>
      </c>
      <c r="J806">
        <v>0</v>
      </c>
      <c r="K806">
        <v>45352.662858796299</v>
      </c>
      <c r="L806">
        <v>1710</v>
      </c>
      <c r="O806">
        <v>10</v>
      </c>
      <c r="P806">
        <v>17</v>
      </c>
      <c r="Q806">
        <v>5</v>
      </c>
    </row>
    <row r="807" spans="1:17" x14ac:dyDescent="0.25">
      <c r="A807" t="s">
        <v>786</v>
      </c>
      <c r="B807" t="s">
        <v>314</v>
      </c>
      <c r="C807">
        <v>41219694</v>
      </c>
      <c r="D807" t="s">
        <v>792</v>
      </c>
      <c r="E807">
        <v>4</v>
      </c>
      <c r="F807" t="s">
        <v>137</v>
      </c>
      <c r="G807" t="s">
        <v>141</v>
      </c>
      <c r="H807" t="s">
        <v>142</v>
      </c>
      <c r="I807" t="s">
        <v>140</v>
      </c>
      <c r="J807">
        <v>0</v>
      </c>
      <c r="K807">
        <v>45352.662870370368</v>
      </c>
      <c r="L807">
        <v>4766</v>
      </c>
      <c r="O807">
        <v>10</v>
      </c>
      <c r="P807">
        <v>0</v>
      </c>
      <c r="Q807">
        <v>4</v>
      </c>
    </row>
    <row r="808" spans="1:17" x14ac:dyDescent="0.25">
      <c r="A808" t="s">
        <v>786</v>
      </c>
      <c r="B808" t="s">
        <v>314</v>
      </c>
      <c r="C808">
        <v>41217314</v>
      </c>
      <c r="D808" t="s">
        <v>793</v>
      </c>
      <c r="E808">
        <v>144</v>
      </c>
      <c r="F808" t="s">
        <v>145</v>
      </c>
      <c r="G808" t="s">
        <v>150</v>
      </c>
      <c r="H808" t="s">
        <v>147</v>
      </c>
      <c r="I808" t="s">
        <v>148</v>
      </c>
      <c r="J808">
        <v>0</v>
      </c>
      <c r="K808">
        <v>45352.662881944445</v>
      </c>
      <c r="L808">
        <v>2658</v>
      </c>
      <c r="O808">
        <v>144</v>
      </c>
      <c r="P808">
        <v>1</v>
      </c>
      <c r="Q808">
        <v>0</v>
      </c>
    </row>
    <row r="809" spans="1:17" x14ac:dyDescent="0.25">
      <c r="A809" t="s">
        <v>786</v>
      </c>
      <c r="B809" t="s">
        <v>314</v>
      </c>
      <c r="C809">
        <v>41219951</v>
      </c>
      <c r="D809" t="s">
        <v>794</v>
      </c>
      <c r="E809">
        <v>10</v>
      </c>
      <c r="F809" t="s">
        <v>68</v>
      </c>
      <c r="G809" t="s">
        <v>168</v>
      </c>
      <c r="H809" t="s">
        <v>166</v>
      </c>
      <c r="J809">
        <v>0</v>
      </c>
      <c r="K809">
        <v>45352.662893518522</v>
      </c>
      <c r="L809">
        <v>1108</v>
      </c>
      <c r="O809">
        <v>12</v>
      </c>
      <c r="P809">
        <v>0</v>
      </c>
      <c r="Q809">
        <v>10</v>
      </c>
    </row>
    <row r="810" spans="1:17" x14ac:dyDescent="0.25">
      <c r="A810" t="s">
        <v>786</v>
      </c>
      <c r="B810" t="s">
        <v>314</v>
      </c>
      <c r="C810">
        <v>41219951</v>
      </c>
      <c r="D810" t="s">
        <v>794</v>
      </c>
      <c r="E810">
        <v>200</v>
      </c>
      <c r="F810" t="s">
        <v>68</v>
      </c>
      <c r="G810" t="s">
        <v>163</v>
      </c>
      <c r="H810" t="s">
        <v>164</v>
      </c>
      <c r="I810" t="s">
        <v>115</v>
      </c>
      <c r="J810">
        <v>0</v>
      </c>
      <c r="K810">
        <v>45352.662905092591</v>
      </c>
      <c r="L810">
        <v>1800</v>
      </c>
      <c r="O810">
        <v>100</v>
      </c>
      <c r="P810">
        <v>2</v>
      </c>
      <c r="Q810">
        <v>0</v>
      </c>
    </row>
    <row r="811" spans="1:17" x14ac:dyDescent="0.25">
      <c r="A811" t="s">
        <v>786</v>
      </c>
      <c r="B811" t="s">
        <v>314</v>
      </c>
      <c r="C811">
        <v>41217777</v>
      </c>
      <c r="D811" t="s">
        <v>795</v>
      </c>
      <c r="E811">
        <v>10000</v>
      </c>
      <c r="F811" t="s">
        <v>68</v>
      </c>
      <c r="G811" t="s">
        <v>117</v>
      </c>
      <c r="H811" t="s">
        <v>118</v>
      </c>
      <c r="I811" t="s">
        <v>115</v>
      </c>
      <c r="J811">
        <v>0</v>
      </c>
      <c r="K811">
        <v>45352.662916666668</v>
      </c>
      <c r="L811">
        <v>600</v>
      </c>
      <c r="O811">
        <v>1200</v>
      </c>
      <c r="P811">
        <v>8</v>
      </c>
      <c r="Q811">
        <v>400.00000000000068</v>
      </c>
    </row>
    <row r="812" spans="1:17" x14ac:dyDescent="0.25">
      <c r="A812" t="s">
        <v>786</v>
      </c>
      <c r="B812" t="s">
        <v>314</v>
      </c>
      <c r="C812">
        <v>41220015</v>
      </c>
      <c r="D812" t="s">
        <v>796</v>
      </c>
      <c r="E812">
        <v>12000</v>
      </c>
      <c r="F812" t="s">
        <v>68</v>
      </c>
      <c r="G812" t="s">
        <v>113</v>
      </c>
      <c r="H812" t="s">
        <v>114</v>
      </c>
      <c r="I812" t="s">
        <v>115</v>
      </c>
      <c r="J812">
        <v>0</v>
      </c>
      <c r="K812">
        <v>45352.662951388891</v>
      </c>
      <c r="L812">
        <v>29900</v>
      </c>
      <c r="O812">
        <v>2400</v>
      </c>
      <c r="P812">
        <v>5</v>
      </c>
      <c r="Q812">
        <v>0</v>
      </c>
    </row>
    <row r="813" spans="1:17" x14ac:dyDescent="0.25">
      <c r="A813" t="s">
        <v>786</v>
      </c>
      <c r="B813" t="s">
        <v>314</v>
      </c>
      <c r="C813">
        <v>41220015</v>
      </c>
      <c r="D813" t="s">
        <v>796</v>
      </c>
      <c r="E813">
        <v>500</v>
      </c>
      <c r="F813" t="s">
        <v>68</v>
      </c>
      <c r="G813" t="s">
        <v>125</v>
      </c>
      <c r="H813" t="s">
        <v>126</v>
      </c>
      <c r="I813" t="s">
        <v>115</v>
      </c>
      <c r="J813">
        <v>0</v>
      </c>
      <c r="K813">
        <v>45352.662962962961</v>
      </c>
      <c r="L813">
        <v>10800</v>
      </c>
      <c r="O813">
        <v>1200</v>
      </c>
      <c r="P813">
        <v>0</v>
      </c>
      <c r="Q813">
        <v>500</v>
      </c>
    </row>
    <row r="814" spans="1:17" x14ac:dyDescent="0.25">
      <c r="A814" t="s">
        <v>786</v>
      </c>
      <c r="B814" t="s">
        <v>314</v>
      </c>
      <c r="C814">
        <v>41217485</v>
      </c>
      <c r="D814" t="s">
        <v>797</v>
      </c>
      <c r="E814">
        <v>130</v>
      </c>
      <c r="F814" t="s">
        <v>68</v>
      </c>
      <c r="G814" t="s">
        <v>161</v>
      </c>
      <c r="H814" t="s">
        <v>162</v>
      </c>
      <c r="I814" t="s">
        <v>115</v>
      </c>
      <c r="J814">
        <v>0</v>
      </c>
      <c r="K814">
        <v>45352.662986111114</v>
      </c>
      <c r="L814">
        <v>656</v>
      </c>
      <c r="O814">
        <v>200</v>
      </c>
      <c r="P814">
        <v>0</v>
      </c>
      <c r="Q814">
        <v>130</v>
      </c>
    </row>
    <row r="815" spans="1:17" x14ac:dyDescent="0.25">
      <c r="B815" t="s">
        <v>798</v>
      </c>
      <c r="C815" t="s">
        <v>67</v>
      </c>
      <c r="D815" t="s">
        <v>67</v>
      </c>
      <c r="E815">
        <v>4000</v>
      </c>
      <c r="F815" t="s">
        <v>68</v>
      </c>
      <c r="G815" t="s">
        <v>174</v>
      </c>
      <c r="H815" t="s">
        <v>175</v>
      </c>
      <c r="I815" t="s">
        <v>176</v>
      </c>
      <c r="J815">
        <v>1</v>
      </c>
      <c r="K815">
        <v>45355.693865740737</v>
      </c>
      <c r="L815">
        <v>-3486</v>
      </c>
      <c r="M815" t="s">
        <v>799</v>
      </c>
      <c r="O815">
        <v>12</v>
      </c>
      <c r="P815">
        <v>333</v>
      </c>
      <c r="Q815">
        <v>3.9999999999997726</v>
      </c>
    </row>
    <row r="816" spans="1:17" x14ac:dyDescent="0.25">
      <c r="B816" t="s">
        <v>800</v>
      </c>
      <c r="C816" t="s">
        <v>67</v>
      </c>
      <c r="D816" t="s">
        <v>67</v>
      </c>
      <c r="E816">
        <v>2500</v>
      </c>
      <c r="F816" t="s">
        <v>137</v>
      </c>
      <c r="G816" t="s">
        <v>138</v>
      </c>
      <c r="H816" t="s">
        <v>139</v>
      </c>
      <c r="I816" t="s">
        <v>140</v>
      </c>
      <c r="J816">
        <v>1</v>
      </c>
      <c r="K816">
        <v>45355.681307870371</v>
      </c>
      <c r="L816">
        <v>2510</v>
      </c>
      <c r="M816" t="s">
        <v>801</v>
      </c>
      <c r="O816">
        <v>10</v>
      </c>
      <c r="P816">
        <v>250</v>
      </c>
      <c r="Q816">
        <v>0</v>
      </c>
    </row>
    <row r="817" spans="2:17" x14ac:dyDescent="0.25">
      <c r="B817">
        <v>6</v>
      </c>
      <c r="C817">
        <v>41219432</v>
      </c>
      <c r="D817" t="s">
        <v>765</v>
      </c>
      <c r="E817">
        <v>1600</v>
      </c>
      <c r="F817" t="s">
        <v>68</v>
      </c>
      <c r="G817" t="s">
        <v>181</v>
      </c>
      <c r="H817" t="s">
        <v>182</v>
      </c>
      <c r="I817" t="s">
        <v>115</v>
      </c>
      <c r="J817">
        <v>0</v>
      </c>
      <c r="K817">
        <v>45356.530497685184</v>
      </c>
      <c r="L817">
        <v>7800</v>
      </c>
      <c r="O817">
        <v>2400</v>
      </c>
      <c r="P817">
        <v>0</v>
      </c>
      <c r="Q817">
        <v>1600</v>
      </c>
    </row>
    <row r="818" spans="2:17" x14ac:dyDescent="0.25">
      <c r="B818">
        <v>6</v>
      </c>
      <c r="C818">
        <v>41219432</v>
      </c>
      <c r="D818" t="s">
        <v>765</v>
      </c>
      <c r="E818">
        <v>600</v>
      </c>
      <c r="F818" t="s">
        <v>68</v>
      </c>
      <c r="G818" t="s">
        <v>117</v>
      </c>
      <c r="H818" t="s">
        <v>118</v>
      </c>
      <c r="I818" t="s">
        <v>115</v>
      </c>
      <c r="J818">
        <v>0</v>
      </c>
      <c r="K818">
        <v>45356.530740740738</v>
      </c>
      <c r="L818">
        <v>0</v>
      </c>
      <c r="O818">
        <v>1200</v>
      </c>
      <c r="P818">
        <v>0</v>
      </c>
      <c r="Q818">
        <v>600</v>
      </c>
    </row>
    <row r="819" spans="2:17" x14ac:dyDescent="0.25">
      <c r="B819">
        <v>6</v>
      </c>
      <c r="C819">
        <v>41220183</v>
      </c>
      <c r="D819" t="s">
        <v>766</v>
      </c>
      <c r="E819">
        <v>2000</v>
      </c>
      <c r="F819" t="s">
        <v>68</v>
      </c>
      <c r="G819" t="s">
        <v>113</v>
      </c>
      <c r="H819" t="s">
        <v>114</v>
      </c>
      <c r="I819" t="s">
        <v>115</v>
      </c>
      <c r="J819">
        <v>0</v>
      </c>
      <c r="K819">
        <v>45356.530844907407</v>
      </c>
      <c r="L819">
        <v>27900</v>
      </c>
      <c r="O819">
        <v>2400</v>
      </c>
      <c r="P819">
        <v>0</v>
      </c>
      <c r="Q819">
        <v>2000</v>
      </c>
    </row>
    <row r="820" spans="2:17" x14ac:dyDescent="0.25">
      <c r="B820">
        <v>6</v>
      </c>
      <c r="C820">
        <v>41220183</v>
      </c>
      <c r="D820" t="s">
        <v>767</v>
      </c>
      <c r="E820">
        <v>2000</v>
      </c>
      <c r="G820" t="s">
        <v>113</v>
      </c>
      <c r="H820" t="s">
        <v>114</v>
      </c>
      <c r="I820" t="s">
        <v>115</v>
      </c>
      <c r="J820">
        <v>0</v>
      </c>
      <c r="K820">
        <v>45356.722627314812</v>
      </c>
      <c r="L820">
        <v>25900</v>
      </c>
      <c r="O820">
        <v>2400</v>
      </c>
      <c r="P820">
        <v>0</v>
      </c>
      <c r="Q820">
        <v>2000</v>
      </c>
    </row>
    <row r="821" spans="2:17" x14ac:dyDescent="0.25">
      <c r="B821">
        <v>6</v>
      </c>
      <c r="C821">
        <v>41220281</v>
      </c>
      <c r="D821" t="s">
        <v>768</v>
      </c>
      <c r="E821">
        <v>5000</v>
      </c>
      <c r="F821" t="s">
        <v>68</v>
      </c>
      <c r="G821" t="s">
        <v>156</v>
      </c>
      <c r="H821" t="s">
        <v>157</v>
      </c>
      <c r="I821" t="s">
        <v>154</v>
      </c>
      <c r="J821">
        <v>0</v>
      </c>
      <c r="K821">
        <v>45356.722673611112</v>
      </c>
      <c r="L821">
        <v>11120</v>
      </c>
      <c r="O821">
        <v>440</v>
      </c>
      <c r="P821">
        <v>11</v>
      </c>
      <c r="Q821">
        <v>159.99999999999986</v>
      </c>
    </row>
    <row r="822" spans="2:17" x14ac:dyDescent="0.25">
      <c r="B822">
        <v>6</v>
      </c>
      <c r="C822">
        <v>41220281</v>
      </c>
      <c r="D822" t="s">
        <v>768</v>
      </c>
      <c r="E822">
        <v>10</v>
      </c>
      <c r="F822" t="s">
        <v>68</v>
      </c>
      <c r="G822" t="s">
        <v>193</v>
      </c>
      <c r="H822" t="s">
        <v>194</v>
      </c>
      <c r="J822">
        <v>0</v>
      </c>
      <c r="K822">
        <v>45356.722719907404</v>
      </c>
      <c r="L822">
        <v>-8</v>
      </c>
      <c r="O822">
        <v>36</v>
      </c>
      <c r="P822">
        <v>0</v>
      </c>
      <c r="Q822">
        <v>10</v>
      </c>
    </row>
    <row r="823" spans="2:17" x14ac:dyDescent="0.25">
      <c r="B823">
        <v>6</v>
      </c>
      <c r="C823">
        <v>41220289</v>
      </c>
      <c r="D823" t="s">
        <v>769</v>
      </c>
      <c r="E823">
        <v>30</v>
      </c>
      <c r="F823" t="s">
        <v>68</v>
      </c>
      <c r="G823" t="s">
        <v>772</v>
      </c>
      <c r="H823" t="s">
        <v>160</v>
      </c>
      <c r="I823" t="s">
        <v>154</v>
      </c>
      <c r="J823">
        <v>0</v>
      </c>
      <c r="K823">
        <v>45356.72278935185</v>
      </c>
      <c r="L823">
        <v>64</v>
      </c>
      <c r="O823">
        <v>4</v>
      </c>
      <c r="P823">
        <v>7</v>
      </c>
      <c r="Q823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42E88-B062-499A-A90B-8D9CF7C5AF11}">
  <sheetPr codeName="Hoja7"/>
  <dimension ref="A1:H14"/>
  <sheetViews>
    <sheetView workbookViewId="0">
      <selection activeCell="C16" sqref="C16"/>
    </sheetView>
  </sheetViews>
  <sheetFormatPr baseColWidth="10" defaultRowHeight="15" x14ac:dyDescent="0.25"/>
  <cols>
    <col min="2" max="2" width="29" bestFit="1" customWidth="1"/>
    <col min="3" max="3" width="37.140625" bestFit="1" customWidth="1"/>
  </cols>
  <sheetData>
    <row r="1" spans="1:8" x14ac:dyDescent="0.25">
      <c r="A1" t="s">
        <v>80</v>
      </c>
      <c r="B1" t="s">
        <v>87</v>
      </c>
      <c r="C1" t="s">
        <v>88</v>
      </c>
      <c r="H1" t="s">
        <v>710</v>
      </c>
    </row>
    <row r="6" spans="1:8" x14ac:dyDescent="0.25">
      <c r="A6">
        <v>6</v>
      </c>
      <c r="B6">
        <v>41219432</v>
      </c>
      <c r="C6" t="s">
        <v>765</v>
      </c>
      <c r="D6">
        <v>600</v>
      </c>
      <c r="F6" t="s">
        <v>181</v>
      </c>
    </row>
    <row r="7" spans="1:8" x14ac:dyDescent="0.25">
      <c r="D7">
        <v>1600</v>
      </c>
      <c r="F7" t="s">
        <v>117</v>
      </c>
    </row>
    <row r="8" spans="1:8" x14ac:dyDescent="0.25">
      <c r="A8">
        <v>6</v>
      </c>
      <c r="B8">
        <v>41220183</v>
      </c>
      <c r="C8" t="s">
        <v>766</v>
      </c>
      <c r="D8">
        <v>2000</v>
      </c>
      <c r="F8" t="s">
        <v>113</v>
      </c>
    </row>
    <row r="14" spans="1:8" x14ac:dyDescent="0.25">
      <c r="C14" t="s">
        <v>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54066-C876-49AE-9058-BCF23063DCCB}">
  <sheetPr codeName="Hoja4"/>
  <dimension ref="A1:J4"/>
  <sheetViews>
    <sheetView workbookViewId="0">
      <selection activeCell="D14" sqref="D14"/>
    </sheetView>
  </sheetViews>
  <sheetFormatPr baseColWidth="10" defaultRowHeight="15" x14ac:dyDescent="0.25"/>
  <cols>
    <col min="5" max="6" width="3.140625" customWidth="1"/>
    <col min="7" max="7" width="11.28515625" customWidth="1"/>
    <col min="8" max="8" width="9" customWidth="1"/>
    <col min="9" max="9" width="10.140625" customWidth="1"/>
    <col min="10" max="10" width="99.5703125" bestFit="1" customWidth="1"/>
  </cols>
  <sheetData>
    <row r="1" spans="1:10" x14ac:dyDescent="0.25">
      <c r="A1" s="8" t="s">
        <v>20</v>
      </c>
      <c r="B1" s="8" t="s">
        <v>26</v>
      </c>
      <c r="C1" s="8" t="s">
        <v>26</v>
      </c>
      <c r="D1" s="8" t="s">
        <v>26</v>
      </c>
      <c r="E1" s="8"/>
      <c r="F1" s="8"/>
      <c r="G1" s="8" t="s">
        <v>23</v>
      </c>
      <c r="H1" s="8" t="s">
        <v>27</v>
      </c>
      <c r="I1" s="8" t="s">
        <v>41</v>
      </c>
      <c r="J1" s="8" t="s">
        <v>40</v>
      </c>
    </row>
    <row r="2" spans="1:10" x14ac:dyDescent="0.25">
      <c r="A2" s="8" t="s">
        <v>19</v>
      </c>
      <c r="B2" s="9" t="s">
        <v>25</v>
      </c>
      <c r="C2" s="9" t="s">
        <v>24</v>
      </c>
      <c r="D2" s="9"/>
      <c r="E2" s="1"/>
      <c r="F2" s="1"/>
      <c r="G2" s="1" t="s">
        <v>42</v>
      </c>
      <c r="H2" s="8" t="s">
        <v>27</v>
      </c>
      <c r="I2" s="1" t="s">
        <v>43</v>
      </c>
      <c r="J2" s="9"/>
    </row>
    <row r="3" spans="1:10" x14ac:dyDescent="0.25">
      <c r="A3" s="8" t="s">
        <v>21</v>
      </c>
      <c r="B3" s="9" t="s">
        <v>22</v>
      </c>
      <c r="C3" s="9" t="s">
        <v>29</v>
      </c>
      <c r="D3" s="9" t="s">
        <v>28</v>
      </c>
      <c r="E3" s="1"/>
      <c r="F3" s="1"/>
      <c r="G3" s="1" t="s">
        <v>30</v>
      </c>
      <c r="H3" s="8" t="s">
        <v>27</v>
      </c>
      <c r="I3" s="1"/>
      <c r="J3" s="9"/>
    </row>
    <row r="4" spans="1:10" x14ac:dyDescent="0.25">
      <c r="A4" s="1"/>
      <c r="B4" s="1"/>
      <c r="C4" s="1"/>
      <c r="D4" s="1"/>
      <c r="E4" s="1"/>
      <c r="F4" s="1"/>
      <c r="G4" s="1"/>
      <c r="H4" s="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784D7-3219-4E36-A471-3B3F77D5706D}">
  <sheetPr codeName="Hoja5"/>
  <dimension ref="A1:K22"/>
  <sheetViews>
    <sheetView workbookViewId="0">
      <selection activeCell="J16" sqref="J16"/>
    </sheetView>
  </sheetViews>
  <sheetFormatPr baseColWidth="10" defaultRowHeight="15" x14ac:dyDescent="0.25"/>
  <cols>
    <col min="1" max="8" width="0.5703125" customWidth="1"/>
    <col min="9" max="9" width="42.140625" customWidth="1"/>
    <col min="10" max="10" width="99.5703125" bestFit="1" customWidth="1"/>
    <col min="11" max="11" width="25.28515625" bestFit="1" customWidth="1"/>
  </cols>
  <sheetData>
    <row r="1" spans="1:11" x14ac:dyDescent="0.25">
      <c r="A1" s="11"/>
      <c r="B1" s="11"/>
      <c r="C1" s="11"/>
      <c r="D1" s="11"/>
      <c r="E1" s="11"/>
      <c r="F1" s="11"/>
      <c r="G1" s="11"/>
      <c r="H1" s="11"/>
      <c r="I1" s="9" t="s">
        <v>45</v>
      </c>
      <c r="J1" s="9" t="s">
        <v>46</v>
      </c>
      <c r="K1" s="8"/>
    </row>
    <row r="2" spans="1:11" x14ac:dyDescent="0.25">
      <c r="A2" s="11"/>
      <c r="B2" s="11"/>
      <c r="C2" s="12"/>
      <c r="D2" s="11"/>
      <c r="E2" s="11"/>
      <c r="F2" s="11"/>
      <c r="G2" s="11"/>
      <c r="H2" s="11"/>
      <c r="I2" s="9" t="s">
        <v>38</v>
      </c>
      <c r="J2" s="9" t="s">
        <v>44</v>
      </c>
      <c r="K2" s="1"/>
    </row>
    <row r="3" spans="1:11" x14ac:dyDescent="0.25">
      <c r="A3" s="11"/>
      <c r="B3" s="11"/>
      <c r="C3" s="11"/>
      <c r="D3" s="11"/>
      <c r="E3" s="11"/>
      <c r="F3" s="11"/>
      <c r="G3" s="11"/>
      <c r="H3" s="11"/>
      <c r="I3" s="13" t="s">
        <v>37</v>
      </c>
    </row>
    <row r="4" spans="1:11" x14ac:dyDescent="0.25">
      <c r="A4" s="11"/>
      <c r="B4" s="11"/>
      <c r="C4" s="11"/>
      <c r="D4" s="11"/>
      <c r="E4" s="11"/>
      <c r="F4" s="11"/>
      <c r="G4" s="11"/>
      <c r="H4" s="11"/>
      <c r="I4" s="7" t="s">
        <v>39</v>
      </c>
    </row>
    <row r="5" spans="1:11" x14ac:dyDescent="0.25">
      <c r="A5" s="11"/>
      <c r="B5" s="11"/>
      <c r="C5" s="11"/>
      <c r="D5" s="11"/>
      <c r="E5" s="11"/>
      <c r="F5" s="11"/>
      <c r="G5" s="11"/>
      <c r="H5" s="11"/>
    </row>
    <row r="6" spans="1:11" x14ac:dyDescent="0.25">
      <c r="A6" s="11"/>
      <c r="B6" s="11"/>
      <c r="C6" s="11"/>
      <c r="D6" s="11"/>
      <c r="E6" s="11"/>
      <c r="F6" s="11"/>
      <c r="G6" s="11"/>
      <c r="H6" s="11"/>
    </row>
    <row r="7" spans="1:11" x14ac:dyDescent="0.25">
      <c r="A7" s="11"/>
      <c r="B7" s="11"/>
      <c r="C7" s="11"/>
      <c r="D7" s="11"/>
      <c r="E7" s="11"/>
      <c r="F7" s="11"/>
      <c r="G7" s="11"/>
      <c r="H7" s="11"/>
    </row>
    <row r="8" spans="1:11" x14ac:dyDescent="0.25">
      <c r="A8" s="11"/>
      <c r="B8" s="11"/>
      <c r="C8" s="11"/>
      <c r="D8" s="11"/>
      <c r="E8" s="11"/>
      <c r="F8" s="11"/>
      <c r="G8" s="11"/>
      <c r="H8" s="11"/>
    </row>
    <row r="9" spans="1:11" x14ac:dyDescent="0.25">
      <c r="A9" s="11"/>
      <c r="B9" s="11"/>
      <c r="C9" s="11"/>
      <c r="D9" s="11"/>
      <c r="E9" s="11"/>
      <c r="F9" s="11"/>
      <c r="G9" s="11"/>
      <c r="H9" s="11"/>
    </row>
    <row r="10" spans="1:11" x14ac:dyDescent="0.25">
      <c r="A10" s="11"/>
      <c r="B10" s="11"/>
      <c r="C10" s="11"/>
      <c r="D10" s="11"/>
      <c r="E10" s="11"/>
      <c r="F10" s="11"/>
      <c r="G10" s="11"/>
      <c r="H10" s="11"/>
    </row>
    <row r="11" spans="1:11" x14ac:dyDescent="0.25">
      <c r="A11" s="11"/>
      <c r="B11" s="11"/>
      <c r="C11" s="11"/>
      <c r="D11" s="11"/>
      <c r="E11" s="11"/>
      <c r="F11" s="11"/>
      <c r="G11" s="11"/>
      <c r="H11" s="11"/>
    </row>
    <row r="12" spans="1:11" x14ac:dyDescent="0.25">
      <c r="A12" s="11"/>
      <c r="B12" s="11"/>
      <c r="C12" s="11"/>
      <c r="D12" s="11"/>
      <c r="E12" s="11"/>
      <c r="F12" s="11"/>
      <c r="G12" s="11"/>
      <c r="H12" s="11"/>
    </row>
    <row r="13" spans="1:11" x14ac:dyDescent="0.25">
      <c r="A13" s="11"/>
      <c r="B13" s="11"/>
      <c r="C13" s="11"/>
      <c r="D13" s="11"/>
      <c r="E13" s="11"/>
      <c r="F13" s="11"/>
      <c r="G13" s="11"/>
      <c r="H13" s="11"/>
    </row>
    <row r="14" spans="1:11" x14ac:dyDescent="0.25">
      <c r="A14" s="11"/>
      <c r="B14" s="11"/>
      <c r="C14" s="11"/>
      <c r="D14" s="11"/>
      <c r="E14" s="11"/>
      <c r="F14" s="11"/>
      <c r="G14" s="11"/>
      <c r="H14" s="11"/>
    </row>
    <row r="15" spans="1:11" x14ac:dyDescent="0.25">
      <c r="A15" s="11"/>
      <c r="B15" s="11"/>
      <c r="C15" s="11"/>
      <c r="D15" s="11"/>
      <c r="E15" s="11"/>
      <c r="F15" s="11"/>
      <c r="G15" s="11"/>
      <c r="H15" s="11"/>
    </row>
    <row r="16" spans="1:11" x14ac:dyDescent="0.25">
      <c r="A16" s="11"/>
      <c r="B16" s="11"/>
      <c r="C16" s="11"/>
      <c r="D16" s="11"/>
      <c r="E16" s="11"/>
      <c r="F16" s="11"/>
      <c r="G16" s="11"/>
      <c r="H16" s="11"/>
    </row>
    <row r="17" spans="1:8" x14ac:dyDescent="0.25">
      <c r="A17" s="11"/>
      <c r="B17" s="11"/>
      <c r="C17" s="11"/>
      <c r="D17" s="11"/>
      <c r="E17" s="11"/>
      <c r="F17" s="11"/>
      <c r="G17" s="11"/>
      <c r="H17" s="11"/>
    </row>
    <row r="18" spans="1:8" x14ac:dyDescent="0.25">
      <c r="A18" s="11"/>
      <c r="B18" s="11"/>
      <c r="C18" s="11"/>
      <c r="D18" s="11"/>
      <c r="E18" s="11"/>
      <c r="F18" s="11"/>
      <c r="G18" s="11"/>
      <c r="H18" s="11"/>
    </row>
    <row r="19" spans="1:8" x14ac:dyDescent="0.25">
      <c r="A19" s="11"/>
      <c r="B19" s="11"/>
      <c r="C19" s="11"/>
      <c r="D19" s="11"/>
      <c r="E19" s="11"/>
      <c r="F19" s="11"/>
      <c r="G19" s="11"/>
      <c r="H19" s="11"/>
    </row>
    <row r="20" spans="1:8" x14ac:dyDescent="0.25">
      <c r="A20" s="11"/>
      <c r="B20" s="11"/>
      <c r="C20" s="11"/>
      <c r="D20" s="11"/>
      <c r="E20" s="11"/>
      <c r="F20" s="11"/>
      <c r="G20" s="11"/>
      <c r="H20" s="11"/>
    </row>
    <row r="21" spans="1:8" x14ac:dyDescent="0.25">
      <c r="A21" s="11"/>
      <c r="B21" s="11"/>
      <c r="C21" s="11"/>
      <c r="D21" s="11"/>
      <c r="E21" s="11"/>
      <c r="F21" s="11"/>
      <c r="G21" s="11"/>
      <c r="H21" s="11"/>
    </row>
    <row r="22" spans="1:8" x14ac:dyDescent="0.25">
      <c r="A22" s="11"/>
      <c r="B22" s="11"/>
      <c r="C22" s="11"/>
      <c r="D22" s="11"/>
      <c r="E22" s="11"/>
      <c r="F22" s="11"/>
      <c r="G22" s="11"/>
      <c r="H22" s="11"/>
    </row>
  </sheetData>
  <sortState xmlns:xlrd2="http://schemas.microsoft.com/office/spreadsheetml/2017/richdata2" ref="A1:A19">
    <sortCondition ref="A1:A19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AA6A8-FD29-443E-A78A-7097A943A5C1}">
  <sheetPr codeName="Hoja3"/>
  <dimension ref="A1"/>
  <sheetViews>
    <sheetView view="pageBreakPreview" zoomScale="60" zoomScaleNormal="100" workbookViewId="0">
      <selection activeCell="H34" sqref="H34"/>
    </sheetView>
  </sheetViews>
  <sheetFormatPr baseColWidth="10" defaultRowHeight="15" x14ac:dyDescent="0.25"/>
  <sheetData>
    <row r="1" spans="1:1" x14ac:dyDescent="0.25">
      <c r="A1" t="str">
        <f>XFILES!G2</f>
        <v>CARPETA 20240201 TIEMPO 144958 P6 ENTREGA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E11E3-DA23-40E1-AE14-C286EEBAA47D}">
  <sheetPr codeName="Hoja8"/>
  <dimension ref="A1:N126"/>
  <sheetViews>
    <sheetView workbookViewId="0">
      <selection activeCell="K18" sqref="K18"/>
    </sheetView>
  </sheetViews>
  <sheetFormatPr baseColWidth="10" defaultRowHeight="15" x14ac:dyDescent="0.25"/>
  <cols>
    <col min="5" max="5" width="16.7109375" customWidth="1"/>
  </cols>
  <sheetData>
    <row r="1" spans="1:5" ht="14.25" customHeight="1" x14ac:dyDescent="0.25">
      <c r="A1" s="6" t="s">
        <v>723</v>
      </c>
      <c r="B1" t="s">
        <v>725</v>
      </c>
      <c r="C1" t="s">
        <v>726</v>
      </c>
    </row>
    <row r="2" spans="1:5" ht="14.25" customHeight="1" x14ac:dyDescent="0.25">
      <c r="A2" s="6" t="s">
        <v>727</v>
      </c>
      <c r="B2">
        <v>1435</v>
      </c>
      <c r="C2">
        <v>12</v>
      </c>
      <c r="E2" t="s">
        <v>726</v>
      </c>
    </row>
    <row r="3" spans="1:5" ht="14.25" customHeight="1" x14ac:dyDescent="0.25">
      <c r="A3" s="6"/>
    </row>
    <row r="4" spans="1:5" ht="14.25" customHeight="1" x14ac:dyDescent="0.25"/>
    <row r="5" spans="1:5" ht="14.25" customHeight="1" x14ac:dyDescent="0.25"/>
    <row r="6" spans="1:5" ht="14.25" customHeight="1" x14ac:dyDescent="0.25"/>
    <row r="7" spans="1:5" ht="14.25" customHeight="1" x14ac:dyDescent="0.25"/>
    <row r="8" spans="1:5" ht="14.25" customHeight="1" x14ac:dyDescent="0.25">
      <c r="C8" s="36"/>
      <c r="D8" s="36"/>
    </row>
    <row r="9" spans="1:5" ht="14.25" customHeight="1" x14ac:dyDescent="0.25">
      <c r="C9" s="6"/>
    </row>
    <row r="10" spans="1:5" ht="14.25" customHeight="1" x14ac:dyDescent="0.25"/>
    <row r="11" spans="1:5" ht="14.25" customHeight="1" x14ac:dyDescent="0.25"/>
    <row r="12" spans="1:5" ht="14.25" customHeight="1" x14ac:dyDescent="0.25"/>
    <row r="13" spans="1:5" ht="14.25" customHeight="1" x14ac:dyDescent="0.25"/>
    <row r="14" spans="1:5" ht="14.25" customHeight="1" x14ac:dyDescent="0.25"/>
    <row r="15" spans="1:5" ht="14.25" customHeight="1" x14ac:dyDescent="0.25"/>
    <row r="16" spans="1:5" ht="14.25" customHeight="1" x14ac:dyDescent="0.25"/>
    <row r="17" spans="9:14" ht="14.25" customHeight="1" x14ac:dyDescent="0.25"/>
    <row r="18" spans="9:14" ht="14.25" customHeight="1" x14ac:dyDescent="0.25"/>
    <row r="19" spans="9:14" ht="14.25" customHeight="1" x14ac:dyDescent="0.25"/>
    <row r="20" spans="9:14" ht="14.25" customHeight="1" x14ac:dyDescent="0.25"/>
    <row r="21" spans="9:14" ht="14.25" customHeight="1" x14ac:dyDescent="0.25"/>
    <row r="22" spans="9:14" ht="14.25" customHeight="1" x14ac:dyDescent="0.25"/>
    <row r="23" spans="9:14" ht="14.25" customHeight="1" x14ac:dyDescent="0.25"/>
    <row r="24" spans="9:14" ht="14.25" customHeight="1" x14ac:dyDescent="0.25"/>
    <row r="25" spans="9:14" ht="14.25" customHeight="1" x14ac:dyDescent="0.25"/>
    <row r="26" spans="9:14" ht="14.25" customHeight="1" x14ac:dyDescent="0.25"/>
    <row r="27" spans="9:14" ht="14.25" customHeight="1" x14ac:dyDescent="0.25">
      <c r="I27" s="36" t="s">
        <v>716</v>
      </c>
      <c r="J27" s="41" t="s">
        <v>712</v>
      </c>
      <c r="L27" s="36">
        <v>2</v>
      </c>
      <c r="M27" s="36"/>
      <c r="N27" s="36">
        <v>81066</v>
      </c>
    </row>
    <row r="28" spans="9:14" ht="14.25" customHeight="1" x14ac:dyDescent="0.25">
      <c r="I28" s="36"/>
      <c r="J28" s="36"/>
      <c r="L28" s="36">
        <v>120</v>
      </c>
      <c r="M28" s="36"/>
      <c r="N28" s="36" t="s">
        <v>713</v>
      </c>
    </row>
    <row r="29" spans="9:14" ht="14.25" customHeight="1" x14ac:dyDescent="0.25">
      <c r="I29" s="36"/>
      <c r="J29" s="36"/>
      <c r="L29" s="36">
        <v>250</v>
      </c>
      <c r="M29" s="36"/>
      <c r="N29" s="36" t="s">
        <v>714</v>
      </c>
    </row>
    <row r="30" spans="9:14" ht="14.25" customHeight="1" x14ac:dyDescent="0.25">
      <c r="I30" s="36"/>
      <c r="J30" s="36"/>
      <c r="L30" s="36">
        <v>12000</v>
      </c>
      <c r="M30" s="36"/>
      <c r="N30" s="36" t="s">
        <v>715</v>
      </c>
    </row>
    <row r="31" spans="9:14" ht="14.25" customHeight="1" x14ac:dyDescent="0.25"/>
    <row r="32" spans="9:14" ht="14.25" customHeight="1" x14ac:dyDescent="0.25"/>
    <row r="33" spans="9:14" ht="14.25" customHeight="1" x14ac:dyDescent="0.25">
      <c r="I33" s="36" t="s">
        <v>716</v>
      </c>
      <c r="J33" s="41" t="s">
        <v>711</v>
      </c>
      <c r="L33" s="36"/>
      <c r="M33" s="36"/>
      <c r="N33" s="36"/>
    </row>
    <row r="34" spans="9:14" ht="14.25" customHeight="1" x14ac:dyDescent="0.25">
      <c r="I34" s="36"/>
      <c r="J34" s="36"/>
      <c r="L34" s="36">
        <v>2500</v>
      </c>
      <c r="M34" s="36"/>
      <c r="N34" s="36" t="s">
        <v>156</v>
      </c>
    </row>
    <row r="35" spans="9:14" ht="14.25" customHeight="1" x14ac:dyDescent="0.25">
      <c r="I35" s="36"/>
      <c r="J35" s="36"/>
      <c r="L35" s="36">
        <v>1000</v>
      </c>
      <c r="M35" s="36"/>
      <c r="N35" s="36" t="s">
        <v>190</v>
      </c>
    </row>
    <row r="36" spans="9:14" ht="14.25" customHeight="1" x14ac:dyDescent="0.25"/>
    <row r="37" spans="9:14" ht="14.25" customHeight="1" x14ac:dyDescent="0.25"/>
    <row r="38" spans="9:14" ht="14.25" customHeight="1" x14ac:dyDescent="0.25"/>
    <row r="39" spans="9:14" ht="14.25" customHeight="1" x14ac:dyDescent="0.25"/>
    <row r="40" spans="9:14" ht="14.25" customHeight="1" x14ac:dyDescent="0.25"/>
    <row r="41" spans="9:14" ht="14.25" customHeight="1" x14ac:dyDescent="0.25"/>
    <row r="42" spans="9:14" ht="14.25" customHeight="1" x14ac:dyDescent="0.25"/>
    <row r="43" spans="9:14" ht="14.25" customHeight="1" x14ac:dyDescent="0.25"/>
    <row r="44" spans="9:14" ht="14.25" customHeight="1" x14ac:dyDescent="0.25"/>
    <row r="45" spans="9:14" ht="14.25" customHeight="1" x14ac:dyDescent="0.25"/>
    <row r="46" spans="9:14" ht="14.25" customHeight="1" x14ac:dyDescent="0.25"/>
    <row r="47" spans="9:14" ht="14.25" customHeight="1" x14ac:dyDescent="0.25"/>
    <row r="48" spans="9:14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54809-5588-42AF-866F-4BEFE82BAE2D}">
  <sheetPr codeName="Hoja9" filterMode="1"/>
  <dimension ref="A1:AB889"/>
  <sheetViews>
    <sheetView topLeftCell="H1" zoomScaleNormal="100" workbookViewId="0">
      <pane ySplit="1" topLeftCell="A2" activePane="bottomLeft" state="frozen"/>
      <selection pane="bottomLeft" activeCell="M60" sqref="M60"/>
    </sheetView>
  </sheetViews>
  <sheetFormatPr baseColWidth="10" defaultRowHeight="15" x14ac:dyDescent="0.25"/>
  <cols>
    <col min="1" max="1" width="3.7109375" style="1" customWidth="1"/>
    <col min="2" max="2" width="15.42578125" style="20" customWidth="1"/>
    <col min="3" max="3" width="9.28515625" style="20" bestFit="1" customWidth="1"/>
    <col min="4" max="4" width="13.140625" style="20" customWidth="1"/>
    <col min="5" max="5" width="11.85546875" style="21" bestFit="1" customWidth="1"/>
    <col min="6" max="6" width="4.85546875" style="1" customWidth="1"/>
    <col min="7" max="7" width="15.7109375" style="1" customWidth="1"/>
    <col min="8" max="8" width="23.28515625" style="1" customWidth="1"/>
    <col min="9" max="9" width="7.5703125" style="1" customWidth="1"/>
    <col min="10" max="10" width="11.85546875" style="21" customWidth="1"/>
    <col min="11" max="11" width="18.28515625" style="1" bestFit="1" customWidth="1"/>
    <col min="12" max="12" width="8.28515625" style="23" customWidth="1"/>
    <col min="13" max="13" width="6.5703125" style="1" customWidth="1"/>
    <col min="14" max="14" width="7.85546875" style="1" customWidth="1"/>
    <col min="15" max="15" width="6.140625" style="51" customWidth="1"/>
    <col min="16" max="16" width="6.140625" style="30" customWidth="1"/>
    <col min="17" max="17" width="7.5703125" style="30" customWidth="1"/>
    <col min="18" max="18" width="12" style="52" customWidth="1"/>
    <col min="19" max="19" width="7.5703125" style="30" customWidth="1"/>
    <col min="20" max="20" width="15" style="1" customWidth="1"/>
    <col min="21" max="21" width="15.42578125" style="20" customWidth="1"/>
    <col min="22" max="22" width="15" style="1" customWidth="1"/>
    <col min="23" max="28" width="11.42578125" style="1"/>
  </cols>
  <sheetData>
    <row r="1" spans="1:28" ht="60" customHeight="1" x14ac:dyDescent="0.25">
      <c r="A1" s="18" t="s">
        <v>90</v>
      </c>
      <c r="B1" s="16" t="s">
        <v>91</v>
      </c>
      <c r="C1" s="16" t="s">
        <v>92</v>
      </c>
      <c r="D1" s="16" t="s">
        <v>93</v>
      </c>
      <c r="E1" s="17" t="s">
        <v>94</v>
      </c>
      <c r="F1" s="18" t="s">
        <v>95</v>
      </c>
      <c r="G1" s="18" t="s">
        <v>96</v>
      </c>
      <c r="H1" s="18" t="s">
        <v>97</v>
      </c>
      <c r="I1" s="18" t="s">
        <v>98</v>
      </c>
      <c r="J1" s="17" t="s">
        <v>99</v>
      </c>
      <c r="K1" s="19" t="s">
        <v>100</v>
      </c>
      <c r="L1" s="19" t="s">
        <v>101</v>
      </c>
      <c r="M1" s="1" t="s">
        <v>102</v>
      </c>
      <c r="N1" s="18" t="s">
        <v>103</v>
      </c>
      <c r="O1" s="44" t="s">
        <v>104</v>
      </c>
      <c r="P1" s="45" t="s">
        <v>105</v>
      </c>
      <c r="Q1" s="45" t="s">
        <v>106</v>
      </c>
      <c r="R1" s="45" t="s">
        <v>802</v>
      </c>
      <c r="S1" s="46" t="s">
        <v>803</v>
      </c>
      <c r="T1" s="38" t="s">
        <v>107</v>
      </c>
      <c r="U1" s="40" t="s">
        <v>108</v>
      </c>
      <c r="V1" s="47" t="s">
        <v>804</v>
      </c>
      <c r="W1" s="48" t="s">
        <v>109</v>
      </c>
      <c r="X1" s="49" t="s">
        <v>110</v>
      </c>
      <c r="Y1" s="50" t="s">
        <v>111</v>
      </c>
      <c r="Z1" s="45" t="s">
        <v>112</v>
      </c>
      <c r="AA1" s="9" t="s">
        <v>805</v>
      </c>
      <c r="AB1" s="9" t="s">
        <v>806</v>
      </c>
    </row>
    <row r="2" spans="1:28" hidden="1" x14ac:dyDescent="0.25">
      <c r="A2" s="1">
        <v>2400</v>
      </c>
      <c r="B2" s="42"/>
      <c r="C2" s="42"/>
      <c r="D2" s="28"/>
      <c r="E2" s="29"/>
      <c r="G2" s="25"/>
      <c r="J2" s="30"/>
      <c r="K2" s="22"/>
      <c r="N2" s="23"/>
      <c r="T2" s="39"/>
      <c r="U2" s="43"/>
      <c r="V2" s="21"/>
    </row>
    <row r="3" spans="1:28" hidden="1" x14ac:dyDescent="0.25">
      <c r="A3" s="1">
        <v>1200</v>
      </c>
      <c r="B3" s="42"/>
      <c r="C3" s="42"/>
      <c r="D3" s="28"/>
      <c r="E3" s="32"/>
      <c r="G3" s="25"/>
      <c r="J3" s="30"/>
      <c r="K3" s="22"/>
      <c r="T3" s="39"/>
      <c r="U3" s="43"/>
      <c r="V3" s="21"/>
    </row>
    <row r="4" spans="1:28" hidden="1" x14ac:dyDescent="0.25">
      <c r="A4" s="1">
        <v>1200</v>
      </c>
      <c r="B4" s="42"/>
      <c r="C4" s="42"/>
      <c r="G4" s="25"/>
      <c r="J4" s="30"/>
      <c r="K4" s="22"/>
      <c r="T4" s="39"/>
      <c r="U4" s="53"/>
    </row>
    <row r="5" spans="1:28" hidden="1" x14ac:dyDescent="0.25">
      <c r="A5" s="1">
        <v>3000</v>
      </c>
      <c r="B5" s="42"/>
      <c r="C5" s="42"/>
      <c r="D5" s="28"/>
      <c r="G5" s="25"/>
      <c r="J5" s="30"/>
      <c r="K5" s="24"/>
      <c r="N5" s="25"/>
      <c r="O5" s="54"/>
      <c r="P5" s="55"/>
      <c r="Q5" s="55"/>
      <c r="R5" s="56"/>
      <c r="S5" s="55"/>
      <c r="T5" s="25"/>
      <c r="V5" s="25"/>
    </row>
    <row r="6" spans="1:28" hidden="1" x14ac:dyDescent="0.25">
      <c r="A6" s="1">
        <v>1200</v>
      </c>
      <c r="B6" s="42"/>
      <c r="C6" s="42"/>
      <c r="D6" s="31"/>
      <c r="G6" s="25"/>
      <c r="J6" s="30"/>
      <c r="K6" s="22"/>
    </row>
    <row r="7" spans="1:28" hidden="1" x14ac:dyDescent="0.25">
      <c r="B7" s="42"/>
      <c r="C7" s="42"/>
      <c r="D7" s="28"/>
      <c r="G7" s="25"/>
      <c r="J7" s="30"/>
      <c r="K7" s="22"/>
    </row>
    <row r="8" spans="1:28" hidden="1" x14ac:dyDescent="0.25">
      <c r="B8" s="42"/>
      <c r="C8" s="42"/>
      <c r="E8" s="32"/>
      <c r="G8" s="25"/>
      <c r="J8" s="30"/>
      <c r="K8" s="22"/>
    </row>
    <row r="9" spans="1:28" hidden="1" x14ac:dyDescent="0.25">
      <c r="A9" s="1">
        <v>3000</v>
      </c>
      <c r="B9" s="42"/>
      <c r="C9" s="42"/>
      <c r="D9" s="26"/>
      <c r="G9" s="25"/>
      <c r="J9" s="30"/>
      <c r="K9" s="22"/>
    </row>
    <row r="10" spans="1:28" hidden="1" x14ac:dyDescent="0.25">
      <c r="A10" s="1">
        <v>2400</v>
      </c>
      <c r="B10" s="42"/>
      <c r="C10" s="42"/>
      <c r="D10" s="28"/>
      <c r="G10" s="25"/>
      <c r="J10" s="30"/>
      <c r="K10" s="22"/>
      <c r="N10" s="21"/>
    </row>
    <row r="11" spans="1:28" hidden="1" x14ac:dyDescent="0.25">
      <c r="B11" s="42"/>
      <c r="C11" s="42"/>
      <c r="E11" s="32"/>
      <c r="G11" s="25"/>
      <c r="J11" s="30"/>
      <c r="K11" s="22"/>
    </row>
    <row r="12" spans="1:28" hidden="1" x14ac:dyDescent="0.25">
      <c r="A12" s="1">
        <v>10</v>
      </c>
      <c r="B12" s="42"/>
      <c r="C12" s="42"/>
      <c r="D12" s="28"/>
      <c r="E12" s="32"/>
      <c r="G12" s="25"/>
      <c r="J12" s="30"/>
      <c r="K12" s="22"/>
    </row>
    <row r="13" spans="1:28" hidden="1" x14ac:dyDescent="0.25">
      <c r="A13" s="1">
        <v>10</v>
      </c>
      <c r="B13" s="42"/>
      <c r="C13" s="42"/>
      <c r="E13" s="29"/>
      <c r="G13" s="25"/>
      <c r="J13" s="30"/>
      <c r="K13" s="22"/>
    </row>
    <row r="14" spans="1:28" hidden="1" x14ac:dyDescent="0.25">
      <c r="A14" s="1">
        <v>10</v>
      </c>
      <c r="B14" s="42"/>
      <c r="C14" s="42"/>
      <c r="D14" s="28"/>
      <c r="E14" s="29"/>
      <c r="G14" s="25"/>
      <c r="J14" s="30"/>
      <c r="K14" s="24"/>
    </row>
    <row r="15" spans="1:28" hidden="1" x14ac:dyDescent="0.25">
      <c r="A15" s="1">
        <v>144</v>
      </c>
      <c r="B15" s="42"/>
      <c r="C15" s="42"/>
      <c r="E15" s="32"/>
      <c r="G15" s="25"/>
      <c r="J15" s="30"/>
      <c r="K15" s="24"/>
    </row>
    <row r="16" spans="1:28" hidden="1" x14ac:dyDescent="0.25">
      <c r="A16" s="1">
        <v>144</v>
      </c>
      <c r="B16" s="42"/>
      <c r="C16" s="42"/>
      <c r="D16" s="28"/>
      <c r="G16" s="25"/>
      <c r="J16" s="30"/>
      <c r="K16" s="24"/>
    </row>
    <row r="17" spans="1:23" hidden="1" x14ac:dyDescent="0.25">
      <c r="A17" s="1">
        <v>144</v>
      </c>
      <c r="B17" s="42"/>
      <c r="C17" s="42"/>
      <c r="E17" s="32"/>
      <c r="G17" s="25"/>
      <c r="J17" s="30"/>
      <c r="K17" s="24"/>
      <c r="M17" s="23"/>
    </row>
    <row r="18" spans="1:23" hidden="1" x14ac:dyDescent="0.25">
      <c r="A18" s="1">
        <v>144</v>
      </c>
      <c r="B18" s="42"/>
      <c r="C18" s="42"/>
      <c r="E18" s="32"/>
      <c r="G18" s="25"/>
      <c r="J18" s="30"/>
      <c r="K18" s="24"/>
    </row>
    <row r="19" spans="1:23" hidden="1" x14ac:dyDescent="0.25">
      <c r="A19" s="1">
        <v>24</v>
      </c>
      <c r="B19" s="42"/>
      <c r="C19" s="42"/>
      <c r="D19" s="33"/>
      <c r="E19" s="32"/>
      <c r="G19" s="25"/>
      <c r="J19" s="30"/>
      <c r="K19" s="24"/>
    </row>
    <row r="20" spans="1:23" hidden="1" x14ac:dyDescent="0.25">
      <c r="A20" s="1">
        <v>440</v>
      </c>
      <c r="B20" s="42"/>
      <c r="C20" s="43"/>
      <c r="D20" s="32"/>
      <c r="G20" s="25"/>
      <c r="J20" s="30"/>
      <c r="K20" s="22"/>
    </row>
    <row r="21" spans="1:23" hidden="1" x14ac:dyDescent="0.25">
      <c r="A21" s="1">
        <v>500</v>
      </c>
      <c r="B21" s="42"/>
      <c r="C21" s="42"/>
      <c r="D21" s="33"/>
      <c r="E21" s="32"/>
      <c r="G21" s="25"/>
      <c r="J21" s="30"/>
      <c r="K21" s="22"/>
      <c r="V21" s="52"/>
    </row>
    <row r="22" spans="1:23" hidden="1" x14ac:dyDescent="0.25">
      <c r="A22" s="1">
        <v>24</v>
      </c>
      <c r="B22" s="42"/>
      <c r="C22" s="42"/>
      <c r="E22" s="29"/>
      <c r="G22" s="25"/>
      <c r="J22" s="30"/>
      <c r="K22" s="24"/>
    </row>
    <row r="23" spans="1:23" hidden="1" x14ac:dyDescent="0.25">
      <c r="A23" s="1">
        <v>60</v>
      </c>
      <c r="B23" s="42"/>
      <c r="C23" s="42"/>
      <c r="G23" s="25"/>
      <c r="J23" s="30"/>
      <c r="K23" s="22"/>
    </row>
    <row r="24" spans="1:23" hidden="1" x14ac:dyDescent="0.25">
      <c r="A24" s="1">
        <v>4</v>
      </c>
      <c r="B24" s="42"/>
      <c r="C24" s="42"/>
      <c r="D24" s="28"/>
      <c r="E24" s="32"/>
      <c r="G24" s="25"/>
      <c r="J24" s="30"/>
      <c r="K24" s="22"/>
    </row>
    <row r="25" spans="1:23" hidden="1" x14ac:dyDescent="0.25">
      <c r="A25" s="1">
        <v>200</v>
      </c>
      <c r="B25" s="42"/>
      <c r="C25" s="42"/>
      <c r="D25" s="28"/>
      <c r="G25" s="25"/>
      <c r="J25" s="30"/>
      <c r="K25" s="22"/>
    </row>
    <row r="26" spans="1:23" hidden="1" x14ac:dyDescent="0.25">
      <c r="A26" s="1">
        <v>100</v>
      </c>
      <c r="B26" s="42"/>
      <c r="C26" s="42"/>
      <c r="E26" s="29"/>
      <c r="G26" s="25"/>
      <c r="J26" s="30"/>
      <c r="K26" s="22"/>
    </row>
    <row r="27" spans="1:23" hidden="1" x14ac:dyDescent="0.25">
      <c r="B27" s="42"/>
      <c r="C27" s="42"/>
      <c r="D27" s="34"/>
      <c r="E27" s="32"/>
      <c r="G27" s="25"/>
      <c r="J27" s="30"/>
      <c r="K27" s="22"/>
    </row>
    <row r="28" spans="1:23" hidden="1" x14ac:dyDescent="0.25">
      <c r="B28" s="42"/>
      <c r="C28" s="42"/>
      <c r="D28" s="34"/>
      <c r="G28" s="25"/>
      <c r="J28" s="30"/>
      <c r="K28" s="22"/>
    </row>
    <row r="29" spans="1:23" hidden="1" x14ac:dyDescent="0.25">
      <c r="A29" s="1">
        <v>36</v>
      </c>
      <c r="B29" s="42"/>
      <c r="C29" s="42"/>
      <c r="D29" s="34"/>
      <c r="E29" s="32"/>
      <c r="G29" s="25"/>
      <c r="J29" s="30"/>
      <c r="K29" s="22"/>
      <c r="N29" s="35"/>
      <c r="O29" s="54"/>
      <c r="P29" s="55"/>
      <c r="Q29" s="55"/>
      <c r="R29" s="56"/>
      <c r="S29" s="55"/>
      <c r="T29" s="35"/>
      <c r="V29" s="35"/>
    </row>
    <row r="30" spans="1:23" hidden="1" x14ac:dyDescent="0.25">
      <c r="A30" s="1">
        <v>96</v>
      </c>
      <c r="B30" s="42"/>
      <c r="C30" s="42"/>
      <c r="D30" s="28"/>
      <c r="G30" s="25"/>
      <c r="J30" s="30"/>
      <c r="K30" s="24"/>
    </row>
    <row r="31" spans="1:23" hidden="1" x14ac:dyDescent="0.25">
      <c r="A31" s="1">
        <v>300</v>
      </c>
      <c r="B31" s="42"/>
      <c r="C31" s="42"/>
      <c r="D31" s="28"/>
      <c r="E31" s="32"/>
      <c r="G31" s="25"/>
      <c r="J31" s="30"/>
      <c r="K31" s="24"/>
      <c r="S31" s="52"/>
    </row>
    <row r="32" spans="1:23" hidden="1" x14ac:dyDescent="0.25">
      <c r="A32" s="1">
        <v>4</v>
      </c>
      <c r="B32" s="42"/>
      <c r="C32" s="42"/>
      <c r="D32" s="28"/>
      <c r="E32" s="32"/>
      <c r="G32" s="25"/>
      <c r="J32" s="30"/>
      <c r="K32" s="24"/>
      <c r="M32" s="23"/>
      <c r="W32" s="22"/>
    </row>
    <row r="33" spans="1:15" hidden="1" x14ac:dyDescent="0.25">
      <c r="A33" s="1">
        <v>500</v>
      </c>
      <c r="B33" s="42"/>
      <c r="C33" s="42"/>
      <c r="D33" s="28"/>
      <c r="G33" s="25"/>
      <c r="J33" s="30"/>
      <c r="K33" s="24"/>
    </row>
    <row r="34" spans="1:15" hidden="1" x14ac:dyDescent="0.25">
      <c r="A34" s="1">
        <v>100</v>
      </c>
      <c r="B34" s="42"/>
      <c r="C34" s="42"/>
      <c r="D34" s="28"/>
      <c r="E34" s="29"/>
      <c r="G34" s="25"/>
      <c r="J34" s="30"/>
      <c r="K34" s="24"/>
    </row>
    <row r="35" spans="1:15" hidden="1" x14ac:dyDescent="0.25">
      <c r="A35" s="1">
        <v>2400</v>
      </c>
      <c r="B35" s="42"/>
      <c r="C35" s="42"/>
      <c r="D35" s="28"/>
      <c r="E35" s="32"/>
      <c r="G35" s="25"/>
      <c r="J35" s="30"/>
      <c r="K35" s="24"/>
    </row>
    <row r="36" spans="1:15" hidden="1" x14ac:dyDescent="0.25">
      <c r="B36" s="42"/>
      <c r="C36" s="42"/>
      <c r="D36" s="28"/>
      <c r="E36" s="32"/>
      <c r="G36" s="25"/>
      <c r="J36" s="30"/>
      <c r="K36" s="22"/>
    </row>
    <row r="37" spans="1:15" hidden="1" x14ac:dyDescent="0.25">
      <c r="A37" s="1">
        <v>20</v>
      </c>
      <c r="B37" s="42"/>
      <c r="C37" s="42"/>
      <c r="D37" s="28"/>
      <c r="E37" s="29"/>
      <c r="G37" s="25"/>
      <c r="J37" s="30"/>
      <c r="K37" s="22"/>
    </row>
    <row r="38" spans="1:15" hidden="1" x14ac:dyDescent="0.25">
      <c r="A38" s="1">
        <v>100</v>
      </c>
      <c r="B38" s="42"/>
      <c r="C38" s="42"/>
      <c r="D38" s="28"/>
      <c r="G38" s="25"/>
      <c r="J38" s="30"/>
      <c r="K38" s="22"/>
    </row>
    <row r="39" spans="1:15" hidden="1" x14ac:dyDescent="0.25">
      <c r="A39" s="1">
        <v>2000</v>
      </c>
      <c r="B39" s="42"/>
      <c r="C39" s="42"/>
      <c r="D39" s="28"/>
      <c r="E39" s="32"/>
      <c r="G39" s="25"/>
      <c r="J39" s="30"/>
      <c r="K39" s="22"/>
    </row>
    <row r="40" spans="1:15" hidden="1" x14ac:dyDescent="0.25">
      <c r="A40" s="1">
        <v>40</v>
      </c>
      <c r="B40" s="42"/>
      <c r="C40" s="42"/>
      <c r="D40" s="28"/>
      <c r="E40" s="32"/>
      <c r="G40" s="25"/>
      <c r="J40" s="30"/>
      <c r="K40" s="22"/>
    </row>
    <row r="41" spans="1:15" ht="30" hidden="1" x14ac:dyDescent="0.25">
      <c r="A41" s="1">
        <v>36</v>
      </c>
      <c r="B41" s="42"/>
      <c r="C41" s="42"/>
      <c r="D41" s="28"/>
      <c r="E41" s="32"/>
      <c r="G41" s="25"/>
      <c r="J41" s="18" t="s">
        <v>96</v>
      </c>
      <c r="K41" s="22"/>
    </row>
    <row r="42" spans="1:15" x14ac:dyDescent="0.25">
      <c r="B42" s="42" t="s">
        <v>314</v>
      </c>
      <c r="C42" s="42" t="s">
        <v>258</v>
      </c>
      <c r="D42" s="20">
        <v>431</v>
      </c>
      <c r="E42" s="21">
        <v>900</v>
      </c>
      <c r="F42" s="1" t="s">
        <v>68</v>
      </c>
      <c r="G42" s="25" t="s">
        <v>125</v>
      </c>
      <c r="H42" s="1" t="s">
        <v>195</v>
      </c>
      <c r="I42" s="1">
        <f>MAX((G$42:G$889=J42)*E$42:E$889)</f>
        <v>0</v>
      </c>
      <c r="J42" s="25" t="s">
        <v>113</v>
      </c>
      <c r="K42" s="22">
        <v>45224</v>
      </c>
      <c r="O42" s="51">
        <v>100</v>
      </c>
    </row>
    <row r="43" spans="1:15" x14ac:dyDescent="0.25">
      <c r="B43" s="42" t="s">
        <v>314</v>
      </c>
      <c r="C43" s="42" t="s">
        <v>258</v>
      </c>
      <c r="D43" s="20">
        <v>432</v>
      </c>
      <c r="E43" s="21">
        <v>2500</v>
      </c>
      <c r="F43" s="1" t="s">
        <v>68</v>
      </c>
      <c r="G43" s="25" t="s">
        <v>131</v>
      </c>
      <c r="H43" s="1" t="s">
        <v>196</v>
      </c>
      <c r="I43" s="1">
        <f t="shared" ref="I43:I106" si="0">MAX((G$42:G$889=J43)*E$42:E$889)</f>
        <v>0</v>
      </c>
      <c r="J43" s="25" t="s">
        <v>117</v>
      </c>
      <c r="K43" s="22">
        <v>45224</v>
      </c>
      <c r="O43" s="51">
        <v>1</v>
      </c>
    </row>
    <row r="44" spans="1:15" x14ac:dyDescent="0.25">
      <c r="B44" s="42" t="s">
        <v>314</v>
      </c>
      <c r="C44" s="42" t="s">
        <v>399</v>
      </c>
      <c r="D44" s="20">
        <v>432</v>
      </c>
      <c r="E44" s="21">
        <v>800</v>
      </c>
      <c r="F44" s="1" t="s">
        <v>68</v>
      </c>
      <c r="G44" s="25" t="s">
        <v>135</v>
      </c>
      <c r="H44" s="1" t="s">
        <v>136</v>
      </c>
      <c r="I44" s="1">
        <f t="shared" si="0"/>
        <v>0</v>
      </c>
      <c r="J44" s="25" t="s">
        <v>120</v>
      </c>
      <c r="K44" s="22">
        <v>45224</v>
      </c>
      <c r="O44" s="51">
        <v>1</v>
      </c>
    </row>
    <row r="45" spans="1:15" x14ac:dyDescent="0.25">
      <c r="B45" s="42" t="s">
        <v>314</v>
      </c>
      <c r="C45" s="42" t="s">
        <v>260</v>
      </c>
      <c r="D45" s="20">
        <v>433</v>
      </c>
      <c r="E45" s="21">
        <v>300</v>
      </c>
      <c r="F45" s="1" t="s">
        <v>137</v>
      </c>
      <c r="G45" s="25" t="s">
        <v>138</v>
      </c>
      <c r="H45" s="1" t="s">
        <v>197</v>
      </c>
      <c r="I45" s="1">
        <f t="shared" si="0"/>
        <v>0</v>
      </c>
      <c r="J45" s="25" t="s">
        <v>123</v>
      </c>
      <c r="K45" s="22">
        <v>45224</v>
      </c>
      <c r="O45" s="51">
        <v>1</v>
      </c>
    </row>
    <row r="46" spans="1:15" x14ac:dyDescent="0.25">
      <c r="B46" s="42" t="s">
        <v>314</v>
      </c>
      <c r="C46" s="42" t="s">
        <v>260</v>
      </c>
      <c r="D46" s="20">
        <v>433</v>
      </c>
      <c r="E46" s="21">
        <v>350</v>
      </c>
      <c r="F46" s="1" t="s">
        <v>68</v>
      </c>
      <c r="G46" s="25" t="s">
        <v>170</v>
      </c>
      <c r="H46" s="1" t="s">
        <v>198</v>
      </c>
      <c r="I46" s="1">
        <f t="shared" si="0"/>
        <v>0</v>
      </c>
      <c r="J46" s="25" t="s">
        <v>125</v>
      </c>
      <c r="K46" s="22">
        <v>45224</v>
      </c>
      <c r="O46" s="51">
        <v>1</v>
      </c>
    </row>
    <row r="47" spans="1:15" x14ac:dyDescent="0.25">
      <c r="B47" s="42" t="s">
        <v>314</v>
      </c>
      <c r="C47" s="42" t="s">
        <v>260</v>
      </c>
      <c r="D47" s="20">
        <v>433</v>
      </c>
      <c r="E47" s="21">
        <v>25000</v>
      </c>
      <c r="F47" s="1" t="s">
        <v>68</v>
      </c>
      <c r="G47" s="25" t="s">
        <v>113</v>
      </c>
      <c r="H47" s="1" t="s">
        <v>199</v>
      </c>
      <c r="I47" s="1">
        <f t="shared" si="0"/>
        <v>0</v>
      </c>
      <c r="J47" s="25" t="s">
        <v>127</v>
      </c>
      <c r="K47" s="22">
        <v>45224</v>
      </c>
      <c r="O47" s="51">
        <v>1</v>
      </c>
    </row>
    <row r="48" spans="1:15" x14ac:dyDescent="0.25">
      <c r="B48" s="42" t="s">
        <v>314</v>
      </c>
      <c r="C48" s="42" t="s">
        <v>260</v>
      </c>
      <c r="D48" s="20">
        <v>433</v>
      </c>
      <c r="E48" s="21">
        <v>5</v>
      </c>
      <c r="F48" s="1" t="s">
        <v>68</v>
      </c>
      <c r="G48" s="25" t="s">
        <v>193</v>
      </c>
      <c r="H48" s="1" t="s">
        <v>194</v>
      </c>
      <c r="I48" s="1">
        <f t="shared" si="0"/>
        <v>0</v>
      </c>
      <c r="J48" s="25" t="s">
        <v>129</v>
      </c>
      <c r="K48" s="22">
        <v>45224</v>
      </c>
      <c r="O48" s="51">
        <v>1</v>
      </c>
    </row>
    <row r="49" spans="1:15" x14ac:dyDescent="0.25">
      <c r="B49" s="42" t="s">
        <v>314</v>
      </c>
      <c r="C49" s="42" t="s">
        <v>518</v>
      </c>
      <c r="D49" s="20">
        <v>434</v>
      </c>
      <c r="E49" s="21">
        <v>2000</v>
      </c>
      <c r="F49" s="1" t="s">
        <v>68</v>
      </c>
      <c r="G49" s="25" t="s">
        <v>152</v>
      </c>
      <c r="H49" s="1" t="s">
        <v>153</v>
      </c>
      <c r="I49" s="1">
        <f t="shared" si="0"/>
        <v>0</v>
      </c>
      <c r="J49" s="25" t="s">
        <v>131</v>
      </c>
      <c r="O49" s="51">
        <v>1</v>
      </c>
    </row>
    <row r="50" spans="1:15" x14ac:dyDescent="0.25">
      <c r="B50" s="42" t="s">
        <v>314</v>
      </c>
      <c r="C50" s="42" t="s">
        <v>336</v>
      </c>
      <c r="D50" s="20">
        <v>438</v>
      </c>
      <c r="E50" s="21">
        <v>20000</v>
      </c>
      <c r="F50" s="1" t="s">
        <v>68</v>
      </c>
      <c r="G50" s="25" t="s">
        <v>133</v>
      </c>
      <c r="H50" s="1" t="s">
        <v>134</v>
      </c>
      <c r="I50" s="1">
        <f t="shared" si="0"/>
        <v>20000</v>
      </c>
      <c r="J50" s="25" t="s">
        <v>133</v>
      </c>
      <c r="K50" s="24">
        <v>45229.493993055556</v>
      </c>
      <c r="O50" s="51">
        <v>1</v>
      </c>
    </row>
    <row r="51" spans="1:15" x14ac:dyDescent="0.25">
      <c r="B51" s="42" t="s">
        <v>314</v>
      </c>
      <c r="C51" s="42" t="s">
        <v>336</v>
      </c>
      <c r="D51" s="20">
        <v>435</v>
      </c>
      <c r="E51" s="21">
        <v>3000</v>
      </c>
      <c r="F51" s="1" t="s">
        <v>68</v>
      </c>
      <c r="G51" s="25" t="s">
        <v>117</v>
      </c>
      <c r="H51" s="1" t="s">
        <v>200</v>
      </c>
      <c r="I51" s="1">
        <f t="shared" si="0"/>
        <v>0</v>
      </c>
      <c r="J51" s="25" t="s">
        <v>135</v>
      </c>
      <c r="K51" s="24">
        <v>45229.480821759258</v>
      </c>
      <c r="O51" s="51">
        <v>1</v>
      </c>
    </row>
    <row r="52" spans="1:15" x14ac:dyDescent="0.25">
      <c r="B52" s="42" t="s">
        <v>201</v>
      </c>
      <c r="C52" s="42" t="s">
        <v>202</v>
      </c>
      <c r="E52" s="21">
        <v>2000</v>
      </c>
      <c r="F52" s="1" t="s">
        <v>137</v>
      </c>
      <c r="G52" s="25" t="s">
        <v>141</v>
      </c>
      <c r="H52" s="1" t="s">
        <v>203</v>
      </c>
      <c r="I52" s="1">
        <f t="shared" si="0"/>
        <v>0</v>
      </c>
      <c r="J52" s="25" t="s">
        <v>138</v>
      </c>
      <c r="K52" s="24">
        <v>45229.506006944444</v>
      </c>
      <c r="N52" s="1" t="s">
        <v>204</v>
      </c>
      <c r="O52" s="51">
        <v>1</v>
      </c>
    </row>
    <row r="53" spans="1:15" x14ac:dyDescent="0.25">
      <c r="B53" s="42" t="s">
        <v>775</v>
      </c>
      <c r="C53" s="42" t="s">
        <v>205</v>
      </c>
      <c r="D53" s="20">
        <v>797576</v>
      </c>
      <c r="E53" s="21">
        <v>20000</v>
      </c>
      <c r="F53" s="1" t="s">
        <v>68</v>
      </c>
      <c r="G53" s="25" t="s">
        <v>156</v>
      </c>
      <c r="H53" s="1" t="s">
        <v>206</v>
      </c>
      <c r="I53" s="1">
        <f t="shared" si="0"/>
        <v>0</v>
      </c>
      <c r="J53" s="25" t="s">
        <v>141</v>
      </c>
      <c r="K53" s="24">
        <v>45229.613541666666</v>
      </c>
      <c r="N53" s="1" t="s">
        <v>207</v>
      </c>
      <c r="O53" s="51">
        <v>1</v>
      </c>
    </row>
    <row r="54" spans="1:15" x14ac:dyDescent="0.25">
      <c r="B54" s="42" t="s">
        <v>776</v>
      </c>
      <c r="C54" s="42" t="s">
        <v>208</v>
      </c>
      <c r="D54" s="20">
        <v>793970</v>
      </c>
      <c r="E54" s="21">
        <v>300</v>
      </c>
      <c r="F54" s="1" t="s">
        <v>68</v>
      </c>
      <c r="G54" s="25" t="s">
        <v>774</v>
      </c>
      <c r="H54" s="1" t="s">
        <v>209</v>
      </c>
      <c r="I54" s="1">
        <f t="shared" si="0"/>
        <v>0</v>
      </c>
      <c r="J54" s="25" t="s">
        <v>143</v>
      </c>
      <c r="K54" s="24">
        <v>45229.616666666669</v>
      </c>
      <c r="O54" s="51">
        <v>1</v>
      </c>
    </row>
    <row r="55" spans="1:15" x14ac:dyDescent="0.25">
      <c r="B55" s="42" t="s">
        <v>777</v>
      </c>
      <c r="C55" s="42" t="s">
        <v>205</v>
      </c>
      <c r="D55" s="20">
        <v>789278</v>
      </c>
      <c r="E55" s="21">
        <v>600</v>
      </c>
      <c r="F55" s="1" t="s">
        <v>68</v>
      </c>
      <c r="G55" s="25" t="s">
        <v>773</v>
      </c>
      <c r="H55" s="1" t="s">
        <v>210</v>
      </c>
      <c r="I55" s="1">
        <f t="shared" si="0"/>
        <v>0</v>
      </c>
      <c r="J55" s="25" t="s">
        <v>146</v>
      </c>
      <c r="K55" s="24">
        <v>45229.619004629632</v>
      </c>
      <c r="N55" s="1" t="s">
        <v>211</v>
      </c>
      <c r="O55" s="51">
        <v>1</v>
      </c>
    </row>
    <row r="56" spans="1:15" hidden="1" x14ac:dyDescent="0.25">
      <c r="A56" s="1">
        <v>100</v>
      </c>
      <c r="B56" s="42"/>
      <c r="C56" s="42"/>
      <c r="D56" s="28"/>
      <c r="G56" s="25"/>
      <c r="I56" s="1">
        <f t="shared" si="0"/>
        <v>0</v>
      </c>
      <c r="J56" s="25" t="s">
        <v>149</v>
      </c>
      <c r="K56" s="22"/>
    </row>
    <row r="57" spans="1:15" x14ac:dyDescent="0.25">
      <c r="B57" s="42" t="s">
        <v>778</v>
      </c>
      <c r="C57" s="42" t="s">
        <v>208</v>
      </c>
      <c r="D57" s="20">
        <v>782092</v>
      </c>
      <c r="E57" s="21">
        <v>700</v>
      </c>
      <c r="F57" s="1" t="s">
        <v>68</v>
      </c>
      <c r="G57" s="25" t="s">
        <v>774</v>
      </c>
      <c r="H57" s="1" t="s">
        <v>209</v>
      </c>
      <c r="I57" s="1">
        <f t="shared" si="0"/>
        <v>0</v>
      </c>
      <c r="J57" s="25" t="s">
        <v>150</v>
      </c>
      <c r="K57" s="24">
        <v>45229.636782407404</v>
      </c>
      <c r="O57" s="51">
        <v>1</v>
      </c>
    </row>
    <row r="58" spans="1:15" x14ac:dyDescent="0.25">
      <c r="B58" s="42" t="s">
        <v>778</v>
      </c>
      <c r="C58" s="42" t="s">
        <v>208</v>
      </c>
      <c r="D58" s="20">
        <v>782092</v>
      </c>
      <c r="E58" s="21">
        <v>2000</v>
      </c>
      <c r="F58" s="1" t="s">
        <v>68</v>
      </c>
      <c r="G58" s="25" t="s">
        <v>212</v>
      </c>
      <c r="H58" s="1" t="s">
        <v>213</v>
      </c>
      <c r="I58" s="1">
        <f t="shared" si="0"/>
        <v>0</v>
      </c>
      <c r="J58" s="25" t="s">
        <v>151</v>
      </c>
      <c r="K58" s="24">
        <v>45229.641840277778</v>
      </c>
      <c r="O58" s="51">
        <v>1</v>
      </c>
    </row>
    <row r="59" spans="1:15" x14ac:dyDescent="0.25">
      <c r="B59" s="42" t="s">
        <v>778</v>
      </c>
      <c r="C59" s="42" t="s">
        <v>208</v>
      </c>
      <c r="D59" s="20">
        <v>782092</v>
      </c>
      <c r="E59" s="21">
        <v>1680</v>
      </c>
      <c r="F59" s="1" t="s">
        <v>68</v>
      </c>
      <c r="G59" s="25" t="s">
        <v>420</v>
      </c>
      <c r="H59" s="1" t="s">
        <v>214</v>
      </c>
      <c r="I59" s="1">
        <f t="shared" si="0"/>
        <v>0</v>
      </c>
      <c r="J59" s="25" t="s">
        <v>152</v>
      </c>
      <c r="K59" s="24">
        <v>45229.643807870372</v>
      </c>
      <c r="O59" s="51">
        <v>100</v>
      </c>
    </row>
    <row r="60" spans="1:15" x14ac:dyDescent="0.25">
      <c r="B60" s="42" t="s">
        <v>314</v>
      </c>
      <c r="C60" s="42" t="s">
        <v>260</v>
      </c>
      <c r="D60" s="20">
        <v>1061</v>
      </c>
      <c r="E60" s="21">
        <v>600</v>
      </c>
      <c r="F60" s="1" t="s">
        <v>68</v>
      </c>
      <c r="G60" s="25" t="s">
        <v>125</v>
      </c>
      <c r="H60" s="1" t="s">
        <v>215</v>
      </c>
      <c r="I60" s="1">
        <f t="shared" si="0"/>
        <v>0</v>
      </c>
      <c r="J60" s="25" t="s">
        <v>770</v>
      </c>
      <c r="K60" s="24">
        <v>45231.507141203707</v>
      </c>
    </row>
    <row r="61" spans="1:15" x14ac:dyDescent="0.25">
      <c r="B61" s="42" t="s">
        <v>314</v>
      </c>
      <c r="C61" s="42" t="s">
        <v>260</v>
      </c>
      <c r="D61" s="20">
        <v>1061</v>
      </c>
      <c r="E61" s="21">
        <v>240</v>
      </c>
      <c r="F61" s="1" t="s">
        <v>68</v>
      </c>
      <c r="G61" s="25" t="s">
        <v>774</v>
      </c>
      <c r="H61" s="1" t="s">
        <v>216</v>
      </c>
      <c r="I61" s="1">
        <f t="shared" si="0"/>
        <v>0</v>
      </c>
      <c r="J61" s="25" t="s">
        <v>156</v>
      </c>
      <c r="K61" s="24">
        <v>45231.510972222219</v>
      </c>
    </row>
    <row r="62" spans="1:15" x14ac:dyDescent="0.25">
      <c r="B62" s="42" t="s">
        <v>314</v>
      </c>
      <c r="C62" s="42" t="s">
        <v>260</v>
      </c>
      <c r="D62" s="20">
        <v>1061</v>
      </c>
      <c r="E62" s="21">
        <v>60</v>
      </c>
      <c r="F62" s="1" t="s">
        <v>68</v>
      </c>
      <c r="G62" s="25" t="s">
        <v>773</v>
      </c>
      <c r="H62" s="1" t="s">
        <v>180</v>
      </c>
      <c r="I62" s="1">
        <f t="shared" si="0"/>
        <v>0</v>
      </c>
      <c r="J62" s="25" t="s">
        <v>771</v>
      </c>
      <c r="K62" s="24">
        <v>45231.51253472222</v>
      </c>
    </row>
    <row r="63" spans="1:15" x14ac:dyDescent="0.25">
      <c r="B63" s="42" t="s">
        <v>314</v>
      </c>
      <c r="C63" s="42" t="s">
        <v>260</v>
      </c>
      <c r="D63" s="20">
        <v>1061</v>
      </c>
      <c r="E63" s="21">
        <v>24</v>
      </c>
      <c r="F63" s="1" t="s">
        <v>68</v>
      </c>
      <c r="G63" s="25" t="s">
        <v>772</v>
      </c>
      <c r="H63" s="1" t="s">
        <v>160</v>
      </c>
      <c r="I63" s="1">
        <f t="shared" si="0"/>
        <v>0</v>
      </c>
      <c r="J63" s="25" t="s">
        <v>420</v>
      </c>
      <c r="K63" s="24">
        <v>45231.513194444444</v>
      </c>
    </row>
    <row r="64" spans="1:15" x14ac:dyDescent="0.25">
      <c r="B64" s="42" t="s">
        <v>314</v>
      </c>
      <c r="C64" s="42" t="s">
        <v>259</v>
      </c>
      <c r="D64" s="20">
        <v>1062</v>
      </c>
      <c r="E64" s="21">
        <v>422</v>
      </c>
      <c r="F64" s="1" t="s">
        <v>68</v>
      </c>
      <c r="G64" s="25" t="s">
        <v>165</v>
      </c>
      <c r="H64" s="1" t="s">
        <v>166</v>
      </c>
      <c r="I64" s="1">
        <f t="shared" si="0"/>
        <v>0</v>
      </c>
      <c r="J64" s="25" t="s">
        <v>772</v>
      </c>
      <c r="K64" s="24">
        <v>45231.516064814816</v>
      </c>
    </row>
    <row r="65" spans="2:22" x14ac:dyDescent="0.25">
      <c r="B65" s="42" t="s">
        <v>314</v>
      </c>
      <c r="C65" s="42" t="s">
        <v>259</v>
      </c>
      <c r="D65" s="20">
        <v>1062</v>
      </c>
      <c r="E65" s="21">
        <v>10</v>
      </c>
      <c r="F65" s="1" t="s">
        <v>68</v>
      </c>
      <c r="G65" s="25" t="s">
        <v>168</v>
      </c>
      <c r="H65" s="1" t="s">
        <v>166</v>
      </c>
      <c r="I65" s="1">
        <f t="shared" si="0"/>
        <v>0</v>
      </c>
      <c r="J65" s="25" t="s">
        <v>161</v>
      </c>
      <c r="K65" s="24">
        <v>45231.516967592594</v>
      </c>
    </row>
    <row r="66" spans="2:22" x14ac:dyDescent="0.25">
      <c r="B66" s="42" t="s">
        <v>314</v>
      </c>
      <c r="C66" s="42" t="s">
        <v>259</v>
      </c>
      <c r="D66" s="20">
        <v>1062</v>
      </c>
      <c r="E66" s="21">
        <v>300</v>
      </c>
      <c r="F66" s="1" t="s">
        <v>68</v>
      </c>
      <c r="G66" s="25" t="s">
        <v>161</v>
      </c>
      <c r="H66" s="1" t="s">
        <v>217</v>
      </c>
      <c r="I66" s="1">
        <f t="shared" si="0"/>
        <v>0</v>
      </c>
      <c r="J66" s="25" t="s">
        <v>163</v>
      </c>
      <c r="K66" s="24">
        <v>45231.519120370373</v>
      </c>
    </row>
    <row r="67" spans="2:22" x14ac:dyDescent="0.25">
      <c r="B67" s="42" t="s">
        <v>169</v>
      </c>
      <c r="C67" s="42" t="s">
        <v>253</v>
      </c>
      <c r="D67" s="20">
        <v>1063</v>
      </c>
      <c r="E67" s="21">
        <v>12</v>
      </c>
      <c r="F67" s="1" t="s">
        <v>68</v>
      </c>
      <c r="G67" s="25" t="s">
        <v>771</v>
      </c>
      <c r="H67" s="1" t="s">
        <v>218</v>
      </c>
      <c r="I67" s="1">
        <f t="shared" si="0"/>
        <v>0</v>
      </c>
      <c r="J67" s="25" t="s">
        <v>165</v>
      </c>
      <c r="K67" s="24">
        <v>45231.658310185187</v>
      </c>
    </row>
    <row r="68" spans="2:22" x14ac:dyDescent="0.25">
      <c r="B68" s="42" t="s">
        <v>169</v>
      </c>
      <c r="C68" s="42" t="s">
        <v>388</v>
      </c>
      <c r="D68" s="20">
        <v>1064</v>
      </c>
      <c r="E68" s="21">
        <v>4</v>
      </c>
      <c r="F68" s="1" t="s">
        <v>145</v>
      </c>
      <c r="G68" s="25" t="s">
        <v>64</v>
      </c>
      <c r="H68" s="1" t="s">
        <v>219</v>
      </c>
      <c r="I68" s="1">
        <f t="shared" si="0"/>
        <v>0</v>
      </c>
      <c r="J68" s="25" t="s">
        <v>168</v>
      </c>
      <c r="K68" s="24">
        <v>45231.658356481479</v>
      </c>
      <c r="N68" s="1" t="s">
        <v>221</v>
      </c>
    </row>
    <row r="69" spans="2:22" x14ac:dyDescent="0.25">
      <c r="B69" s="42" t="s">
        <v>169</v>
      </c>
      <c r="C69" s="42" t="s">
        <v>383</v>
      </c>
      <c r="D69" s="20">
        <v>1065</v>
      </c>
      <c r="E69" s="21">
        <v>198</v>
      </c>
      <c r="F69" s="1" t="s">
        <v>145</v>
      </c>
      <c r="G69" s="25" t="s">
        <v>151</v>
      </c>
      <c r="H69" s="1" t="s">
        <v>147</v>
      </c>
      <c r="I69" s="1">
        <f t="shared" si="0"/>
        <v>0</v>
      </c>
      <c r="J69" s="25" t="s">
        <v>170</v>
      </c>
      <c r="K69" s="24">
        <v>45231.658692129633</v>
      </c>
    </row>
    <row r="70" spans="2:22" x14ac:dyDescent="0.25">
      <c r="B70" s="42" t="s">
        <v>169</v>
      </c>
      <c r="C70" s="42" t="s">
        <v>255</v>
      </c>
      <c r="D70" s="20">
        <v>1066</v>
      </c>
      <c r="E70" s="21">
        <v>1000</v>
      </c>
      <c r="F70" s="1" t="s">
        <v>68</v>
      </c>
      <c r="G70" s="25" t="s">
        <v>131</v>
      </c>
      <c r="H70" s="1" t="s">
        <v>222</v>
      </c>
      <c r="I70" s="1">
        <f t="shared" si="0"/>
        <v>0</v>
      </c>
      <c r="J70" s="25" t="s">
        <v>119</v>
      </c>
      <c r="K70" s="24">
        <v>45231.659155092595</v>
      </c>
    </row>
    <row r="71" spans="2:22" x14ac:dyDescent="0.25">
      <c r="B71" s="42" t="s">
        <v>169</v>
      </c>
      <c r="C71" s="42" t="s">
        <v>255</v>
      </c>
      <c r="D71" s="20">
        <v>1066</v>
      </c>
      <c r="E71" s="21">
        <v>12</v>
      </c>
      <c r="F71" s="1" t="s">
        <v>137</v>
      </c>
      <c r="G71" s="25" t="s">
        <v>143</v>
      </c>
      <c r="H71" s="1" t="s">
        <v>223</v>
      </c>
      <c r="I71" s="1">
        <f t="shared" si="0"/>
        <v>0</v>
      </c>
      <c r="J71" s="25" t="s">
        <v>174</v>
      </c>
      <c r="K71" s="24">
        <v>45231.661168981482</v>
      </c>
    </row>
    <row r="72" spans="2:22" x14ac:dyDescent="0.25">
      <c r="B72" s="42" t="s">
        <v>169</v>
      </c>
      <c r="C72" s="42" t="s">
        <v>255</v>
      </c>
      <c r="D72" s="20">
        <v>1066</v>
      </c>
      <c r="E72" s="21">
        <v>6</v>
      </c>
      <c r="F72" s="1" t="s">
        <v>137</v>
      </c>
      <c r="G72" s="25" t="s">
        <v>141</v>
      </c>
      <c r="H72" s="1" t="s">
        <v>223</v>
      </c>
      <c r="I72" s="1">
        <f t="shared" si="0"/>
        <v>0</v>
      </c>
      <c r="J72" s="25" t="s">
        <v>177</v>
      </c>
      <c r="K72" s="24">
        <v>45231.662118055552</v>
      </c>
    </row>
    <row r="73" spans="2:22" x14ac:dyDescent="0.25">
      <c r="B73" s="42" t="s">
        <v>314</v>
      </c>
      <c r="C73" s="42" t="s">
        <v>256</v>
      </c>
      <c r="D73" s="20">
        <v>1067</v>
      </c>
      <c r="E73" s="21">
        <v>100</v>
      </c>
      <c r="F73" s="1" t="s">
        <v>185</v>
      </c>
      <c r="G73" s="25" t="s">
        <v>186</v>
      </c>
      <c r="H73" s="1" t="s">
        <v>187</v>
      </c>
      <c r="I73" s="1">
        <f t="shared" si="0"/>
        <v>0</v>
      </c>
      <c r="J73" s="25" t="s">
        <v>179</v>
      </c>
      <c r="K73" s="24">
        <v>45231.659317129626</v>
      </c>
      <c r="N73" s="58" t="s">
        <v>224</v>
      </c>
      <c r="T73" s="58"/>
      <c r="V73" s="58"/>
    </row>
    <row r="74" spans="2:22" x14ac:dyDescent="0.25">
      <c r="B74" s="42" t="s">
        <v>169</v>
      </c>
      <c r="C74" s="42" t="s">
        <v>254</v>
      </c>
      <c r="D74" s="20">
        <v>1068</v>
      </c>
      <c r="E74" s="21">
        <v>480</v>
      </c>
      <c r="F74" s="1" t="s">
        <v>68</v>
      </c>
      <c r="G74" s="25" t="s">
        <v>174</v>
      </c>
      <c r="H74" s="1" t="s">
        <v>225</v>
      </c>
      <c r="I74" s="1">
        <f t="shared" si="0"/>
        <v>0</v>
      </c>
      <c r="J74" s="25" t="s">
        <v>773</v>
      </c>
      <c r="K74" s="24">
        <v>45232.418055555558</v>
      </c>
    </row>
    <row r="75" spans="2:22" x14ac:dyDescent="0.25">
      <c r="B75" s="42" t="s">
        <v>169</v>
      </c>
      <c r="C75" s="42" t="s">
        <v>254</v>
      </c>
      <c r="D75" s="20">
        <v>1068</v>
      </c>
      <c r="E75" s="21">
        <v>360</v>
      </c>
      <c r="F75" s="1" t="s">
        <v>145</v>
      </c>
      <c r="G75" s="25" t="s">
        <v>146</v>
      </c>
      <c r="H75" s="1" t="s">
        <v>147</v>
      </c>
      <c r="I75" s="1">
        <f t="shared" si="0"/>
        <v>0</v>
      </c>
      <c r="J75" s="25" t="s">
        <v>181</v>
      </c>
      <c r="K75" s="24">
        <v>45232.419178240743</v>
      </c>
    </row>
    <row r="76" spans="2:22" x14ac:dyDescent="0.25">
      <c r="B76" s="42" t="s">
        <v>169</v>
      </c>
      <c r="C76" s="42" t="s">
        <v>254</v>
      </c>
      <c r="D76" s="20">
        <v>1068</v>
      </c>
      <c r="E76" s="21">
        <v>360</v>
      </c>
      <c r="F76" s="1" t="s">
        <v>145</v>
      </c>
      <c r="G76" s="25" t="s">
        <v>149</v>
      </c>
      <c r="H76" s="1" t="s">
        <v>147</v>
      </c>
      <c r="I76" s="1">
        <f t="shared" si="0"/>
        <v>0</v>
      </c>
      <c r="J76" s="25" t="s">
        <v>183</v>
      </c>
      <c r="K76" s="24">
        <v>45232.419722222221</v>
      </c>
    </row>
    <row r="77" spans="2:22" x14ac:dyDescent="0.25">
      <c r="B77" s="42" t="s">
        <v>169</v>
      </c>
      <c r="C77" s="42" t="s">
        <v>254</v>
      </c>
      <c r="D77" s="20">
        <v>1068</v>
      </c>
      <c r="E77" s="21">
        <v>360</v>
      </c>
      <c r="F77" s="1" t="s">
        <v>145</v>
      </c>
      <c r="G77" s="25" t="s">
        <v>150</v>
      </c>
      <c r="H77" s="1" t="s">
        <v>147</v>
      </c>
      <c r="I77" s="1">
        <f t="shared" si="0"/>
        <v>0</v>
      </c>
      <c r="J77" s="25" t="s">
        <v>186</v>
      </c>
      <c r="K77" s="24">
        <v>45232.42019675926</v>
      </c>
    </row>
    <row r="78" spans="2:22" x14ac:dyDescent="0.25">
      <c r="B78" s="42" t="s">
        <v>314</v>
      </c>
      <c r="C78" s="42" t="s">
        <v>518</v>
      </c>
      <c r="D78" s="20">
        <v>1070</v>
      </c>
      <c r="E78" s="21">
        <v>2000</v>
      </c>
      <c r="F78" s="1" t="s">
        <v>68</v>
      </c>
      <c r="G78" s="25" t="s">
        <v>152</v>
      </c>
      <c r="H78" s="1" t="s">
        <v>153</v>
      </c>
      <c r="I78" s="1">
        <f t="shared" si="0"/>
        <v>0</v>
      </c>
      <c r="J78" s="25" t="s">
        <v>774</v>
      </c>
      <c r="K78" s="24">
        <v>45232.545243055552</v>
      </c>
    </row>
    <row r="79" spans="2:22" x14ac:dyDescent="0.25">
      <c r="B79" s="42" t="s">
        <v>314</v>
      </c>
      <c r="C79" s="42" t="s">
        <v>543</v>
      </c>
      <c r="D79" s="20">
        <v>1069</v>
      </c>
      <c r="E79" s="21">
        <v>2</v>
      </c>
      <c r="F79" s="1" t="s">
        <v>145</v>
      </c>
      <c r="G79" s="25" t="s">
        <v>226</v>
      </c>
      <c r="H79" s="1" t="s">
        <v>219</v>
      </c>
      <c r="I79" s="1">
        <f t="shared" si="0"/>
        <v>0</v>
      </c>
      <c r="J79" s="25" t="s">
        <v>190</v>
      </c>
      <c r="K79" s="24">
        <v>45232.545312499999</v>
      </c>
      <c r="N79" s="1" t="s">
        <v>221</v>
      </c>
    </row>
    <row r="80" spans="2:22" x14ac:dyDescent="0.25">
      <c r="B80" s="42" t="s">
        <v>314</v>
      </c>
      <c r="C80" s="42" t="s">
        <v>543</v>
      </c>
      <c r="D80" s="20">
        <v>1069</v>
      </c>
      <c r="E80" s="21">
        <v>10</v>
      </c>
      <c r="F80" s="1" t="s">
        <v>145</v>
      </c>
      <c r="G80" s="25" t="s">
        <v>227</v>
      </c>
      <c r="H80" s="1" t="s">
        <v>219</v>
      </c>
      <c r="I80" s="1">
        <f t="shared" si="0"/>
        <v>0</v>
      </c>
      <c r="J80" s="25" t="s">
        <v>423</v>
      </c>
      <c r="K80" s="24">
        <v>45232.545381944445</v>
      </c>
      <c r="N80" s="1" t="s">
        <v>221</v>
      </c>
    </row>
    <row r="81" spans="1:14" x14ac:dyDescent="0.25">
      <c r="B81" s="42" t="s">
        <v>314</v>
      </c>
      <c r="C81" s="42" t="s">
        <v>543</v>
      </c>
      <c r="D81" s="20">
        <v>1069</v>
      </c>
      <c r="E81" s="21">
        <v>10</v>
      </c>
      <c r="F81" s="1" t="s">
        <v>145</v>
      </c>
      <c r="G81" s="25" t="s">
        <v>228</v>
      </c>
      <c r="H81" s="1" t="s">
        <v>219</v>
      </c>
      <c r="I81" s="1">
        <f t="shared" si="0"/>
        <v>0</v>
      </c>
      <c r="J81" s="25" t="s">
        <v>193</v>
      </c>
      <c r="K81" s="24">
        <v>45232.545405092591</v>
      </c>
      <c r="N81" s="1" t="s">
        <v>221</v>
      </c>
    </row>
    <row r="82" spans="1:14" x14ac:dyDescent="0.25">
      <c r="B82" s="42" t="s">
        <v>314</v>
      </c>
      <c r="C82" s="42" t="s">
        <v>543</v>
      </c>
      <c r="D82" s="20">
        <v>1069</v>
      </c>
      <c r="E82" s="21">
        <v>20</v>
      </c>
      <c r="F82" s="1" t="s">
        <v>145</v>
      </c>
      <c r="G82" s="25" t="s">
        <v>229</v>
      </c>
      <c r="H82" s="1" t="s">
        <v>219</v>
      </c>
      <c r="I82" s="1">
        <f t="shared" si="0"/>
        <v>0</v>
      </c>
      <c r="J82" s="25" t="s">
        <v>212</v>
      </c>
      <c r="K82" s="24">
        <v>45232.545439814814</v>
      </c>
      <c r="N82" s="1" t="s">
        <v>221</v>
      </c>
    </row>
    <row r="83" spans="1:14" x14ac:dyDescent="0.25">
      <c r="B83" s="42" t="s">
        <v>314</v>
      </c>
      <c r="C83" s="42" t="s">
        <v>543</v>
      </c>
      <c r="D83" s="20">
        <v>1069</v>
      </c>
      <c r="E83" s="21">
        <v>2</v>
      </c>
      <c r="F83" s="1" t="s">
        <v>145</v>
      </c>
      <c r="G83" s="25" t="s">
        <v>230</v>
      </c>
      <c r="H83" s="1" t="s">
        <v>219</v>
      </c>
      <c r="I83" s="1">
        <f t="shared" si="0"/>
        <v>0</v>
      </c>
      <c r="J83" s="25" t="s">
        <v>236</v>
      </c>
      <c r="K83" s="24">
        <v>45232.54550925926</v>
      </c>
      <c r="N83" s="1" t="s">
        <v>221</v>
      </c>
    </row>
    <row r="84" spans="1:14" x14ac:dyDescent="0.25">
      <c r="B84" s="42" t="s">
        <v>314</v>
      </c>
      <c r="C84" s="42" t="s">
        <v>543</v>
      </c>
      <c r="D84" s="20">
        <v>1069</v>
      </c>
      <c r="E84" s="21">
        <v>1</v>
      </c>
      <c r="F84" s="1" t="s">
        <v>145</v>
      </c>
      <c r="G84" s="25" t="s">
        <v>231</v>
      </c>
      <c r="H84" s="1" t="s">
        <v>219</v>
      </c>
      <c r="I84" s="1">
        <f t="shared" si="0"/>
        <v>0</v>
      </c>
      <c r="J84" s="25" t="s">
        <v>237</v>
      </c>
      <c r="K84" s="24">
        <v>45232.545532407406</v>
      </c>
      <c r="N84" s="1" t="s">
        <v>221</v>
      </c>
    </row>
    <row r="85" spans="1:14" x14ac:dyDescent="0.25">
      <c r="B85" s="42" t="s">
        <v>314</v>
      </c>
      <c r="C85" s="42" t="s">
        <v>259</v>
      </c>
      <c r="D85" s="20">
        <v>1072</v>
      </c>
      <c r="E85" s="21">
        <v>50</v>
      </c>
      <c r="F85" s="1" t="s">
        <v>68</v>
      </c>
      <c r="G85" s="25" t="s">
        <v>168</v>
      </c>
      <c r="H85" s="1" t="s">
        <v>166</v>
      </c>
      <c r="I85" s="1">
        <f t="shared" si="0"/>
        <v>0</v>
      </c>
      <c r="J85" s="25" t="s">
        <v>62</v>
      </c>
      <c r="K85" s="24">
        <v>45233.506597222222</v>
      </c>
      <c r="N85" s="1" t="s">
        <v>232</v>
      </c>
    </row>
    <row r="86" spans="1:14" x14ac:dyDescent="0.25">
      <c r="B86" s="42" t="s">
        <v>314</v>
      </c>
      <c r="C86" s="42" t="s">
        <v>260</v>
      </c>
      <c r="D86" s="20">
        <v>1073</v>
      </c>
      <c r="E86" s="21">
        <v>350</v>
      </c>
      <c r="F86" s="1" t="s">
        <v>137</v>
      </c>
      <c r="G86" s="25" t="s">
        <v>138</v>
      </c>
      <c r="H86" s="1" t="s">
        <v>139</v>
      </c>
      <c r="I86" s="1">
        <f t="shared" si="0"/>
        <v>0</v>
      </c>
      <c r="J86" s="25" t="s">
        <v>238</v>
      </c>
      <c r="K86" s="24">
        <v>45233.50922453704</v>
      </c>
    </row>
    <row r="87" spans="1:14" x14ac:dyDescent="0.25">
      <c r="B87" s="42" t="s">
        <v>314</v>
      </c>
      <c r="C87" s="42" t="s">
        <v>361</v>
      </c>
      <c r="D87" s="20">
        <v>1071</v>
      </c>
      <c r="E87" s="21">
        <v>5000</v>
      </c>
      <c r="F87" s="1" t="s">
        <v>68</v>
      </c>
      <c r="G87" s="25" t="s">
        <v>117</v>
      </c>
      <c r="H87" s="1" t="s">
        <v>200</v>
      </c>
      <c r="I87" s="1">
        <f t="shared" si="0"/>
        <v>0</v>
      </c>
      <c r="J87" s="25" t="s">
        <v>63</v>
      </c>
      <c r="K87" s="24">
        <v>45233.51021990741</v>
      </c>
    </row>
    <row r="88" spans="1:14" x14ac:dyDescent="0.25">
      <c r="B88" s="42" t="s">
        <v>169</v>
      </c>
      <c r="C88" s="42" t="s">
        <v>253</v>
      </c>
      <c r="D88" s="20">
        <v>1074</v>
      </c>
      <c r="E88" s="21">
        <v>24</v>
      </c>
      <c r="F88" s="1" t="s">
        <v>68</v>
      </c>
      <c r="G88" s="25" t="s">
        <v>771</v>
      </c>
      <c r="H88" s="1" t="s">
        <v>158</v>
      </c>
      <c r="I88" s="1">
        <f t="shared" si="0"/>
        <v>0</v>
      </c>
      <c r="J88" s="25" t="s">
        <v>239</v>
      </c>
      <c r="K88" s="24">
        <v>45233.654537037037</v>
      </c>
    </row>
    <row r="89" spans="1:14" x14ac:dyDescent="0.25">
      <c r="B89" s="42" t="s">
        <v>169</v>
      </c>
      <c r="C89" s="42" t="s">
        <v>254</v>
      </c>
      <c r="D89" s="20">
        <v>1077</v>
      </c>
      <c r="E89" s="21">
        <v>100</v>
      </c>
      <c r="F89" s="1" t="s">
        <v>145</v>
      </c>
      <c r="G89" s="25" t="s">
        <v>146</v>
      </c>
      <c r="H89" s="1" t="s">
        <v>147</v>
      </c>
      <c r="I89" s="1">
        <f t="shared" si="0"/>
        <v>0</v>
      </c>
      <c r="J89" s="25" t="s">
        <v>240</v>
      </c>
      <c r="K89" s="24">
        <v>45233.654675925929</v>
      </c>
    </row>
    <row r="90" spans="1:14" x14ac:dyDescent="0.25">
      <c r="B90" s="42" t="s">
        <v>169</v>
      </c>
      <c r="C90" s="42" t="s">
        <v>340</v>
      </c>
      <c r="D90" s="20">
        <v>1078</v>
      </c>
      <c r="E90" s="21">
        <v>1200</v>
      </c>
      <c r="F90" s="1" t="s">
        <v>68</v>
      </c>
      <c r="G90" s="25" t="s">
        <v>127</v>
      </c>
      <c r="H90" s="1" t="s">
        <v>128</v>
      </c>
      <c r="I90" s="1">
        <f t="shared" si="0"/>
        <v>0</v>
      </c>
      <c r="J90" s="25" t="s">
        <v>241</v>
      </c>
      <c r="K90" s="24">
        <v>45233.654849537037</v>
      </c>
    </row>
    <row r="91" spans="1:14" x14ac:dyDescent="0.25">
      <c r="B91" s="42" t="s">
        <v>169</v>
      </c>
      <c r="C91" s="42" t="s">
        <v>255</v>
      </c>
      <c r="D91" s="20">
        <v>1075</v>
      </c>
      <c r="E91" s="21">
        <v>2000</v>
      </c>
      <c r="F91" s="1" t="s">
        <v>68</v>
      </c>
      <c r="G91" s="25" t="s">
        <v>131</v>
      </c>
      <c r="H91" s="1" t="s">
        <v>222</v>
      </c>
      <c r="I91" s="1">
        <f t="shared" si="0"/>
        <v>0</v>
      </c>
      <c r="J91" s="25" t="s">
        <v>64</v>
      </c>
      <c r="K91" s="24">
        <v>45233.654999999999</v>
      </c>
    </row>
    <row r="92" spans="1:14" x14ac:dyDescent="0.25">
      <c r="B92" s="42" t="s">
        <v>169</v>
      </c>
      <c r="C92" s="42" t="s">
        <v>255</v>
      </c>
      <c r="D92" s="20">
        <v>1075</v>
      </c>
      <c r="E92" s="21">
        <v>10</v>
      </c>
      <c r="F92" s="1" t="s">
        <v>137</v>
      </c>
      <c r="G92" s="25" t="s">
        <v>141</v>
      </c>
      <c r="H92" s="1" t="s">
        <v>142</v>
      </c>
      <c r="I92" s="1">
        <f t="shared" si="0"/>
        <v>0</v>
      </c>
      <c r="J92" s="25" t="s">
        <v>226</v>
      </c>
      <c r="K92" s="24">
        <v>45233.655486111114</v>
      </c>
    </row>
    <row r="93" spans="1:14" x14ac:dyDescent="0.25">
      <c r="B93" s="42" t="s">
        <v>169</v>
      </c>
      <c r="C93" s="42" t="s">
        <v>322</v>
      </c>
      <c r="D93" s="20">
        <v>1076</v>
      </c>
      <c r="E93" s="21">
        <v>2000</v>
      </c>
      <c r="F93" s="1" t="s">
        <v>68</v>
      </c>
      <c r="G93" s="25" t="s">
        <v>156</v>
      </c>
      <c r="H93" s="1" t="s">
        <v>233</v>
      </c>
      <c r="I93" s="1">
        <f t="shared" si="0"/>
        <v>0</v>
      </c>
      <c r="J93" s="25" t="s">
        <v>227</v>
      </c>
      <c r="K93" s="24">
        <v>45233.655729166669</v>
      </c>
    </row>
    <row r="94" spans="1:14" x14ac:dyDescent="0.25">
      <c r="B94" s="42" t="s">
        <v>234</v>
      </c>
      <c r="C94" s="42" t="s">
        <v>202</v>
      </c>
      <c r="D94" s="20" t="s">
        <v>235</v>
      </c>
      <c r="E94" s="21">
        <f>220*10</f>
        <v>2200</v>
      </c>
      <c r="F94" s="1" t="s">
        <v>137</v>
      </c>
      <c r="G94" s="25" t="s">
        <v>138</v>
      </c>
      <c r="H94" s="1" t="s">
        <v>139</v>
      </c>
      <c r="I94" s="1">
        <f t="shared" si="0"/>
        <v>0</v>
      </c>
      <c r="J94" s="25" t="s">
        <v>228</v>
      </c>
      <c r="K94" s="24">
        <v>45236.532256944447</v>
      </c>
    </row>
    <row r="95" spans="1:14" x14ac:dyDescent="0.25">
      <c r="B95" s="42" t="s">
        <v>234</v>
      </c>
      <c r="C95" s="42" t="s">
        <v>202</v>
      </c>
      <c r="D95" s="20" t="s">
        <v>235</v>
      </c>
      <c r="E95" s="21">
        <f>240*10</f>
        <v>2400</v>
      </c>
      <c r="F95" s="1" t="s">
        <v>137</v>
      </c>
      <c r="G95" s="25" t="s">
        <v>141</v>
      </c>
      <c r="H95" s="1" t="s">
        <v>142</v>
      </c>
      <c r="I95" s="1">
        <f t="shared" si="0"/>
        <v>0</v>
      </c>
      <c r="J95" s="25" t="s">
        <v>229</v>
      </c>
      <c r="K95" s="24">
        <v>45236.532187500001</v>
      </c>
    </row>
    <row r="96" spans="1:14" hidden="1" x14ac:dyDescent="0.25">
      <c r="A96" s="1">
        <v>1</v>
      </c>
      <c r="B96" s="42"/>
      <c r="C96" s="42"/>
      <c r="E96" s="32"/>
      <c r="G96" s="25"/>
      <c r="I96" s="1">
        <f t="shared" si="0"/>
        <v>0</v>
      </c>
      <c r="J96" s="25" t="s">
        <v>230</v>
      </c>
      <c r="K96" s="22"/>
    </row>
    <row r="97" spans="1:15" hidden="1" x14ac:dyDescent="0.25">
      <c r="A97" s="1">
        <v>1</v>
      </c>
      <c r="B97" s="42"/>
      <c r="C97" s="42"/>
      <c r="E97" s="32"/>
      <c r="G97" s="25"/>
      <c r="I97" s="1">
        <f t="shared" si="0"/>
        <v>0</v>
      </c>
      <c r="J97" s="25" t="s">
        <v>231</v>
      </c>
      <c r="K97" s="22"/>
    </row>
    <row r="98" spans="1:15" hidden="1" x14ac:dyDescent="0.25">
      <c r="A98" s="1">
        <v>1</v>
      </c>
      <c r="B98" s="42"/>
      <c r="C98" s="42"/>
      <c r="E98" s="32"/>
      <c r="G98" s="25"/>
      <c r="I98" s="1">
        <f t="shared" si="0"/>
        <v>0</v>
      </c>
      <c r="J98" s="25" t="s">
        <v>779</v>
      </c>
      <c r="K98" s="22"/>
    </row>
    <row r="99" spans="1:15" hidden="1" x14ac:dyDescent="0.25">
      <c r="A99" s="1">
        <v>1</v>
      </c>
      <c r="B99" s="42"/>
      <c r="C99" s="42"/>
      <c r="E99" s="32"/>
      <c r="G99" s="25"/>
      <c r="I99" s="1">
        <f t="shared" si="0"/>
        <v>0</v>
      </c>
      <c r="J99" s="25" t="s">
        <v>289</v>
      </c>
      <c r="K99" s="22"/>
    </row>
    <row r="100" spans="1:15" hidden="1" x14ac:dyDescent="0.25">
      <c r="A100" s="1">
        <v>1</v>
      </c>
      <c r="B100" s="42"/>
      <c r="C100" s="42"/>
      <c r="E100" s="32"/>
      <c r="G100" s="25"/>
      <c r="I100" s="1">
        <f t="shared" si="0"/>
        <v>0</v>
      </c>
      <c r="J100" s="25" t="s">
        <v>293</v>
      </c>
      <c r="K100" s="22"/>
    </row>
    <row r="101" spans="1:15" hidden="1" x14ac:dyDescent="0.25">
      <c r="A101" s="1">
        <v>1</v>
      </c>
      <c r="B101" s="42"/>
      <c r="C101" s="42"/>
      <c r="E101" s="32"/>
      <c r="G101" s="25"/>
      <c r="I101" s="1">
        <f t="shared" si="0"/>
        <v>0</v>
      </c>
      <c r="J101" s="25" t="s">
        <v>122</v>
      </c>
      <c r="K101" s="22"/>
    </row>
    <row r="102" spans="1:15" hidden="1" x14ac:dyDescent="0.25">
      <c r="A102" s="1">
        <v>1</v>
      </c>
      <c r="B102" s="42"/>
      <c r="C102" s="42"/>
      <c r="E102" s="32"/>
      <c r="G102" s="25"/>
      <c r="I102" s="1">
        <f t="shared" si="0"/>
        <v>0</v>
      </c>
      <c r="J102" s="35" t="s">
        <v>369</v>
      </c>
      <c r="K102" s="22"/>
    </row>
    <row r="103" spans="1:15" hidden="1" x14ac:dyDescent="0.25">
      <c r="A103" s="1">
        <v>1</v>
      </c>
      <c r="B103" s="42"/>
      <c r="C103" s="42"/>
      <c r="E103" s="32"/>
      <c r="G103" s="25"/>
      <c r="I103" s="1">
        <f t="shared" si="0"/>
        <v>0</v>
      </c>
      <c r="J103" s="35" t="s">
        <v>370</v>
      </c>
      <c r="K103" s="22"/>
    </row>
    <row r="104" spans="1:15" hidden="1" x14ac:dyDescent="0.25">
      <c r="A104" s="1">
        <v>1</v>
      </c>
      <c r="B104" s="42"/>
      <c r="C104" s="42"/>
      <c r="E104" s="32"/>
      <c r="G104" s="25"/>
      <c r="I104" s="1">
        <f t="shared" si="0"/>
        <v>0</v>
      </c>
      <c r="J104" s="35" t="s">
        <v>65</v>
      </c>
      <c r="K104" s="22"/>
    </row>
    <row r="105" spans="1:15" hidden="1" x14ac:dyDescent="0.25">
      <c r="A105" s="1">
        <v>1</v>
      </c>
      <c r="B105" s="42"/>
      <c r="C105" s="42"/>
      <c r="E105" s="32"/>
      <c r="G105" s="25"/>
      <c r="I105" s="1">
        <f t="shared" si="0"/>
        <v>0</v>
      </c>
      <c r="J105" s="35" t="s">
        <v>371</v>
      </c>
      <c r="K105" s="22"/>
    </row>
    <row r="106" spans="1:15" hidden="1" x14ac:dyDescent="0.25">
      <c r="A106" s="1">
        <v>1</v>
      </c>
      <c r="B106" s="42"/>
      <c r="C106" s="42"/>
      <c r="E106" s="32"/>
      <c r="G106" s="25"/>
      <c r="I106" s="1">
        <f t="shared" si="0"/>
        <v>0</v>
      </c>
      <c r="J106" s="35" t="s">
        <v>372</v>
      </c>
      <c r="K106" s="22"/>
    </row>
    <row r="107" spans="1:15" hidden="1" x14ac:dyDescent="0.25">
      <c r="A107" s="1">
        <v>1</v>
      </c>
      <c r="B107" s="42"/>
      <c r="C107" s="42"/>
      <c r="E107" s="32"/>
      <c r="G107" s="25"/>
      <c r="I107" s="1">
        <f t="shared" ref="I107" si="1">MAX((G$42:G$889=J107)*E$42:E$889)</f>
        <v>0</v>
      </c>
      <c r="J107" s="25" t="s">
        <v>408</v>
      </c>
      <c r="K107" s="24"/>
    </row>
    <row r="108" spans="1:15" hidden="1" x14ac:dyDescent="0.25">
      <c r="A108" s="1">
        <v>1</v>
      </c>
      <c r="B108" s="42"/>
      <c r="C108" s="42"/>
      <c r="E108" s="32"/>
      <c r="G108" s="25"/>
      <c r="K108" s="22"/>
    </row>
    <row r="109" spans="1:15" hidden="1" x14ac:dyDescent="0.25">
      <c r="A109" s="1">
        <v>1</v>
      </c>
      <c r="B109" s="42"/>
      <c r="C109" s="42"/>
      <c r="E109" s="32"/>
      <c r="G109" s="25"/>
      <c r="K109" s="22"/>
    </row>
    <row r="110" spans="1:15" hidden="1" x14ac:dyDescent="0.25">
      <c r="A110" s="1">
        <v>1</v>
      </c>
      <c r="B110" s="42"/>
      <c r="C110" s="42"/>
      <c r="E110" s="32"/>
      <c r="G110" s="25"/>
      <c r="K110" s="22"/>
    </row>
    <row r="111" spans="1:15" x14ac:dyDescent="0.25">
      <c r="B111" s="42" t="s">
        <v>753</v>
      </c>
      <c r="C111" s="42" t="s">
        <v>242</v>
      </c>
      <c r="D111" s="20" t="s">
        <v>67</v>
      </c>
      <c r="E111" s="21">
        <v>3456</v>
      </c>
      <c r="F111" s="1" t="s">
        <v>68</v>
      </c>
      <c r="G111" s="25" t="s">
        <v>165</v>
      </c>
      <c r="H111" s="1" t="s">
        <v>166</v>
      </c>
      <c r="I111" s="1" t="s">
        <v>243</v>
      </c>
      <c r="J111" s="30">
        <v>1</v>
      </c>
      <c r="K111" s="24">
        <v>45237.457673611112</v>
      </c>
      <c r="O111" s="51">
        <v>3000</v>
      </c>
    </row>
    <row r="112" spans="1:15" hidden="1" x14ac:dyDescent="0.25">
      <c r="A112" s="1">
        <v>1</v>
      </c>
      <c r="B112" s="42"/>
      <c r="C112" s="42"/>
      <c r="E112" s="32"/>
      <c r="G112" s="25"/>
      <c r="J112" s="30"/>
      <c r="K112" s="24"/>
    </row>
    <row r="113" spans="2:15" x14ac:dyDescent="0.25">
      <c r="B113" s="42" t="s">
        <v>246</v>
      </c>
      <c r="C113" s="42" t="s">
        <v>66</v>
      </c>
      <c r="D113" s="20" t="s">
        <v>66</v>
      </c>
      <c r="E113" s="21">
        <v>2000</v>
      </c>
      <c r="F113" s="1" t="s">
        <v>68</v>
      </c>
      <c r="G113" s="25" t="s">
        <v>163</v>
      </c>
      <c r="H113" s="1" t="s">
        <v>164</v>
      </c>
      <c r="I113" s="1" t="s">
        <v>115</v>
      </c>
      <c r="J113" s="30">
        <v>1</v>
      </c>
      <c r="K113" s="24">
        <v>45238.746886574074</v>
      </c>
      <c r="M113" s="22">
        <v>45232</v>
      </c>
    </row>
    <row r="114" spans="2:15" x14ac:dyDescent="0.25">
      <c r="B114" s="42" t="s">
        <v>314</v>
      </c>
      <c r="C114" s="42" t="s">
        <v>337</v>
      </c>
      <c r="D114" s="20">
        <v>1104</v>
      </c>
      <c r="E114" s="21">
        <v>360</v>
      </c>
      <c r="F114" s="1" t="s">
        <v>68</v>
      </c>
      <c r="G114" s="25" t="s">
        <v>174</v>
      </c>
      <c r="H114" s="1" t="s">
        <v>225</v>
      </c>
      <c r="I114" s="1">
        <f t="shared" ref="I114:I135" si="2">MAX((G114:G961=D74)*E114:E961)</f>
        <v>0</v>
      </c>
      <c r="J114" s="57">
        <v>0</v>
      </c>
      <c r="K114" s="24">
        <v>45238.748333333337</v>
      </c>
    </row>
    <row r="115" spans="2:15" x14ac:dyDescent="0.25">
      <c r="B115" s="42" t="s">
        <v>314</v>
      </c>
      <c r="C115" s="42" t="s">
        <v>357</v>
      </c>
      <c r="D115" s="20">
        <v>1103</v>
      </c>
      <c r="E115" s="21">
        <v>240</v>
      </c>
      <c r="F115" s="1" t="s">
        <v>145</v>
      </c>
      <c r="G115" s="25" t="s">
        <v>150</v>
      </c>
      <c r="H115" s="1" t="s">
        <v>147</v>
      </c>
      <c r="I115" s="1">
        <f t="shared" si="2"/>
        <v>0</v>
      </c>
      <c r="J115" s="57">
        <v>0</v>
      </c>
      <c r="K115" s="24">
        <v>45238.749212962961</v>
      </c>
      <c r="O115" s="51">
        <v>3000</v>
      </c>
    </row>
    <row r="116" spans="2:15" x14ac:dyDescent="0.25">
      <c r="B116" s="42" t="s">
        <v>314</v>
      </c>
      <c r="C116" s="42" t="s">
        <v>754</v>
      </c>
      <c r="D116" s="20">
        <v>1102</v>
      </c>
      <c r="E116" s="21">
        <v>1000</v>
      </c>
      <c r="F116" s="1" t="s">
        <v>68</v>
      </c>
      <c r="G116" s="25" t="s">
        <v>190</v>
      </c>
      <c r="H116" s="1" t="s">
        <v>191</v>
      </c>
      <c r="I116" s="1">
        <f t="shared" si="2"/>
        <v>0</v>
      </c>
      <c r="J116" s="57">
        <v>0</v>
      </c>
      <c r="K116" s="24">
        <v>45238.750486111108</v>
      </c>
      <c r="O116" s="51">
        <v>2400</v>
      </c>
    </row>
    <row r="117" spans="2:15" x14ac:dyDescent="0.25">
      <c r="B117" s="42" t="s">
        <v>314</v>
      </c>
      <c r="C117" s="42" t="s">
        <v>361</v>
      </c>
      <c r="D117" s="20">
        <v>1101</v>
      </c>
      <c r="E117" s="21">
        <v>3500</v>
      </c>
      <c r="F117" s="1" t="s">
        <v>68</v>
      </c>
      <c r="G117" s="25" t="s">
        <v>117</v>
      </c>
      <c r="H117" s="1" t="s">
        <v>118</v>
      </c>
      <c r="I117" s="1">
        <f t="shared" si="2"/>
        <v>0</v>
      </c>
      <c r="J117" s="57">
        <v>0</v>
      </c>
      <c r="K117" s="24">
        <v>45238.751608796294</v>
      </c>
    </row>
    <row r="118" spans="2:15" x14ac:dyDescent="0.25">
      <c r="B118" s="42" t="s">
        <v>314</v>
      </c>
      <c r="C118" s="42" t="s">
        <v>260</v>
      </c>
      <c r="D118" s="20">
        <v>1100</v>
      </c>
      <c r="E118" s="21">
        <v>16500</v>
      </c>
      <c r="F118" s="1" t="s">
        <v>68</v>
      </c>
      <c r="G118" s="25" t="s">
        <v>113</v>
      </c>
      <c r="H118" s="1" t="s">
        <v>114</v>
      </c>
      <c r="I118" s="1">
        <f t="shared" si="2"/>
        <v>0</v>
      </c>
      <c r="J118" s="57">
        <v>0</v>
      </c>
      <c r="K118" s="24">
        <v>45238.752418981479</v>
      </c>
      <c r="O118" s="51">
        <v>10</v>
      </c>
    </row>
    <row r="119" spans="2:15" x14ac:dyDescent="0.25">
      <c r="B119" s="42" t="s">
        <v>314</v>
      </c>
      <c r="C119" s="42" t="s">
        <v>260</v>
      </c>
      <c r="D119" s="20">
        <v>1100</v>
      </c>
      <c r="E119" s="21">
        <v>40</v>
      </c>
      <c r="F119" s="1" t="s">
        <v>68</v>
      </c>
      <c r="G119" s="25" t="s">
        <v>773</v>
      </c>
      <c r="H119" s="1" t="s">
        <v>180</v>
      </c>
      <c r="I119" s="1">
        <f t="shared" si="2"/>
        <v>0</v>
      </c>
      <c r="J119" s="57">
        <v>0</v>
      </c>
      <c r="K119" s="24">
        <v>45238.752743055556</v>
      </c>
      <c r="O119" s="51">
        <v>10</v>
      </c>
    </row>
    <row r="120" spans="2:15" x14ac:dyDescent="0.25">
      <c r="B120" s="42" t="s">
        <v>314</v>
      </c>
      <c r="C120" s="42" t="s">
        <v>260</v>
      </c>
      <c r="D120" s="20">
        <v>1100</v>
      </c>
      <c r="E120" s="21">
        <v>60</v>
      </c>
      <c r="F120" s="1" t="s">
        <v>68</v>
      </c>
      <c r="G120" s="25" t="s">
        <v>177</v>
      </c>
      <c r="H120" s="1" t="s">
        <v>178</v>
      </c>
      <c r="I120" s="1">
        <f t="shared" si="2"/>
        <v>0</v>
      </c>
      <c r="J120" s="57">
        <v>0</v>
      </c>
      <c r="K120" s="24">
        <v>45238.752951388888</v>
      </c>
      <c r="O120" s="51">
        <v>10</v>
      </c>
    </row>
    <row r="121" spans="2:15" x14ac:dyDescent="0.25">
      <c r="B121" s="42" t="s">
        <v>314</v>
      </c>
      <c r="C121" s="42" t="s">
        <v>260</v>
      </c>
      <c r="D121" s="20">
        <v>1100</v>
      </c>
      <c r="E121" s="21">
        <v>24</v>
      </c>
      <c r="F121" s="1" t="s">
        <v>68</v>
      </c>
      <c r="G121" s="25" t="s">
        <v>772</v>
      </c>
      <c r="H121" s="1" t="s">
        <v>160</v>
      </c>
      <c r="I121" s="1">
        <f t="shared" si="2"/>
        <v>0</v>
      </c>
      <c r="J121" s="57">
        <v>0</v>
      </c>
      <c r="K121" s="24">
        <v>45238.753159722219</v>
      </c>
      <c r="O121" s="51">
        <v>144</v>
      </c>
    </row>
    <row r="122" spans="2:15" x14ac:dyDescent="0.25">
      <c r="B122" s="42" t="s">
        <v>169</v>
      </c>
      <c r="C122" s="42" t="s">
        <v>256</v>
      </c>
      <c r="D122" s="20">
        <v>1106</v>
      </c>
      <c r="E122" s="21">
        <v>160</v>
      </c>
      <c r="F122" s="1" t="s">
        <v>185</v>
      </c>
      <c r="G122" s="25" t="s">
        <v>186</v>
      </c>
      <c r="H122" s="1" t="s">
        <v>187</v>
      </c>
      <c r="I122" s="1">
        <f t="shared" si="2"/>
        <v>0</v>
      </c>
      <c r="J122" s="57">
        <v>0</v>
      </c>
      <c r="K122" s="24">
        <v>45238.753935185188</v>
      </c>
      <c r="O122" s="51">
        <v>144</v>
      </c>
    </row>
    <row r="123" spans="2:15" x14ac:dyDescent="0.25">
      <c r="B123" s="42" t="s">
        <v>169</v>
      </c>
      <c r="C123" s="42" t="s">
        <v>254</v>
      </c>
      <c r="D123" s="20">
        <v>1109</v>
      </c>
      <c r="E123" s="21">
        <v>480</v>
      </c>
      <c r="F123" s="1" t="s">
        <v>68</v>
      </c>
      <c r="G123" s="25" t="s">
        <v>174</v>
      </c>
      <c r="H123" s="1" t="s">
        <v>225</v>
      </c>
      <c r="I123" s="1">
        <f t="shared" si="2"/>
        <v>0</v>
      </c>
      <c r="J123" s="57">
        <v>0</v>
      </c>
      <c r="K123" s="24">
        <v>45238.756006944444</v>
      </c>
      <c r="O123" s="51">
        <v>144</v>
      </c>
    </row>
    <row r="124" spans="2:15" x14ac:dyDescent="0.25">
      <c r="B124" s="42" t="s">
        <v>169</v>
      </c>
      <c r="C124" s="42" t="s">
        <v>254</v>
      </c>
      <c r="D124" s="20">
        <v>1109</v>
      </c>
      <c r="E124" s="21">
        <v>480</v>
      </c>
      <c r="F124" s="1" t="s">
        <v>145</v>
      </c>
      <c r="G124" s="25" t="s">
        <v>146</v>
      </c>
      <c r="H124" s="1" t="s">
        <v>147</v>
      </c>
      <c r="I124" s="1">
        <f t="shared" si="2"/>
        <v>0</v>
      </c>
      <c r="J124" s="57">
        <v>0</v>
      </c>
      <c r="K124" s="24">
        <v>45238.75644675926</v>
      </c>
      <c r="O124" s="51">
        <v>144</v>
      </c>
    </row>
    <row r="125" spans="2:15" x14ac:dyDescent="0.25">
      <c r="B125" s="42" t="s">
        <v>169</v>
      </c>
      <c r="C125" s="42" t="s">
        <v>255</v>
      </c>
      <c r="D125" s="20">
        <v>1108</v>
      </c>
      <c r="E125" s="21">
        <v>1500</v>
      </c>
      <c r="F125" s="1" t="s">
        <v>68</v>
      </c>
      <c r="G125" s="25" t="s">
        <v>131</v>
      </c>
      <c r="H125" s="1" t="s">
        <v>222</v>
      </c>
      <c r="I125" s="1">
        <f t="shared" si="2"/>
        <v>0</v>
      </c>
      <c r="J125" s="57">
        <v>0</v>
      </c>
      <c r="K125" s="24">
        <v>45238.757870370369</v>
      </c>
      <c r="O125" s="51">
        <v>24</v>
      </c>
    </row>
    <row r="126" spans="2:15" x14ac:dyDescent="0.25">
      <c r="B126" s="42" t="s">
        <v>169</v>
      </c>
      <c r="C126" s="42" t="s">
        <v>255</v>
      </c>
      <c r="D126" s="20">
        <v>1108</v>
      </c>
      <c r="E126" s="21">
        <v>10</v>
      </c>
      <c r="F126" s="1" t="s">
        <v>137</v>
      </c>
      <c r="G126" s="25" t="s">
        <v>141</v>
      </c>
      <c r="H126" s="1" t="s">
        <v>142</v>
      </c>
      <c r="I126" s="1">
        <f t="shared" si="2"/>
        <v>0</v>
      </c>
      <c r="J126" s="57">
        <v>0</v>
      </c>
      <c r="K126" s="24">
        <v>45238.758252314816</v>
      </c>
      <c r="O126" s="51">
        <v>440</v>
      </c>
    </row>
    <row r="127" spans="2:15" x14ac:dyDescent="0.25">
      <c r="B127" s="42" t="s">
        <v>169</v>
      </c>
      <c r="C127" s="42" t="s">
        <v>255</v>
      </c>
      <c r="D127" s="20">
        <v>1108</v>
      </c>
      <c r="E127" s="21">
        <v>10</v>
      </c>
      <c r="F127" s="1" t="s">
        <v>137</v>
      </c>
      <c r="G127" s="25" t="s">
        <v>143</v>
      </c>
      <c r="H127" s="1" t="s">
        <v>144</v>
      </c>
      <c r="I127" s="1">
        <f t="shared" si="2"/>
        <v>0</v>
      </c>
      <c r="J127" s="57">
        <v>0</v>
      </c>
      <c r="K127" s="24">
        <v>45238.758530092593</v>
      </c>
      <c r="O127" s="51">
        <v>500</v>
      </c>
    </row>
    <row r="128" spans="2:15" x14ac:dyDescent="0.25">
      <c r="B128" s="42" t="s">
        <v>169</v>
      </c>
      <c r="C128" s="42" t="s">
        <v>253</v>
      </c>
      <c r="D128" s="20">
        <v>1107</v>
      </c>
      <c r="E128" s="21">
        <v>15</v>
      </c>
      <c r="F128" s="1" t="s">
        <v>68</v>
      </c>
      <c r="G128" s="25" t="s">
        <v>771</v>
      </c>
      <c r="H128" s="1" t="s">
        <v>158</v>
      </c>
      <c r="I128" s="1">
        <f t="shared" si="2"/>
        <v>0</v>
      </c>
      <c r="J128" s="57">
        <v>0</v>
      </c>
      <c r="K128" s="24">
        <v>45238.759120370371</v>
      </c>
      <c r="O128" s="51">
        <v>24</v>
      </c>
    </row>
    <row r="129" spans="2:15" x14ac:dyDescent="0.25">
      <c r="B129" s="42" t="s">
        <v>169</v>
      </c>
      <c r="C129" s="42" t="s">
        <v>263</v>
      </c>
      <c r="D129" s="20">
        <v>1110</v>
      </c>
      <c r="E129" s="21">
        <v>3000</v>
      </c>
      <c r="F129" s="1" t="s">
        <v>68</v>
      </c>
      <c r="G129" s="25" t="s">
        <v>156</v>
      </c>
      <c r="H129" s="1" t="s">
        <v>233</v>
      </c>
      <c r="I129" s="1">
        <f t="shared" si="2"/>
        <v>0</v>
      </c>
      <c r="J129" s="57">
        <v>0</v>
      </c>
      <c r="K129" s="24">
        <v>45239.48946759259</v>
      </c>
      <c r="O129" s="51">
        <v>60</v>
      </c>
    </row>
    <row r="130" spans="2:15" x14ac:dyDescent="0.25">
      <c r="B130" s="42" t="s">
        <v>169</v>
      </c>
      <c r="C130" s="42" t="s">
        <v>340</v>
      </c>
      <c r="D130" s="20">
        <v>1111</v>
      </c>
      <c r="E130" s="21">
        <v>2000</v>
      </c>
      <c r="F130" s="1" t="s">
        <v>68</v>
      </c>
      <c r="G130" s="25" t="s">
        <v>129</v>
      </c>
      <c r="H130" s="1" t="s">
        <v>130</v>
      </c>
      <c r="I130" s="1">
        <f t="shared" si="2"/>
        <v>0</v>
      </c>
      <c r="J130" s="57">
        <v>0</v>
      </c>
      <c r="K130" s="24">
        <v>45240.715162037035</v>
      </c>
      <c r="O130" s="51">
        <v>4</v>
      </c>
    </row>
    <row r="131" spans="2:15" x14ac:dyDescent="0.25">
      <c r="B131" s="42" t="s">
        <v>169</v>
      </c>
      <c r="C131" s="42" t="s">
        <v>257</v>
      </c>
      <c r="D131" s="20">
        <v>1112</v>
      </c>
      <c r="E131" s="21">
        <v>8000</v>
      </c>
      <c r="F131" s="1" t="s">
        <v>68</v>
      </c>
      <c r="G131" s="25" t="s">
        <v>113</v>
      </c>
      <c r="H131" s="1" t="s">
        <v>114</v>
      </c>
      <c r="I131" s="1">
        <f t="shared" si="2"/>
        <v>0</v>
      </c>
      <c r="J131" s="57">
        <v>0</v>
      </c>
      <c r="K131" s="24">
        <v>45240.715231481481</v>
      </c>
      <c r="O131" s="51">
        <v>200</v>
      </c>
    </row>
    <row r="132" spans="2:15" x14ac:dyDescent="0.25">
      <c r="B132" s="42" t="s">
        <v>169</v>
      </c>
      <c r="C132" s="42" t="s">
        <v>255</v>
      </c>
      <c r="D132" s="20">
        <v>1113</v>
      </c>
      <c r="E132" s="21">
        <v>2000</v>
      </c>
      <c r="F132" s="1" t="s">
        <v>68</v>
      </c>
      <c r="G132" s="25" t="s">
        <v>131</v>
      </c>
      <c r="H132" s="1" t="s">
        <v>222</v>
      </c>
      <c r="I132" s="1">
        <f t="shared" si="2"/>
        <v>0</v>
      </c>
      <c r="J132" s="57">
        <v>0</v>
      </c>
      <c r="K132" s="24">
        <v>45240.715289351851</v>
      </c>
      <c r="O132" s="51">
        <v>100</v>
      </c>
    </row>
    <row r="133" spans="2:15" x14ac:dyDescent="0.25">
      <c r="B133" s="42" t="s">
        <v>169</v>
      </c>
      <c r="C133" s="42" t="s">
        <v>255</v>
      </c>
      <c r="D133" s="20">
        <v>1113</v>
      </c>
      <c r="E133" s="21">
        <v>10</v>
      </c>
      <c r="F133" s="1" t="s">
        <v>137</v>
      </c>
      <c r="G133" s="25" t="s">
        <v>141</v>
      </c>
      <c r="H133" s="1" t="s">
        <v>142</v>
      </c>
      <c r="I133" s="1">
        <f t="shared" si="2"/>
        <v>0</v>
      </c>
      <c r="J133" s="57">
        <v>0</v>
      </c>
      <c r="K133" s="24">
        <v>45240.71534722222</v>
      </c>
    </row>
    <row r="134" spans="2:15" x14ac:dyDescent="0.25">
      <c r="B134" s="42" t="s">
        <v>169</v>
      </c>
      <c r="C134" s="42" t="s">
        <v>255</v>
      </c>
      <c r="D134" s="20">
        <v>1113</v>
      </c>
      <c r="E134" s="21">
        <v>10</v>
      </c>
      <c r="F134" s="1" t="s">
        <v>137</v>
      </c>
      <c r="G134" s="25" t="s">
        <v>143</v>
      </c>
      <c r="H134" s="1" t="s">
        <v>144</v>
      </c>
      <c r="I134" s="1">
        <f t="shared" si="2"/>
        <v>0</v>
      </c>
      <c r="J134" s="57">
        <v>0</v>
      </c>
      <c r="K134" s="24">
        <v>45240.71539351852</v>
      </c>
    </row>
    <row r="135" spans="2:15" x14ac:dyDescent="0.25">
      <c r="B135" s="42" t="s">
        <v>169</v>
      </c>
      <c r="C135" s="42" t="s">
        <v>254</v>
      </c>
      <c r="D135" s="20">
        <v>1114</v>
      </c>
      <c r="E135" s="21">
        <v>68</v>
      </c>
      <c r="F135" s="1" t="s">
        <v>145</v>
      </c>
      <c r="G135" s="25" t="s">
        <v>146</v>
      </c>
      <c r="H135" s="1" t="s">
        <v>147</v>
      </c>
      <c r="I135" s="1">
        <f t="shared" si="2"/>
        <v>0</v>
      </c>
      <c r="J135" s="57">
        <v>0</v>
      </c>
      <c r="K135" s="24">
        <v>45240.715462962966</v>
      </c>
      <c r="O135" s="51">
        <v>36</v>
      </c>
    </row>
    <row r="136" spans="2:15" x14ac:dyDescent="0.25">
      <c r="B136" s="42" t="s">
        <v>247</v>
      </c>
      <c r="C136" s="25" t="s">
        <v>755</v>
      </c>
      <c r="D136" s="20">
        <v>789363</v>
      </c>
      <c r="E136" s="21">
        <v>2000</v>
      </c>
      <c r="F136" s="1" t="s">
        <v>68</v>
      </c>
      <c r="G136" s="25" t="s">
        <v>212</v>
      </c>
      <c r="H136" s="1" t="s">
        <v>213</v>
      </c>
      <c r="I136" s="1" t="s">
        <v>154</v>
      </c>
      <c r="J136" s="30">
        <v>1</v>
      </c>
      <c r="K136" s="24">
        <v>45244.428923611114</v>
      </c>
      <c r="M136" s="22">
        <v>45180</v>
      </c>
      <c r="O136" s="51">
        <v>96</v>
      </c>
    </row>
    <row r="137" spans="2:15" x14ac:dyDescent="0.25">
      <c r="B137" s="42" t="s">
        <v>248</v>
      </c>
      <c r="C137" s="25" t="s">
        <v>756</v>
      </c>
      <c r="D137" s="20">
        <v>797939</v>
      </c>
      <c r="E137" s="21">
        <v>6000</v>
      </c>
      <c r="F137" s="1" t="s">
        <v>145</v>
      </c>
      <c r="G137" s="25" t="s">
        <v>190</v>
      </c>
      <c r="H137" s="1" t="s">
        <v>191</v>
      </c>
      <c r="I137" s="1" t="s">
        <v>154</v>
      </c>
      <c r="J137" s="30">
        <v>1</v>
      </c>
      <c r="K137" s="24">
        <v>45244.42863425926</v>
      </c>
      <c r="M137" s="22">
        <v>45180</v>
      </c>
      <c r="O137" s="51">
        <v>300</v>
      </c>
    </row>
    <row r="138" spans="2:15" x14ac:dyDescent="0.25">
      <c r="B138" s="42" t="s">
        <v>249</v>
      </c>
      <c r="C138" s="42" t="s">
        <v>250</v>
      </c>
      <c r="D138" s="20" t="s">
        <v>242</v>
      </c>
      <c r="E138" s="21">
        <v>720</v>
      </c>
      <c r="F138" s="1" t="s">
        <v>145</v>
      </c>
      <c r="G138" s="25" t="s">
        <v>151</v>
      </c>
      <c r="H138" s="1" t="s">
        <v>147</v>
      </c>
      <c r="I138" s="1" t="s">
        <v>148</v>
      </c>
      <c r="J138" s="30">
        <v>1</v>
      </c>
      <c r="K138" s="24">
        <v>45244.428148148145</v>
      </c>
      <c r="M138" s="22">
        <v>45210</v>
      </c>
      <c r="O138" s="51">
        <v>4</v>
      </c>
    </row>
    <row r="139" spans="2:15" x14ac:dyDescent="0.25">
      <c r="B139" s="42" t="s">
        <v>169</v>
      </c>
      <c r="C139" s="42" t="s">
        <v>251</v>
      </c>
      <c r="D139" s="20">
        <v>1118</v>
      </c>
      <c r="E139" s="21">
        <v>40</v>
      </c>
      <c r="F139" s="1" t="s">
        <v>68</v>
      </c>
      <c r="G139" s="25" t="s">
        <v>119</v>
      </c>
      <c r="H139" s="1" t="s">
        <v>252</v>
      </c>
      <c r="I139" s="1">
        <f t="shared" ref="I139:I151" si="3">MAX((G139:G986=D99)*E139:E986)</f>
        <v>0</v>
      </c>
      <c r="J139" s="57">
        <v>0</v>
      </c>
      <c r="K139" s="24">
        <v>45244.724849537037</v>
      </c>
      <c r="O139" s="51">
        <v>500</v>
      </c>
    </row>
    <row r="140" spans="2:15" x14ac:dyDescent="0.25">
      <c r="B140" s="42" t="s">
        <v>169</v>
      </c>
      <c r="C140" s="42" t="s">
        <v>253</v>
      </c>
      <c r="D140" s="20">
        <v>1120</v>
      </c>
      <c r="E140" s="21">
        <v>26</v>
      </c>
      <c r="F140" s="1" t="s">
        <v>68</v>
      </c>
      <c r="G140" s="25" t="s">
        <v>771</v>
      </c>
      <c r="H140" s="1" t="s">
        <v>158</v>
      </c>
      <c r="I140" s="1">
        <f t="shared" si="3"/>
        <v>0</v>
      </c>
      <c r="J140" s="57">
        <v>0</v>
      </c>
      <c r="K140" s="24">
        <v>45244.724803240744</v>
      </c>
      <c r="O140" s="51">
        <v>100</v>
      </c>
    </row>
    <row r="141" spans="2:15" x14ac:dyDescent="0.25">
      <c r="B141" s="42" t="s">
        <v>169</v>
      </c>
      <c r="C141" s="42" t="s">
        <v>254</v>
      </c>
      <c r="D141" s="20">
        <v>1119</v>
      </c>
      <c r="E141" s="21">
        <v>480</v>
      </c>
      <c r="F141" s="1" t="s">
        <v>68</v>
      </c>
      <c r="G141" s="25" t="s">
        <v>174</v>
      </c>
      <c r="H141" s="1" t="s">
        <v>225</v>
      </c>
      <c r="I141" s="1">
        <f t="shared" si="3"/>
        <v>0</v>
      </c>
      <c r="J141" s="57">
        <v>0</v>
      </c>
      <c r="K141" s="24">
        <v>45244.724710648145</v>
      </c>
      <c r="O141" s="51">
        <v>2400</v>
      </c>
    </row>
    <row r="142" spans="2:15" x14ac:dyDescent="0.25">
      <c r="B142" s="42" t="s">
        <v>169</v>
      </c>
      <c r="C142" s="42" t="s">
        <v>255</v>
      </c>
      <c r="D142" s="20">
        <v>1121</v>
      </c>
      <c r="E142" s="21">
        <v>3600</v>
      </c>
      <c r="F142" s="1" t="s">
        <v>68</v>
      </c>
      <c r="G142" s="25" t="s">
        <v>131</v>
      </c>
      <c r="H142" s="1" t="s">
        <v>222</v>
      </c>
      <c r="I142" s="1">
        <f t="shared" si="3"/>
        <v>0</v>
      </c>
      <c r="J142" s="57">
        <v>0</v>
      </c>
      <c r="K142" s="24">
        <v>45244.724618055552</v>
      </c>
    </row>
    <row r="143" spans="2:15" x14ac:dyDescent="0.25">
      <c r="B143" s="42" t="s">
        <v>169</v>
      </c>
      <c r="C143" s="42" t="s">
        <v>255</v>
      </c>
      <c r="D143" s="20">
        <v>1121</v>
      </c>
      <c r="E143" s="21">
        <v>5</v>
      </c>
      <c r="F143" s="1" t="s">
        <v>137</v>
      </c>
      <c r="G143" s="25" t="s">
        <v>141</v>
      </c>
      <c r="H143" s="1" t="s">
        <v>142</v>
      </c>
      <c r="I143" s="1">
        <f t="shared" si="3"/>
        <v>0</v>
      </c>
      <c r="J143" s="57">
        <v>0</v>
      </c>
      <c r="K143" s="24">
        <v>45244.724560185183</v>
      </c>
      <c r="O143" s="51">
        <v>20</v>
      </c>
    </row>
    <row r="144" spans="2:15" x14ac:dyDescent="0.25">
      <c r="B144" s="42" t="s">
        <v>169</v>
      </c>
      <c r="C144" s="42" t="s">
        <v>255</v>
      </c>
      <c r="D144" s="20">
        <v>1121</v>
      </c>
      <c r="E144" s="21">
        <v>150</v>
      </c>
      <c r="F144" s="1" t="s">
        <v>68</v>
      </c>
      <c r="G144" s="25" t="s">
        <v>177</v>
      </c>
      <c r="H144" s="1" t="s">
        <v>178</v>
      </c>
      <c r="I144" s="1">
        <f t="shared" si="3"/>
        <v>0</v>
      </c>
      <c r="J144" s="57">
        <v>0</v>
      </c>
      <c r="K144" s="24">
        <v>45244.724930555552</v>
      </c>
      <c r="O144" s="51">
        <v>100</v>
      </c>
    </row>
    <row r="145" spans="2:15" x14ac:dyDescent="0.25">
      <c r="B145" s="42" t="s">
        <v>169</v>
      </c>
      <c r="C145" s="42" t="s">
        <v>256</v>
      </c>
      <c r="D145" s="20">
        <v>1122</v>
      </c>
      <c r="E145" s="21">
        <v>408</v>
      </c>
      <c r="F145" s="1" t="s">
        <v>68</v>
      </c>
      <c r="G145" s="25" t="s">
        <v>152</v>
      </c>
      <c r="H145" s="1" t="s">
        <v>153</v>
      </c>
      <c r="I145" s="1">
        <f t="shared" si="3"/>
        <v>0</v>
      </c>
      <c r="J145" s="57">
        <v>0</v>
      </c>
      <c r="K145" s="24">
        <v>45244.724999999999</v>
      </c>
      <c r="O145" s="51">
        <v>2000</v>
      </c>
    </row>
    <row r="146" spans="2:15" x14ac:dyDescent="0.25">
      <c r="B146" s="42" t="s">
        <v>169</v>
      </c>
      <c r="C146" s="42" t="s">
        <v>257</v>
      </c>
      <c r="D146" s="20">
        <v>1123</v>
      </c>
      <c r="E146" s="21">
        <v>2000</v>
      </c>
      <c r="F146" s="1" t="s">
        <v>68</v>
      </c>
      <c r="G146" s="25" t="s">
        <v>135</v>
      </c>
      <c r="H146" s="1" t="s">
        <v>136</v>
      </c>
      <c r="I146" s="1">
        <f t="shared" si="3"/>
        <v>0</v>
      </c>
      <c r="J146" s="57">
        <v>0</v>
      </c>
      <c r="K146" s="24">
        <v>45244.725057870368</v>
      </c>
      <c r="O146" s="51">
        <v>40</v>
      </c>
    </row>
    <row r="147" spans="2:15" x14ac:dyDescent="0.25">
      <c r="B147" s="42" t="s">
        <v>314</v>
      </c>
      <c r="C147" s="42" t="s">
        <v>258</v>
      </c>
      <c r="D147" s="20">
        <v>1115</v>
      </c>
      <c r="E147" s="21">
        <v>900</v>
      </c>
      <c r="F147" s="1" t="s">
        <v>68</v>
      </c>
      <c r="G147" s="25" t="s">
        <v>125</v>
      </c>
      <c r="H147" s="1" t="s">
        <v>126</v>
      </c>
      <c r="I147" s="1">
        <f t="shared" si="3"/>
        <v>0</v>
      </c>
      <c r="J147" s="57">
        <v>0</v>
      </c>
      <c r="K147" s="24">
        <v>45245.736203703702</v>
      </c>
      <c r="O147" s="51">
        <v>36</v>
      </c>
    </row>
    <row r="148" spans="2:15" x14ac:dyDescent="0.25">
      <c r="B148" s="42" t="s">
        <v>314</v>
      </c>
      <c r="C148" s="42" t="s">
        <v>258</v>
      </c>
      <c r="D148" s="20">
        <v>1115</v>
      </c>
      <c r="E148" s="21">
        <v>15</v>
      </c>
      <c r="F148" s="1" t="s">
        <v>68</v>
      </c>
      <c r="G148" s="25" t="s">
        <v>771</v>
      </c>
      <c r="H148" s="1" t="s">
        <v>158</v>
      </c>
      <c r="I148" s="1">
        <f t="shared" si="3"/>
        <v>0</v>
      </c>
      <c r="J148" s="57">
        <v>0</v>
      </c>
      <c r="K148" s="24">
        <v>45245.736238425925</v>
      </c>
      <c r="O148" s="51">
        <v>100</v>
      </c>
    </row>
    <row r="149" spans="2:15" x14ac:dyDescent="0.25">
      <c r="B149" s="42" t="s">
        <v>314</v>
      </c>
      <c r="C149" s="42" t="s">
        <v>259</v>
      </c>
      <c r="D149" s="20">
        <v>1116</v>
      </c>
      <c r="E149" s="21">
        <v>520</v>
      </c>
      <c r="F149" s="1" t="s">
        <v>68</v>
      </c>
      <c r="G149" s="25" t="s">
        <v>165</v>
      </c>
      <c r="H149" s="1" t="s">
        <v>166</v>
      </c>
      <c r="I149" s="1">
        <f t="shared" si="3"/>
        <v>0</v>
      </c>
      <c r="J149" s="57">
        <v>0</v>
      </c>
      <c r="K149" s="24">
        <v>45245.736273148148</v>
      </c>
      <c r="O149" s="51">
        <v>1</v>
      </c>
    </row>
    <row r="150" spans="2:15" x14ac:dyDescent="0.25">
      <c r="B150" s="42" t="s">
        <v>314</v>
      </c>
      <c r="C150" s="42" t="s">
        <v>259</v>
      </c>
      <c r="D150" s="20">
        <v>1116</v>
      </c>
      <c r="E150" s="21">
        <v>34</v>
      </c>
      <c r="F150" s="1" t="s">
        <v>68</v>
      </c>
      <c r="G150" s="25" t="s">
        <v>119</v>
      </c>
      <c r="H150" s="1" t="s">
        <v>252</v>
      </c>
      <c r="I150" s="1">
        <f t="shared" si="3"/>
        <v>0</v>
      </c>
      <c r="J150" s="57">
        <v>0</v>
      </c>
      <c r="K150" s="24">
        <v>45245.736319444448</v>
      </c>
      <c r="O150" s="51">
        <v>1</v>
      </c>
    </row>
    <row r="151" spans="2:15" x14ac:dyDescent="0.25">
      <c r="B151" s="42" t="s">
        <v>314</v>
      </c>
      <c r="C151" s="42" t="s">
        <v>260</v>
      </c>
      <c r="D151" s="20">
        <v>1117</v>
      </c>
      <c r="E151" s="21">
        <v>300</v>
      </c>
      <c r="F151" s="1" t="s">
        <v>137</v>
      </c>
      <c r="G151" s="25" t="s">
        <v>138</v>
      </c>
      <c r="H151" s="1" t="s">
        <v>139</v>
      </c>
      <c r="I151" s="1">
        <f t="shared" si="3"/>
        <v>0</v>
      </c>
      <c r="J151" s="57">
        <v>0</v>
      </c>
      <c r="K151" s="24">
        <v>45245.73636574074</v>
      </c>
      <c r="O151" s="51">
        <v>1</v>
      </c>
    </row>
    <row r="152" spans="2:15" x14ac:dyDescent="0.25">
      <c r="B152" s="42" t="s">
        <v>780</v>
      </c>
      <c r="C152" s="42" t="s">
        <v>261</v>
      </c>
      <c r="D152" s="20">
        <v>134952</v>
      </c>
      <c r="E152" s="21">
        <v>100000</v>
      </c>
      <c r="F152" s="1" t="s">
        <v>68</v>
      </c>
      <c r="G152" s="25" t="s">
        <v>113</v>
      </c>
      <c r="H152" s="1" t="s">
        <v>114</v>
      </c>
      <c r="I152" s="1" t="s">
        <v>115</v>
      </c>
      <c r="J152" s="30">
        <v>1</v>
      </c>
      <c r="K152" s="24">
        <v>45245.542384259257</v>
      </c>
      <c r="M152" s="22">
        <v>44937</v>
      </c>
      <c r="O152" s="51">
        <v>1</v>
      </c>
    </row>
    <row r="153" spans="2:15" x14ac:dyDescent="0.25">
      <c r="B153" s="42" t="s">
        <v>780</v>
      </c>
      <c r="C153" s="42" t="s">
        <v>261</v>
      </c>
      <c r="D153" s="20">
        <v>134952</v>
      </c>
      <c r="E153" s="21">
        <v>60000</v>
      </c>
      <c r="F153" s="1" t="s">
        <v>68</v>
      </c>
      <c r="G153" s="25" t="s">
        <v>133</v>
      </c>
      <c r="H153" s="1" t="s">
        <v>134</v>
      </c>
      <c r="I153" s="1" t="s">
        <v>115</v>
      </c>
      <c r="J153" s="30">
        <v>1</v>
      </c>
      <c r="K153" s="24">
        <v>45245.542638888888</v>
      </c>
      <c r="M153" s="22">
        <v>44937</v>
      </c>
      <c r="O153" s="51">
        <v>1</v>
      </c>
    </row>
    <row r="154" spans="2:15" x14ac:dyDescent="0.25">
      <c r="B154" s="42" t="s">
        <v>780</v>
      </c>
      <c r="C154" s="42" t="s">
        <v>261</v>
      </c>
      <c r="D154" s="20">
        <v>134952</v>
      </c>
      <c r="E154" s="21">
        <v>15000</v>
      </c>
      <c r="F154" s="1" t="s">
        <v>68</v>
      </c>
      <c r="G154" s="25" t="s">
        <v>131</v>
      </c>
      <c r="H154" s="1" t="s">
        <v>222</v>
      </c>
      <c r="I154" s="1" t="s">
        <v>115</v>
      </c>
      <c r="J154" s="30">
        <v>1</v>
      </c>
      <c r="K154" s="24">
        <v>45245.542731481481</v>
      </c>
      <c r="M154" s="22">
        <v>44937</v>
      </c>
      <c r="O154" s="51">
        <v>1</v>
      </c>
    </row>
    <row r="155" spans="2:15" x14ac:dyDescent="0.25">
      <c r="B155" s="42" t="s">
        <v>780</v>
      </c>
      <c r="C155" s="42" t="s">
        <v>261</v>
      </c>
      <c r="D155" s="20">
        <v>134952</v>
      </c>
      <c r="E155" s="21">
        <v>3000</v>
      </c>
      <c r="F155" s="1" t="s">
        <v>68</v>
      </c>
      <c r="G155" s="25" t="s">
        <v>120</v>
      </c>
      <c r="H155" s="1" t="s">
        <v>121</v>
      </c>
      <c r="I155" s="1" t="s">
        <v>115</v>
      </c>
      <c r="J155" s="30">
        <v>1</v>
      </c>
      <c r="K155" s="24">
        <v>45245.542916666665</v>
      </c>
      <c r="M155" s="22">
        <v>44937</v>
      </c>
      <c r="O155" s="51">
        <v>1</v>
      </c>
    </row>
    <row r="156" spans="2:15" x14ac:dyDescent="0.25">
      <c r="B156" s="42" t="s">
        <v>780</v>
      </c>
      <c r="C156" s="42" t="s">
        <v>261</v>
      </c>
      <c r="D156" s="20">
        <v>134952</v>
      </c>
      <c r="E156" s="21">
        <v>3000</v>
      </c>
      <c r="F156" s="1" t="s">
        <v>68</v>
      </c>
      <c r="G156" s="25" t="s">
        <v>125</v>
      </c>
      <c r="H156" s="1" t="s">
        <v>126</v>
      </c>
      <c r="I156" s="1" t="s">
        <v>115</v>
      </c>
      <c r="J156" s="30">
        <v>1</v>
      </c>
      <c r="K156" s="24">
        <v>45245.543935185182</v>
      </c>
      <c r="M156" s="22">
        <v>44937</v>
      </c>
      <c r="O156" s="51">
        <v>1</v>
      </c>
    </row>
    <row r="157" spans="2:15" x14ac:dyDescent="0.25">
      <c r="B157" s="42" t="s">
        <v>169</v>
      </c>
      <c r="C157" s="25" t="s">
        <v>254</v>
      </c>
      <c r="D157" s="20">
        <v>1128</v>
      </c>
      <c r="E157" s="21">
        <v>480</v>
      </c>
      <c r="F157" s="1" t="s">
        <v>68</v>
      </c>
      <c r="G157" s="25" t="s">
        <v>174</v>
      </c>
      <c r="H157" s="1" t="s">
        <v>225</v>
      </c>
      <c r="I157" s="1">
        <f t="shared" ref="I157:I163" si="4">MAX((G157:G1004=D117)*E157:E1004)</f>
        <v>0</v>
      </c>
      <c r="J157" s="57">
        <v>0</v>
      </c>
      <c r="K157" s="24">
        <v>45245.737060185187</v>
      </c>
      <c r="O157" s="51">
        <v>1</v>
      </c>
    </row>
    <row r="158" spans="2:15" x14ac:dyDescent="0.25">
      <c r="B158" s="42" t="s">
        <v>169</v>
      </c>
      <c r="C158" s="42" t="s">
        <v>262</v>
      </c>
      <c r="D158" s="20">
        <v>1129</v>
      </c>
      <c r="E158" s="21">
        <v>300</v>
      </c>
      <c r="F158" s="1" t="s">
        <v>68</v>
      </c>
      <c r="G158" s="25" t="s">
        <v>152</v>
      </c>
      <c r="H158" s="1" t="s">
        <v>153</v>
      </c>
      <c r="I158" s="1">
        <f t="shared" si="4"/>
        <v>0</v>
      </c>
      <c r="J158" s="57">
        <v>0</v>
      </c>
      <c r="K158" s="24">
        <v>45245.73777777778</v>
      </c>
      <c r="O158" s="51">
        <v>1</v>
      </c>
    </row>
    <row r="159" spans="2:15" x14ac:dyDescent="0.25">
      <c r="B159" s="42" t="s">
        <v>169</v>
      </c>
      <c r="C159" s="42" t="s">
        <v>257</v>
      </c>
      <c r="D159" s="20">
        <v>1130</v>
      </c>
      <c r="E159" s="21">
        <v>3200</v>
      </c>
      <c r="F159" s="1" t="s">
        <v>68</v>
      </c>
      <c r="G159" s="25" t="s">
        <v>135</v>
      </c>
      <c r="H159" s="1" t="s">
        <v>136</v>
      </c>
      <c r="I159" s="1">
        <f t="shared" si="4"/>
        <v>0</v>
      </c>
      <c r="J159" s="57">
        <v>0</v>
      </c>
      <c r="K159" s="24">
        <v>45245.738275462965</v>
      </c>
      <c r="O159" s="51">
        <v>1</v>
      </c>
    </row>
    <row r="160" spans="2:15" x14ac:dyDescent="0.25">
      <c r="B160" s="42" t="s">
        <v>169</v>
      </c>
      <c r="C160" s="42" t="s">
        <v>263</v>
      </c>
      <c r="D160" s="20">
        <v>1132</v>
      </c>
      <c r="E160" s="21">
        <v>4000</v>
      </c>
      <c r="F160" s="1" t="s">
        <v>68</v>
      </c>
      <c r="G160" s="25" t="s">
        <v>156</v>
      </c>
      <c r="H160" s="1" t="s">
        <v>233</v>
      </c>
      <c r="I160" s="1">
        <f t="shared" si="4"/>
        <v>0</v>
      </c>
      <c r="J160" s="57">
        <v>0</v>
      </c>
      <c r="K160" s="24">
        <v>45245.738900462966</v>
      </c>
      <c r="O160" s="51">
        <v>1</v>
      </c>
    </row>
    <row r="161" spans="2:15" x14ac:dyDescent="0.25">
      <c r="B161" s="42" t="s">
        <v>169</v>
      </c>
      <c r="C161" s="42" t="s">
        <v>255</v>
      </c>
      <c r="D161" s="20">
        <v>1131</v>
      </c>
      <c r="E161" s="21">
        <v>2000</v>
      </c>
      <c r="F161" s="1" t="s">
        <v>68</v>
      </c>
      <c r="G161" s="25" t="s">
        <v>131</v>
      </c>
      <c r="H161" s="1" t="s">
        <v>222</v>
      </c>
      <c r="I161" s="1">
        <f t="shared" si="4"/>
        <v>0</v>
      </c>
      <c r="J161" s="57">
        <v>0</v>
      </c>
      <c r="K161" s="24">
        <v>45245.739421296297</v>
      </c>
      <c r="O161" s="51">
        <v>1</v>
      </c>
    </row>
    <row r="162" spans="2:15" x14ac:dyDescent="0.25">
      <c r="B162" s="42" t="s">
        <v>169</v>
      </c>
      <c r="C162" s="42" t="s">
        <v>255</v>
      </c>
      <c r="D162" s="20">
        <v>1131</v>
      </c>
      <c r="E162" s="21">
        <v>6</v>
      </c>
      <c r="F162" s="1" t="s">
        <v>137</v>
      </c>
      <c r="G162" s="25" t="s">
        <v>143</v>
      </c>
      <c r="H162" s="1" t="s">
        <v>144</v>
      </c>
      <c r="I162" s="1">
        <f t="shared" si="4"/>
        <v>0</v>
      </c>
      <c r="J162" s="57">
        <v>0</v>
      </c>
      <c r="K162" s="24">
        <v>45245.739942129629</v>
      </c>
      <c r="O162" s="51">
        <v>1</v>
      </c>
    </row>
    <row r="163" spans="2:15" x14ac:dyDescent="0.25">
      <c r="B163" s="42" t="s">
        <v>169</v>
      </c>
      <c r="C163" s="42" t="s">
        <v>255</v>
      </c>
      <c r="D163" s="20">
        <v>1131</v>
      </c>
      <c r="E163" s="21">
        <v>300</v>
      </c>
      <c r="F163" s="1" t="s">
        <v>68</v>
      </c>
      <c r="G163" s="25" t="s">
        <v>177</v>
      </c>
      <c r="H163" s="1" t="s">
        <v>178</v>
      </c>
      <c r="I163" s="1">
        <f t="shared" si="4"/>
        <v>0</v>
      </c>
      <c r="J163" s="57">
        <v>0</v>
      </c>
      <c r="K163" s="24">
        <v>45245.740405092591</v>
      </c>
      <c r="O163" s="51">
        <v>1</v>
      </c>
    </row>
    <row r="164" spans="2:15" x14ac:dyDescent="0.25">
      <c r="B164" s="42" t="s">
        <v>781</v>
      </c>
      <c r="C164" s="42" t="s">
        <v>264</v>
      </c>
      <c r="D164" s="20">
        <v>32575</v>
      </c>
      <c r="E164" s="21">
        <v>600</v>
      </c>
      <c r="F164" s="1" t="s">
        <v>68</v>
      </c>
      <c r="G164" s="25" t="s">
        <v>177</v>
      </c>
      <c r="H164" s="1" t="s">
        <v>178</v>
      </c>
      <c r="J164" s="30">
        <v>1</v>
      </c>
      <c r="K164" s="24">
        <v>45246.527881944443</v>
      </c>
      <c r="M164" s="1" t="s">
        <v>265</v>
      </c>
      <c r="O164" s="51">
        <v>1</v>
      </c>
    </row>
    <row r="165" spans="2:15" x14ac:dyDescent="0.25">
      <c r="B165" s="42" t="s">
        <v>169</v>
      </c>
      <c r="C165" s="25" t="s">
        <v>361</v>
      </c>
      <c r="D165" s="20" t="s">
        <v>266</v>
      </c>
      <c r="E165" s="21">
        <v>6000</v>
      </c>
      <c r="F165" s="1" t="s">
        <v>68</v>
      </c>
      <c r="G165" s="25" t="s">
        <v>117</v>
      </c>
      <c r="H165" s="1" t="s">
        <v>118</v>
      </c>
      <c r="I165" s="1">
        <f t="shared" ref="I165:I174" si="5">MAX((G165:G1012=D125)*E165:E1012)</f>
        <v>0</v>
      </c>
      <c r="J165" s="57">
        <v>0</v>
      </c>
      <c r="K165" s="24">
        <v>45246.536562499998</v>
      </c>
      <c r="O165" s="51">
        <v>100</v>
      </c>
    </row>
    <row r="166" spans="2:15" x14ac:dyDescent="0.25">
      <c r="B166" s="42" t="s">
        <v>169</v>
      </c>
      <c r="C166" s="25" t="s">
        <v>258</v>
      </c>
      <c r="D166" s="20" t="s">
        <v>267</v>
      </c>
      <c r="E166" s="21">
        <v>2000</v>
      </c>
      <c r="F166" s="1" t="s">
        <v>68</v>
      </c>
      <c r="G166" s="25" t="s">
        <v>131</v>
      </c>
      <c r="H166" s="1" t="s">
        <v>222</v>
      </c>
      <c r="I166" s="1">
        <f t="shared" si="5"/>
        <v>0</v>
      </c>
      <c r="J166" s="57">
        <v>0</v>
      </c>
      <c r="K166" s="24">
        <v>45246.536504629628</v>
      </c>
    </row>
    <row r="167" spans="2:15" x14ac:dyDescent="0.25">
      <c r="B167" s="42" t="s">
        <v>169</v>
      </c>
      <c r="C167" s="25" t="s">
        <v>258</v>
      </c>
      <c r="D167" s="20" t="s">
        <v>267</v>
      </c>
      <c r="E167" s="21">
        <v>100</v>
      </c>
      <c r="F167" s="1" t="s">
        <v>68</v>
      </c>
      <c r="G167" s="25" t="s">
        <v>125</v>
      </c>
      <c r="H167" s="1" t="s">
        <v>126</v>
      </c>
      <c r="I167" s="1">
        <f t="shared" si="5"/>
        <v>0</v>
      </c>
      <c r="J167" s="57">
        <v>0</v>
      </c>
      <c r="K167" s="24">
        <v>45246.539189814815</v>
      </c>
      <c r="M167" s="1" t="s">
        <v>268</v>
      </c>
    </row>
    <row r="168" spans="2:15" x14ac:dyDescent="0.25">
      <c r="B168" s="42" t="s">
        <v>169</v>
      </c>
      <c r="C168" s="25" t="s">
        <v>258</v>
      </c>
      <c r="D168" s="20" t="s">
        <v>267</v>
      </c>
      <c r="E168" s="21">
        <v>15</v>
      </c>
      <c r="F168" s="1" t="s">
        <v>68</v>
      </c>
      <c r="G168" s="25" t="s">
        <v>771</v>
      </c>
      <c r="H168" s="1" t="s">
        <v>158</v>
      </c>
      <c r="I168" s="1">
        <f t="shared" si="5"/>
        <v>0</v>
      </c>
      <c r="J168" s="57">
        <v>0</v>
      </c>
      <c r="K168" s="24">
        <v>45246.53533564815</v>
      </c>
    </row>
    <row r="169" spans="2:15" x14ac:dyDescent="0.25">
      <c r="B169" s="42" t="s">
        <v>169</v>
      </c>
      <c r="C169" s="25" t="s">
        <v>260</v>
      </c>
      <c r="D169" s="20" t="s">
        <v>269</v>
      </c>
      <c r="E169" s="21">
        <v>18000</v>
      </c>
      <c r="F169" s="1" t="s">
        <v>68</v>
      </c>
      <c r="G169" s="25" t="s">
        <v>113</v>
      </c>
      <c r="H169" s="1" t="s">
        <v>114</v>
      </c>
      <c r="I169" s="1">
        <f t="shared" si="5"/>
        <v>0</v>
      </c>
      <c r="J169" s="57">
        <v>0</v>
      </c>
      <c r="K169" s="24">
        <v>45246.535243055558</v>
      </c>
    </row>
    <row r="170" spans="2:15" x14ac:dyDescent="0.25">
      <c r="B170" s="42" t="s">
        <v>169</v>
      </c>
      <c r="C170" s="25" t="s">
        <v>260</v>
      </c>
      <c r="D170" s="20" t="s">
        <v>269</v>
      </c>
      <c r="E170" s="21">
        <v>4</v>
      </c>
      <c r="F170" s="1" t="s">
        <v>68</v>
      </c>
      <c r="G170" s="25" t="s">
        <v>193</v>
      </c>
      <c r="H170" s="1" t="s">
        <v>194</v>
      </c>
      <c r="I170" s="1">
        <f t="shared" si="5"/>
        <v>0</v>
      </c>
      <c r="J170" s="57">
        <v>0</v>
      </c>
      <c r="K170" s="24">
        <v>45246.535162037035</v>
      </c>
    </row>
    <row r="171" spans="2:15" x14ac:dyDescent="0.25">
      <c r="B171" s="42" t="s">
        <v>169</v>
      </c>
      <c r="C171" s="25" t="s">
        <v>260</v>
      </c>
      <c r="D171" s="20" t="s">
        <v>269</v>
      </c>
      <c r="E171" s="21">
        <v>600</v>
      </c>
      <c r="F171" s="1" t="s">
        <v>68</v>
      </c>
      <c r="G171" s="25" t="s">
        <v>170</v>
      </c>
      <c r="H171" s="1" t="s">
        <v>270</v>
      </c>
      <c r="I171" s="1">
        <f t="shared" si="5"/>
        <v>0</v>
      </c>
      <c r="J171" s="57">
        <v>0</v>
      </c>
      <c r="K171" s="24">
        <v>45246.534629629627</v>
      </c>
    </row>
    <row r="172" spans="2:15" x14ac:dyDescent="0.25">
      <c r="B172" s="42" t="s">
        <v>169</v>
      </c>
      <c r="C172" s="25" t="s">
        <v>260</v>
      </c>
      <c r="D172" s="20" t="s">
        <v>269</v>
      </c>
      <c r="E172" s="21">
        <v>200</v>
      </c>
      <c r="F172" s="1" t="s">
        <v>68</v>
      </c>
      <c r="G172" s="25" t="s">
        <v>774</v>
      </c>
      <c r="H172" s="1" t="s">
        <v>189</v>
      </c>
      <c r="I172" s="1">
        <f t="shared" si="5"/>
        <v>0</v>
      </c>
      <c r="J172" s="57">
        <v>0</v>
      </c>
      <c r="K172" s="24">
        <v>45246.534583333334</v>
      </c>
    </row>
    <row r="173" spans="2:15" x14ac:dyDescent="0.25">
      <c r="B173" s="42" t="s">
        <v>169</v>
      </c>
      <c r="C173" s="25" t="s">
        <v>260</v>
      </c>
      <c r="D173" s="20" t="s">
        <v>269</v>
      </c>
      <c r="E173" s="21">
        <v>300</v>
      </c>
      <c r="F173" s="1" t="s">
        <v>137</v>
      </c>
      <c r="G173" s="25" t="s">
        <v>138</v>
      </c>
      <c r="H173" s="1" t="s">
        <v>139</v>
      </c>
      <c r="I173" s="1">
        <f t="shared" si="5"/>
        <v>0</v>
      </c>
      <c r="J173" s="57">
        <v>0</v>
      </c>
      <c r="K173" s="24">
        <v>45246.534537037034</v>
      </c>
    </row>
    <row r="174" spans="2:15" x14ac:dyDescent="0.25">
      <c r="B174" s="42" t="s">
        <v>169</v>
      </c>
      <c r="C174" s="25" t="s">
        <v>757</v>
      </c>
      <c r="D174" s="20" t="s">
        <v>271</v>
      </c>
      <c r="E174" s="21">
        <v>900</v>
      </c>
      <c r="F174" s="1" t="s">
        <v>68</v>
      </c>
      <c r="G174" s="25" t="s">
        <v>135</v>
      </c>
      <c r="H174" s="1" t="s">
        <v>136</v>
      </c>
      <c r="I174" s="1">
        <f t="shared" si="5"/>
        <v>0</v>
      </c>
      <c r="J174" s="57">
        <v>0</v>
      </c>
      <c r="K174" s="24">
        <v>45246.534490740742</v>
      </c>
    </row>
    <row r="175" spans="2:15" x14ac:dyDescent="0.25">
      <c r="B175" s="42" t="s">
        <v>66</v>
      </c>
      <c r="C175" s="25" t="s">
        <v>272</v>
      </c>
      <c r="D175" s="20" t="s">
        <v>272</v>
      </c>
      <c r="E175" s="21">
        <v>24</v>
      </c>
      <c r="F175" s="1" t="s">
        <v>68</v>
      </c>
      <c r="G175" s="25" t="s">
        <v>165</v>
      </c>
      <c r="H175" s="1" t="s">
        <v>166</v>
      </c>
      <c r="J175" s="57">
        <v>0</v>
      </c>
      <c r="K175" s="24">
        <v>45246.560069444444</v>
      </c>
      <c r="M175" s="22">
        <v>45237</v>
      </c>
      <c r="N175" s="20" t="s">
        <v>273</v>
      </c>
    </row>
    <row r="176" spans="2:15" x14ac:dyDescent="0.25">
      <c r="B176" s="42" t="s">
        <v>169</v>
      </c>
      <c r="C176" s="42" t="s">
        <v>263</v>
      </c>
      <c r="D176" s="20">
        <v>1140</v>
      </c>
      <c r="E176" s="21">
        <v>2000</v>
      </c>
      <c r="F176" s="1" t="s">
        <v>68</v>
      </c>
      <c r="G176" s="25" t="s">
        <v>156</v>
      </c>
      <c r="H176" s="1" t="s">
        <v>233</v>
      </c>
      <c r="I176" s="1">
        <f t="shared" ref="I176:I199" si="6">MAX((G176:G1023=D136)*E176:E1023)</f>
        <v>0</v>
      </c>
      <c r="J176" s="57">
        <v>0</v>
      </c>
      <c r="K176" s="24">
        <v>45246.694791666669</v>
      </c>
    </row>
    <row r="177" spans="2:11" x14ac:dyDescent="0.25">
      <c r="B177" s="42" t="s">
        <v>169</v>
      </c>
      <c r="C177" s="42" t="s">
        <v>256</v>
      </c>
      <c r="D177" s="20">
        <v>1139</v>
      </c>
      <c r="E177" s="21">
        <v>500</v>
      </c>
      <c r="F177" s="1" t="s">
        <v>68</v>
      </c>
      <c r="G177" s="25" t="s">
        <v>152</v>
      </c>
      <c r="H177" s="1" t="s">
        <v>153</v>
      </c>
      <c r="I177" s="1">
        <f t="shared" si="6"/>
        <v>0</v>
      </c>
      <c r="J177" s="57">
        <v>0</v>
      </c>
      <c r="K177" s="24">
        <v>45246.697210648148</v>
      </c>
    </row>
    <row r="178" spans="2:11" x14ac:dyDescent="0.25">
      <c r="B178" s="42" t="s">
        <v>169</v>
      </c>
      <c r="C178" s="42" t="s">
        <v>255</v>
      </c>
      <c r="D178" s="20">
        <v>1138</v>
      </c>
      <c r="E178" s="21">
        <v>1200</v>
      </c>
      <c r="F178" s="1" t="s">
        <v>68</v>
      </c>
      <c r="G178" s="25" t="s">
        <v>131</v>
      </c>
      <c r="H178" s="1" t="s">
        <v>222</v>
      </c>
      <c r="I178" s="1">
        <f t="shared" si="6"/>
        <v>0</v>
      </c>
      <c r="J178" s="57">
        <v>0</v>
      </c>
      <c r="K178" s="24">
        <v>45246.697175925925</v>
      </c>
    </row>
    <row r="179" spans="2:11" x14ac:dyDescent="0.25">
      <c r="B179" s="42" t="s">
        <v>169</v>
      </c>
      <c r="C179" s="42" t="s">
        <v>255</v>
      </c>
      <c r="D179" s="20">
        <v>1138</v>
      </c>
      <c r="E179" s="21">
        <v>8</v>
      </c>
      <c r="F179" s="1" t="s">
        <v>137</v>
      </c>
      <c r="G179" s="25" t="s">
        <v>143</v>
      </c>
      <c r="H179" s="1" t="s">
        <v>144</v>
      </c>
      <c r="I179" s="1">
        <f t="shared" si="6"/>
        <v>0</v>
      </c>
      <c r="J179" s="57">
        <v>0</v>
      </c>
      <c r="K179" s="24">
        <v>45246.697141203702</v>
      </c>
    </row>
    <row r="180" spans="2:11" x14ac:dyDescent="0.25">
      <c r="B180" s="42" t="s">
        <v>169</v>
      </c>
      <c r="C180" s="42" t="s">
        <v>255</v>
      </c>
      <c r="D180" s="20">
        <v>1138</v>
      </c>
      <c r="E180" s="21">
        <v>8</v>
      </c>
      <c r="F180" s="1" t="s">
        <v>137</v>
      </c>
      <c r="G180" s="25" t="s">
        <v>141</v>
      </c>
      <c r="H180" s="1" t="s">
        <v>142</v>
      </c>
      <c r="I180" s="1">
        <f t="shared" si="6"/>
        <v>0</v>
      </c>
      <c r="J180" s="57">
        <v>0</v>
      </c>
      <c r="K180" s="24">
        <v>45246.697118055556</v>
      </c>
    </row>
    <row r="181" spans="2:11" x14ac:dyDescent="0.25">
      <c r="B181" s="42" t="s">
        <v>169</v>
      </c>
      <c r="C181" s="42" t="s">
        <v>251</v>
      </c>
      <c r="D181" s="20">
        <v>1137</v>
      </c>
      <c r="E181" s="21">
        <v>105</v>
      </c>
      <c r="F181" s="1" t="s">
        <v>68</v>
      </c>
      <c r="G181" s="25" t="s">
        <v>773</v>
      </c>
      <c r="H181" s="1" t="s">
        <v>180</v>
      </c>
      <c r="I181" s="1">
        <f t="shared" si="6"/>
        <v>0</v>
      </c>
      <c r="J181" s="57">
        <v>0</v>
      </c>
      <c r="K181" s="24">
        <v>45246.697060185186</v>
      </c>
    </row>
    <row r="182" spans="2:11" x14ac:dyDescent="0.25">
      <c r="B182" s="42" t="s">
        <v>314</v>
      </c>
      <c r="C182" s="42" t="s">
        <v>274</v>
      </c>
      <c r="D182" s="20">
        <v>441</v>
      </c>
      <c r="E182" s="21">
        <v>25000</v>
      </c>
      <c r="F182" s="1" t="s">
        <v>68</v>
      </c>
      <c r="G182" s="25" t="s">
        <v>133</v>
      </c>
      <c r="H182" s="1" t="s">
        <v>134</v>
      </c>
      <c r="I182" s="1">
        <f t="shared" si="6"/>
        <v>0</v>
      </c>
      <c r="J182" s="57">
        <v>0</v>
      </c>
      <c r="K182" s="24">
        <v>45247.5784375</v>
      </c>
    </row>
    <row r="183" spans="2:11" x14ac:dyDescent="0.25">
      <c r="B183" s="42" t="s">
        <v>314</v>
      </c>
      <c r="C183" s="42" t="s">
        <v>275</v>
      </c>
      <c r="D183" s="20">
        <v>439</v>
      </c>
      <c r="E183" s="21">
        <v>400</v>
      </c>
      <c r="F183" s="1" t="s">
        <v>68</v>
      </c>
      <c r="G183" s="25" t="s">
        <v>163</v>
      </c>
      <c r="H183" s="1" t="s">
        <v>164</v>
      </c>
      <c r="I183" s="1">
        <f t="shared" si="6"/>
        <v>0</v>
      </c>
      <c r="J183" s="57">
        <v>0</v>
      </c>
      <c r="K183" s="24">
        <v>45247.5783912037</v>
      </c>
    </row>
    <row r="184" spans="2:11" x14ac:dyDescent="0.25">
      <c r="B184" s="42" t="s">
        <v>314</v>
      </c>
      <c r="C184" s="42" t="s">
        <v>276</v>
      </c>
      <c r="D184" s="20">
        <v>440</v>
      </c>
      <c r="E184" s="21">
        <v>250</v>
      </c>
      <c r="F184" s="1" t="s">
        <v>68</v>
      </c>
      <c r="G184" s="25" t="s">
        <v>150</v>
      </c>
      <c r="H184" s="1" t="s">
        <v>147</v>
      </c>
      <c r="I184" s="1">
        <f t="shared" si="6"/>
        <v>0</v>
      </c>
      <c r="J184" s="57">
        <v>0</v>
      </c>
      <c r="K184" s="24">
        <v>45247.578368055554</v>
      </c>
    </row>
    <row r="185" spans="2:11" x14ac:dyDescent="0.25">
      <c r="B185" s="42" t="s">
        <v>314</v>
      </c>
      <c r="C185" s="42" t="s">
        <v>277</v>
      </c>
      <c r="D185" s="20">
        <v>442</v>
      </c>
      <c r="E185" s="21">
        <v>40</v>
      </c>
      <c r="F185" s="1" t="s">
        <v>68</v>
      </c>
      <c r="G185" s="25" t="s">
        <v>773</v>
      </c>
      <c r="H185" s="1" t="s">
        <v>180</v>
      </c>
      <c r="I185" s="1">
        <f t="shared" si="6"/>
        <v>0</v>
      </c>
      <c r="J185" s="57">
        <v>0</v>
      </c>
      <c r="K185" s="24">
        <v>45247.578321759262</v>
      </c>
    </row>
    <row r="186" spans="2:11" x14ac:dyDescent="0.25">
      <c r="B186" s="42" t="s">
        <v>314</v>
      </c>
      <c r="C186" s="42" t="s">
        <v>277</v>
      </c>
      <c r="D186" s="20">
        <v>442</v>
      </c>
      <c r="E186" s="21">
        <v>180</v>
      </c>
      <c r="F186" s="1" t="s">
        <v>137</v>
      </c>
      <c r="G186" s="25" t="s">
        <v>138</v>
      </c>
      <c r="H186" s="1" t="s">
        <v>139</v>
      </c>
      <c r="I186" s="1">
        <f t="shared" si="6"/>
        <v>0</v>
      </c>
      <c r="J186" s="57">
        <v>0</v>
      </c>
      <c r="K186" s="24">
        <v>45247.578275462962</v>
      </c>
    </row>
    <row r="187" spans="2:11" x14ac:dyDescent="0.25">
      <c r="B187" s="42" t="s">
        <v>314</v>
      </c>
      <c r="C187" s="42" t="s">
        <v>277</v>
      </c>
      <c r="D187" s="20">
        <v>442</v>
      </c>
      <c r="E187" s="21">
        <v>6</v>
      </c>
      <c r="F187" s="1" t="s">
        <v>68</v>
      </c>
      <c r="G187" s="25" t="s">
        <v>193</v>
      </c>
      <c r="H187" s="1" t="s">
        <v>194</v>
      </c>
      <c r="I187" s="1">
        <f t="shared" si="6"/>
        <v>0</v>
      </c>
      <c r="J187" s="57">
        <v>0</v>
      </c>
      <c r="K187" s="24">
        <v>45247.577835648146</v>
      </c>
    </row>
    <row r="188" spans="2:11" x14ac:dyDescent="0.25">
      <c r="B188" s="42" t="s">
        <v>314</v>
      </c>
      <c r="C188" s="42" t="s">
        <v>278</v>
      </c>
      <c r="D188" s="20">
        <v>1135</v>
      </c>
      <c r="E188" s="21">
        <v>178</v>
      </c>
      <c r="F188" s="1" t="s">
        <v>68</v>
      </c>
      <c r="G188" s="25" t="s">
        <v>174</v>
      </c>
      <c r="H188" s="1" t="s">
        <v>225</v>
      </c>
      <c r="I188" s="1">
        <f t="shared" si="6"/>
        <v>0</v>
      </c>
      <c r="J188" s="57">
        <v>0</v>
      </c>
      <c r="K188" s="24">
        <v>45247.578206018516</v>
      </c>
    </row>
    <row r="189" spans="2:11" x14ac:dyDescent="0.25">
      <c r="B189" s="42" t="s">
        <v>314</v>
      </c>
      <c r="C189" s="42" t="s">
        <v>279</v>
      </c>
      <c r="D189" s="20">
        <v>1134</v>
      </c>
      <c r="E189" s="21">
        <v>6500</v>
      </c>
      <c r="F189" s="1" t="s">
        <v>68</v>
      </c>
      <c r="G189" s="25" t="s">
        <v>117</v>
      </c>
      <c r="H189" s="1" t="s">
        <v>118</v>
      </c>
      <c r="I189" s="1">
        <f t="shared" si="6"/>
        <v>0</v>
      </c>
      <c r="J189" s="57">
        <v>0</v>
      </c>
      <c r="K189" s="24">
        <v>45247.577650462961</v>
      </c>
    </row>
    <row r="190" spans="2:11" x14ac:dyDescent="0.25">
      <c r="B190" s="42" t="s">
        <v>314</v>
      </c>
      <c r="C190" s="42" t="s">
        <v>275</v>
      </c>
      <c r="D190" s="20">
        <v>1136</v>
      </c>
      <c r="E190" s="21">
        <v>2500</v>
      </c>
      <c r="F190" s="1" t="s">
        <v>68</v>
      </c>
      <c r="G190" s="25" t="s">
        <v>131</v>
      </c>
      <c r="H190" s="1" t="s">
        <v>222</v>
      </c>
      <c r="I190" s="1">
        <f t="shared" si="6"/>
        <v>0</v>
      </c>
      <c r="J190" s="57">
        <v>0</v>
      </c>
      <c r="K190" s="24">
        <v>45247.577604166669</v>
      </c>
    </row>
    <row r="191" spans="2:11" x14ac:dyDescent="0.25">
      <c r="B191" s="42" t="s">
        <v>314</v>
      </c>
      <c r="C191" s="42" t="s">
        <v>277</v>
      </c>
      <c r="D191" s="20">
        <v>1133</v>
      </c>
      <c r="E191" s="21">
        <v>20000</v>
      </c>
      <c r="F191" s="1" t="s">
        <v>68</v>
      </c>
      <c r="G191" s="25" t="s">
        <v>113</v>
      </c>
      <c r="H191" s="1" t="s">
        <v>114</v>
      </c>
      <c r="I191" s="1">
        <f t="shared" si="6"/>
        <v>0</v>
      </c>
      <c r="J191" s="57">
        <v>0</v>
      </c>
      <c r="K191" s="24">
        <v>45247.577534722222</v>
      </c>
    </row>
    <row r="192" spans="2:11" x14ac:dyDescent="0.25">
      <c r="B192" s="42" t="s">
        <v>314</v>
      </c>
      <c r="C192" s="42" t="s">
        <v>277</v>
      </c>
      <c r="D192" s="20">
        <v>1133</v>
      </c>
      <c r="E192" s="21">
        <v>650</v>
      </c>
      <c r="F192" s="1" t="s">
        <v>68</v>
      </c>
      <c r="G192" s="25" t="s">
        <v>170</v>
      </c>
      <c r="H192" s="1" t="s">
        <v>280</v>
      </c>
      <c r="I192" s="1">
        <f t="shared" si="6"/>
        <v>0</v>
      </c>
      <c r="J192" s="57">
        <v>0</v>
      </c>
      <c r="K192" s="24">
        <v>45247.577453703707</v>
      </c>
    </row>
    <row r="193" spans="1:15" x14ac:dyDescent="0.25">
      <c r="B193" s="42" t="s">
        <v>314</v>
      </c>
      <c r="C193" s="42" t="s">
        <v>277</v>
      </c>
      <c r="D193" s="20">
        <v>1133</v>
      </c>
      <c r="E193" s="21">
        <v>200</v>
      </c>
      <c r="F193" s="1" t="s">
        <v>68</v>
      </c>
      <c r="G193" s="25" t="s">
        <v>774</v>
      </c>
      <c r="H193" s="1" t="s">
        <v>189</v>
      </c>
      <c r="I193" s="1">
        <f t="shared" si="6"/>
        <v>0</v>
      </c>
      <c r="J193" s="57">
        <v>0</v>
      </c>
      <c r="K193" s="24">
        <v>45247.577384259261</v>
      </c>
    </row>
    <row r="194" spans="1:15" x14ac:dyDescent="0.25">
      <c r="B194" s="42" t="s">
        <v>314</v>
      </c>
      <c r="C194" s="42" t="s">
        <v>277</v>
      </c>
      <c r="D194" s="20">
        <v>1133</v>
      </c>
      <c r="E194" s="21">
        <v>80</v>
      </c>
      <c r="F194" s="1" t="s">
        <v>68</v>
      </c>
      <c r="G194" s="25" t="s">
        <v>177</v>
      </c>
      <c r="H194" s="1" t="s">
        <v>178</v>
      </c>
      <c r="I194" s="1">
        <f t="shared" si="6"/>
        <v>0</v>
      </c>
      <c r="J194" s="57">
        <v>0</v>
      </c>
      <c r="K194" s="24">
        <v>45247.577291666668</v>
      </c>
    </row>
    <row r="195" spans="1:15" x14ac:dyDescent="0.25">
      <c r="B195" s="42" t="s">
        <v>169</v>
      </c>
      <c r="C195" s="42" t="s">
        <v>281</v>
      </c>
      <c r="D195" s="20">
        <v>445</v>
      </c>
      <c r="E195" s="21">
        <v>2000</v>
      </c>
      <c r="F195" s="1" t="s">
        <v>68</v>
      </c>
      <c r="G195" s="25" t="s">
        <v>156</v>
      </c>
      <c r="H195" s="1" t="s">
        <v>233</v>
      </c>
      <c r="I195" s="1">
        <f t="shared" si="6"/>
        <v>0</v>
      </c>
      <c r="J195" s="57">
        <v>0</v>
      </c>
      <c r="K195" s="24">
        <v>45247.602060185185</v>
      </c>
    </row>
    <row r="196" spans="1:15" x14ac:dyDescent="0.25">
      <c r="B196" s="42" t="s">
        <v>169</v>
      </c>
      <c r="C196" s="42" t="s">
        <v>282</v>
      </c>
      <c r="D196" s="20">
        <v>444</v>
      </c>
      <c r="E196" s="21">
        <v>15</v>
      </c>
      <c r="F196" s="1" t="s">
        <v>68</v>
      </c>
      <c r="G196" s="25" t="s">
        <v>772</v>
      </c>
      <c r="H196" s="1" t="s">
        <v>160</v>
      </c>
      <c r="I196" s="1">
        <f t="shared" si="6"/>
        <v>0</v>
      </c>
      <c r="J196" s="57">
        <v>0</v>
      </c>
      <c r="K196" s="24">
        <v>45247.605520833335</v>
      </c>
      <c r="M196" s="1" t="s">
        <v>283</v>
      </c>
    </row>
    <row r="197" spans="1:15" x14ac:dyDescent="0.25">
      <c r="B197" s="42" t="s">
        <v>169</v>
      </c>
      <c r="C197" s="42" t="s">
        <v>284</v>
      </c>
      <c r="D197" s="20">
        <v>443</v>
      </c>
      <c r="E197" s="21">
        <v>240</v>
      </c>
      <c r="F197" s="1" t="s">
        <v>68</v>
      </c>
      <c r="G197" s="25" t="s">
        <v>152</v>
      </c>
      <c r="H197" s="1" t="s">
        <v>153</v>
      </c>
      <c r="I197" s="1">
        <f t="shared" si="6"/>
        <v>0</v>
      </c>
      <c r="J197" s="57">
        <v>0</v>
      </c>
      <c r="K197" s="24">
        <v>45247.603402777779</v>
      </c>
    </row>
    <row r="198" spans="1:15" x14ac:dyDescent="0.25">
      <c r="B198" s="42" t="s">
        <v>314</v>
      </c>
      <c r="C198" s="42" t="s">
        <v>285</v>
      </c>
      <c r="D198" s="20">
        <v>446</v>
      </c>
      <c r="E198" s="21">
        <v>5500</v>
      </c>
      <c r="F198" s="1" t="s">
        <v>68</v>
      </c>
      <c r="G198" s="25" t="s">
        <v>156</v>
      </c>
      <c r="H198" s="1" t="s">
        <v>233</v>
      </c>
      <c r="I198" s="1">
        <f t="shared" si="6"/>
        <v>0</v>
      </c>
      <c r="J198" s="57">
        <v>0</v>
      </c>
      <c r="K198" s="24">
        <v>45247.607858796298</v>
      </c>
    </row>
    <row r="199" spans="1:15" x14ac:dyDescent="0.25">
      <c r="B199" s="42" t="s">
        <v>314</v>
      </c>
      <c r="C199" s="42" t="s">
        <v>285</v>
      </c>
      <c r="D199" s="20">
        <v>446</v>
      </c>
      <c r="E199" s="21">
        <v>2400</v>
      </c>
      <c r="F199" s="1" t="s">
        <v>68</v>
      </c>
      <c r="G199" s="25" t="s">
        <v>190</v>
      </c>
      <c r="H199" s="1" t="s">
        <v>191</v>
      </c>
      <c r="I199" s="1">
        <f t="shared" si="6"/>
        <v>0</v>
      </c>
      <c r="J199" s="57">
        <v>0</v>
      </c>
      <c r="K199" s="24">
        <v>45247.607812499999</v>
      </c>
    </row>
    <row r="200" spans="1:15" x14ac:dyDescent="0.25">
      <c r="B200" s="42" t="s">
        <v>782</v>
      </c>
      <c r="C200" s="42" t="s">
        <v>286</v>
      </c>
      <c r="D200" s="20" t="s">
        <v>287</v>
      </c>
      <c r="E200" s="21">
        <v>1512</v>
      </c>
      <c r="F200" s="1" t="s">
        <v>68</v>
      </c>
      <c r="G200" s="25" t="s">
        <v>170</v>
      </c>
      <c r="H200" s="1" t="s">
        <v>280</v>
      </c>
      <c r="I200" s="1" t="s">
        <v>172</v>
      </c>
      <c r="J200" s="30">
        <v>1</v>
      </c>
      <c r="K200" s="24">
        <v>45250.391331018516</v>
      </c>
      <c r="M200" s="1" t="s">
        <v>288</v>
      </c>
    </row>
    <row r="201" spans="1:15" hidden="1" x14ac:dyDescent="0.25">
      <c r="A201" s="1">
        <v>100</v>
      </c>
      <c r="B201" s="42"/>
      <c r="C201" s="42"/>
      <c r="D201" s="28"/>
      <c r="E201" s="32"/>
      <c r="G201" s="25"/>
      <c r="K201" s="24"/>
    </row>
    <row r="202" spans="1:15" x14ac:dyDescent="0.25">
      <c r="B202" s="42" t="s">
        <v>291</v>
      </c>
      <c r="C202" s="42" t="s">
        <v>259</v>
      </c>
      <c r="D202" s="20">
        <v>386</v>
      </c>
      <c r="E202" s="21">
        <f>26*2</f>
        <v>52</v>
      </c>
      <c r="F202" s="1" t="s">
        <v>145</v>
      </c>
      <c r="G202" s="25" t="s">
        <v>119</v>
      </c>
      <c r="H202" s="1" t="s">
        <v>173</v>
      </c>
      <c r="J202" s="21">
        <v>1</v>
      </c>
      <c r="K202" s="22">
        <v>45190</v>
      </c>
      <c r="L202" s="23">
        <v>52</v>
      </c>
      <c r="M202" s="22">
        <v>45188</v>
      </c>
      <c r="N202" s="1" t="s">
        <v>292</v>
      </c>
    </row>
    <row r="203" spans="1:15" hidden="1" x14ac:dyDescent="0.25">
      <c r="B203" s="42"/>
      <c r="C203" s="42"/>
      <c r="D203" s="28"/>
      <c r="E203" s="1"/>
      <c r="G203" s="25"/>
      <c r="K203" s="24"/>
    </row>
    <row r="204" spans="1:15" x14ac:dyDescent="0.25">
      <c r="B204" s="42" t="s">
        <v>295</v>
      </c>
      <c r="C204" s="42" t="s">
        <v>296</v>
      </c>
      <c r="D204" s="20" t="s">
        <v>66</v>
      </c>
      <c r="E204" s="21">
        <v>4000</v>
      </c>
      <c r="F204" s="1" t="s">
        <v>68</v>
      </c>
      <c r="G204" s="25" t="s">
        <v>174</v>
      </c>
      <c r="H204" s="1" t="s">
        <v>225</v>
      </c>
      <c r="I204" s="1" t="s">
        <v>176</v>
      </c>
      <c r="J204" s="30">
        <v>1</v>
      </c>
      <c r="K204" s="24">
        <v>45251.562847222223</v>
      </c>
      <c r="M204" s="1" t="s">
        <v>268</v>
      </c>
    </row>
    <row r="205" spans="1:15" x14ac:dyDescent="0.25">
      <c r="B205" s="42" t="s">
        <v>297</v>
      </c>
      <c r="C205" s="42" t="s">
        <v>298</v>
      </c>
      <c r="D205" s="20" t="s">
        <v>299</v>
      </c>
      <c r="E205" s="21">
        <v>400</v>
      </c>
      <c r="F205" s="1" t="s">
        <v>68</v>
      </c>
      <c r="G205" s="25" t="s">
        <v>773</v>
      </c>
      <c r="H205" s="1" t="s">
        <v>180</v>
      </c>
      <c r="I205" s="1" t="s">
        <v>154</v>
      </c>
      <c r="J205" s="30">
        <v>1</v>
      </c>
      <c r="K205" s="24">
        <v>45251.639594907407</v>
      </c>
      <c r="M205" s="1" t="s">
        <v>300</v>
      </c>
      <c r="O205" s="51">
        <v>100</v>
      </c>
    </row>
    <row r="206" spans="1:15" x14ac:dyDescent="0.25">
      <c r="B206" s="42" t="s">
        <v>297</v>
      </c>
      <c r="C206" s="42" t="s">
        <v>298</v>
      </c>
      <c r="D206" s="20" t="s">
        <v>299</v>
      </c>
      <c r="E206" s="21">
        <v>240</v>
      </c>
      <c r="F206" s="1" t="s">
        <v>68</v>
      </c>
      <c r="G206" s="25" t="s">
        <v>771</v>
      </c>
      <c r="H206" s="1" t="s">
        <v>158</v>
      </c>
      <c r="I206" s="1" t="s">
        <v>154</v>
      </c>
      <c r="J206" s="30">
        <v>1</v>
      </c>
      <c r="K206" s="24">
        <v>45251.640868055554</v>
      </c>
      <c r="M206" s="1" t="s">
        <v>300</v>
      </c>
    </row>
    <row r="207" spans="1:15" x14ac:dyDescent="0.25">
      <c r="B207" s="42" t="s">
        <v>169</v>
      </c>
      <c r="C207" s="42" t="s">
        <v>253</v>
      </c>
      <c r="D207" s="20" t="s">
        <v>301</v>
      </c>
      <c r="E207" s="21">
        <v>15</v>
      </c>
      <c r="F207" s="1" t="s">
        <v>68</v>
      </c>
      <c r="G207" s="25" t="s">
        <v>772</v>
      </c>
      <c r="H207" s="1" t="s">
        <v>160</v>
      </c>
      <c r="I207" s="1" t="s">
        <v>154</v>
      </c>
      <c r="J207" s="57">
        <v>0</v>
      </c>
      <c r="K207" s="24">
        <v>45251.727060185185</v>
      </c>
    </row>
    <row r="208" spans="1:15" x14ac:dyDescent="0.25">
      <c r="B208" s="42" t="s">
        <v>169</v>
      </c>
      <c r="C208" s="42" t="s">
        <v>254</v>
      </c>
      <c r="D208" s="20" t="s">
        <v>302</v>
      </c>
      <c r="E208" s="21">
        <v>720</v>
      </c>
      <c r="F208" s="1" t="s">
        <v>145</v>
      </c>
      <c r="G208" s="25" t="s">
        <v>150</v>
      </c>
      <c r="H208" s="1" t="s">
        <v>147</v>
      </c>
      <c r="I208" s="1" t="s">
        <v>148</v>
      </c>
      <c r="J208" s="57">
        <v>0</v>
      </c>
      <c r="K208" s="24">
        <v>45251.824074074073</v>
      </c>
    </row>
    <row r="209" spans="2:13" x14ac:dyDescent="0.25">
      <c r="B209" s="42" t="s">
        <v>169</v>
      </c>
      <c r="C209" s="42" t="s">
        <v>303</v>
      </c>
      <c r="D209" s="20" t="s">
        <v>304</v>
      </c>
      <c r="E209" s="21">
        <v>3600</v>
      </c>
      <c r="F209" s="1" t="s">
        <v>68</v>
      </c>
      <c r="G209" s="25" t="s">
        <v>133</v>
      </c>
      <c r="H209" s="1" t="s">
        <v>134</v>
      </c>
      <c r="I209" s="1" t="s">
        <v>115</v>
      </c>
      <c r="J209" s="57">
        <v>0</v>
      </c>
      <c r="K209" s="24">
        <v>45251.824895833335</v>
      </c>
    </row>
    <row r="210" spans="2:13" x14ac:dyDescent="0.25">
      <c r="B210" s="42" t="s">
        <v>169</v>
      </c>
      <c r="C210" s="42" t="s">
        <v>305</v>
      </c>
      <c r="D210" s="20" t="s">
        <v>306</v>
      </c>
      <c r="E210" s="21">
        <v>3600</v>
      </c>
      <c r="F210" s="1" t="s">
        <v>68</v>
      </c>
      <c r="G210" s="25" t="s">
        <v>113</v>
      </c>
      <c r="H210" s="1" t="s">
        <v>114</v>
      </c>
      <c r="I210" s="1" t="s">
        <v>115</v>
      </c>
      <c r="J210" s="57">
        <v>0</v>
      </c>
      <c r="K210" s="24">
        <v>45251.82540509259</v>
      </c>
    </row>
    <row r="211" spans="2:13" x14ac:dyDescent="0.25">
      <c r="B211" s="42" t="s">
        <v>169</v>
      </c>
      <c r="C211" s="42" t="s">
        <v>256</v>
      </c>
      <c r="D211" s="20" t="s">
        <v>307</v>
      </c>
      <c r="E211" s="21">
        <v>1000</v>
      </c>
      <c r="F211" s="1" t="s">
        <v>68</v>
      </c>
      <c r="G211" s="25" t="s">
        <v>152</v>
      </c>
      <c r="H211" s="1" t="s">
        <v>153</v>
      </c>
      <c r="I211" s="1" t="s">
        <v>154</v>
      </c>
      <c r="J211" s="57">
        <v>0</v>
      </c>
      <c r="K211" s="24">
        <v>45251.825891203705</v>
      </c>
    </row>
    <row r="212" spans="2:13" x14ac:dyDescent="0.25">
      <c r="B212" s="42" t="s">
        <v>169</v>
      </c>
      <c r="C212" s="42" t="s">
        <v>255</v>
      </c>
      <c r="D212" s="20" t="s">
        <v>308</v>
      </c>
      <c r="E212" s="21">
        <v>8</v>
      </c>
      <c r="F212" s="1" t="s">
        <v>137</v>
      </c>
      <c r="G212" s="25" t="s">
        <v>143</v>
      </c>
      <c r="H212" s="1" t="s">
        <v>144</v>
      </c>
      <c r="I212" s="1" t="s">
        <v>140</v>
      </c>
      <c r="J212" s="57">
        <v>0</v>
      </c>
      <c r="K212" s="24">
        <v>45251.826608796298</v>
      </c>
    </row>
    <row r="213" spans="2:13" x14ac:dyDescent="0.25">
      <c r="B213" s="42" t="s">
        <v>169</v>
      </c>
      <c r="C213" s="42" t="s">
        <v>309</v>
      </c>
      <c r="D213" s="20">
        <v>453</v>
      </c>
      <c r="E213" s="21">
        <v>1000</v>
      </c>
      <c r="F213" s="1" t="s">
        <v>68</v>
      </c>
      <c r="G213" s="25" t="s">
        <v>129</v>
      </c>
      <c r="H213" s="1" t="s">
        <v>130</v>
      </c>
      <c r="I213" s="1" t="s">
        <v>115</v>
      </c>
      <c r="J213" s="57">
        <v>0</v>
      </c>
      <c r="K213" s="24">
        <v>45252.7580787037</v>
      </c>
    </row>
    <row r="214" spans="2:13" x14ac:dyDescent="0.25">
      <c r="B214" s="42" t="s">
        <v>169</v>
      </c>
      <c r="C214" s="42" t="s">
        <v>310</v>
      </c>
      <c r="D214" s="20">
        <v>454</v>
      </c>
      <c r="E214" s="21">
        <v>8</v>
      </c>
      <c r="F214" s="1" t="s">
        <v>137</v>
      </c>
      <c r="G214" s="25" t="s">
        <v>141</v>
      </c>
      <c r="H214" s="1" t="s">
        <v>142</v>
      </c>
      <c r="I214" s="1" t="s">
        <v>140</v>
      </c>
      <c r="J214" s="57">
        <v>0</v>
      </c>
      <c r="K214" s="24">
        <v>45252.760335648149</v>
      </c>
    </row>
    <row r="215" spans="2:13" x14ac:dyDescent="0.25">
      <c r="B215" s="42" t="s">
        <v>169</v>
      </c>
      <c r="C215" s="42" t="s">
        <v>311</v>
      </c>
      <c r="D215" s="20">
        <v>456</v>
      </c>
      <c r="E215" s="21">
        <v>720</v>
      </c>
      <c r="F215" s="1" t="s">
        <v>145</v>
      </c>
      <c r="G215" s="25" t="s">
        <v>150</v>
      </c>
      <c r="H215" s="1" t="s">
        <v>147</v>
      </c>
      <c r="I215" s="1" t="s">
        <v>148</v>
      </c>
      <c r="J215" s="57">
        <v>0</v>
      </c>
      <c r="K215" s="24">
        <v>45252.761111111111</v>
      </c>
    </row>
    <row r="216" spans="2:13" x14ac:dyDescent="0.25">
      <c r="B216" s="42" t="s">
        <v>169</v>
      </c>
      <c r="C216" s="42" t="s">
        <v>282</v>
      </c>
      <c r="D216" s="20">
        <v>455</v>
      </c>
      <c r="E216" s="21">
        <v>20</v>
      </c>
      <c r="F216" s="1" t="s">
        <v>68</v>
      </c>
      <c r="G216" s="25" t="s">
        <v>772</v>
      </c>
      <c r="H216" s="1" t="s">
        <v>160</v>
      </c>
      <c r="I216" s="1" t="s">
        <v>154</v>
      </c>
      <c r="J216" s="57">
        <v>0</v>
      </c>
      <c r="K216" s="24">
        <v>45252.76185185185</v>
      </c>
    </row>
    <row r="217" spans="2:13" x14ac:dyDescent="0.25">
      <c r="B217" s="42" t="s">
        <v>312</v>
      </c>
      <c r="C217" s="42" t="s">
        <v>313</v>
      </c>
      <c r="D217" s="20" t="s">
        <v>66</v>
      </c>
      <c r="E217" s="21">
        <v>1008</v>
      </c>
      <c r="F217" s="1" t="s">
        <v>145</v>
      </c>
      <c r="G217" s="25" t="s">
        <v>146</v>
      </c>
      <c r="H217" s="1" t="s">
        <v>147</v>
      </c>
      <c r="I217" s="1" t="s">
        <v>148</v>
      </c>
      <c r="J217" s="30">
        <v>1</v>
      </c>
      <c r="K217" s="24">
        <v>45252.767546296294</v>
      </c>
      <c r="M217" s="1" t="s">
        <v>268</v>
      </c>
    </row>
    <row r="218" spans="2:13" x14ac:dyDescent="0.25">
      <c r="B218" s="42" t="s">
        <v>314</v>
      </c>
      <c r="C218" s="42" t="s">
        <v>285</v>
      </c>
      <c r="D218" s="20" t="s">
        <v>315</v>
      </c>
      <c r="E218" s="21">
        <v>2600</v>
      </c>
      <c r="F218" s="1" t="s">
        <v>68</v>
      </c>
      <c r="G218" s="25" t="s">
        <v>156</v>
      </c>
      <c r="H218" s="1" t="s">
        <v>157</v>
      </c>
      <c r="I218" s="1" t="s">
        <v>154</v>
      </c>
      <c r="J218" s="57">
        <v>0</v>
      </c>
      <c r="K218" s="24">
        <v>45253.641493055555</v>
      </c>
    </row>
    <row r="219" spans="2:13" x14ac:dyDescent="0.25">
      <c r="B219" s="42" t="s">
        <v>314</v>
      </c>
      <c r="C219" s="42" t="s">
        <v>285</v>
      </c>
      <c r="D219" s="20" t="s">
        <v>315</v>
      </c>
      <c r="E219" s="21">
        <v>350</v>
      </c>
      <c r="F219" s="1" t="s">
        <v>68</v>
      </c>
      <c r="G219" s="25" t="s">
        <v>165</v>
      </c>
      <c r="H219" s="1" t="s">
        <v>166</v>
      </c>
      <c r="J219" s="57">
        <v>0</v>
      </c>
      <c r="K219" s="24">
        <v>45253.641886574071</v>
      </c>
    </row>
    <row r="220" spans="2:13" x14ac:dyDescent="0.25">
      <c r="B220" s="42" t="s">
        <v>314</v>
      </c>
      <c r="C220" s="42" t="s">
        <v>285</v>
      </c>
      <c r="D220" s="20" t="s">
        <v>315</v>
      </c>
      <c r="E220" s="21">
        <v>1200</v>
      </c>
      <c r="F220" s="1" t="s">
        <v>68</v>
      </c>
      <c r="G220" s="25" t="s">
        <v>190</v>
      </c>
      <c r="H220" s="1" t="s">
        <v>191</v>
      </c>
      <c r="I220" s="1" t="s">
        <v>154</v>
      </c>
      <c r="J220" s="57">
        <v>0</v>
      </c>
      <c r="K220" s="24">
        <v>45253.642233796294</v>
      </c>
    </row>
    <row r="221" spans="2:13" x14ac:dyDescent="0.25">
      <c r="B221" s="42" t="s">
        <v>314</v>
      </c>
      <c r="C221" s="42" t="s">
        <v>277</v>
      </c>
      <c r="D221" s="20" t="s">
        <v>316</v>
      </c>
      <c r="E221" s="21">
        <v>35</v>
      </c>
      <c r="F221" s="1" t="s">
        <v>68</v>
      </c>
      <c r="G221" s="25" t="s">
        <v>773</v>
      </c>
      <c r="H221" s="1" t="s">
        <v>180</v>
      </c>
      <c r="I221" s="1" t="s">
        <v>154</v>
      </c>
      <c r="J221" s="57">
        <v>0</v>
      </c>
      <c r="K221" s="24">
        <v>45253.642858796295</v>
      </c>
      <c r="L221" s="23">
        <v>720</v>
      </c>
      <c r="M221" s="23">
        <f>L221-60</f>
        <v>660</v>
      </c>
    </row>
    <row r="222" spans="2:13" x14ac:dyDescent="0.25">
      <c r="B222" s="42" t="s">
        <v>317</v>
      </c>
      <c r="C222" s="42" t="s">
        <v>261</v>
      </c>
      <c r="D222" s="20">
        <v>136592</v>
      </c>
      <c r="E222" s="21">
        <v>2400</v>
      </c>
      <c r="F222" s="1" t="s">
        <v>68</v>
      </c>
      <c r="G222" s="25" t="s">
        <v>129</v>
      </c>
      <c r="H222" s="1" t="s">
        <v>130</v>
      </c>
      <c r="I222" s="1" t="s">
        <v>115</v>
      </c>
      <c r="J222" s="30">
        <v>1</v>
      </c>
      <c r="K222" s="24">
        <v>45254.461793981478</v>
      </c>
      <c r="M222" s="1" t="s">
        <v>300</v>
      </c>
    </row>
    <row r="223" spans="2:13" x14ac:dyDescent="0.25">
      <c r="B223" s="42" t="s">
        <v>317</v>
      </c>
      <c r="C223" s="42" t="s">
        <v>261</v>
      </c>
      <c r="D223" s="20">
        <v>136592</v>
      </c>
      <c r="E223" s="21">
        <v>2400</v>
      </c>
      <c r="F223" s="1" t="s">
        <v>68</v>
      </c>
      <c r="G223" s="25" t="s">
        <v>127</v>
      </c>
      <c r="H223" s="1" t="s">
        <v>128</v>
      </c>
      <c r="I223" s="1" t="s">
        <v>115</v>
      </c>
      <c r="J223" s="30">
        <v>1</v>
      </c>
      <c r="K223" s="24">
        <v>45254.463599537034</v>
      </c>
      <c r="M223" s="1" t="s">
        <v>300</v>
      </c>
    </row>
    <row r="224" spans="2:13" x14ac:dyDescent="0.25">
      <c r="B224" s="42" t="s">
        <v>317</v>
      </c>
      <c r="C224" s="42" t="s">
        <v>261</v>
      </c>
      <c r="D224" s="20">
        <v>136592</v>
      </c>
      <c r="E224" s="21">
        <v>1000</v>
      </c>
      <c r="F224" s="1" t="s">
        <v>68</v>
      </c>
      <c r="G224" s="25" t="s">
        <v>161</v>
      </c>
      <c r="H224" s="1" t="s">
        <v>318</v>
      </c>
      <c r="I224" s="1" t="s">
        <v>115</v>
      </c>
      <c r="J224" s="30">
        <v>1</v>
      </c>
      <c r="K224" s="24">
        <v>45254.470868055556</v>
      </c>
      <c r="M224" s="1" t="s">
        <v>300</v>
      </c>
    </row>
    <row r="225" spans="2:14" x14ac:dyDescent="0.25">
      <c r="B225" s="42" t="s">
        <v>319</v>
      </c>
      <c r="C225" s="42" t="s">
        <v>261</v>
      </c>
      <c r="D225" s="20">
        <v>136351</v>
      </c>
      <c r="E225" s="21">
        <v>5000</v>
      </c>
      <c r="F225" s="1" t="s">
        <v>68</v>
      </c>
      <c r="G225" s="25" t="s">
        <v>127</v>
      </c>
      <c r="H225" s="1" t="s">
        <v>128</v>
      </c>
      <c r="I225" s="1" t="s">
        <v>115</v>
      </c>
      <c r="J225" s="30">
        <v>1</v>
      </c>
      <c r="K225" s="24">
        <v>45254.473067129627</v>
      </c>
      <c r="M225" s="22">
        <v>45241</v>
      </c>
    </row>
    <row r="226" spans="2:14" x14ac:dyDescent="0.25">
      <c r="B226" s="42" t="s">
        <v>169</v>
      </c>
      <c r="C226" s="42" t="s">
        <v>305</v>
      </c>
      <c r="D226" s="20" t="s">
        <v>320</v>
      </c>
      <c r="E226" s="21">
        <v>3600</v>
      </c>
      <c r="F226" s="1" t="s">
        <v>68</v>
      </c>
      <c r="G226" s="25" t="s">
        <v>113</v>
      </c>
      <c r="H226" s="1" t="s">
        <v>114</v>
      </c>
      <c r="I226" s="1" t="s">
        <v>115</v>
      </c>
      <c r="J226" s="57">
        <v>0</v>
      </c>
      <c r="K226" s="24">
        <v>45257.594629629632</v>
      </c>
    </row>
    <row r="227" spans="2:14" x14ac:dyDescent="0.25">
      <c r="B227" s="42" t="s">
        <v>66</v>
      </c>
      <c r="C227" s="42" t="s">
        <v>256</v>
      </c>
      <c r="D227" s="20" t="s">
        <v>321</v>
      </c>
      <c r="E227" s="21">
        <v>360</v>
      </c>
      <c r="F227" s="1" t="s">
        <v>68</v>
      </c>
      <c r="G227" s="25" t="s">
        <v>152</v>
      </c>
      <c r="H227" s="1" t="s">
        <v>153</v>
      </c>
      <c r="I227" s="1" t="s">
        <v>154</v>
      </c>
      <c r="J227" s="57">
        <v>0</v>
      </c>
      <c r="K227" s="24">
        <v>45257.595289351855</v>
      </c>
    </row>
    <row r="228" spans="2:14" x14ac:dyDescent="0.25">
      <c r="B228" s="42" t="s">
        <v>66</v>
      </c>
      <c r="C228" s="42" t="s">
        <v>322</v>
      </c>
      <c r="D228" s="20" t="s">
        <v>323</v>
      </c>
      <c r="E228" s="21">
        <v>700</v>
      </c>
      <c r="F228" s="1" t="s">
        <v>68</v>
      </c>
      <c r="G228" s="25" t="s">
        <v>212</v>
      </c>
      <c r="H228" s="1" t="s">
        <v>213</v>
      </c>
      <c r="I228" s="1" t="s">
        <v>154</v>
      </c>
      <c r="J228" s="57">
        <v>0</v>
      </c>
      <c r="K228" s="24">
        <v>45257.595925925925</v>
      </c>
    </row>
    <row r="229" spans="2:14" x14ac:dyDescent="0.25">
      <c r="B229" s="42" t="s">
        <v>324</v>
      </c>
      <c r="C229" s="42" t="s">
        <v>325</v>
      </c>
      <c r="D229" s="20" t="s">
        <v>326</v>
      </c>
      <c r="E229" s="21">
        <v>1000</v>
      </c>
      <c r="F229" s="1" t="s">
        <v>68</v>
      </c>
      <c r="G229" s="25" t="s">
        <v>774</v>
      </c>
      <c r="H229" s="1" t="s">
        <v>189</v>
      </c>
      <c r="I229" s="1" t="s">
        <v>154</v>
      </c>
      <c r="J229" s="30">
        <v>1</v>
      </c>
      <c r="K229" s="24">
        <v>45257.599270833336</v>
      </c>
      <c r="M229" s="1" t="s">
        <v>327</v>
      </c>
    </row>
    <row r="230" spans="2:14" x14ac:dyDescent="0.25">
      <c r="B230" s="42" t="s">
        <v>324</v>
      </c>
      <c r="C230" s="42" t="s">
        <v>325</v>
      </c>
      <c r="D230" s="20" t="s">
        <v>326</v>
      </c>
      <c r="E230" s="21">
        <v>700</v>
      </c>
      <c r="F230" s="1" t="s">
        <v>68</v>
      </c>
      <c r="G230" s="25" t="s">
        <v>212</v>
      </c>
      <c r="H230" s="1" t="s">
        <v>213</v>
      </c>
      <c r="I230" s="1" t="s">
        <v>154</v>
      </c>
      <c r="J230" s="30">
        <v>1</v>
      </c>
      <c r="K230" s="24">
        <v>45257.600856481484</v>
      </c>
      <c r="M230" s="1" t="s">
        <v>327</v>
      </c>
    </row>
    <row r="231" spans="2:14" x14ac:dyDescent="0.25">
      <c r="B231" s="42" t="s">
        <v>328</v>
      </c>
      <c r="C231" s="42" t="s">
        <v>329</v>
      </c>
      <c r="D231" s="20" t="s">
        <v>326</v>
      </c>
      <c r="E231" s="21">
        <v>1300</v>
      </c>
      <c r="F231" s="1" t="s">
        <v>68</v>
      </c>
      <c r="G231" s="25" t="s">
        <v>212</v>
      </c>
      <c r="H231" s="1" t="s">
        <v>213</v>
      </c>
      <c r="I231" s="1" t="s">
        <v>154</v>
      </c>
      <c r="J231" s="30">
        <v>1</v>
      </c>
      <c r="K231" s="24">
        <v>45257.602662037039</v>
      </c>
      <c r="M231" s="1" t="s">
        <v>327</v>
      </c>
    </row>
    <row r="232" spans="2:14" x14ac:dyDescent="0.25">
      <c r="B232" s="42" t="s">
        <v>330</v>
      </c>
      <c r="C232" s="42" t="s">
        <v>331</v>
      </c>
      <c r="D232" s="20" t="s">
        <v>205</v>
      </c>
      <c r="E232" s="21">
        <v>400</v>
      </c>
      <c r="F232" s="1" t="s">
        <v>68</v>
      </c>
      <c r="G232" s="25" t="s">
        <v>212</v>
      </c>
      <c r="H232" s="1" t="s">
        <v>213</v>
      </c>
      <c r="I232" s="1" t="s">
        <v>154</v>
      </c>
      <c r="J232" s="30">
        <v>1</v>
      </c>
      <c r="K232" s="24">
        <v>45257.604351851849</v>
      </c>
      <c r="M232" s="1" t="s">
        <v>327</v>
      </c>
    </row>
    <row r="233" spans="2:14" x14ac:dyDescent="0.25">
      <c r="B233" s="42" t="s">
        <v>332</v>
      </c>
      <c r="C233" s="42" t="s">
        <v>333</v>
      </c>
      <c r="D233" s="20" t="s">
        <v>334</v>
      </c>
      <c r="E233" s="21">
        <v>1000</v>
      </c>
      <c r="F233" s="1" t="s">
        <v>68</v>
      </c>
      <c r="G233" s="25" t="s">
        <v>774</v>
      </c>
      <c r="H233" s="1" t="s">
        <v>189</v>
      </c>
      <c r="I233" s="1" t="s">
        <v>154</v>
      </c>
      <c r="J233" s="30">
        <v>1</v>
      </c>
      <c r="K233" s="24">
        <v>45257.605196759258</v>
      </c>
      <c r="M233" s="1" t="s">
        <v>327</v>
      </c>
    </row>
    <row r="234" spans="2:14" x14ac:dyDescent="0.25">
      <c r="B234" s="42" t="s">
        <v>169</v>
      </c>
      <c r="C234" s="42" t="s">
        <v>281</v>
      </c>
      <c r="D234" s="20" t="s">
        <v>335</v>
      </c>
      <c r="E234" s="21">
        <v>4000</v>
      </c>
      <c r="F234" s="1" t="s">
        <v>68</v>
      </c>
      <c r="G234" s="25" t="s">
        <v>156</v>
      </c>
      <c r="H234" s="1" t="s">
        <v>157</v>
      </c>
      <c r="I234" s="1" t="s">
        <v>154</v>
      </c>
      <c r="J234" s="57">
        <v>0</v>
      </c>
      <c r="K234" s="24">
        <v>45258.596377314818</v>
      </c>
    </row>
    <row r="235" spans="2:14" x14ac:dyDescent="0.25">
      <c r="B235" s="42" t="s">
        <v>314</v>
      </c>
      <c r="C235" s="42" t="s">
        <v>260</v>
      </c>
      <c r="D235" s="20">
        <v>459</v>
      </c>
      <c r="E235" s="21">
        <v>13</v>
      </c>
      <c r="F235" s="1" t="s">
        <v>68</v>
      </c>
      <c r="G235" s="25" t="s">
        <v>772</v>
      </c>
      <c r="H235" s="1" t="s">
        <v>160</v>
      </c>
      <c r="I235" s="1" t="s">
        <v>154</v>
      </c>
      <c r="J235" s="57">
        <v>0</v>
      </c>
      <c r="K235" s="24">
        <v>45258.598379629628</v>
      </c>
      <c r="N235" s="1">
        <f>91+72</f>
        <v>163</v>
      </c>
    </row>
    <row r="236" spans="2:14" x14ac:dyDescent="0.25">
      <c r="B236" s="42" t="s">
        <v>314</v>
      </c>
      <c r="C236" s="42" t="s">
        <v>260</v>
      </c>
      <c r="D236" s="20">
        <v>459</v>
      </c>
      <c r="E236" s="21">
        <v>36</v>
      </c>
      <c r="F236" s="1" t="s">
        <v>68</v>
      </c>
      <c r="G236" s="25" t="s">
        <v>177</v>
      </c>
      <c r="H236" s="1" t="s">
        <v>178</v>
      </c>
      <c r="J236" s="57">
        <v>0</v>
      </c>
      <c r="K236" s="24">
        <v>45258.599722222221</v>
      </c>
    </row>
    <row r="237" spans="2:14" x14ac:dyDescent="0.25">
      <c r="B237" s="42" t="s">
        <v>314</v>
      </c>
      <c r="C237" s="42" t="s">
        <v>260</v>
      </c>
      <c r="D237" s="20">
        <v>459</v>
      </c>
      <c r="E237" s="21">
        <v>30</v>
      </c>
      <c r="F237" s="1" t="s">
        <v>68</v>
      </c>
      <c r="G237" s="25" t="s">
        <v>773</v>
      </c>
      <c r="H237" s="1" t="s">
        <v>180</v>
      </c>
      <c r="I237" s="1" t="s">
        <v>154</v>
      </c>
      <c r="J237" s="57">
        <v>0</v>
      </c>
      <c r="K237" s="24">
        <v>45258.600092592591</v>
      </c>
    </row>
    <row r="238" spans="2:14" x14ac:dyDescent="0.25">
      <c r="B238" s="42" t="s">
        <v>314</v>
      </c>
      <c r="C238" s="42" t="s">
        <v>260</v>
      </c>
      <c r="D238" s="20">
        <v>459</v>
      </c>
      <c r="E238" s="21">
        <v>300</v>
      </c>
      <c r="F238" s="1" t="s">
        <v>137</v>
      </c>
      <c r="G238" s="25" t="s">
        <v>138</v>
      </c>
      <c r="H238" s="1" t="s">
        <v>139</v>
      </c>
      <c r="I238" s="1" t="s">
        <v>140</v>
      </c>
      <c r="J238" s="57">
        <v>0</v>
      </c>
      <c r="K238" s="24">
        <v>45258.601111111115</v>
      </c>
    </row>
    <row r="239" spans="2:14" x14ac:dyDescent="0.25">
      <c r="B239" s="42" t="s">
        <v>314</v>
      </c>
      <c r="C239" s="42" t="s">
        <v>336</v>
      </c>
      <c r="D239" s="20">
        <v>461</v>
      </c>
      <c r="E239" s="21">
        <v>8100</v>
      </c>
      <c r="F239" s="1" t="s">
        <v>68</v>
      </c>
      <c r="G239" s="25" t="s">
        <v>133</v>
      </c>
      <c r="H239" s="1" t="s">
        <v>134</v>
      </c>
      <c r="I239" s="1" t="s">
        <v>115</v>
      </c>
      <c r="J239" s="57">
        <v>0</v>
      </c>
      <c r="K239" s="24">
        <v>45258.598379629628</v>
      </c>
    </row>
    <row r="240" spans="2:14" x14ac:dyDescent="0.25">
      <c r="B240" s="42" t="s">
        <v>314</v>
      </c>
      <c r="C240" s="42" t="s">
        <v>337</v>
      </c>
      <c r="D240" s="20">
        <v>460</v>
      </c>
      <c r="E240" s="21">
        <v>228</v>
      </c>
      <c r="F240" s="1" t="s">
        <v>68</v>
      </c>
      <c r="G240" s="25" t="s">
        <v>174</v>
      </c>
      <c r="H240" s="1" t="s">
        <v>175</v>
      </c>
      <c r="I240" s="1" t="s">
        <v>176</v>
      </c>
      <c r="J240" s="57">
        <v>0</v>
      </c>
      <c r="K240" s="24">
        <v>45258.599722222221</v>
      </c>
      <c r="N240" s="1">
        <f>12*300+100+74</f>
        <v>3774</v>
      </c>
    </row>
    <row r="241" spans="2:14" x14ac:dyDescent="0.25">
      <c r="B241" s="42" t="s">
        <v>314</v>
      </c>
      <c r="C241" s="42" t="s">
        <v>338</v>
      </c>
      <c r="D241" s="20">
        <v>462</v>
      </c>
      <c r="E241" s="21">
        <v>12</v>
      </c>
      <c r="F241" s="1" t="s">
        <v>68</v>
      </c>
      <c r="G241" s="25" t="s">
        <v>119</v>
      </c>
      <c r="H241" s="26" t="s">
        <v>173</v>
      </c>
      <c r="J241" s="57">
        <v>0</v>
      </c>
      <c r="K241" s="24">
        <v>45258.600092592591</v>
      </c>
      <c r="N241" s="1" t="s">
        <v>339</v>
      </c>
    </row>
    <row r="242" spans="2:14" x14ac:dyDescent="0.25">
      <c r="B242" s="42" t="s">
        <v>314</v>
      </c>
      <c r="C242" s="42" t="s">
        <v>338</v>
      </c>
      <c r="D242" s="20">
        <v>462</v>
      </c>
      <c r="E242" s="21">
        <v>1200</v>
      </c>
      <c r="F242" s="1" t="s">
        <v>68</v>
      </c>
      <c r="G242" s="25" t="s">
        <v>190</v>
      </c>
      <c r="H242" s="1" t="s">
        <v>191</v>
      </c>
      <c r="I242" s="1" t="s">
        <v>154</v>
      </c>
      <c r="J242" s="57">
        <v>0</v>
      </c>
      <c r="K242" s="24">
        <v>45258.601111111115</v>
      </c>
    </row>
    <row r="243" spans="2:14" x14ac:dyDescent="0.25">
      <c r="B243" s="42" t="s">
        <v>169</v>
      </c>
      <c r="C243" s="42" t="s">
        <v>256</v>
      </c>
      <c r="D243" s="20">
        <v>467</v>
      </c>
      <c r="E243" s="21">
        <v>240</v>
      </c>
      <c r="F243" s="1" t="s">
        <v>68</v>
      </c>
      <c r="G243" s="25" t="s">
        <v>152</v>
      </c>
      <c r="H243" s="1" t="s">
        <v>153</v>
      </c>
      <c r="I243" s="1" t="s">
        <v>154</v>
      </c>
      <c r="J243" s="57">
        <v>0</v>
      </c>
      <c r="K243" s="24">
        <v>45259.468148148146</v>
      </c>
    </row>
    <row r="244" spans="2:14" x14ac:dyDescent="0.25">
      <c r="B244" s="42" t="s">
        <v>169</v>
      </c>
      <c r="C244" s="42" t="s">
        <v>257</v>
      </c>
      <c r="D244" s="20">
        <v>466</v>
      </c>
      <c r="E244" s="21">
        <v>4400</v>
      </c>
      <c r="F244" s="1" t="s">
        <v>68</v>
      </c>
      <c r="G244" s="25" t="s">
        <v>113</v>
      </c>
      <c r="H244" s="1" t="s">
        <v>114</v>
      </c>
      <c r="I244" s="1" t="s">
        <v>115</v>
      </c>
      <c r="J244" s="57">
        <v>0</v>
      </c>
      <c r="K244" s="24">
        <v>45259.469189814816</v>
      </c>
    </row>
    <row r="245" spans="2:14" x14ac:dyDescent="0.25">
      <c r="B245" s="42" t="s">
        <v>169</v>
      </c>
      <c r="C245" s="42" t="s">
        <v>303</v>
      </c>
      <c r="D245" s="20">
        <v>464</v>
      </c>
      <c r="E245" s="21">
        <v>3600</v>
      </c>
      <c r="F245" s="1" t="s">
        <v>68</v>
      </c>
      <c r="G245" s="25" t="s">
        <v>133</v>
      </c>
      <c r="H245" s="1" t="s">
        <v>134</v>
      </c>
      <c r="I245" s="1" t="s">
        <v>115</v>
      </c>
      <c r="J245" s="57">
        <v>0</v>
      </c>
      <c r="K245" s="24">
        <v>45259.470590277779</v>
      </c>
    </row>
    <row r="246" spans="2:14" x14ac:dyDescent="0.25">
      <c r="B246" s="42" t="s">
        <v>169</v>
      </c>
      <c r="C246" s="42" t="s">
        <v>340</v>
      </c>
      <c r="D246" s="20">
        <v>465</v>
      </c>
      <c r="E246" s="21">
        <v>1600</v>
      </c>
      <c r="F246" s="1" t="s">
        <v>68</v>
      </c>
      <c r="G246" s="25" t="s">
        <v>127</v>
      </c>
      <c r="H246" s="1" t="s">
        <v>128</v>
      </c>
      <c r="I246" s="1" t="s">
        <v>115</v>
      </c>
      <c r="J246" s="57">
        <v>0</v>
      </c>
      <c r="K246" s="24">
        <v>45259.47934027778</v>
      </c>
    </row>
    <row r="247" spans="2:14" x14ac:dyDescent="0.25">
      <c r="B247" s="42" t="s">
        <v>341</v>
      </c>
      <c r="C247" s="42" t="s">
        <v>264</v>
      </c>
      <c r="D247" s="20">
        <v>32575</v>
      </c>
      <c r="E247" s="21">
        <v>600</v>
      </c>
      <c r="F247" s="1" t="s">
        <v>68</v>
      </c>
      <c r="G247" s="25" t="s">
        <v>177</v>
      </c>
      <c r="H247" s="1" t="s">
        <v>178</v>
      </c>
      <c r="J247" s="30">
        <v>1</v>
      </c>
      <c r="K247" s="24">
        <v>45259.561909722222</v>
      </c>
      <c r="M247" s="1" t="s">
        <v>342</v>
      </c>
    </row>
    <row r="248" spans="2:14" x14ac:dyDescent="0.25">
      <c r="B248" s="42" t="s">
        <v>343</v>
      </c>
      <c r="C248" s="42" t="s">
        <v>344</v>
      </c>
      <c r="D248" s="20" t="s">
        <v>67</v>
      </c>
      <c r="E248" s="21">
        <v>9000</v>
      </c>
      <c r="F248" s="1" t="s">
        <v>68</v>
      </c>
      <c r="G248" s="25" t="s">
        <v>125</v>
      </c>
      <c r="H248" s="1" t="s">
        <v>126</v>
      </c>
      <c r="I248" s="1" t="s">
        <v>115</v>
      </c>
      <c r="J248" s="30">
        <v>1</v>
      </c>
      <c r="K248" s="24">
        <v>45260.416608796295</v>
      </c>
      <c r="M248" s="1" t="s">
        <v>345</v>
      </c>
    </row>
    <row r="249" spans="2:14" x14ac:dyDescent="0.25">
      <c r="B249" s="42" t="s">
        <v>169</v>
      </c>
      <c r="C249" s="42" t="s">
        <v>346</v>
      </c>
      <c r="D249" s="20">
        <v>472</v>
      </c>
      <c r="E249" s="21">
        <v>720</v>
      </c>
      <c r="F249" s="1" t="s">
        <v>68</v>
      </c>
      <c r="G249" s="25" t="s">
        <v>174</v>
      </c>
      <c r="H249" s="1" t="s">
        <v>175</v>
      </c>
      <c r="I249" s="1" t="s">
        <v>176</v>
      </c>
      <c r="J249" s="57">
        <v>0</v>
      </c>
      <c r="K249" s="24">
        <v>45260.54011574074</v>
      </c>
      <c r="L249" s="23">
        <v>720</v>
      </c>
    </row>
    <row r="250" spans="2:14" x14ac:dyDescent="0.25">
      <c r="B250" s="42" t="s">
        <v>314</v>
      </c>
      <c r="C250" s="42" t="s">
        <v>279</v>
      </c>
      <c r="D250" s="20">
        <v>468</v>
      </c>
      <c r="E250" s="21">
        <v>3000</v>
      </c>
      <c r="F250" s="1" t="s">
        <v>68</v>
      </c>
      <c r="G250" s="25" t="s">
        <v>117</v>
      </c>
      <c r="H250" s="1" t="s">
        <v>118</v>
      </c>
      <c r="I250" s="1" t="s">
        <v>115</v>
      </c>
      <c r="J250" s="57">
        <v>0</v>
      </c>
      <c r="K250" s="24">
        <v>45260.542592592596</v>
      </c>
      <c r="L250" s="23">
        <v>3000</v>
      </c>
    </row>
    <row r="251" spans="2:14" x14ac:dyDescent="0.25">
      <c r="B251" s="42" t="s">
        <v>314</v>
      </c>
      <c r="C251" s="42" t="s">
        <v>337</v>
      </c>
      <c r="D251" s="20">
        <v>469</v>
      </c>
      <c r="E251" s="21">
        <v>228</v>
      </c>
      <c r="F251" s="1" t="s">
        <v>68</v>
      </c>
      <c r="G251" s="25" t="s">
        <v>174</v>
      </c>
      <c r="H251" s="1" t="s">
        <v>175</v>
      </c>
      <c r="I251" s="1" t="s">
        <v>176</v>
      </c>
      <c r="J251" s="57">
        <v>0</v>
      </c>
      <c r="K251" s="24">
        <v>45260.543391203704</v>
      </c>
      <c r="L251" s="23">
        <v>228</v>
      </c>
    </row>
    <row r="252" spans="2:14" x14ac:dyDescent="0.25">
      <c r="B252" s="42" t="s">
        <v>314</v>
      </c>
      <c r="C252" s="42" t="s">
        <v>275</v>
      </c>
      <c r="D252" s="20">
        <v>470</v>
      </c>
      <c r="E252" s="21">
        <v>250</v>
      </c>
      <c r="F252" s="1" t="s">
        <v>68</v>
      </c>
      <c r="G252" s="25" t="s">
        <v>125</v>
      </c>
      <c r="H252" s="1" t="s">
        <v>126</v>
      </c>
      <c r="I252" s="1" t="s">
        <v>115</v>
      </c>
      <c r="J252" s="57">
        <v>0</v>
      </c>
      <c r="K252" s="24">
        <v>45260.544560185182</v>
      </c>
      <c r="L252" s="23">
        <v>250</v>
      </c>
    </row>
    <row r="253" spans="2:14" x14ac:dyDescent="0.25">
      <c r="B253" s="42" t="s">
        <v>314</v>
      </c>
      <c r="C253" s="42" t="s">
        <v>277</v>
      </c>
      <c r="D253" s="20">
        <v>471</v>
      </c>
      <c r="E253" s="21">
        <v>12</v>
      </c>
      <c r="F253" s="1" t="s">
        <v>68</v>
      </c>
      <c r="G253" s="25" t="s">
        <v>772</v>
      </c>
      <c r="H253" s="1" t="s">
        <v>160</v>
      </c>
      <c r="I253" s="1" t="s">
        <v>154</v>
      </c>
      <c r="J253" s="57">
        <v>0</v>
      </c>
      <c r="K253" s="24">
        <v>45260.545451388891</v>
      </c>
      <c r="L253" s="23">
        <v>12</v>
      </c>
    </row>
    <row r="254" spans="2:14" x14ac:dyDescent="0.25">
      <c r="B254" s="42" t="s">
        <v>314</v>
      </c>
      <c r="C254" s="42" t="s">
        <v>277</v>
      </c>
      <c r="D254" s="20">
        <v>471</v>
      </c>
      <c r="E254" s="21">
        <v>30</v>
      </c>
      <c r="F254" s="1" t="s">
        <v>68</v>
      </c>
      <c r="G254" s="25" t="s">
        <v>773</v>
      </c>
      <c r="H254" s="1" t="s">
        <v>180</v>
      </c>
      <c r="I254" s="1" t="s">
        <v>154</v>
      </c>
      <c r="J254" s="57">
        <v>0</v>
      </c>
      <c r="K254" s="24">
        <v>45260.546203703707</v>
      </c>
      <c r="L254" s="23">
        <v>30</v>
      </c>
      <c r="N254" s="1" t="s">
        <v>347</v>
      </c>
    </row>
    <row r="255" spans="2:14" x14ac:dyDescent="0.25">
      <c r="B255" s="42" t="s">
        <v>348</v>
      </c>
      <c r="C255" s="42" t="s">
        <v>349</v>
      </c>
      <c r="D255" s="20" t="s">
        <v>66</v>
      </c>
      <c r="E255" s="21">
        <v>100000</v>
      </c>
      <c r="F255" s="1" t="s">
        <v>68</v>
      </c>
      <c r="G255" s="25" t="s">
        <v>113</v>
      </c>
      <c r="H255" s="1" t="s">
        <v>114</v>
      </c>
      <c r="I255" s="1" t="s">
        <v>115</v>
      </c>
      <c r="J255" s="30">
        <v>1</v>
      </c>
      <c r="K255" s="24">
        <v>45260.593645833331</v>
      </c>
      <c r="M255" s="1" t="s">
        <v>327</v>
      </c>
    </row>
    <row r="256" spans="2:14" x14ac:dyDescent="0.25">
      <c r="B256" s="42" t="s">
        <v>348</v>
      </c>
      <c r="C256" s="42" t="s">
        <v>349</v>
      </c>
      <c r="D256" s="20" t="s">
        <v>66</v>
      </c>
      <c r="E256" s="21">
        <v>15000</v>
      </c>
      <c r="F256" s="1" t="s">
        <v>68</v>
      </c>
      <c r="G256" s="25" t="s">
        <v>131</v>
      </c>
      <c r="H256" s="1" t="s">
        <v>132</v>
      </c>
      <c r="I256" s="1" t="s">
        <v>115</v>
      </c>
      <c r="J256" s="30">
        <v>1</v>
      </c>
      <c r="K256" s="24">
        <v>45260.593645833331</v>
      </c>
      <c r="M256" s="1" t="s">
        <v>327</v>
      </c>
    </row>
    <row r="257" spans="2:17" x14ac:dyDescent="0.25">
      <c r="B257" s="42" t="s">
        <v>348</v>
      </c>
      <c r="C257" s="42" t="s">
        <v>349</v>
      </c>
      <c r="D257" s="20" t="s">
        <v>66</v>
      </c>
      <c r="E257" s="21">
        <v>3000</v>
      </c>
      <c r="F257" s="1" t="s">
        <v>68</v>
      </c>
      <c r="G257" s="25" t="s">
        <v>125</v>
      </c>
      <c r="H257" s="1" t="s">
        <v>126</v>
      </c>
      <c r="I257" s="1" t="s">
        <v>115</v>
      </c>
      <c r="J257" s="30">
        <v>1</v>
      </c>
      <c r="K257" s="24">
        <v>45260.604097222225</v>
      </c>
      <c r="M257" s="1" t="s">
        <v>327</v>
      </c>
    </row>
    <row r="258" spans="2:17" x14ac:dyDescent="0.25">
      <c r="B258" s="42" t="s">
        <v>169</v>
      </c>
      <c r="C258" s="42" t="s">
        <v>303</v>
      </c>
      <c r="D258" s="20" t="s">
        <v>350</v>
      </c>
      <c r="E258" s="21">
        <v>48</v>
      </c>
      <c r="F258" s="1" t="s">
        <v>68</v>
      </c>
      <c r="G258" s="25" t="s">
        <v>771</v>
      </c>
      <c r="H258" s="1" t="s">
        <v>158</v>
      </c>
      <c r="I258" s="1" t="s">
        <v>154</v>
      </c>
      <c r="J258" s="57">
        <v>0</v>
      </c>
      <c r="K258" s="24">
        <v>45260.693067129629</v>
      </c>
    </row>
    <row r="259" spans="2:17" hidden="1" x14ac:dyDescent="0.25">
      <c r="B259" s="42"/>
      <c r="C259" s="42"/>
      <c r="G259" s="25"/>
      <c r="J259" s="30"/>
      <c r="K259" s="24"/>
    </row>
    <row r="260" spans="2:17" x14ac:dyDescent="0.25">
      <c r="B260" s="42" t="s">
        <v>66</v>
      </c>
      <c r="C260" s="42" t="s">
        <v>66</v>
      </c>
      <c r="D260" s="20" t="s">
        <v>66</v>
      </c>
      <c r="E260" s="21">
        <v>257</v>
      </c>
      <c r="F260" s="1" t="s">
        <v>68</v>
      </c>
      <c r="G260" s="25" t="s">
        <v>122</v>
      </c>
      <c r="H260" s="1" t="s">
        <v>351</v>
      </c>
      <c r="I260" s="1" t="s">
        <v>66</v>
      </c>
      <c r="J260" s="30">
        <v>1</v>
      </c>
      <c r="K260" s="24">
        <v>45267.503125000003</v>
      </c>
      <c r="L260" s="23">
        <v>9999</v>
      </c>
      <c r="M260" s="1" t="s">
        <v>352</v>
      </c>
      <c r="O260" s="51">
        <v>100</v>
      </c>
      <c r="P260" s="30">
        <v>2</v>
      </c>
      <c r="Q260" s="30">
        <v>56.999999999999986</v>
      </c>
    </row>
    <row r="261" spans="2:17" x14ac:dyDescent="0.25">
      <c r="B261" s="42" t="s">
        <v>169</v>
      </c>
      <c r="C261" s="42" t="s">
        <v>253</v>
      </c>
      <c r="D261" s="20" t="s">
        <v>353</v>
      </c>
      <c r="E261" s="21">
        <v>14</v>
      </c>
      <c r="F261" s="1" t="s">
        <v>68</v>
      </c>
      <c r="G261" s="25" t="s">
        <v>772</v>
      </c>
      <c r="H261" s="1" t="s">
        <v>160</v>
      </c>
      <c r="I261" s="1" t="s">
        <v>154</v>
      </c>
      <c r="J261" s="57">
        <v>0</v>
      </c>
      <c r="K261" s="24">
        <v>45261.531099537038</v>
      </c>
      <c r="L261" s="23">
        <v>137</v>
      </c>
    </row>
    <row r="262" spans="2:17" x14ac:dyDescent="0.25">
      <c r="B262" s="42" t="s">
        <v>169</v>
      </c>
      <c r="C262" s="42" t="s">
        <v>254</v>
      </c>
      <c r="D262" s="20" t="s">
        <v>354</v>
      </c>
      <c r="E262" s="21">
        <v>1200</v>
      </c>
      <c r="F262" s="20" t="s">
        <v>145</v>
      </c>
      <c r="G262" s="25" t="s">
        <v>149</v>
      </c>
      <c r="H262" s="1" t="s">
        <v>147</v>
      </c>
      <c r="I262" s="1" t="s">
        <v>148</v>
      </c>
      <c r="J262" s="57">
        <v>0</v>
      </c>
      <c r="K262" s="24">
        <v>45261.613807870373</v>
      </c>
      <c r="L262" s="23">
        <v>5528</v>
      </c>
    </row>
    <row r="263" spans="2:17" x14ac:dyDescent="0.25">
      <c r="B263" s="42" t="s">
        <v>169</v>
      </c>
      <c r="C263" s="42" t="s">
        <v>355</v>
      </c>
      <c r="D263" s="20" t="s">
        <v>356</v>
      </c>
      <c r="E263" s="21">
        <v>1200</v>
      </c>
      <c r="F263" s="1" t="s">
        <v>68</v>
      </c>
      <c r="G263" s="25" t="s">
        <v>183</v>
      </c>
      <c r="H263" s="1" t="s">
        <v>184</v>
      </c>
      <c r="I263" s="1" t="s">
        <v>115</v>
      </c>
      <c r="J263" s="57">
        <v>0</v>
      </c>
      <c r="K263" s="24">
        <v>45261.644594907404</v>
      </c>
      <c r="L263" s="23">
        <v>1200</v>
      </c>
    </row>
    <row r="264" spans="2:17" x14ac:dyDescent="0.25">
      <c r="B264" s="42" t="s">
        <v>314</v>
      </c>
      <c r="C264" s="42" t="s">
        <v>357</v>
      </c>
      <c r="D264" s="20" t="s">
        <v>358</v>
      </c>
      <c r="E264" s="21">
        <v>482</v>
      </c>
      <c r="F264" s="20" t="s">
        <v>145</v>
      </c>
      <c r="G264" s="25" t="s">
        <v>150</v>
      </c>
      <c r="H264" s="1" t="s">
        <v>147</v>
      </c>
      <c r="I264" s="1" t="s">
        <v>148</v>
      </c>
      <c r="J264" s="57">
        <v>0</v>
      </c>
      <c r="K264" s="24">
        <v>45264.645266203705</v>
      </c>
      <c r="L264" s="23">
        <v>0</v>
      </c>
    </row>
    <row r="265" spans="2:17" x14ac:dyDescent="0.25">
      <c r="B265" s="42" t="s">
        <v>314</v>
      </c>
      <c r="C265" s="42" t="s">
        <v>260</v>
      </c>
      <c r="D265" s="20" t="s">
        <v>359</v>
      </c>
      <c r="E265" s="21">
        <v>16500</v>
      </c>
      <c r="F265" s="20" t="s">
        <v>68</v>
      </c>
      <c r="G265" s="25" t="s">
        <v>113</v>
      </c>
      <c r="H265" s="1" t="s">
        <v>114</v>
      </c>
      <c r="I265" s="1" t="s">
        <v>115</v>
      </c>
      <c r="J265" s="57">
        <v>0</v>
      </c>
      <c r="K265" s="24">
        <v>45264.645439814813</v>
      </c>
      <c r="L265" s="23">
        <v>212200</v>
      </c>
      <c r="N265" s="1">
        <v>672000</v>
      </c>
    </row>
    <row r="266" spans="2:17" x14ac:dyDescent="0.25">
      <c r="B266" s="42" t="s">
        <v>314</v>
      </c>
      <c r="C266" s="42" t="s">
        <v>260</v>
      </c>
      <c r="D266" s="20" t="s">
        <v>359</v>
      </c>
      <c r="E266" s="21">
        <v>100</v>
      </c>
      <c r="F266" s="1" t="s">
        <v>68</v>
      </c>
      <c r="G266" s="25" t="s">
        <v>774</v>
      </c>
      <c r="H266" s="1" t="s">
        <v>189</v>
      </c>
      <c r="I266" s="1" t="s">
        <v>154</v>
      </c>
      <c r="J266" s="57">
        <v>0</v>
      </c>
      <c r="K266" s="24">
        <v>45264.645729166667</v>
      </c>
      <c r="L266" s="23">
        <v>2260</v>
      </c>
    </row>
    <row r="267" spans="2:17" x14ac:dyDescent="0.25">
      <c r="B267" s="42" t="s">
        <v>314</v>
      </c>
      <c r="C267" s="42" t="s">
        <v>260</v>
      </c>
      <c r="D267" s="20" t="s">
        <v>359</v>
      </c>
      <c r="E267" s="21">
        <v>25</v>
      </c>
      <c r="F267" s="1" t="s">
        <v>68</v>
      </c>
      <c r="G267" s="25" t="s">
        <v>773</v>
      </c>
      <c r="H267" s="1" t="s">
        <v>180</v>
      </c>
      <c r="I267" s="1" t="s">
        <v>154</v>
      </c>
      <c r="J267" s="57">
        <v>0</v>
      </c>
      <c r="K267" s="24">
        <v>45264.645879629628</v>
      </c>
      <c r="L267" s="23">
        <v>635</v>
      </c>
    </row>
    <row r="268" spans="2:17" x14ac:dyDescent="0.25">
      <c r="B268" s="42" t="s">
        <v>314</v>
      </c>
      <c r="C268" s="42" t="s">
        <v>260</v>
      </c>
      <c r="D268" s="20" t="s">
        <v>359</v>
      </c>
      <c r="E268" s="21">
        <v>230</v>
      </c>
      <c r="F268" s="1" t="s">
        <v>137</v>
      </c>
      <c r="G268" s="25" t="s">
        <v>138</v>
      </c>
      <c r="H268" s="1" t="s">
        <v>139</v>
      </c>
      <c r="I268" s="1" t="s">
        <v>140</v>
      </c>
      <c r="J268" s="57">
        <v>0</v>
      </c>
      <c r="K268" s="24">
        <v>45264.645949074074</v>
      </c>
      <c r="L268" s="23">
        <v>2118</v>
      </c>
    </row>
    <row r="269" spans="2:17" x14ac:dyDescent="0.25">
      <c r="B269" s="42" t="s">
        <v>314</v>
      </c>
      <c r="C269" s="42" t="s">
        <v>260</v>
      </c>
      <c r="D269" s="20" t="s">
        <v>359</v>
      </c>
      <c r="E269" s="21">
        <v>24</v>
      </c>
      <c r="F269" s="1" t="s">
        <v>68</v>
      </c>
      <c r="G269" s="25" t="s">
        <v>772</v>
      </c>
      <c r="H269" s="1" t="s">
        <v>160</v>
      </c>
      <c r="I269" s="1" t="s">
        <v>154</v>
      </c>
      <c r="J269" s="57">
        <v>0</v>
      </c>
      <c r="K269" s="24">
        <v>45264.646145833336</v>
      </c>
      <c r="L269" s="23">
        <v>113</v>
      </c>
    </row>
    <row r="270" spans="2:17" x14ac:dyDescent="0.25">
      <c r="B270" s="42" t="s">
        <v>314</v>
      </c>
      <c r="C270" s="42" t="s">
        <v>258</v>
      </c>
      <c r="D270" s="20" t="s">
        <v>360</v>
      </c>
      <c r="E270" s="21">
        <v>250</v>
      </c>
      <c r="F270" s="1" t="s">
        <v>68</v>
      </c>
      <c r="G270" s="25" t="s">
        <v>125</v>
      </c>
      <c r="H270" s="1" t="s">
        <v>126</v>
      </c>
      <c r="I270" s="1" t="s">
        <v>115</v>
      </c>
      <c r="J270" s="57">
        <v>0</v>
      </c>
      <c r="K270" s="24">
        <v>45264.646238425928</v>
      </c>
      <c r="L270" s="23">
        <v>14500</v>
      </c>
    </row>
    <row r="271" spans="2:17" x14ac:dyDescent="0.25">
      <c r="B271" s="42" t="s">
        <v>314</v>
      </c>
      <c r="C271" s="42" t="s">
        <v>361</v>
      </c>
      <c r="D271" s="20" t="s">
        <v>362</v>
      </c>
      <c r="E271" s="21">
        <v>6000</v>
      </c>
      <c r="F271" s="1" t="s">
        <v>68</v>
      </c>
      <c r="G271" s="25" t="s">
        <v>117</v>
      </c>
      <c r="H271" s="1" t="s">
        <v>118</v>
      </c>
      <c r="I271" s="1" t="s">
        <v>115</v>
      </c>
      <c r="J271" s="57">
        <v>0</v>
      </c>
      <c r="K271" s="24">
        <v>45264.646296296298</v>
      </c>
      <c r="L271" s="23">
        <v>61000</v>
      </c>
    </row>
    <row r="272" spans="2:17" x14ac:dyDescent="0.25">
      <c r="B272" s="42" t="s">
        <v>169</v>
      </c>
      <c r="C272" s="42" t="s">
        <v>255</v>
      </c>
      <c r="D272" s="20" t="s">
        <v>363</v>
      </c>
      <c r="E272" s="21">
        <v>10</v>
      </c>
      <c r="F272" s="1" t="s">
        <v>137</v>
      </c>
      <c r="G272" s="25" t="s">
        <v>141</v>
      </c>
      <c r="H272" s="1" t="s">
        <v>142</v>
      </c>
      <c r="I272" s="1" t="s">
        <v>140</v>
      </c>
      <c r="J272" s="57">
        <v>0</v>
      </c>
      <c r="K272" s="24">
        <v>45264.646365740744</v>
      </c>
      <c r="L272" s="23">
        <v>6293</v>
      </c>
    </row>
    <row r="273" spans="2:13" x14ac:dyDescent="0.25">
      <c r="B273" s="42" t="s">
        <v>169</v>
      </c>
      <c r="C273" s="42" t="s">
        <v>256</v>
      </c>
      <c r="D273" s="20" t="s">
        <v>364</v>
      </c>
      <c r="E273" s="21">
        <v>360</v>
      </c>
      <c r="F273" s="1" t="s">
        <v>68</v>
      </c>
      <c r="G273" s="25" t="s">
        <v>152</v>
      </c>
      <c r="H273" s="1" t="s">
        <v>153</v>
      </c>
      <c r="I273" s="1" t="s">
        <v>154</v>
      </c>
      <c r="J273" s="57">
        <v>0</v>
      </c>
      <c r="K273" s="24">
        <v>45264.646469907406</v>
      </c>
      <c r="L273" s="23">
        <v>7172</v>
      </c>
    </row>
    <row r="274" spans="2:13" x14ac:dyDescent="0.25">
      <c r="B274" s="42" t="s">
        <v>169</v>
      </c>
      <c r="C274" s="42" t="s">
        <v>303</v>
      </c>
      <c r="D274" s="20" t="s">
        <v>365</v>
      </c>
      <c r="E274" s="21">
        <v>3600</v>
      </c>
      <c r="F274" s="1" t="s">
        <v>68</v>
      </c>
      <c r="G274" s="25" t="s">
        <v>133</v>
      </c>
      <c r="H274" s="1" t="s">
        <v>134</v>
      </c>
      <c r="I274" s="1" t="s">
        <v>115</v>
      </c>
      <c r="J274" s="57">
        <v>0</v>
      </c>
      <c r="K274" s="24">
        <v>45264.646539351852</v>
      </c>
      <c r="L274" s="23">
        <v>158600</v>
      </c>
    </row>
    <row r="275" spans="2:13" x14ac:dyDescent="0.25">
      <c r="B275" s="42" t="s">
        <v>366</v>
      </c>
      <c r="C275" s="42" t="s">
        <v>299</v>
      </c>
      <c r="D275" s="20" t="s">
        <v>66</v>
      </c>
      <c r="E275" s="21">
        <v>200</v>
      </c>
      <c r="F275" s="1" t="s">
        <v>68</v>
      </c>
      <c r="G275" s="25" t="s">
        <v>772</v>
      </c>
      <c r="H275" s="1" t="s">
        <v>160</v>
      </c>
      <c r="I275" s="1" t="s">
        <v>154</v>
      </c>
      <c r="J275" s="30">
        <v>1</v>
      </c>
      <c r="K275" s="24">
        <v>45264.648055555554</v>
      </c>
      <c r="L275" s="23">
        <v>313</v>
      </c>
      <c r="M275" s="1" t="s">
        <v>367</v>
      </c>
    </row>
    <row r="276" spans="2:13" x14ac:dyDescent="0.25">
      <c r="B276" s="42" t="s">
        <v>366</v>
      </c>
      <c r="C276" s="42" t="s">
        <v>299</v>
      </c>
      <c r="D276" s="20" t="s">
        <v>66</v>
      </c>
      <c r="E276" s="21">
        <v>6000</v>
      </c>
      <c r="F276" s="1" t="s">
        <v>68</v>
      </c>
      <c r="G276" s="25" t="s">
        <v>190</v>
      </c>
      <c r="H276" s="1" t="s">
        <v>191</v>
      </c>
      <c r="I276" s="1" t="s">
        <v>154</v>
      </c>
      <c r="J276" s="30">
        <v>1</v>
      </c>
      <c r="K276" s="24">
        <v>45264.648715277777</v>
      </c>
      <c r="L276" s="23">
        <v>7200</v>
      </c>
      <c r="M276" s="1" t="s">
        <v>367</v>
      </c>
    </row>
    <row r="277" spans="2:13" hidden="1" x14ac:dyDescent="0.25">
      <c r="B277" s="42"/>
      <c r="C277" s="42"/>
      <c r="E277" s="26"/>
      <c r="G277" s="35"/>
      <c r="J277" s="30"/>
      <c r="K277" s="24"/>
    </row>
    <row r="278" spans="2:13" hidden="1" x14ac:dyDescent="0.25">
      <c r="B278" s="42"/>
      <c r="C278" s="42"/>
      <c r="E278" s="26"/>
      <c r="G278" s="35"/>
      <c r="J278" s="30"/>
      <c r="K278" s="24"/>
    </row>
    <row r="279" spans="2:13" hidden="1" x14ac:dyDescent="0.25">
      <c r="B279" s="42"/>
      <c r="C279" s="42"/>
      <c r="E279" s="26"/>
      <c r="G279" s="35"/>
      <c r="J279" s="30"/>
      <c r="K279" s="24"/>
    </row>
    <row r="280" spans="2:13" hidden="1" x14ac:dyDescent="0.25">
      <c r="B280" s="42"/>
      <c r="C280" s="42"/>
      <c r="E280" s="26"/>
      <c r="G280" s="35"/>
      <c r="J280" s="30"/>
      <c r="K280" s="24"/>
    </row>
    <row r="281" spans="2:13" hidden="1" x14ac:dyDescent="0.25">
      <c r="B281" s="42"/>
      <c r="C281" s="42"/>
      <c r="E281" s="26"/>
      <c r="G281" s="35"/>
      <c r="J281" s="30"/>
      <c r="K281" s="24"/>
      <c r="M281" s="22"/>
    </row>
    <row r="282" spans="2:13" x14ac:dyDescent="0.25">
      <c r="B282" s="42" t="s">
        <v>368</v>
      </c>
      <c r="C282" s="42" t="s">
        <v>264</v>
      </c>
      <c r="D282" s="20" t="s">
        <v>373</v>
      </c>
      <c r="E282" s="1">
        <v>20</v>
      </c>
      <c r="F282" s="1" t="s">
        <v>145</v>
      </c>
      <c r="G282" s="25" t="s">
        <v>238</v>
      </c>
      <c r="H282" s="1" t="s">
        <v>219</v>
      </c>
      <c r="I282" s="1" t="s">
        <v>220</v>
      </c>
      <c r="J282" s="30">
        <v>1</v>
      </c>
      <c r="K282" s="24">
        <v>45265.520289351851</v>
      </c>
      <c r="L282" s="23">
        <v>26</v>
      </c>
      <c r="M282" s="1" t="s">
        <v>374</v>
      </c>
    </row>
    <row r="283" spans="2:13" x14ac:dyDescent="0.25">
      <c r="B283" s="42" t="s">
        <v>368</v>
      </c>
      <c r="C283" s="42" t="s">
        <v>264</v>
      </c>
      <c r="D283" s="20" t="s">
        <v>373</v>
      </c>
      <c r="E283" s="1">
        <v>13</v>
      </c>
      <c r="F283" s="1" t="s">
        <v>145</v>
      </c>
      <c r="G283" s="25" t="s">
        <v>236</v>
      </c>
      <c r="H283" s="1" t="s">
        <v>219</v>
      </c>
      <c r="I283" s="1" t="s">
        <v>220</v>
      </c>
      <c r="J283" s="30">
        <v>1</v>
      </c>
      <c r="K283" s="24">
        <v>45265.520543981482</v>
      </c>
      <c r="L283" s="23">
        <v>19</v>
      </c>
      <c r="M283" s="1" t="s">
        <v>374</v>
      </c>
    </row>
    <row r="284" spans="2:13" x14ac:dyDescent="0.25">
      <c r="B284" s="42" t="s">
        <v>368</v>
      </c>
      <c r="C284" s="42" t="s">
        <v>264</v>
      </c>
      <c r="D284" s="20" t="s">
        <v>373</v>
      </c>
      <c r="E284" s="1">
        <v>4</v>
      </c>
      <c r="F284" s="1" t="s">
        <v>145</v>
      </c>
      <c r="G284" s="25" t="s">
        <v>63</v>
      </c>
      <c r="H284" s="1" t="s">
        <v>219</v>
      </c>
      <c r="I284" s="1" t="s">
        <v>220</v>
      </c>
      <c r="J284" s="30">
        <v>1</v>
      </c>
      <c r="K284" s="24">
        <v>45265.520925925928</v>
      </c>
      <c r="L284" s="23">
        <v>5</v>
      </c>
      <c r="M284" s="1" t="s">
        <v>374</v>
      </c>
    </row>
    <row r="285" spans="2:13" x14ac:dyDescent="0.25">
      <c r="B285" s="42" t="s">
        <v>368</v>
      </c>
      <c r="C285" s="42" t="s">
        <v>264</v>
      </c>
      <c r="D285" s="20" t="s">
        <v>373</v>
      </c>
      <c r="E285" s="1">
        <v>24</v>
      </c>
      <c r="F285" s="1" t="s">
        <v>145</v>
      </c>
      <c r="G285" s="25" t="s">
        <v>226</v>
      </c>
      <c r="H285" s="1" t="s">
        <v>219</v>
      </c>
      <c r="I285" s="1" t="s">
        <v>220</v>
      </c>
      <c r="J285" s="30">
        <v>1</v>
      </c>
      <c r="K285" s="24">
        <v>45265.521006944444</v>
      </c>
      <c r="L285" s="23">
        <v>24</v>
      </c>
      <c r="M285" s="1" t="s">
        <v>374</v>
      </c>
    </row>
    <row r="286" spans="2:13" x14ac:dyDescent="0.25">
      <c r="B286" s="42" t="s">
        <v>368</v>
      </c>
      <c r="C286" s="42" t="s">
        <v>264</v>
      </c>
      <c r="D286" s="20" t="s">
        <v>373</v>
      </c>
      <c r="E286" s="1">
        <v>5</v>
      </c>
      <c r="F286" s="1" t="s">
        <v>145</v>
      </c>
      <c r="G286" s="25" t="s">
        <v>231</v>
      </c>
      <c r="H286" s="1" t="s">
        <v>219</v>
      </c>
      <c r="I286" s="1" t="s">
        <v>220</v>
      </c>
      <c r="J286" s="30">
        <v>1</v>
      </c>
      <c r="K286" s="24">
        <v>45265.521087962959</v>
      </c>
      <c r="L286" s="23">
        <v>5</v>
      </c>
      <c r="M286" s="1" t="s">
        <v>374</v>
      </c>
    </row>
    <row r="287" spans="2:13" x14ac:dyDescent="0.25">
      <c r="B287" s="42" t="s">
        <v>368</v>
      </c>
      <c r="C287" s="42" t="s">
        <v>264</v>
      </c>
      <c r="D287" s="20" t="s">
        <v>373</v>
      </c>
      <c r="E287" s="1">
        <v>43</v>
      </c>
      <c r="F287" s="1" t="s">
        <v>145</v>
      </c>
      <c r="G287" s="25" t="s">
        <v>64</v>
      </c>
      <c r="H287" s="1" t="s">
        <v>219</v>
      </c>
      <c r="I287" s="1" t="s">
        <v>220</v>
      </c>
      <c r="J287" s="30">
        <v>1</v>
      </c>
      <c r="K287" s="24">
        <v>45265.521180555559</v>
      </c>
      <c r="L287" s="23">
        <v>43</v>
      </c>
      <c r="M287" s="1" t="s">
        <v>374</v>
      </c>
    </row>
    <row r="288" spans="2:13" x14ac:dyDescent="0.25">
      <c r="B288" s="42" t="s">
        <v>368</v>
      </c>
      <c r="C288" s="42" t="s">
        <v>264</v>
      </c>
      <c r="D288" s="20" t="s">
        <v>373</v>
      </c>
      <c r="E288" s="1">
        <v>10</v>
      </c>
      <c r="F288" s="1" t="s">
        <v>145</v>
      </c>
      <c r="G288" s="25" t="s">
        <v>228</v>
      </c>
      <c r="H288" s="1" t="s">
        <v>219</v>
      </c>
      <c r="I288" s="1" t="s">
        <v>220</v>
      </c>
      <c r="J288" s="30">
        <v>1</v>
      </c>
      <c r="K288" s="24">
        <v>45265.521261574075</v>
      </c>
      <c r="L288" s="23">
        <v>10</v>
      </c>
      <c r="M288" s="1" t="s">
        <v>374</v>
      </c>
    </row>
    <row r="289" spans="2:13" x14ac:dyDescent="0.25">
      <c r="B289" s="42" t="s">
        <v>368</v>
      </c>
      <c r="C289" s="42" t="s">
        <v>264</v>
      </c>
      <c r="D289" s="20" t="s">
        <v>373</v>
      </c>
      <c r="E289" s="1">
        <v>26</v>
      </c>
      <c r="F289" s="1" t="s">
        <v>145</v>
      </c>
      <c r="G289" s="25" t="s">
        <v>62</v>
      </c>
      <c r="H289" s="1" t="s">
        <v>219</v>
      </c>
      <c r="I289" s="1" t="s">
        <v>220</v>
      </c>
      <c r="J289" s="30">
        <v>1</v>
      </c>
      <c r="K289" s="24">
        <v>45265.521666666667</v>
      </c>
      <c r="L289" s="23">
        <v>35</v>
      </c>
      <c r="M289" s="1" t="s">
        <v>374</v>
      </c>
    </row>
    <row r="290" spans="2:13" x14ac:dyDescent="0.25">
      <c r="B290" s="42" t="s">
        <v>368</v>
      </c>
      <c r="C290" s="42" t="s">
        <v>264</v>
      </c>
      <c r="D290" s="20" t="s">
        <v>373</v>
      </c>
      <c r="E290" s="1">
        <v>35</v>
      </c>
      <c r="F290" s="1" t="s">
        <v>145</v>
      </c>
      <c r="G290" s="25" t="s">
        <v>227</v>
      </c>
      <c r="H290" s="1" t="s">
        <v>219</v>
      </c>
      <c r="I290" s="1" t="s">
        <v>220</v>
      </c>
      <c r="J290" s="30">
        <v>1</v>
      </c>
      <c r="K290" s="24">
        <v>45265.52175925926</v>
      </c>
      <c r="L290" s="23">
        <v>35</v>
      </c>
      <c r="M290" s="1" t="s">
        <v>374</v>
      </c>
    </row>
    <row r="291" spans="2:13" x14ac:dyDescent="0.25">
      <c r="B291" s="42" t="s">
        <v>368</v>
      </c>
      <c r="C291" s="42" t="s">
        <v>264</v>
      </c>
      <c r="D291" s="20" t="s">
        <v>373</v>
      </c>
      <c r="E291" s="1">
        <v>21</v>
      </c>
      <c r="F291" s="1" t="s">
        <v>145</v>
      </c>
      <c r="G291" s="25" t="s">
        <v>230</v>
      </c>
      <c r="H291" s="1" t="s">
        <v>219</v>
      </c>
      <c r="I291" s="1" t="s">
        <v>220</v>
      </c>
      <c r="J291" s="30">
        <v>1</v>
      </c>
      <c r="K291" s="24">
        <v>45265.521840277775</v>
      </c>
      <c r="L291" s="23">
        <v>21</v>
      </c>
      <c r="M291" s="1" t="s">
        <v>374</v>
      </c>
    </row>
    <row r="292" spans="2:13" x14ac:dyDescent="0.25">
      <c r="B292" s="42" t="s">
        <v>368</v>
      </c>
      <c r="C292" s="42" t="s">
        <v>264</v>
      </c>
      <c r="D292" s="20" t="s">
        <v>373</v>
      </c>
      <c r="E292" s="1">
        <v>16</v>
      </c>
      <c r="F292" s="1" t="s">
        <v>145</v>
      </c>
      <c r="G292" s="35" t="s">
        <v>369</v>
      </c>
      <c r="H292" s="1" t="s">
        <v>219</v>
      </c>
      <c r="I292" s="1" t="s">
        <v>220</v>
      </c>
      <c r="J292" s="30">
        <v>1</v>
      </c>
      <c r="K292" s="24">
        <v>45265.521909722222</v>
      </c>
      <c r="L292" s="23">
        <v>16</v>
      </c>
      <c r="M292" s="1" t="s">
        <v>374</v>
      </c>
    </row>
    <row r="293" spans="2:13" x14ac:dyDescent="0.25">
      <c r="B293" s="42" t="s">
        <v>368</v>
      </c>
      <c r="C293" s="42" t="s">
        <v>264</v>
      </c>
      <c r="D293" s="20" t="s">
        <v>373</v>
      </c>
      <c r="E293" s="1">
        <v>15</v>
      </c>
      <c r="F293" s="1" t="s">
        <v>145</v>
      </c>
      <c r="G293" s="35" t="s">
        <v>370</v>
      </c>
      <c r="H293" s="1" t="s">
        <v>219</v>
      </c>
      <c r="I293" s="1" t="s">
        <v>220</v>
      </c>
      <c r="J293" s="30">
        <v>1</v>
      </c>
      <c r="K293" s="24">
        <v>45265.521990740737</v>
      </c>
      <c r="L293" s="23">
        <v>15</v>
      </c>
      <c r="M293" s="1" t="s">
        <v>374</v>
      </c>
    </row>
    <row r="294" spans="2:13" x14ac:dyDescent="0.25">
      <c r="B294" s="42" t="s">
        <v>368</v>
      </c>
      <c r="C294" s="42" t="s">
        <v>264</v>
      </c>
      <c r="D294" s="20" t="s">
        <v>373</v>
      </c>
      <c r="E294" s="1">
        <v>2</v>
      </c>
      <c r="F294" s="1" t="s">
        <v>145</v>
      </c>
      <c r="G294" s="35" t="s">
        <v>65</v>
      </c>
      <c r="H294" s="1" t="s">
        <v>219</v>
      </c>
      <c r="I294" s="1" t="s">
        <v>220</v>
      </c>
      <c r="J294" s="30">
        <v>1</v>
      </c>
      <c r="K294" s="24">
        <v>45265.52207175926</v>
      </c>
      <c r="L294" s="23">
        <v>2</v>
      </c>
      <c r="M294" s="1" t="s">
        <v>374</v>
      </c>
    </row>
    <row r="295" spans="2:13" x14ac:dyDescent="0.25">
      <c r="B295" s="42" t="s">
        <v>368</v>
      </c>
      <c r="C295" s="42" t="s">
        <v>264</v>
      </c>
      <c r="D295" s="20" t="s">
        <v>373</v>
      </c>
      <c r="E295" s="1">
        <v>23</v>
      </c>
      <c r="F295" s="20" t="s">
        <v>145</v>
      </c>
      <c r="G295" s="35" t="s">
        <v>371</v>
      </c>
      <c r="H295" s="20" t="s">
        <v>219</v>
      </c>
      <c r="I295" s="1" t="s">
        <v>220</v>
      </c>
      <c r="J295" s="30">
        <v>1</v>
      </c>
      <c r="K295" s="24">
        <v>45265.522256944445</v>
      </c>
      <c r="L295" s="23">
        <v>23</v>
      </c>
      <c r="M295" s="1" t="s">
        <v>374</v>
      </c>
    </row>
    <row r="296" spans="2:13" x14ac:dyDescent="0.25">
      <c r="B296" s="42" t="s">
        <v>368</v>
      </c>
      <c r="C296" s="42" t="s">
        <v>264</v>
      </c>
      <c r="D296" s="20" t="s">
        <v>373</v>
      </c>
      <c r="E296" s="1">
        <v>7</v>
      </c>
      <c r="F296" s="1" t="s">
        <v>145</v>
      </c>
      <c r="G296" s="35" t="s">
        <v>372</v>
      </c>
      <c r="H296" s="1" t="s">
        <v>219</v>
      </c>
      <c r="I296" s="1" t="s">
        <v>220</v>
      </c>
      <c r="J296" s="30">
        <v>1</v>
      </c>
      <c r="K296" s="24">
        <v>45265.522326388891</v>
      </c>
      <c r="L296" s="23">
        <v>7</v>
      </c>
      <c r="M296" s="1" t="s">
        <v>374</v>
      </c>
    </row>
    <row r="297" spans="2:13" x14ac:dyDescent="0.25">
      <c r="B297" s="42" t="s">
        <v>169</v>
      </c>
      <c r="C297" s="42" t="s">
        <v>303</v>
      </c>
      <c r="D297" s="20" t="s">
        <v>375</v>
      </c>
      <c r="E297" s="21">
        <v>3600</v>
      </c>
      <c r="F297" s="1" t="s">
        <v>68</v>
      </c>
      <c r="G297" s="35" t="s">
        <v>133</v>
      </c>
      <c r="H297" s="1" t="s">
        <v>134</v>
      </c>
      <c r="I297" s="1" t="s">
        <v>115</v>
      </c>
      <c r="J297" s="57">
        <v>0</v>
      </c>
      <c r="K297" s="24">
        <v>45265.719976851855</v>
      </c>
      <c r="L297" s="23">
        <v>155000</v>
      </c>
    </row>
    <row r="298" spans="2:13" x14ac:dyDescent="0.25">
      <c r="B298" s="42" t="s">
        <v>169</v>
      </c>
      <c r="C298" s="42" t="s">
        <v>263</v>
      </c>
      <c r="D298" s="20" t="s">
        <v>376</v>
      </c>
      <c r="E298" s="21">
        <v>6000</v>
      </c>
      <c r="F298" s="1" t="s">
        <v>68</v>
      </c>
      <c r="G298" s="25" t="s">
        <v>770</v>
      </c>
      <c r="H298" s="1" t="s">
        <v>155</v>
      </c>
      <c r="I298" s="1" t="s">
        <v>154</v>
      </c>
      <c r="J298" s="57">
        <v>0</v>
      </c>
      <c r="K298" s="24">
        <v>45265.724502314813</v>
      </c>
      <c r="L298" s="23">
        <v>23920</v>
      </c>
    </row>
    <row r="299" spans="2:13" x14ac:dyDescent="0.25">
      <c r="B299" s="42" t="s">
        <v>169</v>
      </c>
      <c r="C299" s="42" t="s">
        <v>303</v>
      </c>
      <c r="D299" s="20" t="s">
        <v>377</v>
      </c>
      <c r="E299" s="21">
        <v>4000</v>
      </c>
      <c r="F299" s="1" t="s">
        <v>68</v>
      </c>
      <c r="G299" s="35" t="s">
        <v>133</v>
      </c>
      <c r="H299" s="1" t="s">
        <v>134</v>
      </c>
      <c r="I299" s="1" t="s">
        <v>115</v>
      </c>
      <c r="J299" s="57">
        <v>0</v>
      </c>
      <c r="K299" s="24">
        <v>45266.778923611113</v>
      </c>
      <c r="L299" s="23">
        <v>151000</v>
      </c>
    </row>
    <row r="300" spans="2:13" x14ac:dyDescent="0.25">
      <c r="B300" s="42" t="s">
        <v>169</v>
      </c>
      <c r="C300" s="42" t="s">
        <v>305</v>
      </c>
      <c r="D300" s="20" t="s">
        <v>378</v>
      </c>
      <c r="E300" s="21">
        <v>3600</v>
      </c>
      <c r="F300" s="1" t="s">
        <v>68</v>
      </c>
      <c r="G300" s="35" t="s">
        <v>113</v>
      </c>
      <c r="H300" s="1" t="s">
        <v>114</v>
      </c>
      <c r="I300" s="1" t="s">
        <v>115</v>
      </c>
      <c r="J300" s="57">
        <v>0</v>
      </c>
      <c r="K300" s="24">
        <v>45266.779016203705</v>
      </c>
      <c r="L300" s="23">
        <v>208600</v>
      </c>
    </row>
    <row r="301" spans="2:13" x14ac:dyDescent="0.25">
      <c r="B301" s="42" t="s">
        <v>169</v>
      </c>
      <c r="C301" s="42" t="s">
        <v>256</v>
      </c>
      <c r="D301" s="20" t="s">
        <v>379</v>
      </c>
      <c r="E301" s="21">
        <v>360</v>
      </c>
      <c r="F301" s="1" t="s">
        <v>68</v>
      </c>
      <c r="G301" s="35" t="s">
        <v>152</v>
      </c>
      <c r="H301" s="1" t="s">
        <v>153</v>
      </c>
      <c r="I301" s="1" t="s">
        <v>154</v>
      </c>
      <c r="J301" s="57">
        <v>0</v>
      </c>
      <c r="K301" s="24">
        <v>45266.779062499998</v>
      </c>
      <c r="L301" s="23">
        <v>6812</v>
      </c>
    </row>
    <row r="302" spans="2:13" x14ac:dyDescent="0.25">
      <c r="B302" s="42" t="s">
        <v>169</v>
      </c>
      <c r="C302" s="42" t="s">
        <v>380</v>
      </c>
      <c r="D302" s="20" t="s">
        <v>381</v>
      </c>
      <c r="E302" s="21">
        <v>3600</v>
      </c>
      <c r="F302" s="26" t="s">
        <v>68</v>
      </c>
      <c r="G302" s="35" t="s">
        <v>117</v>
      </c>
      <c r="H302" s="1" t="s">
        <v>118</v>
      </c>
      <c r="I302" s="1" t="s">
        <v>115</v>
      </c>
      <c r="J302" s="57">
        <v>0</v>
      </c>
      <c r="K302" s="24">
        <v>45266.779097222221</v>
      </c>
      <c r="L302" s="23">
        <v>57400</v>
      </c>
    </row>
    <row r="303" spans="2:13" x14ac:dyDescent="0.25">
      <c r="B303" s="42" t="s">
        <v>169</v>
      </c>
      <c r="C303" s="42" t="s">
        <v>380</v>
      </c>
      <c r="D303" s="20" t="s">
        <v>381</v>
      </c>
      <c r="E303" s="21">
        <v>3600</v>
      </c>
      <c r="F303" s="1" t="s">
        <v>68</v>
      </c>
      <c r="G303" s="35" t="s">
        <v>181</v>
      </c>
      <c r="H303" s="1" t="s">
        <v>182</v>
      </c>
      <c r="I303" s="1" t="s">
        <v>115</v>
      </c>
      <c r="J303" s="57">
        <v>0</v>
      </c>
      <c r="K303" s="24">
        <v>45266.779120370367</v>
      </c>
      <c r="L303" s="23">
        <v>6000</v>
      </c>
    </row>
    <row r="304" spans="2:13" x14ac:dyDescent="0.25">
      <c r="B304" s="42" t="s">
        <v>169</v>
      </c>
      <c r="C304" s="42" t="s">
        <v>380</v>
      </c>
      <c r="D304" s="20" t="s">
        <v>381</v>
      </c>
      <c r="E304" s="21">
        <v>1200</v>
      </c>
      <c r="F304" s="1" t="s">
        <v>68</v>
      </c>
      <c r="G304" s="35" t="s">
        <v>183</v>
      </c>
      <c r="H304" s="1" t="s">
        <v>184</v>
      </c>
      <c r="I304" s="1" t="s">
        <v>115</v>
      </c>
      <c r="J304" s="57">
        <v>0</v>
      </c>
      <c r="K304" s="24">
        <v>45266.77915509259</v>
      </c>
      <c r="L304" s="23">
        <v>0</v>
      </c>
    </row>
    <row r="305" spans="2:12" x14ac:dyDescent="0.25">
      <c r="B305" s="42" t="s">
        <v>169</v>
      </c>
      <c r="C305" s="42" t="s">
        <v>380</v>
      </c>
      <c r="D305" s="20" t="s">
        <v>381</v>
      </c>
      <c r="E305" s="21">
        <v>2400</v>
      </c>
      <c r="F305" s="1" t="s">
        <v>68</v>
      </c>
      <c r="G305" s="35" t="s">
        <v>293</v>
      </c>
      <c r="H305" s="1" t="s">
        <v>294</v>
      </c>
      <c r="I305" s="1" t="s">
        <v>115</v>
      </c>
      <c r="J305" s="57">
        <v>0</v>
      </c>
      <c r="K305" s="24">
        <v>45266.77920138889</v>
      </c>
      <c r="L305" s="23">
        <v>2400</v>
      </c>
    </row>
    <row r="306" spans="2:12" x14ac:dyDescent="0.25">
      <c r="B306" s="42" t="s">
        <v>169</v>
      </c>
      <c r="C306" s="42" t="s">
        <v>257</v>
      </c>
      <c r="D306" s="20" t="s">
        <v>382</v>
      </c>
      <c r="E306" s="21">
        <v>1200</v>
      </c>
      <c r="F306" s="1" t="s">
        <v>68</v>
      </c>
      <c r="G306" s="35" t="s">
        <v>293</v>
      </c>
      <c r="H306" s="1" t="s">
        <v>294</v>
      </c>
      <c r="I306" s="1" t="s">
        <v>115</v>
      </c>
      <c r="J306" s="57">
        <v>0</v>
      </c>
      <c r="K306" s="24">
        <v>45266.779236111113</v>
      </c>
      <c r="L306" s="23">
        <v>1200</v>
      </c>
    </row>
    <row r="307" spans="2:12" x14ac:dyDescent="0.25">
      <c r="B307" s="42" t="s">
        <v>169</v>
      </c>
      <c r="C307" s="42" t="s">
        <v>383</v>
      </c>
      <c r="D307" s="20" t="s">
        <v>384</v>
      </c>
      <c r="E307" s="21">
        <v>720</v>
      </c>
      <c r="F307" s="1" t="s">
        <v>145</v>
      </c>
      <c r="G307" s="35" t="s">
        <v>151</v>
      </c>
      <c r="H307" s="1" t="s">
        <v>147</v>
      </c>
      <c r="I307" s="1" t="s">
        <v>148</v>
      </c>
      <c r="J307" s="57">
        <v>0</v>
      </c>
      <c r="K307" s="24">
        <v>45266.77925925926</v>
      </c>
      <c r="L307" s="23">
        <v>0</v>
      </c>
    </row>
    <row r="308" spans="2:12" x14ac:dyDescent="0.25">
      <c r="B308" s="42" t="s">
        <v>169</v>
      </c>
      <c r="C308" s="42" t="s">
        <v>385</v>
      </c>
      <c r="D308" s="20" t="s">
        <v>386</v>
      </c>
      <c r="E308" s="21">
        <v>7000</v>
      </c>
      <c r="F308" s="1" t="s">
        <v>68</v>
      </c>
      <c r="G308" s="25" t="s">
        <v>156</v>
      </c>
      <c r="H308" s="1" t="s">
        <v>157</v>
      </c>
      <c r="I308" s="1" t="s">
        <v>154</v>
      </c>
      <c r="J308" s="21">
        <v>0</v>
      </c>
      <c r="K308" s="24">
        <v>45266.779293981483</v>
      </c>
      <c r="L308" s="23">
        <v>100</v>
      </c>
    </row>
    <row r="309" spans="2:12" x14ac:dyDescent="0.25">
      <c r="B309" s="42" t="s">
        <v>169</v>
      </c>
      <c r="C309" s="42" t="s">
        <v>263</v>
      </c>
      <c r="D309" s="20" t="s">
        <v>387</v>
      </c>
      <c r="E309" s="21">
        <v>1000</v>
      </c>
      <c r="F309" s="1" t="s">
        <v>68</v>
      </c>
      <c r="G309" s="25" t="s">
        <v>156</v>
      </c>
      <c r="H309" s="1" t="s">
        <v>157</v>
      </c>
      <c r="I309" s="1" t="s">
        <v>154</v>
      </c>
      <c r="J309" s="21">
        <v>0</v>
      </c>
      <c r="K309" s="24">
        <v>45266.779328703706</v>
      </c>
      <c r="L309" s="23">
        <v>-900</v>
      </c>
    </row>
    <row r="310" spans="2:12" x14ac:dyDescent="0.25">
      <c r="B310" s="42" t="s">
        <v>169</v>
      </c>
      <c r="C310" s="42" t="s">
        <v>388</v>
      </c>
      <c r="D310" s="20" t="s">
        <v>389</v>
      </c>
      <c r="E310" s="21">
        <v>21</v>
      </c>
      <c r="F310" s="1" t="s">
        <v>145</v>
      </c>
      <c r="G310" s="35" t="s">
        <v>230</v>
      </c>
      <c r="H310" s="1" t="s">
        <v>219</v>
      </c>
      <c r="I310" s="1" t="s">
        <v>220</v>
      </c>
      <c r="J310" s="57">
        <v>0</v>
      </c>
      <c r="K310" s="24">
        <v>45266.779907407406</v>
      </c>
      <c r="L310" s="23">
        <v>0</v>
      </c>
    </row>
    <row r="311" spans="2:12" x14ac:dyDescent="0.25">
      <c r="B311" s="42" t="s">
        <v>169</v>
      </c>
      <c r="C311" s="42" t="s">
        <v>388</v>
      </c>
      <c r="D311" s="20" t="s">
        <v>389</v>
      </c>
      <c r="E311" s="21">
        <v>5</v>
      </c>
      <c r="F311" s="1" t="s">
        <v>145</v>
      </c>
      <c r="G311" s="25" t="s">
        <v>231</v>
      </c>
      <c r="H311" s="1" t="s">
        <v>219</v>
      </c>
      <c r="I311" s="1" t="s">
        <v>220</v>
      </c>
      <c r="J311" s="57">
        <v>0</v>
      </c>
      <c r="K311" s="24">
        <v>45266.779965277776</v>
      </c>
      <c r="L311" s="23">
        <v>0</v>
      </c>
    </row>
    <row r="312" spans="2:12" x14ac:dyDescent="0.25">
      <c r="B312" s="42" t="s">
        <v>169</v>
      </c>
      <c r="C312" s="42" t="s">
        <v>388</v>
      </c>
      <c r="D312" s="20" t="s">
        <v>389</v>
      </c>
      <c r="E312" s="21">
        <v>5</v>
      </c>
      <c r="F312" s="1" t="s">
        <v>145</v>
      </c>
      <c r="G312" s="25" t="s">
        <v>63</v>
      </c>
      <c r="H312" s="1" t="s">
        <v>219</v>
      </c>
      <c r="I312" s="1" t="s">
        <v>220</v>
      </c>
      <c r="J312" s="57">
        <v>0</v>
      </c>
      <c r="K312" s="24">
        <v>45266.779988425929</v>
      </c>
      <c r="L312" s="23">
        <v>0</v>
      </c>
    </row>
    <row r="313" spans="2:12" x14ac:dyDescent="0.25">
      <c r="B313" s="42" t="s">
        <v>169</v>
      </c>
      <c r="C313" s="42" t="s">
        <v>388</v>
      </c>
      <c r="D313" s="20" t="s">
        <v>389</v>
      </c>
      <c r="E313" s="21">
        <v>4</v>
      </c>
      <c r="F313" s="1" t="s">
        <v>145</v>
      </c>
      <c r="G313" s="25" t="s">
        <v>239</v>
      </c>
      <c r="H313" s="1" t="s">
        <v>219</v>
      </c>
      <c r="I313" s="1" t="s">
        <v>220</v>
      </c>
      <c r="J313" s="57">
        <v>0</v>
      </c>
      <c r="K313" s="24">
        <v>45266.780011574076</v>
      </c>
      <c r="L313" s="23">
        <v>-1</v>
      </c>
    </row>
    <row r="314" spans="2:12" x14ac:dyDescent="0.25">
      <c r="B314" s="42" t="s">
        <v>169</v>
      </c>
      <c r="C314" s="42" t="s">
        <v>388</v>
      </c>
      <c r="D314" s="20" t="s">
        <v>389</v>
      </c>
      <c r="E314" s="21">
        <v>4</v>
      </c>
      <c r="F314" s="1" t="s">
        <v>145</v>
      </c>
      <c r="G314" s="25" t="s">
        <v>240</v>
      </c>
      <c r="H314" s="1" t="s">
        <v>219</v>
      </c>
      <c r="I314" s="1" t="s">
        <v>220</v>
      </c>
      <c r="J314" s="57">
        <v>0</v>
      </c>
      <c r="K314" s="24">
        <v>45266.780046296299</v>
      </c>
      <c r="L314" s="23">
        <v>1</v>
      </c>
    </row>
    <row r="315" spans="2:12" x14ac:dyDescent="0.25">
      <c r="B315" s="42" t="s">
        <v>169</v>
      </c>
      <c r="C315" s="42" t="s">
        <v>388</v>
      </c>
      <c r="D315" s="20" t="s">
        <v>389</v>
      </c>
      <c r="E315" s="21">
        <v>4</v>
      </c>
      <c r="F315" s="1" t="s">
        <v>145</v>
      </c>
      <c r="G315" s="25" t="s">
        <v>241</v>
      </c>
      <c r="H315" s="1" t="s">
        <v>219</v>
      </c>
      <c r="I315" s="1" t="s">
        <v>220</v>
      </c>
      <c r="J315" s="57">
        <v>0</v>
      </c>
      <c r="K315" s="24">
        <v>45266.778344907405</v>
      </c>
      <c r="L315" s="23">
        <v>0</v>
      </c>
    </row>
    <row r="316" spans="2:12" x14ac:dyDescent="0.25">
      <c r="B316" s="42" t="s">
        <v>169</v>
      </c>
      <c r="C316" s="42" t="s">
        <v>388</v>
      </c>
      <c r="D316" s="20" t="s">
        <v>389</v>
      </c>
      <c r="E316" s="21">
        <v>26</v>
      </c>
      <c r="F316" s="1" t="s">
        <v>145</v>
      </c>
      <c r="G316" s="25" t="s">
        <v>238</v>
      </c>
      <c r="H316" s="1" t="s">
        <v>219</v>
      </c>
      <c r="I316" s="1" t="s">
        <v>220</v>
      </c>
      <c r="J316" s="57">
        <v>0</v>
      </c>
      <c r="K316" s="24">
        <v>45266.780092592591</v>
      </c>
      <c r="L316" s="23">
        <v>0</v>
      </c>
    </row>
    <row r="317" spans="2:12" x14ac:dyDescent="0.25">
      <c r="B317" s="42" t="s">
        <v>169</v>
      </c>
      <c r="C317" s="42" t="s">
        <v>388</v>
      </c>
      <c r="D317" s="20" t="s">
        <v>389</v>
      </c>
      <c r="E317" s="21">
        <v>16</v>
      </c>
      <c r="F317" s="1" t="s">
        <v>145</v>
      </c>
      <c r="G317" s="25" t="s">
        <v>369</v>
      </c>
      <c r="H317" s="1" t="s">
        <v>219</v>
      </c>
      <c r="I317" s="1" t="s">
        <v>220</v>
      </c>
      <c r="J317" s="57">
        <v>0</v>
      </c>
      <c r="K317" s="24">
        <v>45266.780115740738</v>
      </c>
      <c r="L317" s="23">
        <v>0</v>
      </c>
    </row>
    <row r="318" spans="2:12" x14ac:dyDescent="0.25">
      <c r="B318" s="42" t="s">
        <v>169</v>
      </c>
      <c r="C318" s="42" t="s">
        <v>388</v>
      </c>
      <c r="D318" s="20" t="s">
        <v>389</v>
      </c>
      <c r="E318" s="21">
        <v>18</v>
      </c>
      <c r="F318" s="1" t="s">
        <v>145</v>
      </c>
      <c r="G318" s="25" t="s">
        <v>236</v>
      </c>
      <c r="H318" s="1" t="s">
        <v>219</v>
      </c>
      <c r="I318" s="1" t="s">
        <v>220</v>
      </c>
      <c r="J318" s="57">
        <v>0</v>
      </c>
      <c r="K318" s="24">
        <v>45266.780138888891</v>
      </c>
      <c r="L318" s="23">
        <v>1</v>
      </c>
    </row>
    <row r="319" spans="2:12" x14ac:dyDescent="0.25">
      <c r="B319" s="42" t="s">
        <v>169</v>
      </c>
      <c r="C319" s="42" t="s">
        <v>388</v>
      </c>
      <c r="D319" s="20" t="s">
        <v>389</v>
      </c>
      <c r="E319" s="21">
        <v>15</v>
      </c>
      <c r="F319" s="1" t="s">
        <v>145</v>
      </c>
      <c r="G319" s="25" t="s">
        <v>370</v>
      </c>
      <c r="H319" s="1" t="s">
        <v>219</v>
      </c>
      <c r="I319" s="1" t="s">
        <v>220</v>
      </c>
      <c r="J319" s="57">
        <v>0</v>
      </c>
      <c r="K319" s="24">
        <v>45266.780162037037</v>
      </c>
      <c r="L319" s="23">
        <v>0</v>
      </c>
    </row>
    <row r="320" spans="2:12" x14ac:dyDescent="0.25">
      <c r="B320" s="42" t="s">
        <v>169</v>
      </c>
      <c r="C320" s="42" t="s">
        <v>388</v>
      </c>
      <c r="D320" s="20" t="s">
        <v>389</v>
      </c>
      <c r="E320" s="21">
        <v>10</v>
      </c>
      <c r="F320" s="1" t="s">
        <v>145</v>
      </c>
      <c r="G320" s="25" t="s">
        <v>226</v>
      </c>
      <c r="H320" s="1" t="s">
        <v>219</v>
      </c>
      <c r="I320" s="1" t="s">
        <v>220</v>
      </c>
      <c r="J320" s="57">
        <v>0</v>
      </c>
      <c r="K320" s="24">
        <v>45266.780185185184</v>
      </c>
      <c r="L320" s="23">
        <v>14</v>
      </c>
    </row>
    <row r="321" spans="2:17" x14ac:dyDescent="0.25">
      <c r="B321" s="42" t="s">
        <v>169</v>
      </c>
      <c r="C321" s="42" t="s">
        <v>388</v>
      </c>
      <c r="D321" s="20" t="s">
        <v>389</v>
      </c>
      <c r="E321" s="21">
        <v>6</v>
      </c>
      <c r="F321" s="1" t="s">
        <v>145</v>
      </c>
      <c r="G321" s="25" t="s">
        <v>237</v>
      </c>
      <c r="H321" s="1" t="s">
        <v>219</v>
      </c>
      <c r="I321" s="1" t="s">
        <v>220</v>
      </c>
      <c r="J321" s="21">
        <v>0</v>
      </c>
      <c r="K321" s="24">
        <v>45266.78020833333</v>
      </c>
      <c r="L321" s="23">
        <v>-1</v>
      </c>
    </row>
    <row r="322" spans="2:17" x14ac:dyDescent="0.25">
      <c r="B322" s="42" t="s">
        <v>169</v>
      </c>
      <c r="C322" s="42" t="s">
        <v>388</v>
      </c>
      <c r="D322" s="20" t="s">
        <v>389</v>
      </c>
      <c r="E322" s="21">
        <v>23</v>
      </c>
      <c r="F322" s="1" t="s">
        <v>145</v>
      </c>
      <c r="G322" s="25" t="s">
        <v>371</v>
      </c>
      <c r="H322" s="1" t="s">
        <v>219</v>
      </c>
      <c r="I322" s="1" t="s">
        <v>220</v>
      </c>
      <c r="J322" s="57">
        <v>0</v>
      </c>
      <c r="K322" s="24">
        <v>45266.780277777776</v>
      </c>
      <c r="L322" s="23">
        <v>0</v>
      </c>
    </row>
    <row r="323" spans="2:17" x14ac:dyDescent="0.25">
      <c r="B323" s="42" t="s">
        <v>169</v>
      </c>
      <c r="C323" s="42" t="s">
        <v>388</v>
      </c>
      <c r="D323" s="20" t="s">
        <v>389</v>
      </c>
      <c r="E323" s="21">
        <v>35</v>
      </c>
      <c r="F323" s="1" t="s">
        <v>145</v>
      </c>
      <c r="G323" s="25" t="s">
        <v>62</v>
      </c>
      <c r="H323" s="1" t="s">
        <v>219</v>
      </c>
      <c r="I323" s="1" t="s">
        <v>220</v>
      </c>
      <c r="J323" s="57">
        <v>0</v>
      </c>
      <c r="K323" s="24">
        <v>45266.780787037038</v>
      </c>
      <c r="L323" s="23">
        <v>0</v>
      </c>
    </row>
    <row r="324" spans="2:17" x14ac:dyDescent="0.25">
      <c r="B324" s="42" t="s">
        <v>169</v>
      </c>
      <c r="C324" s="42" t="s">
        <v>388</v>
      </c>
      <c r="D324" s="20" t="s">
        <v>389</v>
      </c>
      <c r="E324" s="21">
        <v>35</v>
      </c>
      <c r="F324" s="1" t="s">
        <v>145</v>
      </c>
      <c r="G324" s="25" t="s">
        <v>227</v>
      </c>
      <c r="H324" s="1" t="s">
        <v>219</v>
      </c>
      <c r="I324" s="1" t="s">
        <v>220</v>
      </c>
      <c r="J324" s="57">
        <v>0</v>
      </c>
      <c r="K324" s="24">
        <v>45266.780844907407</v>
      </c>
      <c r="L324" s="23">
        <v>0</v>
      </c>
    </row>
    <row r="325" spans="2:17" x14ac:dyDescent="0.25">
      <c r="B325" s="42" t="s">
        <v>169</v>
      </c>
      <c r="C325" s="42" t="s">
        <v>388</v>
      </c>
      <c r="D325" s="20" t="s">
        <v>389</v>
      </c>
      <c r="E325" s="21">
        <v>43</v>
      </c>
      <c r="F325" s="1" t="s">
        <v>145</v>
      </c>
      <c r="G325" s="25" t="s">
        <v>64</v>
      </c>
      <c r="H325" s="1" t="s">
        <v>219</v>
      </c>
      <c r="I325" s="1" t="s">
        <v>220</v>
      </c>
      <c r="J325" s="57">
        <v>0</v>
      </c>
      <c r="K325" s="24">
        <v>45266.780868055554</v>
      </c>
      <c r="L325" s="23">
        <v>0</v>
      </c>
    </row>
    <row r="326" spans="2:17" x14ac:dyDescent="0.25">
      <c r="B326" s="42" t="s">
        <v>169</v>
      </c>
      <c r="C326" s="42" t="s">
        <v>388</v>
      </c>
      <c r="D326" s="20" t="s">
        <v>389</v>
      </c>
      <c r="E326" s="21">
        <v>10</v>
      </c>
      <c r="F326" s="1" t="s">
        <v>145</v>
      </c>
      <c r="G326" s="25" t="s">
        <v>228</v>
      </c>
      <c r="H326" s="1" t="s">
        <v>219</v>
      </c>
      <c r="I326" s="1" t="s">
        <v>220</v>
      </c>
      <c r="J326" s="57">
        <v>0</v>
      </c>
      <c r="K326" s="24">
        <v>45266.780891203707</v>
      </c>
      <c r="L326" s="23">
        <v>0</v>
      </c>
    </row>
    <row r="327" spans="2:17" x14ac:dyDescent="0.25">
      <c r="B327" s="42" t="s">
        <v>169</v>
      </c>
      <c r="C327" s="42" t="s">
        <v>388</v>
      </c>
      <c r="D327" s="20" t="s">
        <v>389</v>
      </c>
      <c r="E327" s="21">
        <v>2</v>
      </c>
      <c r="F327" s="1" t="s">
        <v>145</v>
      </c>
      <c r="G327" s="25" t="s">
        <v>65</v>
      </c>
      <c r="H327" s="1" t="s">
        <v>219</v>
      </c>
      <c r="I327" s="1" t="s">
        <v>220</v>
      </c>
      <c r="J327" s="57">
        <v>0</v>
      </c>
      <c r="K327" s="24">
        <v>45266.780914351853</v>
      </c>
      <c r="L327" s="23">
        <v>0</v>
      </c>
    </row>
    <row r="328" spans="2:17" x14ac:dyDescent="0.25">
      <c r="B328" s="42" t="s">
        <v>390</v>
      </c>
      <c r="C328" s="42" t="s">
        <v>391</v>
      </c>
      <c r="D328" s="20" t="s">
        <v>392</v>
      </c>
      <c r="E328" s="21">
        <v>4000</v>
      </c>
      <c r="F328" s="1" t="s">
        <v>68</v>
      </c>
      <c r="G328" s="25" t="s">
        <v>129</v>
      </c>
      <c r="H328" s="1" t="s">
        <v>130</v>
      </c>
      <c r="I328" s="1" t="s">
        <v>115</v>
      </c>
      <c r="J328" s="30">
        <v>1</v>
      </c>
      <c r="K328" s="24">
        <v>45266.782824074071</v>
      </c>
      <c r="L328" s="23">
        <v>6400</v>
      </c>
      <c r="M328" s="1" t="s">
        <v>393</v>
      </c>
    </row>
    <row r="329" spans="2:17" x14ac:dyDescent="0.25">
      <c r="B329" s="42" t="s">
        <v>390</v>
      </c>
      <c r="C329" s="42" t="s">
        <v>391</v>
      </c>
      <c r="D329" s="20" t="s">
        <v>392</v>
      </c>
      <c r="E329" s="21">
        <v>10000</v>
      </c>
      <c r="F329" s="1" t="s">
        <v>68</v>
      </c>
      <c r="G329" s="25" t="s">
        <v>135</v>
      </c>
      <c r="H329" s="1" t="s">
        <v>136</v>
      </c>
      <c r="I329" s="1" t="s">
        <v>115</v>
      </c>
      <c r="J329" s="30">
        <v>1</v>
      </c>
      <c r="K329" s="24">
        <v>45266.78297453704</v>
      </c>
      <c r="L329" s="23">
        <v>10000</v>
      </c>
      <c r="M329" s="1" t="s">
        <v>393</v>
      </c>
    </row>
    <row r="330" spans="2:17" x14ac:dyDescent="0.25">
      <c r="B330" s="42" t="s">
        <v>394</v>
      </c>
      <c r="C330" s="42" t="s">
        <v>67</v>
      </c>
      <c r="D330" s="20" t="s">
        <v>67</v>
      </c>
      <c r="E330" s="21">
        <v>29</v>
      </c>
      <c r="F330" s="1" t="s">
        <v>145</v>
      </c>
      <c r="G330" s="25" t="s">
        <v>65</v>
      </c>
      <c r="H330" s="1" t="s">
        <v>219</v>
      </c>
      <c r="I330" s="1" t="s">
        <v>220</v>
      </c>
      <c r="J330" s="30">
        <v>1</v>
      </c>
      <c r="K330" s="24">
        <v>45267.417939814812</v>
      </c>
      <c r="L330" s="23">
        <v>29</v>
      </c>
      <c r="M330" s="1" t="s">
        <v>342</v>
      </c>
    </row>
    <row r="331" spans="2:17" x14ac:dyDescent="0.25">
      <c r="B331" s="42" t="s">
        <v>394</v>
      </c>
      <c r="C331" s="42" t="s">
        <v>67</v>
      </c>
      <c r="D331" s="20" t="s">
        <v>67</v>
      </c>
      <c r="E331" s="21">
        <v>19</v>
      </c>
      <c r="F331" s="1" t="s">
        <v>145</v>
      </c>
      <c r="G331" s="25" t="s">
        <v>227</v>
      </c>
      <c r="H331" s="1" t="s">
        <v>219</v>
      </c>
      <c r="I331" s="1" t="s">
        <v>220</v>
      </c>
      <c r="J331" s="30">
        <v>1</v>
      </c>
      <c r="K331" s="24">
        <v>45267.418182870373</v>
      </c>
      <c r="L331" s="23">
        <v>19</v>
      </c>
      <c r="M331" s="1" t="s">
        <v>342</v>
      </c>
    </row>
    <row r="332" spans="2:17" x14ac:dyDescent="0.25">
      <c r="B332" s="42" t="s">
        <v>394</v>
      </c>
      <c r="C332" s="42" t="s">
        <v>67</v>
      </c>
      <c r="D332" s="59" t="s">
        <v>67</v>
      </c>
      <c r="E332" s="21">
        <v>24</v>
      </c>
      <c r="F332" s="1" t="s">
        <v>145</v>
      </c>
      <c r="G332" s="25" t="s">
        <v>369</v>
      </c>
      <c r="H332" s="1" t="s">
        <v>219</v>
      </c>
      <c r="I332" s="1" t="s">
        <v>220</v>
      </c>
      <c r="J332" s="30">
        <v>1</v>
      </c>
      <c r="K332" s="24">
        <v>45267.418495370373</v>
      </c>
      <c r="L332" s="23">
        <v>24</v>
      </c>
      <c r="M332" s="1" t="s">
        <v>342</v>
      </c>
    </row>
    <row r="333" spans="2:17" x14ac:dyDescent="0.25">
      <c r="B333" s="42" t="s">
        <v>395</v>
      </c>
      <c r="C333" s="42" t="s">
        <v>396</v>
      </c>
      <c r="D333" s="20" t="s">
        <v>397</v>
      </c>
      <c r="E333" s="21">
        <v>60000</v>
      </c>
      <c r="F333" s="1" t="s">
        <v>68</v>
      </c>
      <c r="G333" s="25" t="s">
        <v>133</v>
      </c>
      <c r="H333" s="1" t="s">
        <v>134</v>
      </c>
      <c r="I333" s="1" t="s">
        <v>115</v>
      </c>
      <c r="J333" s="30">
        <v>1</v>
      </c>
      <c r="K333" s="24">
        <v>45267.66920138889</v>
      </c>
      <c r="L333" s="23">
        <v>211000</v>
      </c>
      <c r="M333" s="22">
        <v>44938</v>
      </c>
      <c r="O333" s="51">
        <v>2400</v>
      </c>
      <c r="P333" s="30">
        <v>25</v>
      </c>
      <c r="Q333" s="30">
        <v>0</v>
      </c>
    </row>
    <row r="334" spans="2:17" x14ac:dyDescent="0.25">
      <c r="B334" s="42" t="s">
        <v>395</v>
      </c>
      <c r="C334" s="42" t="s">
        <v>396</v>
      </c>
      <c r="D334" s="20" t="s">
        <v>397</v>
      </c>
      <c r="E334" s="21">
        <v>3000</v>
      </c>
      <c r="F334" s="1" t="s">
        <v>68</v>
      </c>
      <c r="G334" s="25" t="s">
        <v>120</v>
      </c>
      <c r="H334" s="1" t="s">
        <v>121</v>
      </c>
      <c r="I334" s="1" t="s">
        <v>115</v>
      </c>
      <c r="J334" s="30">
        <v>1</v>
      </c>
      <c r="K334" s="24">
        <v>45267.669351851851</v>
      </c>
      <c r="L334" s="23">
        <v>9000</v>
      </c>
      <c r="M334" s="22">
        <v>44938</v>
      </c>
      <c r="O334" s="51">
        <v>1200</v>
      </c>
      <c r="P334" s="30">
        <v>2</v>
      </c>
      <c r="Q334" s="30">
        <v>600</v>
      </c>
    </row>
    <row r="335" spans="2:17" x14ac:dyDescent="0.25">
      <c r="B335" s="42" t="s">
        <v>169</v>
      </c>
      <c r="C335" s="42" t="s">
        <v>257</v>
      </c>
      <c r="D335" s="20" t="s">
        <v>398</v>
      </c>
      <c r="E335" s="21">
        <v>1600</v>
      </c>
      <c r="F335" s="1" t="s">
        <v>68</v>
      </c>
      <c r="G335" s="25" t="s">
        <v>135</v>
      </c>
      <c r="H335" s="1" t="s">
        <v>136</v>
      </c>
      <c r="I335" s="1" t="s">
        <v>115</v>
      </c>
      <c r="J335" s="57">
        <v>0</v>
      </c>
      <c r="K335" s="24">
        <v>45268.429259259261</v>
      </c>
      <c r="L335" s="23">
        <v>8400</v>
      </c>
      <c r="O335" s="51">
        <v>1</v>
      </c>
      <c r="P335" s="30">
        <v>1600</v>
      </c>
      <c r="Q335" s="30">
        <v>0</v>
      </c>
    </row>
    <row r="336" spans="2:17" x14ac:dyDescent="0.25">
      <c r="B336" s="42" t="s">
        <v>169</v>
      </c>
      <c r="C336" s="42" t="s">
        <v>399</v>
      </c>
      <c r="D336" s="20" t="s">
        <v>400</v>
      </c>
      <c r="E336" s="21">
        <v>1200</v>
      </c>
      <c r="F336" s="1" t="s">
        <v>68</v>
      </c>
      <c r="G336" s="25" t="s">
        <v>135</v>
      </c>
      <c r="H336" s="1" t="s">
        <v>136</v>
      </c>
      <c r="I336" s="1" t="s">
        <v>115</v>
      </c>
      <c r="J336" s="57">
        <v>0</v>
      </c>
      <c r="K336" s="24">
        <v>45268.429988425924</v>
      </c>
      <c r="L336" s="23">
        <v>7200</v>
      </c>
      <c r="O336" s="51">
        <v>1</v>
      </c>
      <c r="P336" s="30">
        <v>1200</v>
      </c>
      <c r="Q336" s="30">
        <v>0</v>
      </c>
    </row>
    <row r="337" spans="2:17" x14ac:dyDescent="0.25">
      <c r="B337" s="42" t="s">
        <v>169</v>
      </c>
      <c r="C337" s="42" t="s">
        <v>256</v>
      </c>
      <c r="D337" s="20" t="s">
        <v>401</v>
      </c>
      <c r="E337" s="21">
        <v>252</v>
      </c>
      <c r="F337" s="1" t="s">
        <v>68</v>
      </c>
      <c r="G337" s="25" t="s">
        <v>152</v>
      </c>
      <c r="H337" s="1" t="s">
        <v>153</v>
      </c>
      <c r="I337" s="1" t="s">
        <v>154</v>
      </c>
      <c r="J337" s="57">
        <v>0</v>
      </c>
      <c r="K337" s="24">
        <v>45268.447766203702</v>
      </c>
      <c r="L337" s="23">
        <v>6560</v>
      </c>
      <c r="O337" s="51">
        <v>24</v>
      </c>
      <c r="P337" s="30">
        <v>10</v>
      </c>
      <c r="Q337" s="30">
        <v>12</v>
      </c>
    </row>
    <row r="338" spans="2:17" x14ac:dyDescent="0.25">
      <c r="B338" s="42" t="s">
        <v>169</v>
      </c>
      <c r="C338" s="42" t="s">
        <v>380</v>
      </c>
      <c r="D338" s="20" t="s">
        <v>402</v>
      </c>
      <c r="E338" s="21">
        <v>1800</v>
      </c>
      <c r="F338" s="1" t="s">
        <v>68</v>
      </c>
      <c r="G338" s="25" t="s">
        <v>117</v>
      </c>
      <c r="H338" s="1" t="s">
        <v>118</v>
      </c>
      <c r="I338" s="1" t="s">
        <v>115</v>
      </c>
      <c r="J338" s="57">
        <v>0</v>
      </c>
      <c r="K338" s="24">
        <v>45268.448530092595</v>
      </c>
      <c r="L338" s="23">
        <v>55600</v>
      </c>
      <c r="O338" s="51">
        <v>1200</v>
      </c>
      <c r="P338" s="30">
        <v>1</v>
      </c>
      <c r="Q338" s="30">
        <v>600</v>
      </c>
    </row>
    <row r="339" spans="2:17" x14ac:dyDescent="0.25">
      <c r="B339" s="42" t="s">
        <v>169</v>
      </c>
      <c r="C339" s="42" t="s">
        <v>340</v>
      </c>
      <c r="D339" s="20" t="s">
        <v>403</v>
      </c>
      <c r="E339" s="21">
        <v>4000</v>
      </c>
      <c r="F339" s="1" t="s">
        <v>68</v>
      </c>
      <c r="G339" s="25" t="s">
        <v>129</v>
      </c>
      <c r="H339" s="1" t="s">
        <v>130</v>
      </c>
      <c r="I339" s="1" t="s">
        <v>115</v>
      </c>
      <c r="J339" s="57">
        <v>0</v>
      </c>
      <c r="K339" s="24">
        <v>45268.449131944442</v>
      </c>
      <c r="L339" s="23">
        <v>2400</v>
      </c>
      <c r="O339" s="51">
        <v>1</v>
      </c>
      <c r="P339" s="30">
        <v>4000</v>
      </c>
      <c r="Q339" s="30">
        <v>0</v>
      </c>
    </row>
    <row r="340" spans="2:17" x14ac:dyDescent="0.25">
      <c r="B340" s="42" t="s">
        <v>169</v>
      </c>
      <c r="C340" s="42" t="s">
        <v>66</v>
      </c>
      <c r="D340" s="20" t="s">
        <v>404</v>
      </c>
      <c r="E340" s="21">
        <v>720</v>
      </c>
      <c r="F340" s="1" t="s">
        <v>145</v>
      </c>
      <c r="G340" s="25" t="s">
        <v>149</v>
      </c>
      <c r="H340" s="1" t="s">
        <v>147</v>
      </c>
      <c r="I340" s="1" t="s">
        <v>148</v>
      </c>
      <c r="J340" s="57">
        <v>0</v>
      </c>
      <c r="K340" s="22">
        <v>45244.693124999998</v>
      </c>
      <c r="L340" s="23">
        <v>4808</v>
      </c>
      <c r="O340" s="51">
        <v>144</v>
      </c>
      <c r="P340" s="30">
        <v>5</v>
      </c>
      <c r="Q340" s="30">
        <v>0</v>
      </c>
    </row>
    <row r="341" spans="2:17" x14ac:dyDescent="0.25">
      <c r="B341" s="42" t="s">
        <v>405</v>
      </c>
      <c r="C341" s="42" t="s">
        <v>406</v>
      </c>
      <c r="D341" s="20" t="s">
        <v>407</v>
      </c>
      <c r="E341" s="21">
        <v>24</v>
      </c>
      <c r="F341" s="1" t="s">
        <v>145</v>
      </c>
      <c r="G341" s="25" t="s">
        <v>370</v>
      </c>
      <c r="H341" s="1" t="s">
        <v>219</v>
      </c>
      <c r="I341" s="1" t="s">
        <v>220</v>
      </c>
      <c r="J341" s="30">
        <v>1</v>
      </c>
      <c r="K341" s="24">
        <v>45271.47347222222</v>
      </c>
      <c r="L341" s="23">
        <v>24</v>
      </c>
      <c r="M341" s="22">
        <v>45058</v>
      </c>
      <c r="O341" s="51">
        <v>1</v>
      </c>
      <c r="P341" s="30">
        <v>24</v>
      </c>
      <c r="Q341" s="30">
        <v>0</v>
      </c>
    </row>
    <row r="342" spans="2:17" x14ac:dyDescent="0.25">
      <c r="B342" s="42" t="s">
        <v>405</v>
      </c>
      <c r="C342" s="42" t="s">
        <v>406</v>
      </c>
      <c r="D342" s="20" t="s">
        <v>407</v>
      </c>
      <c r="E342" s="21">
        <v>44</v>
      </c>
      <c r="F342" s="1" t="s">
        <v>145</v>
      </c>
      <c r="G342" s="25" t="s">
        <v>62</v>
      </c>
      <c r="H342" s="1" t="s">
        <v>219</v>
      </c>
      <c r="I342" s="1" t="s">
        <v>220</v>
      </c>
      <c r="J342" s="30">
        <v>1</v>
      </c>
      <c r="K342" s="24">
        <v>45271.473576388889</v>
      </c>
      <c r="L342" s="23">
        <v>44</v>
      </c>
      <c r="M342" s="22">
        <v>45058</v>
      </c>
      <c r="O342" s="51">
        <v>1</v>
      </c>
      <c r="P342" s="30">
        <v>44</v>
      </c>
      <c r="Q342" s="30">
        <v>0</v>
      </c>
    </row>
    <row r="343" spans="2:17" x14ac:dyDescent="0.25">
      <c r="B343" s="42" t="s">
        <v>405</v>
      </c>
      <c r="C343" s="42" t="s">
        <v>406</v>
      </c>
      <c r="D343" s="20" t="s">
        <v>407</v>
      </c>
      <c r="E343" s="21">
        <v>10</v>
      </c>
      <c r="F343" s="1" t="s">
        <v>145</v>
      </c>
      <c r="G343" s="25" t="s">
        <v>238</v>
      </c>
      <c r="H343" s="1" t="s">
        <v>219</v>
      </c>
      <c r="I343" s="1" t="s">
        <v>220</v>
      </c>
      <c r="J343" s="30">
        <v>1</v>
      </c>
      <c r="K343" s="24">
        <v>45271.479155092595</v>
      </c>
      <c r="L343" s="23">
        <v>10</v>
      </c>
      <c r="M343" s="22">
        <v>45058</v>
      </c>
      <c r="O343" s="51">
        <v>1</v>
      </c>
      <c r="P343" s="30">
        <v>10</v>
      </c>
      <c r="Q343" s="30">
        <v>0</v>
      </c>
    </row>
    <row r="344" spans="2:17" x14ac:dyDescent="0.25">
      <c r="B344" s="42" t="s">
        <v>405</v>
      </c>
      <c r="C344" s="42" t="s">
        <v>406</v>
      </c>
      <c r="D344" s="20" t="s">
        <v>407</v>
      </c>
      <c r="E344" s="21">
        <v>26</v>
      </c>
      <c r="F344" s="1" t="s">
        <v>145</v>
      </c>
      <c r="G344" s="25" t="s">
        <v>227</v>
      </c>
      <c r="H344" s="1" t="s">
        <v>219</v>
      </c>
      <c r="I344" s="1" t="s">
        <v>220</v>
      </c>
      <c r="J344" s="30">
        <v>1</v>
      </c>
      <c r="K344" s="24">
        <v>45271.479351851849</v>
      </c>
      <c r="L344" s="23">
        <v>45</v>
      </c>
      <c r="M344" s="22">
        <v>45058</v>
      </c>
      <c r="O344" s="51">
        <v>1</v>
      </c>
      <c r="P344" s="30">
        <v>26</v>
      </c>
      <c r="Q344" s="30">
        <v>0</v>
      </c>
    </row>
    <row r="345" spans="2:17" hidden="1" x14ac:dyDescent="0.25">
      <c r="B345" s="42"/>
      <c r="C345" s="42"/>
      <c r="E345" s="32"/>
      <c r="F345" s="20"/>
      <c r="G345" s="25"/>
      <c r="J345" s="30"/>
      <c r="K345" s="24"/>
      <c r="M345" s="22"/>
    </row>
    <row r="346" spans="2:17" x14ac:dyDescent="0.25">
      <c r="B346" s="42" t="s">
        <v>405</v>
      </c>
      <c r="C346" s="42" t="s">
        <v>406</v>
      </c>
      <c r="D346" s="20" t="s">
        <v>407</v>
      </c>
      <c r="E346" s="21">
        <v>23</v>
      </c>
      <c r="F346" s="1" t="s">
        <v>145</v>
      </c>
      <c r="G346" s="25" t="s">
        <v>64</v>
      </c>
      <c r="H346" s="1" t="s">
        <v>219</v>
      </c>
      <c r="I346" s="1" t="s">
        <v>220</v>
      </c>
      <c r="J346" s="30">
        <v>1</v>
      </c>
      <c r="K346" s="24">
        <v>45271.480011574073</v>
      </c>
      <c r="L346" s="23">
        <v>23</v>
      </c>
      <c r="M346" s="22">
        <v>45058</v>
      </c>
      <c r="O346" s="51">
        <v>1</v>
      </c>
      <c r="P346" s="30">
        <v>23</v>
      </c>
      <c r="Q346" s="30">
        <v>0</v>
      </c>
    </row>
    <row r="347" spans="2:17" x14ac:dyDescent="0.25">
      <c r="B347" s="42" t="s">
        <v>405</v>
      </c>
      <c r="C347" s="42" t="s">
        <v>406</v>
      </c>
      <c r="D347" s="20" t="s">
        <v>407</v>
      </c>
      <c r="E347" s="21">
        <v>10</v>
      </c>
      <c r="F347" s="1" t="s">
        <v>145</v>
      </c>
      <c r="G347" s="25" t="s">
        <v>228</v>
      </c>
      <c r="H347" s="1" t="s">
        <v>219</v>
      </c>
      <c r="I347" s="1" t="s">
        <v>220</v>
      </c>
      <c r="J347" s="30">
        <v>1</v>
      </c>
      <c r="K347" s="24">
        <v>45271.480266203704</v>
      </c>
      <c r="L347" s="23">
        <v>10</v>
      </c>
      <c r="M347" s="22">
        <v>45058</v>
      </c>
      <c r="O347" s="51">
        <v>1</v>
      </c>
      <c r="P347" s="30">
        <v>10</v>
      </c>
      <c r="Q347" s="30">
        <v>0</v>
      </c>
    </row>
    <row r="348" spans="2:17" x14ac:dyDescent="0.25">
      <c r="B348" s="42" t="s">
        <v>405</v>
      </c>
      <c r="C348" s="42" t="s">
        <v>406</v>
      </c>
      <c r="D348" s="20" t="s">
        <v>407</v>
      </c>
      <c r="E348" s="21">
        <v>20</v>
      </c>
      <c r="F348" s="1" t="s">
        <v>145</v>
      </c>
      <c r="G348" s="25" t="s">
        <v>369</v>
      </c>
      <c r="H348" s="1" t="s">
        <v>219</v>
      </c>
      <c r="I348" s="1" t="s">
        <v>220</v>
      </c>
      <c r="J348" s="30">
        <v>1</v>
      </c>
      <c r="K348" s="24">
        <v>45271.48064814815</v>
      </c>
      <c r="L348" s="23">
        <v>44</v>
      </c>
      <c r="M348" s="22">
        <v>45058</v>
      </c>
      <c r="O348" s="51">
        <v>1</v>
      </c>
      <c r="P348" s="30">
        <v>20</v>
      </c>
      <c r="Q348" s="30">
        <v>0</v>
      </c>
    </row>
    <row r="349" spans="2:17" x14ac:dyDescent="0.25">
      <c r="B349" s="42" t="s">
        <v>405</v>
      </c>
      <c r="C349" s="42" t="s">
        <v>406</v>
      </c>
      <c r="D349" s="20" t="s">
        <v>407</v>
      </c>
      <c r="E349" s="21">
        <v>18</v>
      </c>
      <c r="F349" s="1" t="s">
        <v>145</v>
      </c>
      <c r="G349" s="25" t="s">
        <v>229</v>
      </c>
      <c r="H349" s="1" t="s">
        <v>219</v>
      </c>
      <c r="I349" s="1" t="s">
        <v>220</v>
      </c>
      <c r="J349" s="30">
        <v>1</v>
      </c>
      <c r="K349" s="24">
        <v>45271.480844907404</v>
      </c>
      <c r="L349" s="23">
        <v>18</v>
      </c>
      <c r="M349" s="22">
        <v>45058</v>
      </c>
      <c r="O349" s="51">
        <v>1</v>
      </c>
      <c r="P349" s="30">
        <v>18</v>
      </c>
      <c r="Q349" s="30">
        <v>0</v>
      </c>
    </row>
    <row r="350" spans="2:17" x14ac:dyDescent="0.25">
      <c r="B350" s="42" t="s">
        <v>405</v>
      </c>
      <c r="C350" s="42" t="s">
        <v>406</v>
      </c>
      <c r="D350" s="20" t="s">
        <v>407</v>
      </c>
      <c r="E350" s="21">
        <v>9</v>
      </c>
      <c r="F350" s="1" t="s">
        <v>145</v>
      </c>
      <c r="G350" s="25" t="s">
        <v>65</v>
      </c>
      <c r="H350" s="1" t="s">
        <v>219</v>
      </c>
      <c r="I350" s="1" t="s">
        <v>220</v>
      </c>
      <c r="J350" s="30">
        <v>1</v>
      </c>
      <c r="K350" s="24">
        <v>45271.480925925927</v>
      </c>
      <c r="L350" s="23">
        <v>38</v>
      </c>
      <c r="M350" s="22">
        <v>45058</v>
      </c>
      <c r="O350" s="51">
        <v>1</v>
      </c>
      <c r="P350" s="30">
        <v>9</v>
      </c>
      <c r="Q350" s="30">
        <v>0</v>
      </c>
    </row>
    <row r="351" spans="2:17" x14ac:dyDescent="0.25">
      <c r="B351" s="42" t="s">
        <v>405</v>
      </c>
      <c r="C351" s="42" t="s">
        <v>406</v>
      </c>
      <c r="D351" s="20" t="s">
        <v>407</v>
      </c>
      <c r="E351" s="21">
        <v>1</v>
      </c>
      <c r="F351" s="1" t="s">
        <v>145</v>
      </c>
      <c r="G351" s="25" t="s">
        <v>231</v>
      </c>
      <c r="H351" s="1" t="s">
        <v>219</v>
      </c>
      <c r="I351" s="1" t="s">
        <v>220</v>
      </c>
      <c r="J351" s="30">
        <v>1</v>
      </c>
      <c r="K351" s="24">
        <v>45271.48101851852</v>
      </c>
      <c r="L351" s="23">
        <v>1</v>
      </c>
      <c r="M351" s="22">
        <v>45058</v>
      </c>
      <c r="O351" s="51">
        <v>1</v>
      </c>
      <c r="P351" s="30">
        <v>1</v>
      </c>
      <c r="Q351" s="30">
        <v>0</v>
      </c>
    </row>
    <row r="352" spans="2:17" x14ac:dyDescent="0.25">
      <c r="B352" s="42" t="s">
        <v>405</v>
      </c>
      <c r="C352" s="42" t="s">
        <v>406</v>
      </c>
      <c r="D352" s="20" t="s">
        <v>407</v>
      </c>
      <c r="E352" s="21">
        <v>2</v>
      </c>
      <c r="F352" s="1" t="s">
        <v>145</v>
      </c>
      <c r="G352" s="25" t="s">
        <v>63</v>
      </c>
      <c r="H352" s="1" t="s">
        <v>219</v>
      </c>
      <c r="I352" s="1" t="s">
        <v>220</v>
      </c>
      <c r="J352" s="30">
        <v>1</v>
      </c>
      <c r="K352" s="24">
        <v>45271.481099537035</v>
      </c>
      <c r="L352" s="23">
        <v>2</v>
      </c>
      <c r="M352" s="22">
        <v>45058</v>
      </c>
      <c r="O352" s="51">
        <v>1</v>
      </c>
      <c r="P352" s="30">
        <v>2</v>
      </c>
      <c r="Q352" s="30">
        <v>0</v>
      </c>
    </row>
    <row r="353" spans="2:17" x14ac:dyDescent="0.25">
      <c r="B353" s="42" t="s">
        <v>405</v>
      </c>
      <c r="C353" s="42" t="s">
        <v>409</v>
      </c>
      <c r="D353" s="20" t="s">
        <v>410</v>
      </c>
      <c r="E353" s="21">
        <v>29</v>
      </c>
      <c r="F353" s="1" t="s">
        <v>145</v>
      </c>
      <c r="G353" s="25" t="s">
        <v>408</v>
      </c>
      <c r="H353" s="1" t="s">
        <v>219</v>
      </c>
      <c r="I353" s="1" t="s">
        <v>220</v>
      </c>
      <c r="J353" s="30">
        <v>1</v>
      </c>
      <c r="K353" s="24">
        <v>45271.481099537035</v>
      </c>
      <c r="L353" s="23">
        <v>29</v>
      </c>
      <c r="M353" s="22">
        <v>45058</v>
      </c>
      <c r="O353" s="51">
        <v>1</v>
      </c>
      <c r="P353" s="30">
        <v>29</v>
      </c>
      <c r="Q353" s="30">
        <v>0</v>
      </c>
    </row>
    <row r="354" spans="2:17" x14ac:dyDescent="0.25">
      <c r="B354" s="42" t="s">
        <v>169</v>
      </c>
      <c r="C354" s="42" t="s">
        <v>411</v>
      </c>
      <c r="D354" s="20" t="s">
        <v>412</v>
      </c>
      <c r="E354" s="21">
        <v>4000</v>
      </c>
      <c r="F354" s="1" t="s">
        <v>68</v>
      </c>
      <c r="G354" s="25" t="s">
        <v>120</v>
      </c>
      <c r="H354" s="1" t="s">
        <v>121</v>
      </c>
      <c r="I354" s="1" t="s">
        <v>115</v>
      </c>
      <c r="J354" s="57">
        <v>0</v>
      </c>
      <c r="K354" s="24">
        <v>45271.581250000003</v>
      </c>
      <c r="L354" s="23">
        <v>5000</v>
      </c>
      <c r="O354" s="51">
        <v>2400</v>
      </c>
      <c r="P354" s="30">
        <v>1</v>
      </c>
      <c r="Q354" s="30">
        <v>1600.0000000000002</v>
      </c>
    </row>
    <row r="355" spans="2:17" x14ac:dyDescent="0.25">
      <c r="B355" s="42" t="s">
        <v>169</v>
      </c>
      <c r="C355" s="42" t="s">
        <v>380</v>
      </c>
      <c r="D355" s="20" t="s">
        <v>413</v>
      </c>
      <c r="E355" s="21">
        <v>4000</v>
      </c>
      <c r="F355" s="1" t="s">
        <v>68</v>
      </c>
      <c r="G355" s="25" t="s">
        <v>117</v>
      </c>
      <c r="H355" s="1" t="s">
        <v>118</v>
      </c>
      <c r="I355" s="1" t="s">
        <v>115</v>
      </c>
      <c r="J355" s="57">
        <v>0</v>
      </c>
      <c r="K355" s="24">
        <v>45271.581747685188</v>
      </c>
      <c r="L355" s="23">
        <v>51600</v>
      </c>
      <c r="O355" s="51">
        <v>1200</v>
      </c>
      <c r="P355" s="30">
        <v>3</v>
      </c>
      <c r="Q355" s="30">
        <v>400.00000000000017</v>
      </c>
    </row>
    <row r="356" spans="2:17" x14ac:dyDescent="0.25">
      <c r="B356" s="42" t="s">
        <v>169</v>
      </c>
      <c r="C356" s="42" t="s">
        <v>380</v>
      </c>
      <c r="D356" s="20" t="s">
        <v>413</v>
      </c>
      <c r="E356" s="21">
        <v>4000</v>
      </c>
      <c r="F356" s="1" t="s">
        <v>68</v>
      </c>
      <c r="G356" s="25" t="s">
        <v>181</v>
      </c>
      <c r="H356" s="1" t="s">
        <v>182</v>
      </c>
      <c r="I356" s="1" t="s">
        <v>115</v>
      </c>
      <c r="J356" s="57">
        <v>0</v>
      </c>
      <c r="K356" s="24">
        <v>45271.582175925927</v>
      </c>
      <c r="L356" s="23">
        <v>2000</v>
      </c>
      <c r="O356" s="51">
        <v>2400</v>
      </c>
      <c r="P356" s="30">
        <v>1</v>
      </c>
      <c r="Q356" s="30">
        <v>1600.0000000000002</v>
      </c>
    </row>
    <row r="357" spans="2:17" x14ac:dyDescent="0.25">
      <c r="B357" s="42" t="s">
        <v>169</v>
      </c>
      <c r="C357" s="42" t="s">
        <v>340</v>
      </c>
      <c r="D357" s="20" t="s">
        <v>414</v>
      </c>
      <c r="E357" s="21">
        <v>1600</v>
      </c>
      <c r="F357" s="1" t="s">
        <v>68</v>
      </c>
      <c r="G357" s="25" t="s">
        <v>129</v>
      </c>
      <c r="H357" s="1" t="s">
        <v>130</v>
      </c>
      <c r="I357" s="1" t="s">
        <v>115</v>
      </c>
      <c r="J357" s="57">
        <v>0</v>
      </c>
      <c r="K357" s="24">
        <v>45271.582824074074</v>
      </c>
      <c r="L357" s="23">
        <v>800</v>
      </c>
      <c r="O357" s="51">
        <v>1</v>
      </c>
      <c r="P357" s="30">
        <v>1600</v>
      </c>
      <c r="Q357" s="30">
        <v>0</v>
      </c>
    </row>
    <row r="358" spans="2:17" x14ac:dyDescent="0.25">
      <c r="B358" s="42" t="s">
        <v>169</v>
      </c>
      <c r="C358" s="42" t="s">
        <v>415</v>
      </c>
      <c r="D358" s="20" t="s">
        <v>416</v>
      </c>
      <c r="E358" s="21">
        <v>800</v>
      </c>
      <c r="F358" s="1" t="s">
        <v>68</v>
      </c>
      <c r="G358" s="25" t="s">
        <v>129</v>
      </c>
      <c r="H358" s="1" t="s">
        <v>130</v>
      </c>
      <c r="I358" s="1" t="s">
        <v>115</v>
      </c>
      <c r="J358" s="57">
        <v>0</v>
      </c>
      <c r="K358" s="24">
        <v>45271.583796296298</v>
      </c>
      <c r="L358" s="23">
        <v>0</v>
      </c>
      <c r="O358" s="51">
        <v>1</v>
      </c>
      <c r="P358" s="30">
        <v>800</v>
      </c>
      <c r="Q358" s="30">
        <v>0</v>
      </c>
    </row>
    <row r="359" spans="2:17" x14ac:dyDescent="0.25">
      <c r="B359" s="42" t="s">
        <v>169</v>
      </c>
      <c r="C359" s="42" t="s">
        <v>385</v>
      </c>
      <c r="D359" s="20" t="s">
        <v>417</v>
      </c>
      <c r="E359" s="21">
        <v>8000</v>
      </c>
      <c r="F359" s="1" t="s">
        <v>68</v>
      </c>
      <c r="G359" s="25" t="s">
        <v>133</v>
      </c>
      <c r="H359" s="1" t="s">
        <v>134</v>
      </c>
      <c r="I359" s="1" t="s">
        <v>115</v>
      </c>
      <c r="J359" s="57">
        <v>0</v>
      </c>
      <c r="K359" s="24">
        <v>45271.584328703706</v>
      </c>
      <c r="L359" s="23">
        <v>203000</v>
      </c>
      <c r="O359" s="51">
        <v>2400</v>
      </c>
      <c r="P359" s="30">
        <v>3</v>
      </c>
      <c r="Q359" s="30">
        <v>800.00000000000034</v>
      </c>
    </row>
    <row r="360" spans="2:17" x14ac:dyDescent="0.25">
      <c r="B360" s="42" t="s">
        <v>169</v>
      </c>
      <c r="C360" s="42" t="s">
        <v>385</v>
      </c>
      <c r="D360" s="20" t="s">
        <v>417</v>
      </c>
      <c r="E360" s="21">
        <v>480</v>
      </c>
      <c r="F360" s="1" t="s">
        <v>68</v>
      </c>
      <c r="G360" s="25" t="s">
        <v>174</v>
      </c>
      <c r="H360" s="1" t="s">
        <v>175</v>
      </c>
      <c r="I360" s="1" t="s">
        <v>176</v>
      </c>
      <c r="J360" s="57">
        <v>0</v>
      </c>
      <c r="K360" s="24">
        <v>45271.584560185183</v>
      </c>
      <c r="L360" s="23">
        <v>2346</v>
      </c>
      <c r="O360" s="51">
        <v>300</v>
      </c>
      <c r="P360" s="30">
        <v>1</v>
      </c>
      <c r="Q360" s="30">
        <v>180.00000000000003</v>
      </c>
    </row>
    <row r="361" spans="2:17" x14ac:dyDescent="0.25">
      <c r="B361" s="42" t="s">
        <v>169</v>
      </c>
      <c r="C361" s="42" t="s">
        <v>385</v>
      </c>
      <c r="D361" s="20" t="s">
        <v>417</v>
      </c>
      <c r="E361" s="21">
        <v>800</v>
      </c>
      <c r="F361" s="1" t="s">
        <v>68</v>
      </c>
      <c r="G361" s="25" t="s">
        <v>212</v>
      </c>
      <c r="H361" s="1" t="s">
        <v>213</v>
      </c>
      <c r="I361" s="1" t="s">
        <v>154</v>
      </c>
      <c r="J361" s="57">
        <v>0</v>
      </c>
      <c r="K361" s="24">
        <v>45271.584803240738</v>
      </c>
      <c r="L361" s="23">
        <v>9500</v>
      </c>
      <c r="O361" s="51">
        <v>1</v>
      </c>
      <c r="P361" s="30">
        <v>800</v>
      </c>
      <c r="Q361" s="30">
        <v>0</v>
      </c>
    </row>
    <row r="362" spans="2:17" x14ac:dyDescent="0.25">
      <c r="B362" s="42" t="s">
        <v>169</v>
      </c>
      <c r="C362" s="42" t="s">
        <v>385</v>
      </c>
      <c r="D362" s="20" t="s">
        <v>417</v>
      </c>
      <c r="E362" s="21">
        <v>20</v>
      </c>
      <c r="F362" s="1" t="s">
        <v>68</v>
      </c>
      <c r="G362" s="25" t="s">
        <v>771</v>
      </c>
      <c r="H362" s="1" t="s">
        <v>158</v>
      </c>
      <c r="I362" s="1" t="s">
        <v>154</v>
      </c>
      <c r="J362" s="57">
        <v>0</v>
      </c>
      <c r="K362" s="24">
        <v>45271.585046296299</v>
      </c>
      <c r="L362" s="23">
        <v>275</v>
      </c>
      <c r="O362" s="51">
        <v>24</v>
      </c>
      <c r="P362" s="30">
        <v>0</v>
      </c>
      <c r="Q362" s="30">
        <v>20</v>
      </c>
    </row>
    <row r="363" spans="2:17" x14ac:dyDescent="0.25">
      <c r="B363" s="42" t="s">
        <v>169</v>
      </c>
      <c r="C363" s="42" t="s">
        <v>254</v>
      </c>
      <c r="D363" s="20" t="s">
        <v>418</v>
      </c>
      <c r="E363" s="21">
        <v>720</v>
      </c>
      <c r="F363" s="1" t="s">
        <v>145</v>
      </c>
      <c r="G363" s="25" t="s">
        <v>146</v>
      </c>
      <c r="H363" s="1" t="s">
        <v>147</v>
      </c>
      <c r="I363" s="1" t="s">
        <v>148</v>
      </c>
      <c r="J363" s="57">
        <v>0</v>
      </c>
      <c r="K363" s="24">
        <v>45271.585949074077</v>
      </c>
      <c r="L363" s="23">
        <v>288</v>
      </c>
      <c r="O363" s="51">
        <v>144</v>
      </c>
      <c r="P363" s="30">
        <v>5</v>
      </c>
      <c r="Q363" s="30">
        <v>0</v>
      </c>
    </row>
    <row r="364" spans="2:17" x14ac:dyDescent="0.25">
      <c r="B364" s="42" t="s">
        <v>169</v>
      </c>
      <c r="C364" s="42" t="s">
        <v>254</v>
      </c>
      <c r="D364" s="20" t="s">
        <v>418</v>
      </c>
      <c r="E364" s="21">
        <v>360</v>
      </c>
      <c r="F364" s="1" t="s">
        <v>145</v>
      </c>
      <c r="G364" s="25" t="s">
        <v>149</v>
      </c>
      <c r="H364" s="1" t="s">
        <v>147</v>
      </c>
      <c r="I364" s="1" t="s">
        <v>148</v>
      </c>
      <c r="J364" s="57">
        <v>0</v>
      </c>
      <c r="K364" s="24">
        <v>45271.586168981485</v>
      </c>
      <c r="L364" s="23">
        <v>4448</v>
      </c>
      <c r="O364" s="51">
        <v>144</v>
      </c>
      <c r="P364" s="30">
        <v>2</v>
      </c>
      <c r="Q364" s="30">
        <v>72</v>
      </c>
    </row>
    <row r="365" spans="2:17" x14ac:dyDescent="0.25">
      <c r="B365" s="42" t="s">
        <v>169</v>
      </c>
      <c r="C365" s="42" t="s">
        <v>255</v>
      </c>
      <c r="D365" s="20" t="s">
        <v>419</v>
      </c>
      <c r="E365" s="21">
        <v>10</v>
      </c>
      <c r="F365" s="1" t="s">
        <v>137</v>
      </c>
      <c r="G365" s="25" t="s">
        <v>141</v>
      </c>
      <c r="H365" s="1" t="s">
        <v>142</v>
      </c>
      <c r="I365" s="1" t="s">
        <v>140</v>
      </c>
      <c r="J365" s="57">
        <v>0</v>
      </c>
      <c r="K365" s="24">
        <v>45271.586886574078</v>
      </c>
      <c r="L365" s="23">
        <v>6283</v>
      </c>
      <c r="M365" s="23"/>
      <c r="O365" s="51">
        <v>10</v>
      </c>
      <c r="P365" s="30">
        <v>1</v>
      </c>
      <c r="Q365" s="30">
        <v>0</v>
      </c>
    </row>
    <row r="366" spans="2:17" x14ac:dyDescent="0.25">
      <c r="B366" s="42" t="s">
        <v>169</v>
      </c>
      <c r="C366" s="42" t="s">
        <v>255</v>
      </c>
      <c r="D366" s="20" t="s">
        <v>419</v>
      </c>
      <c r="E366" s="21">
        <v>350</v>
      </c>
      <c r="F366" s="1" t="s">
        <v>68</v>
      </c>
      <c r="G366" s="25" t="s">
        <v>177</v>
      </c>
      <c r="H366" s="1" t="s">
        <v>178</v>
      </c>
      <c r="J366" s="57">
        <v>0</v>
      </c>
      <c r="K366" s="24">
        <v>45271.587118055555</v>
      </c>
      <c r="L366" s="23">
        <v>670</v>
      </c>
      <c r="O366" s="51">
        <v>4</v>
      </c>
      <c r="P366" s="30">
        <v>87</v>
      </c>
      <c r="Q366" s="30">
        <v>2</v>
      </c>
    </row>
    <row r="367" spans="2:17" x14ac:dyDescent="0.25">
      <c r="B367" s="42" t="s">
        <v>169</v>
      </c>
      <c r="C367" s="42" t="s">
        <v>255</v>
      </c>
      <c r="D367" s="20" t="s">
        <v>419</v>
      </c>
      <c r="E367" s="21">
        <v>1180</v>
      </c>
      <c r="F367" s="1" t="s">
        <v>68</v>
      </c>
      <c r="G367" s="25" t="s">
        <v>420</v>
      </c>
      <c r="H367" s="1" t="s">
        <v>159</v>
      </c>
      <c r="I367" s="1" t="s">
        <v>154</v>
      </c>
      <c r="J367" s="57">
        <v>0</v>
      </c>
      <c r="K367" s="24">
        <v>45271.590092592596</v>
      </c>
      <c r="L367" s="23">
        <v>1680</v>
      </c>
      <c r="O367" s="51">
        <v>60</v>
      </c>
      <c r="P367" s="30">
        <v>19</v>
      </c>
      <c r="Q367" s="30">
        <v>40.000000000000071</v>
      </c>
    </row>
    <row r="368" spans="2:17" x14ac:dyDescent="0.25">
      <c r="B368" s="42" t="s">
        <v>169</v>
      </c>
      <c r="C368" s="42" t="s">
        <v>305</v>
      </c>
      <c r="D368" s="20" t="s">
        <v>421</v>
      </c>
      <c r="E368" s="21">
        <v>5000</v>
      </c>
      <c r="F368" s="1" t="s">
        <v>68</v>
      </c>
      <c r="G368" s="25" t="s">
        <v>113</v>
      </c>
      <c r="H368" s="1" t="s">
        <v>114</v>
      </c>
      <c r="I368" s="1" t="s">
        <v>115</v>
      </c>
      <c r="J368" s="57">
        <v>0</v>
      </c>
      <c r="K368" s="24">
        <v>45271.590694444443</v>
      </c>
      <c r="L368" s="23">
        <v>203600</v>
      </c>
      <c r="O368" s="51">
        <v>2400</v>
      </c>
      <c r="P368" s="30">
        <v>2</v>
      </c>
      <c r="Q368" s="30">
        <v>200.00000000000034</v>
      </c>
    </row>
    <row r="369" spans="2:17" x14ac:dyDescent="0.25">
      <c r="B369" s="42" t="s">
        <v>314</v>
      </c>
      <c r="C369" s="42" t="s">
        <v>422</v>
      </c>
      <c r="D369" s="20" t="s">
        <v>167</v>
      </c>
      <c r="E369" s="21">
        <v>900</v>
      </c>
      <c r="F369" s="1" t="s">
        <v>68</v>
      </c>
      <c r="G369" s="25" t="s">
        <v>165</v>
      </c>
      <c r="H369" s="1" t="s">
        <v>166</v>
      </c>
      <c r="J369" s="57">
        <v>0</v>
      </c>
      <c r="K369" s="24">
        <v>45272.438946759263</v>
      </c>
      <c r="L369" s="23">
        <v>1662</v>
      </c>
      <c r="O369" s="51">
        <v>1</v>
      </c>
      <c r="P369" s="30">
        <v>900</v>
      </c>
      <c r="Q369" s="30">
        <v>0</v>
      </c>
    </row>
    <row r="370" spans="2:17" x14ac:dyDescent="0.25">
      <c r="B370" s="42" t="s">
        <v>314</v>
      </c>
      <c r="C370" s="42" t="s">
        <v>422</v>
      </c>
      <c r="D370" s="20" t="s">
        <v>167</v>
      </c>
      <c r="E370" s="21">
        <v>800</v>
      </c>
      <c r="F370" s="1" t="s">
        <v>68</v>
      </c>
      <c r="G370" s="25" t="s">
        <v>212</v>
      </c>
      <c r="H370" s="1" t="s">
        <v>213</v>
      </c>
      <c r="I370" s="1" t="s">
        <v>154</v>
      </c>
      <c r="J370" s="57">
        <v>0</v>
      </c>
      <c r="K370" s="24">
        <v>45272.439247685186</v>
      </c>
      <c r="L370" s="23">
        <v>8700</v>
      </c>
      <c r="O370" s="51">
        <v>1</v>
      </c>
      <c r="P370" s="30">
        <v>800</v>
      </c>
      <c r="Q370" s="30">
        <v>0</v>
      </c>
    </row>
    <row r="371" spans="2:17" x14ac:dyDescent="0.25">
      <c r="B371" s="42" t="s">
        <v>314</v>
      </c>
      <c r="C371" s="42" t="s">
        <v>422</v>
      </c>
      <c r="D371" s="20" t="s">
        <v>167</v>
      </c>
      <c r="E371" s="21">
        <v>10</v>
      </c>
      <c r="F371" s="1" t="s">
        <v>68</v>
      </c>
      <c r="G371" s="25" t="s">
        <v>423</v>
      </c>
      <c r="H371" s="1" t="s">
        <v>192</v>
      </c>
      <c r="J371" s="57">
        <v>0</v>
      </c>
      <c r="K371" s="24">
        <v>45272.440648148149</v>
      </c>
      <c r="L371" s="23">
        <v>48</v>
      </c>
      <c r="O371" s="51">
        <v>40</v>
      </c>
      <c r="P371" s="30">
        <v>0</v>
      </c>
      <c r="Q371" s="30">
        <v>10</v>
      </c>
    </row>
    <row r="372" spans="2:17" x14ac:dyDescent="0.25">
      <c r="B372" s="42" t="s">
        <v>314</v>
      </c>
      <c r="C372" s="42" t="s">
        <v>361</v>
      </c>
      <c r="D372" s="20" t="s">
        <v>424</v>
      </c>
      <c r="E372" s="21">
        <v>11600</v>
      </c>
      <c r="F372" s="1" t="s">
        <v>68</v>
      </c>
      <c r="G372" s="25" t="s">
        <v>117</v>
      </c>
      <c r="H372" s="1" t="s">
        <v>118</v>
      </c>
      <c r="I372" s="1" t="s">
        <v>115</v>
      </c>
      <c r="J372" s="57">
        <v>0</v>
      </c>
      <c r="K372" s="24">
        <v>45272.441388888888</v>
      </c>
      <c r="L372" s="23">
        <v>40000</v>
      </c>
      <c r="O372" s="51">
        <v>1200</v>
      </c>
      <c r="P372" s="30">
        <v>9</v>
      </c>
      <c r="Q372" s="30">
        <v>799.99999999999932</v>
      </c>
    </row>
    <row r="373" spans="2:17" x14ac:dyDescent="0.25">
      <c r="B373" s="42" t="s">
        <v>314</v>
      </c>
      <c r="C373" s="42" t="s">
        <v>258</v>
      </c>
      <c r="D373" s="20" t="s">
        <v>425</v>
      </c>
      <c r="E373" s="21">
        <v>400</v>
      </c>
      <c r="F373" s="1" t="s">
        <v>68</v>
      </c>
      <c r="G373" s="25" t="s">
        <v>125</v>
      </c>
      <c r="H373" s="1" t="s">
        <v>126</v>
      </c>
      <c r="I373" s="1" t="s">
        <v>115</v>
      </c>
      <c r="J373" s="57">
        <v>0</v>
      </c>
      <c r="K373" s="24">
        <v>45272.442002314812</v>
      </c>
      <c r="L373" s="23">
        <v>14100</v>
      </c>
      <c r="O373" s="51">
        <v>1200</v>
      </c>
      <c r="P373" s="30">
        <v>0</v>
      </c>
      <c r="Q373" s="30">
        <v>400</v>
      </c>
    </row>
    <row r="374" spans="2:17" x14ac:dyDescent="0.25">
      <c r="B374" s="42" t="s">
        <v>314</v>
      </c>
      <c r="C374" s="42" t="s">
        <v>260</v>
      </c>
      <c r="D374" s="20" t="s">
        <v>426</v>
      </c>
      <c r="E374" s="21">
        <v>1100</v>
      </c>
      <c r="F374" s="1" t="s">
        <v>68</v>
      </c>
      <c r="G374" s="25" t="s">
        <v>125</v>
      </c>
      <c r="H374" s="1" t="s">
        <v>126</v>
      </c>
      <c r="I374" s="1" t="s">
        <v>115</v>
      </c>
      <c r="J374" s="57">
        <v>0</v>
      </c>
      <c r="K374" s="24">
        <v>45272.442569444444</v>
      </c>
      <c r="L374" s="23">
        <v>13000</v>
      </c>
      <c r="O374" s="51">
        <v>1200</v>
      </c>
      <c r="P374" s="30">
        <v>0</v>
      </c>
      <c r="Q374" s="30">
        <v>1100</v>
      </c>
    </row>
    <row r="375" spans="2:17" x14ac:dyDescent="0.25">
      <c r="B375" s="42" t="s">
        <v>314</v>
      </c>
      <c r="C375" s="42" t="s">
        <v>338</v>
      </c>
      <c r="D375" s="20" t="s">
        <v>427</v>
      </c>
      <c r="E375" s="21">
        <v>50</v>
      </c>
      <c r="F375" s="1" t="s">
        <v>68</v>
      </c>
      <c r="G375" s="25" t="s">
        <v>119</v>
      </c>
      <c r="H375" s="1" t="s">
        <v>173</v>
      </c>
      <c r="J375" s="57">
        <v>0</v>
      </c>
      <c r="K375" s="24">
        <v>45272.443171296298</v>
      </c>
      <c r="L375" s="23">
        <v>232</v>
      </c>
      <c r="O375" s="51">
        <v>96</v>
      </c>
      <c r="P375" s="30">
        <v>0</v>
      </c>
      <c r="Q375" s="30">
        <v>50</v>
      </c>
    </row>
    <row r="376" spans="2:17" x14ac:dyDescent="0.25">
      <c r="B376" s="42" t="s">
        <v>428</v>
      </c>
      <c r="C376" s="42" t="s">
        <v>429</v>
      </c>
      <c r="D376" s="20" t="s">
        <v>430</v>
      </c>
      <c r="E376" s="21">
        <v>1512</v>
      </c>
      <c r="F376" s="1" t="s">
        <v>68</v>
      </c>
      <c r="G376" s="25" t="s">
        <v>170</v>
      </c>
      <c r="H376" s="1" t="s">
        <v>171</v>
      </c>
      <c r="I376" s="1" t="s">
        <v>172</v>
      </c>
      <c r="J376" s="30">
        <v>1</v>
      </c>
      <c r="K376" s="24">
        <v>45272.578101851854</v>
      </c>
      <c r="L376" s="23">
        <v>3400</v>
      </c>
      <c r="M376" s="1" t="s">
        <v>342</v>
      </c>
      <c r="O376" s="51">
        <v>36</v>
      </c>
      <c r="P376" s="30">
        <v>42</v>
      </c>
      <c r="Q376" s="30">
        <v>0</v>
      </c>
    </row>
    <row r="377" spans="2:17" x14ac:dyDescent="0.25">
      <c r="B377" s="42" t="s">
        <v>169</v>
      </c>
      <c r="C377" s="42" t="s">
        <v>388</v>
      </c>
      <c r="D377" s="20" t="s">
        <v>431</v>
      </c>
      <c r="E377" s="21">
        <v>1</v>
      </c>
      <c r="F377" s="1" t="s">
        <v>145</v>
      </c>
      <c r="G377" s="25" t="s">
        <v>231</v>
      </c>
      <c r="H377" s="1" t="s">
        <v>219</v>
      </c>
      <c r="I377" s="1" t="s">
        <v>220</v>
      </c>
      <c r="J377" s="57">
        <v>0</v>
      </c>
      <c r="K377" s="24">
        <v>45273.510208333333</v>
      </c>
      <c r="L377" s="23">
        <v>0</v>
      </c>
      <c r="O377" s="51">
        <v>1</v>
      </c>
      <c r="P377" s="30">
        <v>1</v>
      </c>
      <c r="Q377" s="30">
        <v>0</v>
      </c>
    </row>
    <row r="378" spans="2:17" x14ac:dyDescent="0.25">
      <c r="B378" s="42" t="s">
        <v>169</v>
      </c>
      <c r="C378" s="42" t="s">
        <v>388</v>
      </c>
      <c r="D378" s="20" t="s">
        <v>431</v>
      </c>
      <c r="E378" s="21">
        <v>13</v>
      </c>
      <c r="F378" s="1" t="s">
        <v>145</v>
      </c>
      <c r="G378" s="25" t="s">
        <v>370</v>
      </c>
      <c r="H378" s="1" t="s">
        <v>219</v>
      </c>
      <c r="I378" s="1" t="s">
        <v>220</v>
      </c>
      <c r="J378" s="57">
        <v>0</v>
      </c>
      <c r="K378" s="24">
        <v>45273.510729166665</v>
      </c>
      <c r="L378" s="23">
        <v>11</v>
      </c>
      <c r="O378" s="51">
        <v>1</v>
      </c>
      <c r="P378" s="30">
        <v>13</v>
      </c>
      <c r="Q378" s="30">
        <v>0</v>
      </c>
    </row>
    <row r="379" spans="2:17" x14ac:dyDescent="0.25">
      <c r="B379" s="42" t="s">
        <v>169</v>
      </c>
      <c r="C379" s="42" t="s">
        <v>388</v>
      </c>
      <c r="D379" s="20" t="s">
        <v>431</v>
      </c>
      <c r="E379" s="21">
        <v>25</v>
      </c>
      <c r="F379" s="1" t="s">
        <v>145</v>
      </c>
      <c r="G379" s="25" t="s">
        <v>62</v>
      </c>
      <c r="H379" s="1" t="s">
        <v>219</v>
      </c>
      <c r="I379" s="1" t="s">
        <v>220</v>
      </c>
      <c r="J379" s="57">
        <v>0</v>
      </c>
      <c r="K379" s="24">
        <v>45273.511030092595</v>
      </c>
      <c r="L379" s="23">
        <v>19</v>
      </c>
      <c r="O379" s="51">
        <v>1</v>
      </c>
      <c r="P379" s="30">
        <v>25</v>
      </c>
      <c r="Q379" s="30">
        <v>0</v>
      </c>
    </row>
    <row r="380" spans="2:17" x14ac:dyDescent="0.25">
      <c r="B380" s="42" t="s">
        <v>169</v>
      </c>
      <c r="C380" s="42" t="s">
        <v>388</v>
      </c>
      <c r="D380" s="20" t="s">
        <v>431</v>
      </c>
      <c r="E380" s="21">
        <v>10</v>
      </c>
      <c r="F380" s="1" t="s">
        <v>145</v>
      </c>
      <c r="G380" s="25" t="s">
        <v>238</v>
      </c>
      <c r="H380" s="1" t="s">
        <v>219</v>
      </c>
      <c r="I380" s="1" t="s">
        <v>220</v>
      </c>
      <c r="J380" s="57">
        <v>0</v>
      </c>
      <c r="K380" s="24">
        <v>45273.511331018519</v>
      </c>
      <c r="L380" s="23">
        <v>0</v>
      </c>
      <c r="O380" s="51">
        <v>1</v>
      </c>
      <c r="P380" s="30">
        <v>10</v>
      </c>
      <c r="Q380" s="30">
        <v>0</v>
      </c>
    </row>
    <row r="381" spans="2:17" x14ac:dyDescent="0.25">
      <c r="B381" s="42" t="s">
        <v>169</v>
      </c>
      <c r="C381" s="42" t="s">
        <v>388</v>
      </c>
      <c r="D381" s="20" t="s">
        <v>431</v>
      </c>
      <c r="E381" s="21">
        <v>45</v>
      </c>
      <c r="F381" s="1" t="s">
        <v>145</v>
      </c>
      <c r="G381" s="25" t="s">
        <v>227</v>
      </c>
      <c r="H381" s="1" t="s">
        <v>219</v>
      </c>
      <c r="I381" s="1" t="s">
        <v>220</v>
      </c>
      <c r="J381" s="57">
        <v>0</v>
      </c>
      <c r="K381" s="24">
        <v>45273.511759259258</v>
      </c>
      <c r="L381" s="23">
        <v>0</v>
      </c>
      <c r="O381" s="51">
        <v>1</v>
      </c>
      <c r="P381" s="30">
        <v>45</v>
      </c>
      <c r="Q381" s="30">
        <v>0</v>
      </c>
    </row>
    <row r="382" spans="2:17" x14ac:dyDescent="0.25">
      <c r="B382" s="42" t="s">
        <v>169</v>
      </c>
      <c r="C382" s="42" t="s">
        <v>388</v>
      </c>
      <c r="D382" s="20" t="s">
        <v>431</v>
      </c>
      <c r="E382" s="21">
        <v>29</v>
      </c>
      <c r="F382" s="1" t="s">
        <v>145</v>
      </c>
      <c r="G382" s="25" t="s">
        <v>408</v>
      </c>
      <c r="H382" s="1" t="s">
        <v>219</v>
      </c>
      <c r="I382" s="1" t="s">
        <v>220</v>
      </c>
      <c r="J382" s="57">
        <v>0</v>
      </c>
      <c r="K382" s="24">
        <v>45273.52171296296</v>
      </c>
      <c r="L382" s="23">
        <v>0</v>
      </c>
      <c r="O382" s="51">
        <v>1</v>
      </c>
      <c r="P382" s="30">
        <v>29</v>
      </c>
      <c r="Q382" s="30">
        <v>0</v>
      </c>
    </row>
    <row r="383" spans="2:17" x14ac:dyDescent="0.25">
      <c r="B383" s="42" t="s">
        <v>169</v>
      </c>
      <c r="C383" s="42" t="s">
        <v>388</v>
      </c>
      <c r="D383" s="20" t="s">
        <v>431</v>
      </c>
      <c r="E383" s="21">
        <v>23</v>
      </c>
      <c r="F383" s="1" t="s">
        <v>145</v>
      </c>
      <c r="G383" s="25" t="s">
        <v>64</v>
      </c>
      <c r="H383" s="1" t="s">
        <v>219</v>
      </c>
      <c r="I383" s="1" t="s">
        <v>220</v>
      </c>
      <c r="J383" s="57">
        <v>0</v>
      </c>
      <c r="K383" s="24">
        <v>45273.52275462963</v>
      </c>
      <c r="L383" s="23">
        <v>0</v>
      </c>
      <c r="O383" s="51">
        <v>1</v>
      </c>
      <c r="P383" s="30">
        <v>23</v>
      </c>
      <c r="Q383" s="30">
        <v>0</v>
      </c>
    </row>
    <row r="384" spans="2:17" x14ac:dyDescent="0.25">
      <c r="B384" s="42" t="s">
        <v>169</v>
      </c>
      <c r="C384" s="42" t="s">
        <v>388</v>
      </c>
      <c r="D384" s="20" t="s">
        <v>431</v>
      </c>
      <c r="E384" s="21">
        <v>10</v>
      </c>
      <c r="F384" s="1" t="s">
        <v>145</v>
      </c>
      <c r="G384" s="25" t="s">
        <v>228</v>
      </c>
      <c r="H384" s="1" t="s">
        <v>219</v>
      </c>
      <c r="I384" s="1" t="s">
        <v>220</v>
      </c>
      <c r="J384" s="57">
        <v>0</v>
      </c>
      <c r="K384" s="24">
        <v>45273.522997685184</v>
      </c>
      <c r="L384" s="23">
        <v>0</v>
      </c>
      <c r="O384" s="51">
        <v>1</v>
      </c>
      <c r="P384" s="30">
        <v>10</v>
      </c>
      <c r="Q384" s="30">
        <v>0</v>
      </c>
    </row>
    <row r="385" spans="2:21" x14ac:dyDescent="0.25">
      <c r="B385" s="42" t="s">
        <v>169</v>
      </c>
      <c r="C385" s="42" t="s">
        <v>388</v>
      </c>
      <c r="D385" s="20" t="s">
        <v>431</v>
      </c>
      <c r="E385" s="21">
        <v>44</v>
      </c>
      <c r="F385" s="1" t="s">
        <v>145</v>
      </c>
      <c r="G385" s="25" t="s">
        <v>369</v>
      </c>
      <c r="H385" s="1" t="s">
        <v>219</v>
      </c>
      <c r="I385" s="1" t="s">
        <v>220</v>
      </c>
      <c r="J385" s="57">
        <v>0</v>
      </c>
      <c r="K385" s="24">
        <v>45273.523206018515</v>
      </c>
      <c r="L385" s="23">
        <v>0</v>
      </c>
      <c r="O385" s="51">
        <v>1</v>
      </c>
      <c r="P385" s="30">
        <v>44</v>
      </c>
      <c r="Q385" s="30">
        <v>0</v>
      </c>
    </row>
    <row r="386" spans="2:21" x14ac:dyDescent="0.25">
      <c r="B386" s="42" t="s">
        <v>169</v>
      </c>
      <c r="C386" s="42" t="s">
        <v>388</v>
      </c>
      <c r="D386" s="20" t="s">
        <v>431</v>
      </c>
      <c r="E386" s="21">
        <v>18</v>
      </c>
      <c r="F386" s="1" t="s">
        <v>145</v>
      </c>
      <c r="G386" s="25" t="s">
        <v>229</v>
      </c>
      <c r="H386" s="1" t="s">
        <v>219</v>
      </c>
      <c r="I386" s="1" t="s">
        <v>220</v>
      </c>
      <c r="J386" s="57">
        <v>0</v>
      </c>
      <c r="K386" s="24">
        <v>45273.523495370369</v>
      </c>
      <c r="L386" s="23">
        <v>0</v>
      </c>
      <c r="O386" s="51">
        <v>1</v>
      </c>
      <c r="P386" s="30">
        <v>18</v>
      </c>
      <c r="Q386" s="30">
        <v>0</v>
      </c>
    </row>
    <row r="387" spans="2:21" x14ac:dyDescent="0.25">
      <c r="B387" s="42" t="s">
        <v>169</v>
      </c>
      <c r="C387" s="42" t="s">
        <v>388</v>
      </c>
      <c r="D387" s="20" t="s">
        <v>431</v>
      </c>
      <c r="E387" s="21">
        <v>38</v>
      </c>
      <c r="F387" s="1" t="s">
        <v>145</v>
      </c>
      <c r="G387" s="25" t="s">
        <v>65</v>
      </c>
      <c r="H387" s="1" t="s">
        <v>219</v>
      </c>
      <c r="I387" s="1" t="s">
        <v>220</v>
      </c>
      <c r="J387" s="57">
        <v>0</v>
      </c>
      <c r="K387" s="24">
        <v>45273.523877314816</v>
      </c>
      <c r="L387" s="23">
        <v>0</v>
      </c>
      <c r="O387" s="51">
        <v>1</v>
      </c>
      <c r="P387" s="30">
        <v>38</v>
      </c>
      <c r="Q387" s="30">
        <v>0</v>
      </c>
    </row>
    <row r="388" spans="2:21" x14ac:dyDescent="0.25">
      <c r="B388" s="42" t="s">
        <v>169</v>
      </c>
      <c r="C388" s="42" t="s">
        <v>305</v>
      </c>
      <c r="D388" s="20" t="s">
        <v>432</v>
      </c>
      <c r="E388" s="21">
        <v>1200</v>
      </c>
      <c r="F388" s="1" t="s">
        <v>68</v>
      </c>
      <c r="G388" s="25" t="s">
        <v>113</v>
      </c>
      <c r="H388" s="1" t="s">
        <v>114</v>
      </c>
      <c r="I388" s="1" t="s">
        <v>115</v>
      </c>
      <c r="J388" s="57">
        <v>0</v>
      </c>
      <c r="K388" s="24">
        <v>45274.395173611112</v>
      </c>
      <c r="L388" s="23">
        <v>202400</v>
      </c>
      <c r="O388" s="51">
        <v>2400</v>
      </c>
      <c r="P388" s="30">
        <v>0</v>
      </c>
      <c r="Q388" s="30">
        <v>1200</v>
      </c>
    </row>
    <row r="389" spans="2:21" x14ac:dyDescent="0.25">
      <c r="B389" s="42" t="s">
        <v>169</v>
      </c>
      <c r="C389" s="42" t="s">
        <v>380</v>
      </c>
      <c r="D389" s="20" t="s">
        <v>433</v>
      </c>
      <c r="E389" s="21">
        <v>2000</v>
      </c>
      <c r="F389" s="1" t="s">
        <v>68</v>
      </c>
      <c r="G389" s="39" t="s">
        <v>181</v>
      </c>
      <c r="H389" s="1" t="s">
        <v>182</v>
      </c>
      <c r="I389" s="1" t="s">
        <v>115</v>
      </c>
      <c r="J389" s="57">
        <v>0</v>
      </c>
      <c r="K389" s="24">
        <v>45274.395868055559</v>
      </c>
      <c r="L389" s="23">
        <v>0</v>
      </c>
      <c r="O389" s="51">
        <v>2400</v>
      </c>
      <c r="P389" s="30">
        <v>0</v>
      </c>
      <c r="Q389" s="30">
        <v>2000</v>
      </c>
    </row>
    <row r="390" spans="2:21" x14ac:dyDescent="0.25">
      <c r="B390" s="42" t="s">
        <v>169</v>
      </c>
      <c r="C390" s="42" t="s">
        <v>411</v>
      </c>
      <c r="D390" s="20" t="s">
        <v>434</v>
      </c>
      <c r="E390" s="21">
        <v>1000</v>
      </c>
      <c r="F390" s="1" t="s">
        <v>68</v>
      </c>
      <c r="G390" s="25" t="s">
        <v>120</v>
      </c>
      <c r="H390" s="1" t="s">
        <v>121</v>
      </c>
      <c r="I390" s="1" t="s">
        <v>115</v>
      </c>
      <c r="J390" s="57">
        <v>0</v>
      </c>
      <c r="K390" s="24">
        <v>45274.396469907406</v>
      </c>
      <c r="L390" s="23">
        <v>4000</v>
      </c>
      <c r="O390" s="51">
        <v>2400</v>
      </c>
      <c r="P390" s="30">
        <v>0</v>
      </c>
      <c r="Q390" s="30">
        <v>1000</v>
      </c>
    </row>
    <row r="391" spans="2:21" x14ac:dyDescent="0.25">
      <c r="B391" s="42" t="s">
        <v>169</v>
      </c>
      <c r="C391" s="42" t="s">
        <v>385</v>
      </c>
      <c r="D391" s="20" t="s">
        <v>435</v>
      </c>
      <c r="E391" s="21">
        <v>6000</v>
      </c>
      <c r="F391" s="1" t="s">
        <v>68</v>
      </c>
      <c r="G391" s="25" t="s">
        <v>133</v>
      </c>
      <c r="H391" s="1" t="s">
        <v>134</v>
      </c>
      <c r="I391" s="1" t="s">
        <v>115</v>
      </c>
      <c r="J391" s="57">
        <v>0</v>
      </c>
      <c r="K391" s="24">
        <v>45274.397557870368</v>
      </c>
      <c r="L391" s="23">
        <v>197000</v>
      </c>
      <c r="O391" s="51">
        <v>2400</v>
      </c>
      <c r="P391" s="30">
        <v>2</v>
      </c>
      <c r="Q391" s="30">
        <v>1200</v>
      </c>
    </row>
    <row r="392" spans="2:21" x14ac:dyDescent="0.25">
      <c r="B392" s="42" t="s">
        <v>169</v>
      </c>
      <c r="C392" s="42" t="s">
        <v>385</v>
      </c>
      <c r="D392" s="20" t="s">
        <v>435</v>
      </c>
      <c r="E392" s="21">
        <v>900</v>
      </c>
      <c r="F392" s="1" t="s">
        <v>68</v>
      </c>
      <c r="G392" s="25" t="s">
        <v>174</v>
      </c>
      <c r="H392" s="1" t="s">
        <v>175</v>
      </c>
      <c r="I392" s="1" t="s">
        <v>176</v>
      </c>
      <c r="J392" s="57">
        <v>0</v>
      </c>
      <c r="K392" s="24">
        <v>45274.397858796299</v>
      </c>
      <c r="L392" s="23">
        <v>1446</v>
      </c>
      <c r="O392" s="51">
        <v>300</v>
      </c>
      <c r="P392" s="30">
        <v>3</v>
      </c>
      <c r="Q392" s="30">
        <v>0</v>
      </c>
    </row>
    <row r="393" spans="2:21" x14ac:dyDescent="0.25">
      <c r="B393" s="42" t="s">
        <v>169</v>
      </c>
      <c r="C393" s="42" t="s">
        <v>385</v>
      </c>
      <c r="D393" s="20" t="s">
        <v>435</v>
      </c>
      <c r="E393" s="21">
        <v>200</v>
      </c>
      <c r="F393" s="1" t="s">
        <v>68</v>
      </c>
      <c r="G393" s="25" t="s">
        <v>212</v>
      </c>
      <c r="H393" s="1" t="s">
        <v>213</v>
      </c>
      <c r="I393" s="1" t="s">
        <v>154</v>
      </c>
      <c r="J393" s="57">
        <v>0</v>
      </c>
      <c r="K393" s="24">
        <v>45274.398159722223</v>
      </c>
      <c r="L393" s="23">
        <v>8500</v>
      </c>
      <c r="O393" s="51">
        <v>1</v>
      </c>
      <c r="P393" s="30">
        <v>200</v>
      </c>
      <c r="Q393" s="30">
        <v>0</v>
      </c>
    </row>
    <row r="394" spans="2:21" x14ac:dyDescent="0.25">
      <c r="B394" s="42" t="s">
        <v>169</v>
      </c>
      <c r="C394" s="42" t="s">
        <v>385</v>
      </c>
      <c r="D394" s="20" t="s">
        <v>435</v>
      </c>
      <c r="E394" s="21">
        <v>60</v>
      </c>
      <c r="F394" s="1" t="s">
        <v>68</v>
      </c>
      <c r="G394" s="25" t="s">
        <v>436</v>
      </c>
      <c r="H394" s="1" t="s">
        <v>158</v>
      </c>
      <c r="I394" s="1" t="s">
        <v>154</v>
      </c>
      <c r="J394" s="57">
        <v>0</v>
      </c>
      <c r="K394" s="24">
        <v>45274.406736111108</v>
      </c>
      <c r="L394" s="23">
        <v>215</v>
      </c>
      <c r="O394" s="51">
        <v>24</v>
      </c>
      <c r="P394" s="30">
        <v>2</v>
      </c>
      <c r="Q394" s="30">
        <v>12</v>
      </c>
    </row>
    <row r="395" spans="2:21" x14ac:dyDescent="0.25">
      <c r="B395" s="42" t="s">
        <v>169</v>
      </c>
      <c r="C395" s="42" t="s">
        <v>255</v>
      </c>
      <c r="D395" s="20" t="s">
        <v>437</v>
      </c>
      <c r="E395" s="21">
        <v>8</v>
      </c>
      <c r="F395" s="1" t="s">
        <v>137</v>
      </c>
      <c r="G395" s="42" t="s">
        <v>141</v>
      </c>
      <c r="H395" s="1" t="s">
        <v>142</v>
      </c>
      <c r="I395" s="1" t="s">
        <v>140</v>
      </c>
      <c r="J395" s="57">
        <v>0</v>
      </c>
      <c r="K395" s="24">
        <v>45274.40766203704</v>
      </c>
      <c r="L395" s="23">
        <v>6275</v>
      </c>
      <c r="M395" s="23"/>
      <c r="O395" s="51">
        <v>10</v>
      </c>
      <c r="P395" s="30">
        <v>0</v>
      </c>
      <c r="Q395" s="30">
        <v>8</v>
      </c>
    </row>
    <row r="396" spans="2:21" x14ac:dyDescent="0.25">
      <c r="B396" s="60" t="s">
        <v>314</v>
      </c>
      <c r="C396" s="60" t="s">
        <v>337</v>
      </c>
      <c r="D396" s="61" t="s">
        <v>438</v>
      </c>
      <c r="E396" s="62">
        <v>756</v>
      </c>
      <c r="F396" s="63" t="s">
        <v>68</v>
      </c>
      <c r="G396" s="64" t="s">
        <v>174</v>
      </c>
      <c r="H396" s="63" t="s">
        <v>175</v>
      </c>
      <c r="I396" s="63" t="s">
        <v>176</v>
      </c>
      <c r="J396" s="57">
        <v>0</v>
      </c>
      <c r="K396" s="24">
        <v>45274.415567129632</v>
      </c>
      <c r="L396" s="23">
        <v>690</v>
      </c>
      <c r="O396" s="51">
        <v>300</v>
      </c>
      <c r="P396" s="30">
        <v>2</v>
      </c>
      <c r="Q396" s="30">
        <v>156</v>
      </c>
      <c r="U396" s="61"/>
    </row>
    <row r="397" spans="2:21" x14ac:dyDescent="0.25">
      <c r="B397" s="42" t="s">
        <v>314</v>
      </c>
      <c r="C397" s="42" t="s">
        <v>260</v>
      </c>
      <c r="D397" s="20" t="s">
        <v>439</v>
      </c>
      <c r="E397" s="21">
        <v>900</v>
      </c>
      <c r="F397" s="1" t="s">
        <v>68</v>
      </c>
      <c r="G397" s="42" t="s">
        <v>125</v>
      </c>
      <c r="H397" s="1" t="s">
        <v>126</v>
      </c>
      <c r="I397" s="1" t="s">
        <v>115</v>
      </c>
      <c r="J397" s="57">
        <v>0</v>
      </c>
      <c r="K397" s="24">
        <v>45274.415925925925</v>
      </c>
      <c r="L397" s="23">
        <v>12100</v>
      </c>
      <c r="O397" s="51">
        <v>1200</v>
      </c>
      <c r="P397" s="30">
        <v>0</v>
      </c>
      <c r="Q397" s="30">
        <v>900</v>
      </c>
    </row>
    <row r="398" spans="2:21" x14ac:dyDescent="0.25">
      <c r="B398" s="42" t="s">
        <v>314</v>
      </c>
      <c r="C398" s="42" t="s">
        <v>260</v>
      </c>
      <c r="D398" s="20" t="s">
        <v>439</v>
      </c>
      <c r="E398" s="21">
        <v>30</v>
      </c>
      <c r="F398" s="1" t="s">
        <v>68</v>
      </c>
      <c r="G398" s="25" t="s">
        <v>177</v>
      </c>
      <c r="H398" s="1" t="s">
        <v>178</v>
      </c>
      <c r="J398" s="57">
        <v>0</v>
      </c>
      <c r="K398" s="24">
        <v>45274.415983796294</v>
      </c>
      <c r="L398" s="23">
        <v>640</v>
      </c>
      <c r="O398" s="51">
        <v>4</v>
      </c>
      <c r="P398" s="30">
        <v>7</v>
      </c>
      <c r="Q398" s="30">
        <v>2</v>
      </c>
    </row>
    <row r="399" spans="2:21" x14ac:dyDescent="0.25">
      <c r="B399" s="42" t="s">
        <v>314</v>
      </c>
      <c r="C399" s="42" t="s">
        <v>260</v>
      </c>
      <c r="D399" s="20" t="s">
        <v>439</v>
      </c>
      <c r="E399" s="21">
        <v>30</v>
      </c>
      <c r="F399" s="1" t="s">
        <v>68</v>
      </c>
      <c r="G399" s="25" t="s">
        <v>772</v>
      </c>
      <c r="H399" s="1" t="s">
        <v>160</v>
      </c>
      <c r="I399" s="1" t="s">
        <v>154</v>
      </c>
      <c r="J399" s="57">
        <v>0</v>
      </c>
      <c r="K399" s="24">
        <v>45274.416041666664</v>
      </c>
      <c r="L399" s="23">
        <v>283</v>
      </c>
      <c r="O399" s="51">
        <v>4</v>
      </c>
      <c r="P399" s="30">
        <v>7</v>
      </c>
      <c r="Q399" s="30">
        <v>2</v>
      </c>
    </row>
    <row r="400" spans="2:21" x14ac:dyDescent="0.25">
      <c r="B400" s="42" t="s">
        <v>314</v>
      </c>
      <c r="C400" s="42" t="s">
        <v>338</v>
      </c>
      <c r="D400" s="20" t="s">
        <v>440</v>
      </c>
      <c r="E400" s="21">
        <v>4400</v>
      </c>
      <c r="F400" s="1" t="s">
        <v>68</v>
      </c>
      <c r="G400" s="42" t="s">
        <v>190</v>
      </c>
      <c r="H400" s="1" t="s">
        <v>191</v>
      </c>
      <c r="I400" s="1" t="s">
        <v>154</v>
      </c>
      <c r="J400" s="57">
        <v>0</v>
      </c>
      <c r="K400" s="24">
        <v>45274.416076388887</v>
      </c>
      <c r="L400" s="23">
        <v>2800</v>
      </c>
      <c r="O400" s="51">
        <v>2000</v>
      </c>
      <c r="P400" s="30">
        <v>2</v>
      </c>
      <c r="Q400" s="30">
        <v>400.00000000000034</v>
      </c>
    </row>
    <row r="401" spans="2:21" x14ac:dyDescent="0.25">
      <c r="B401" s="42" t="s">
        <v>314</v>
      </c>
      <c r="C401" s="42" t="s">
        <v>338</v>
      </c>
      <c r="D401" s="20" t="s">
        <v>440</v>
      </c>
      <c r="E401" s="21">
        <v>3900</v>
      </c>
      <c r="F401" s="1" t="s">
        <v>68</v>
      </c>
      <c r="G401" s="25" t="s">
        <v>156</v>
      </c>
      <c r="H401" s="1" t="s">
        <v>157</v>
      </c>
      <c r="I401" s="1" t="s">
        <v>154</v>
      </c>
      <c r="J401" s="57">
        <v>0</v>
      </c>
      <c r="K401" s="24">
        <v>45274.416122685187</v>
      </c>
      <c r="L401" s="23">
        <v>19120</v>
      </c>
      <c r="O401" s="51">
        <v>500</v>
      </c>
      <c r="P401" s="30">
        <v>7</v>
      </c>
      <c r="Q401" s="30">
        <v>399.99999999999989</v>
      </c>
    </row>
    <row r="402" spans="2:21" x14ac:dyDescent="0.25">
      <c r="B402" s="42" t="s">
        <v>314</v>
      </c>
      <c r="C402" s="42" t="s">
        <v>258</v>
      </c>
      <c r="D402" s="20" t="s">
        <v>441</v>
      </c>
      <c r="E402" s="21">
        <v>400</v>
      </c>
      <c r="F402" s="1" t="s">
        <v>68</v>
      </c>
      <c r="G402" s="42" t="s">
        <v>163</v>
      </c>
      <c r="H402" s="1" t="s">
        <v>164</v>
      </c>
      <c r="I402" s="1" t="s">
        <v>115</v>
      </c>
      <c r="J402" s="57">
        <v>0</v>
      </c>
      <c r="K402" s="24">
        <v>45274.416168981479</v>
      </c>
      <c r="L402" s="23">
        <v>2350</v>
      </c>
      <c r="O402" s="51">
        <v>100</v>
      </c>
      <c r="P402" s="30">
        <v>4</v>
      </c>
      <c r="Q402" s="30">
        <v>0</v>
      </c>
    </row>
    <row r="403" spans="2:21" x14ac:dyDescent="0.25">
      <c r="B403" s="42" t="s">
        <v>314</v>
      </c>
      <c r="C403" s="42" t="s">
        <v>259</v>
      </c>
      <c r="D403" s="20" t="s">
        <v>442</v>
      </c>
      <c r="E403" s="21">
        <v>250</v>
      </c>
      <c r="F403" s="1" t="s">
        <v>68</v>
      </c>
      <c r="G403" s="42" t="s">
        <v>161</v>
      </c>
      <c r="H403" s="1" t="s">
        <v>162</v>
      </c>
      <c r="I403" s="1" t="s">
        <v>115</v>
      </c>
      <c r="J403" s="57">
        <v>0</v>
      </c>
      <c r="K403" s="24">
        <v>45274.416226851848</v>
      </c>
      <c r="L403" s="23">
        <v>1756</v>
      </c>
      <c r="O403" s="51">
        <v>200</v>
      </c>
      <c r="P403" s="30">
        <v>1</v>
      </c>
      <c r="Q403" s="30">
        <v>50</v>
      </c>
    </row>
    <row r="404" spans="2:21" x14ac:dyDescent="0.25">
      <c r="B404" s="42" t="s">
        <v>443</v>
      </c>
      <c r="C404" s="42" t="s">
        <v>313</v>
      </c>
      <c r="D404" s="20" t="s">
        <v>66</v>
      </c>
      <c r="E404" s="21">
        <v>432</v>
      </c>
      <c r="F404" s="1" t="s">
        <v>145</v>
      </c>
      <c r="G404" s="42" t="s">
        <v>151</v>
      </c>
      <c r="H404" s="1" t="s">
        <v>147</v>
      </c>
      <c r="I404" s="1" t="s">
        <v>148</v>
      </c>
      <c r="J404" s="30">
        <v>1</v>
      </c>
      <c r="K404" s="24">
        <v>45275.592824074076</v>
      </c>
      <c r="L404" s="23">
        <v>432</v>
      </c>
      <c r="M404" s="22">
        <v>45272</v>
      </c>
      <c r="O404" s="51">
        <v>144</v>
      </c>
      <c r="P404" s="30">
        <v>3</v>
      </c>
      <c r="Q404" s="30">
        <v>0</v>
      </c>
    </row>
    <row r="405" spans="2:21" x14ac:dyDescent="0.25">
      <c r="B405" s="42" t="s">
        <v>444</v>
      </c>
      <c r="C405" s="42" t="s">
        <v>445</v>
      </c>
      <c r="D405" s="20" t="s">
        <v>66</v>
      </c>
      <c r="E405" s="21">
        <v>4032</v>
      </c>
      <c r="F405" s="1" t="s">
        <v>145</v>
      </c>
      <c r="G405" s="42" t="s">
        <v>150</v>
      </c>
      <c r="H405" s="1" t="s">
        <v>147</v>
      </c>
      <c r="I405" s="1" t="s">
        <v>148</v>
      </c>
      <c r="J405" s="30">
        <v>1</v>
      </c>
      <c r="K405" s="24">
        <v>45275.593807870369</v>
      </c>
      <c r="L405" s="23">
        <v>4032</v>
      </c>
      <c r="M405" s="22">
        <v>45272</v>
      </c>
      <c r="O405" s="51">
        <v>144</v>
      </c>
      <c r="P405" s="30">
        <v>28</v>
      </c>
      <c r="Q405" s="30">
        <v>0</v>
      </c>
    </row>
    <row r="406" spans="2:21" x14ac:dyDescent="0.25">
      <c r="B406" s="42" t="s">
        <v>444</v>
      </c>
      <c r="C406" s="42" t="s">
        <v>445</v>
      </c>
      <c r="D406" s="20" t="s">
        <v>66</v>
      </c>
      <c r="E406" s="21">
        <v>1440</v>
      </c>
      <c r="F406" s="1" t="s">
        <v>145</v>
      </c>
      <c r="G406" s="42" t="s">
        <v>151</v>
      </c>
      <c r="H406" s="1" t="s">
        <v>147</v>
      </c>
      <c r="I406" s="1" t="s">
        <v>148</v>
      </c>
      <c r="J406" s="30">
        <v>1</v>
      </c>
      <c r="K406" s="24">
        <v>45275.594340277778</v>
      </c>
      <c r="L406" s="23">
        <v>1872</v>
      </c>
      <c r="M406" s="22">
        <v>45272</v>
      </c>
      <c r="O406" s="51">
        <v>144</v>
      </c>
      <c r="P406" s="30">
        <v>10</v>
      </c>
      <c r="Q406" s="30">
        <v>0</v>
      </c>
    </row>
    <row r="407" spans="2:21" x14ac:dyDescent="0.25">
      <c r="B407" s="42" t="s">
        <v>314</v>
      </c>
      <c r="C407" s="42" t="s">
        <v>260</v>
      </c>
      <c r="D407" s="20" t="s">
        <v>446</v>
      </c>
      <c r="E407" s="21">
        <v>50</v>
      </c>
      <c r="F407" s="1" t="s">
        <v>68</v>
      </c>
      <c r="G407" s="42" t="s">
        <v>177</v>
      </c>
      <c r="H407" s="1" t="s">
        <v>178</v>
      </c>
      <c r="J407" s="57">
        <v>0</v>
      </c>
      <c r="K407" s="24">
        <v>45275.750590277778</v>
      </c>
      <c r="L407" s="23">
        <v>590</v>
      </c>
      <c r="O407" s="51">
        <v>4</v>
      </c>
      <c r="P407" s="30">
        <v>12</v>
      </c>
      <c r="Q407" s="30">
        <v>2</v>
      </c>
    </row>
    <row r="408" spans="2:21" x14ac:dyDescent="0.25">
      <c r="B408" s="42" t="s">
        <v>314</v>
      </c>
      <c r="C408" s="42" t="s">
        <v>260</v>
      </c>
      <c r="D408" s="20" t="s">
        <v>446</v>
      </c>
      <c r="E408" s="21">
        <v>25000</v>
      </c>
      <c r="F408" s="1" t="s">
        <v>68</v>
      </c>
      <c r="G408" s="42" t="s">
        <v>113</v>
      </c>
      <c r="H408" s="1" t="s">
        <v>114</v>
      </c>
      <c r="I408" s="1" t="s">
        <v>115</v>
      </c>
      <c r="J408" s="57">
        <v>0</v>
      </c>
      <c r="K408" s="24">
        <v>45275.751030092593</v>
      </c>
      <c r="L408" s="23">
        <v>177400</v>
      </c>
      <c r="O408" s="51">
        <v>2400</v>
      </c>
      <c r="P408" s="30">
        <v>10</v>
      </c>
      <c r="Q408" s="30">
        <v>999.99999999999864</v>
      </c>
    </row>
    <row r="409" spans="2:21" x14ac:dyDescent="0.25">
      <c r="B409" s="42" t="s">
        <v>314</v>
      </c>
      <c r="C409" s="42" t="s">
        <v>447</v>
      </c>
      <c r="D409" s="20" t="s">
        <v>448</v>
      </c>
      <c r="E409" s="21">
        <v>300</v>
      </c>
      <c r="F409" s="1" t="s">
        <v>68</v>
      </c>
      <c r="G409" s="42" t="s">
        <v>161</v>
      </c>
      <c r="H409" s="1" t="s">
        <v>162</v>
      </c>
      <c r="I409" s="1" t="s">
        <v>115</v>
      </c>
      <c r="J409" s="57">
        <v>0</v>
      </c>
      <c r="K409" s="24">
        <v>45275.751550925925</v>
      </c>
      <c r="L409" s="23">
        <v>1456</v>
      </c>
      <c r="O409" s="51">
        <v>200</v>
      </c>
      <c r="P409" s="30">
        <v>1</v>
      </c>
      <c r="Q409" s="30">
        <v>100</v>
      </c>
    </row>
    <row r="410" spans="2:21" x14ac:dyDescent="0.25">
      <c r="B410" s="42" t="s">
        <v>314</v>
      </c>
      <c r="C410" s="42" t="s">
        <v>258</v>
      </c>
      <c r="D410" s="20" t="s">
        <v>449</v>
      </c>
      <c r="E410" s="21">
        <v>400</v>
      </c>
      <c r="F410" s="1" t="s">
        <v>68</v>
      </c>
      <c r="G410" s="42" t="s">
        <v>163</v>
      </c>
      <c r="H410" s="1" t="s">
        <v>164</v>
      </c>
      <c r="I410" s="1" t="s">
        <v>115</v>
      </c>
      <c r="J410" s="57">
        <v>0</v>
      </c>
      <c r="K410" s="24">
        <v>45275.752060185187</v>
      </c>
      <c r="L410" s="23">
        <v>1950</v>
      </c>
      <c r="O410" s="51">
        <v>100</v>
      </c>
      <c r="P410" s="30">
        <v>4</v>
      </c>
      <c r="Q410" s="30">
        <v>0</v>
      </c>
    </row>
    <row r="411" spans="2:21" x14ac:dyDescent="0.25">
      <c r="B411" s="42" t="s">
        <v>314</v>
      </c>
      <c r="C411" s="65" t="s">
        <v>450</v>
      </c>
      <c r="D411" s="31" t="s">
        <v>450</v>
      </c>
      <c r="E411" s="32">
        <v>400</v>
      </c>
      <c r="F411" s="26" t="s">
        <v>137</v>
      </c>
      <c r="G411" s="65" t="s">
        <v>138</v>
      </c>
      <c r="H411" s="26" t="s">
        <v>139</v>
      </c>
      <c r="I411" s="1" t="s">
        <v>451</v>
      </c>
      <c r="J411" s="57">
        <v>0</v>
      </c>
      <c r="K411" s="24">
        <v>45279.525069444448</v>
      </c>
      <c r="L411" s="23">
        <v>1718</v>
      </c>
      <c r="O411" s="51">
        <v>10</v>
      </c>
      <c r="P411" s="30">
        <v>40</v>
      </c>
      <c r="Q411" s="30">
        <v>0</v>
      </c>
    </row>
    <row r="412" spans="2:21" ht="30" x14ac:dyDescent="0.25">
      <c r="B412" s="66" t="s">
        <v>314</v>
      </c>
      <c r="C412" s="67" t="s">
        <v>758</v>
      </c>
      <c r="D412" s="68">
        <v>478</v>
      </c>
      <c r="E412" s="68">
        <v>1600</v>
      </c>
      <c r="F412" s="18" t="s">
        <v>68</v>
      </c>
      <c r="G412" s="69" t="s">
        <v>113</v>
      </c>
      <c r="H412" s="1" t="s">
        <v>114</v>
      </c>
      <c r="I412" s="1" t="s">
        <v>115</v>
      </c>
      <c r="J412" s="57">
        <v>0</v>
      </c>
      <c r="K412" s="24">
        <v>45279.52511574074</v>
      </c>
      <c r="L412" s="23">
        <v>175800</v>
      </c>
      <c r="O412" s="51">
        <v>2400</v>
      </c>
      <c r="P412" s="30">
        <v>0</v>
      </c>
      <c r="Q412" s="30">
        <v>1600</v>
      </c>
      <c r="U412" s="70"/>
    </row>
    <row r="413" spans="2:21" ht="30" x14ac:dyDescent="0.25">
      <c r="B413" s="66" t="s">
        <v>314</v>
      </c>
      <c r="C413" s="67" t="s">
        <v>337</v>
      </c>
      <c r="D413" s="68">
        <v>479</v>
      </c>
      <c r="E413" s="68">
        <v>640</v>
      </c>
      <c r="F413" s="18" t="s">
        <v>68</v>
      </c>
      <c r="G413" s="71" t="s">
        <v>174</v>
      </c>
      <c r="H413" s="1" t="s">
        <v>175</v>
      </c>
      <c r="I413" s="1" t="s">
        <v>176</v>
      </c>
      <c r="J413" s="57">
        <v>0</v>
      </c>
      <c r="K413" s="24">
        <v>45279.525138888886</v>
      </c>
      <c r="L413" s="23">
        <v>50</v>
      </c>
      <c r="O413" s="51">
        <v>300</v>
      </c>
      <c r="P413" s="30">
        <v>2</v>
      </c>
      <c r="Q413" s="30">
        <v>39.999999999999993</v>
      </c>
      <c r="U413" s="70"/>
    </row>
    <row r="414" spans="2:21" ht="30" x14ac:dyDescent="0.25">
      <c r="B414" s="66" t="s">
        <v>314</v>
      </c>
      <c r="C414" s="67" t="s">
        <v>502</v>
      </c>
      <c r="D414" s="68">
        <v>480</v>
      </c>
      <c r="E414" s="68">
        <v>30000</v>
      </c>
      <c r="F414" s="18" t="s">
        <v>68</v>
      </c>
      <c r="G414" s="71" t="s">
        <v>113</v>
      </c>
      <c r="H414" s="1" t="s">
        <v>114</v>
      </c>
      <c r="I414" s="1" t="s">
        <v>115</v>
      </c>
      <c r="J414" s="57">
        <v>0</v>
      </c>
      <c r="K414" s="24">
        <v>45279.525185185186</v>
      </c>
      <c r="L414" s="23">
        <v>145800</v>
      </c>
      <c r="O414" s="51">
        <v>2400</v>
      </c>
      <c r="P414" s="30">
        <v>12</v>
      </c>
      <c r="Q414" s="30">
        <v>1200</v>
      </c>
      <c r="U414" s="70"/>
    </row>
    <row r="415" spans="2:21" ht="30" x14ac:dyDescent="0.25">
      <c r="B415" s="66" t="s">
        <v>314</v>
      </c>
      <c r="C415" s="67" t="s">
        <v>338</v>
      </c>
      <c r="D415" s="68">
        <v>481</v>
      </c>
      <c r="E415" s="68">
        <v>2000</v>
      </c>
      <c r="F415" s="18" t="s">
        <v>68</v>
      </c>
      <c r="G415" s="71" t="s">
        <v>190</v>
      </c>
      <c r="H415" s="1" t="s">
        <v>191</v>
      </c>
      <c r="I415" s="1" t="s">
        <v>154</v>
      </c>
      <c r="J415" s="57">
        <v>0</v>
      </c>
      <c r="K415" s="24">
        <v>45279.525208333333</v>
      </c>
      <c r="L415" s="23">
        <v>800</v>
      </c>
      <c r="O415" s="51">
        <v>2000</v>
      </c>
      <c r="P415" s="30">
        <v>1</v>
      </c>
      <c r="Q415" s="30">
        <v>0</v>
      </c>
      <c r="U415" s="70"/>
    </row>
    <row r="416" spans="2:21" ht="13.5" customHeight="1" x14ac:dyDescent="0.25">
      <c r="B416" s="66" t="s">
        <v>314</v>
      </c>
      <c r="C416" s="67" t="s">
        <v>759</v>
      </c>
      <c r="D416" s="68">
        <v>482</v>
      </c>
      <c r="E416" s="68">
        <v>100</v>
      </c>
      <c r="F416" s="18" t="s">
        <v>68</v>
      </c>
      <c r="G416" s="71" t="s">
        <v>138</v>
      </c>
      <c r="H416" s="1" t="s">
        <v>139</v>
      </c>
      <c r="I416" s="1" t="s">
        <v>140</v>
      </c>
      <c r="J416" s="57">
        <v>0</v>
      </c>
      <c r="K416" s="24">
        <v>45279.525231481479</v>
      </c>
      <c r="L416" s="23">
        <v>1618</v>
      </c>
      <c r="O416" s="51">
        <v>10</v>
      </c>
      <c r="P416" s="30">
        <v>10</v>
      </c>
      <c r="Q416" s="30">
        <v>0</v>
      </c>
      <c r="U416" s="70"/>
    </row>
    <row r="417" spans="2:21" ht="13.5" customHeight="1" x14ac:dyDescent="0.25">
      <c r="B417" s="66" t="s">
        <v>314</v>
      </c>
      <c r="C417" s="67" t="s">
        <v>259</v>
      </c>
      <c r="D417" s="68">
        <v>483</v>
      </c>
      <c r="E417" s="68">
        <v>50</v>
      </c>
      <c r="F417" s="18" t="s">
        <v>68</v>
      </c>
      <c r="G417" s="71" t="s">
        <v>138</v>
      </c>
      <c r="H417" s="1" t="s">
        <v>139</v>
      </c>
      <c r="I417" s="1" t="s">
        <v>140</v>
      </c>
      <c r="J417" s="57">
        <v>0</v>
      </c>
      <c r="K417" s="24">
        <v>45279.525254629632</v>
      </c>
      <c r="L417" s="23">
        <v>1568</v>
      </c>
      <c r="O417" s="51">
        <v>10</v>
      </c>
      <c r="P417" s="30">
        <v>5</v>
      </c>
      <c r="Q417" s="30">
        <v>0</v>
      </c>
      <c r="U417" s="70"/>
    </row>
    <row r="418" spans="2:21" ht="30" x14ac:dyDescent="0.25">
      <c r="B418" s="66" t="s">
        <v>314</v>
      </c>
      <c r="C418" s="67" t="s">
        <v>361</v>
      </c>
      <c r="D418" s="68">
        <v>477</v>
      </c>
      <c r="E418" s="68">
        <v>20000</v>
      </c>
      <c r="F418" s="18" t="s">
        <v>68</v>
      </c>
      <c r="G418" s="71" t="s">
        <v>117</v>
      </c>
      <c r="H418" s="1" t="s">
        <v>118</v>
      </c>
      <c r="I418" s="1" t="s">
        <v>115</v>
      </c>
      <c r="J418" s="57">
        <v>0</v>
      </c>
      <c r="K418" s="24">
        <v>45279.525289351855</v>
      </c>
      <c r="L418" s="23">
        <v>20000</v>
      </c>
      <c r="O418" s="51">
        <v>1200</v>
      </c>
      <c r="P418" s="30">
        <v>16</v>
      </c>
      <c r="Q418" s="30">
        <v>800.00000000000136</v>
      </c>
      <c r="U418" s="70"/>
    </row>
    <row r="419" spans="2:21" ht="30" x14ac:dyDescent="0.25">
      <c r="B419" s="42" t="s">
        <v>452</v>
      </c>
      <c r="C419" s="42" t="s">
        <v>453</v>
      </c>
      <c r="D419" s="20" t="s">
        <v>454</v>
      </c>
      <c r="E419" s="21">
        <v>30000</v>
      </c>
      <c r="F419" s="18" t="s">
        <v>68</v>
      </c>
      <c r="G419" s="71" t="s">
        <v>183</v>
      </c>
      <c r="H419" s="1" t="s">
        <v>184</v>
      </c>
      <c r="I419" s="1" t="s">
        <v>115</v>
      </c>
      <c r="J419" s="30">
        <v>1</v>
      </c>
      <c r="K419" s="24">
        <v>45279.606608796297</v>
      </c>
      <c r="L419" s="23">
        <v>30000</v>
      </c>
      <c r="M419" s="1" t="s">
        <v>455</v>
      </c>
      <c r="O419" s="51">
        <v>1</v>
      </c>
      <c r="P419" s="30">
        <v>30000</v>
      </c>
      <c r="Q419" s="30">
        <v>0</v>
      </c>
    </row>
    <row r="420" spans="2:21" ht="30" x14ac:dyDescent="0.25">
      <c r="B420" s="42" t="s">
        <v>452</v>
      </c>
      <c r="C420" s="42" t="s">
        <v>453</v>
      </c>
      <c r="D420" s="20" t="s">
        <v>454</v>
      </c>
      <c r="E420" s="21">
        <v>30000</v>
      </c>
      <c r="F420" s="18" t="s">
        <v>68</v>
      </c>
      <c r="G420" s="71" t="s">
        <v>293</v>
      </c>
      <c r="H420" s="1" t="s">
        <v>294</v>
      </c>
      <c r="I420" s="1" t="s">
        <v>115</v>
      </c>
      <c r="J420" s="30">
        <v>1</v>
      </c>
      <c r="K420" s="24">
        <v>45279.606712962966</v>
      </c>
      <c r="L420" s="23">
        <v>31200</v>
      </c>
      <c r="M420" s="1" t="s">
        <v>455</v>
      </c>
      <c r="O420" s="51">
        <v>1</v>
      </c>
      <c r="P420" s="30">
        <v>30000</v>
      </c>
      <c r="Q420" s="30">
        <v>0</v>
      </c>
    </row>
    <row r="421" spans="2:21" ht="30" x14ac:dyDescent="0.25">
      <c r="B421" s="42" t="s">
        <v>452</v>
      </c>
      <c r="C421" s="42" t="s">
        <v>453</v>
      </c>
      <c r="D421" s="20" t="s">
        <v>454</v>
      </c>
      <c r="E421" s="21">
        <v>30000</v>
      </c>
      <c r="F421" s="18" t="s">
        <v>68</v>
      </c>
      <c r="G421" s="71" t="s">
        <v>129</v>
      </c>
      <c r="H421" s="1" t="s">
        <v>130</v>
      </c>
      <c r="I421" s="1" t="s">
        <v>115</v>
      </c>
      <c r="J421" s="30">
        <v>1</v>
      </c>
      <c r="K421" s="24">
        <v>45279.606828703705</v>
      </c>
      <c r="L421" s="23">
        <v>30000</v>
      </c>
      <c r="M421" s="1" t="s">
        <v>455</v>
      </c>
      <c r="O421" s="51">
        <v>2400</v>
      </c>
      <c r="P421" s="30">
        <v>12</v>
      </c>
      <c r="Q421" s="30">
        <v>1200</v>
      </c>
    </row>
    <row r="422" spans="2:21" ht="30" x14ac:dyDescent="0.25">
      <c r="B422" s="42" t="s">
        <v>452</v>
      </c>
      <c r="C422" s="42" t="s">
        <v>453</v>
      </c>
      <c r="D422" s="20" t="s">
        <v>454</v>
      </c>
      <c r="E422" s="21">
        <v>30000</v>
      </c>
      <c r="F422" s="18" t="s">
        <v>68</v>
      </c>
      <c r="G422" s="71" t="s">
        <v>181</v>
      </c>
      <c r="H422" s="1" t="s">
        <v>182</v>
      </c>
      <c r="I422" s="1" t="s">
        <v>115</v>
      </c>
      <c r="J422" s="30">
        <v>1</v>
      </c>
      <c r="K422" s="24">
        <v>45279.606886574074</v>
      </c>
      <c r="L422" s="23">
        <v>30000</v>
      </c>
      <c r="M422" s="1" t="s">
        <v>455</v>
      </c>
      <c r="O422" s="51">
        <v>2400</v>
      </c>
      <c r="P422" s="30">
        <v>12</v>
      </c>
      <c r="Q422" s="30">
        <v>1200</v>
      </c>
    </row>
    <row r="423" spans="2:21" x14ac:dyDescent="0.25">
      <c r="B423" s="42" t="s">
        <v>169</v>
      </c>
      <c r="C423" s="42" t="s">
        <v>411</v>
      </c>
      <c r="D423" s="20" t="s">
        <v>456</v>
      </c>
      <c r="E423" s="21">
        <v>20</v>
      </c>
      <c r="F423" s="1" t="s">
        <v>68</v>
      </c>
      <c r="G423" s="25" t="s">
        <v>772</v>
      </c>
      <c r="H423" s="1" t="s">
        <v>160</v>
      </c>
      <c r="I423" s="1" t="s">
        <v>154</v>
      </c>
      <c r="J423" s="57">
        <v>0</v>
      </c>
      <c r="K423" s="24">
        <v>45280.54178240741</v>
      </c>
      <c r="L423" s="23">
        <v>263</v>
      </c>
      <c r="O423" s="51">
        <v>4</v>
      </c>
      <c r="P423" s="30">
        <v>5</v>
      </c>
      <c r="Q423" s="30">
        <v>0</v>
      </c>
    </row>
    <row r="424" spans="2:21" x14ac:dyDescent="0.25">
      <c r="B424" s="42" t="s">
        <v>457</v>
      </c>
      <c r="C424" s="42" t="s">
        <v>458</v>
      </c>
      <c r="D424" s="20" t="s">
        <v>373</v>
      </c>
      <c r="E424" s="21">
        <v>15</v>
      </c>
      <c r="F424" s="1" t="s">
        <v>145</v>
      </c>
      <c r="G424" s="71" t="s">
        <v>372</v>
      </c>
      <c r="H424" s="1" t="s">
        <v>219</v>
      </c>
      <c r="I424" s="1" t="s">
        <v>220</v>
      </c>
      <c r="J424" s="30">
        <v>1</v>
      </c>
      <c r="K424" s="24">
        <v>45280.706423611111</v>
      </c>
      <c r="L424" s="23">
        <v>22</v>
      </c>
      <c r="M424" s="1" t="s">
        <v>455</v>
      </c>
      <c r="O424" s="51">
        <v>1</v>
      </c>
      <c r="P424" s="30">
        <v>15</v>
      </c>
      <c r="Q424" s="30">
        <v>0</v>
      </c>
    </row>
    <row r="425" spans="2:21" x14ac:dyDescent="0.25">
      <c r="B425" s="42" t="s">
        <v>457</v>
      </c>
      <c r="C425" s="42" t="s">
        <v>458</v>
      </c>
      <c r="D425" s="20" t="s">
        <v>373</v>
      </c>
      <c r="E425" s="21">
        <v>11</v>
      </c>
      <c r="F425" s="1" t="s">
        <v>145</v>
      </c>
      <c r="G425" s="71" t="s">
        <v>236</v>
      </c>
      <c r="H425" s="1" t="s">
        <v>219</v>
      </c>
      <c r="I425" s="1" t="s">
        <v>220</v>
      </c>
      <c r="J425" s="30">
        <v>1</v>
      </c>
      <c r="K425" s="24">
        <v>45280.70652777778</v>
      </c>
      <c r="L425" s="23">
        <v>11</v>
      </c>
      <c r="M425" s="1" t="s">
        <v>455</v>
      </c>
      <c r="O425" s="51">
        <v>1</v>
      </c>
      <c r="P425" s="30">
        <v>11</v>
      </c>
      <c r="Q425" s="30">
        <v>0</v>
      </c>
    </row>
    <row r="426" spans="2:21" x14ac:dyDescent="0.25">
      <c r="B426" s="42" t="s">
        <v>457</v>
      </c>
      <c r="C426" s="42" t="s">
        <v>458</v>
      </c>
      <c r="D426" s="20" t="s">
        <v>373</v>
      </c>
      <c r="E426" s="21">
        <v>21</v>
      </c>
      <c r="F426" s="1" t="s">
        <v>145</v>
      </c>
      <c r="G426" s="71" t="s">
        <v>237</v>
      </c>
      <c r="H426" s="1" t="s">
        <v>219</v>
      </c>
      <c r="I426" s="1" t="s">
        <v>220</v>
      </c>
      <c r="J426" s="30">
        <v>1</v>
      </c>
      <c r="K426" s="24">
        <v>45280.706956018519</v>
      </c>
      <c r="L426" s="23">
        <v>21</v>
      </c>
      <c r="M426" s="1" t="s">
        <v>455</v>
      </c>
      <c r="O426" s="51">
        <v>1</v>
      </c>
      <c r="P426" s="30">
        <v>21</v>
      </c>
      <c r="Q426" s="30">
        <v>0</v>
      </c>
    </row>
    <row r="427" spans="2:21" x14ac:dyDescent="0.25">
      <c r="B427" s="42" t="s">
        <v>457</v>
      </c>
      <c r="C427" s="42" t="s">
        <v>458</v>
      </c>
      <c r="D427" s="20" t="s">
        <v>373</v>
      </c>
      <c r="E427" s="21">
        <v>21</v>
      </c>
      <c r="F427" s="1" t="s">
        <v>145</v>
      </c>
      <c r="G427" s="71" t="s">
        <v>370</v>
      </c>
      <c r="H427" s="1" t="s">
        <v>219</v>
      </c>
      <c r="I427" s="1" t="s">
        <v>220</v>
      </c>
      <c r="J427" s="30">
        <v>1</v>
      </c>
      <c r="K427" s="24">
        <v>45280.70716435185</v>
      </c>
      <c r="L427" s="23">
        <v>32</v>
      </c>
      <c r="M427" s="1" t="s">
        <v>455</v>
      </c>
      <c r="O427" s="51">
        <v>1</v>
      </c>
      <c r="P427" s="30">
        <v>21</v>
      </c>
      <c r="Q427" s="30">
        <v>0</v>
      </c>
    </row>
    <row r="428" spans="2:21" x14ac:dyDescent="0.25">
      <c r="B428" s="42" t="s">
        <v>457</v>
      </c>
      <c r="C428" s="42" t="s">
        <v>458</v>
      </c>
      <c r="D428" s="20" t="s">
        <v>373</v>
      </c>
      <c r="E428" s="21">
        <v>18</v>
      </c>
      <c r="F428" s="1" t="s">
        <v>145</v>
      </c>
      <c r="G428" s="71" t="s">
        <v>371</v>
      </c>
      <c r="H428" s="1" t="s">
        <v>219</v>
      </c>
      <c r="I428" s="1" t="s">
        <v>220</v>
      </c>
      <c r="J428" s="30">
        <v>1</v>
      </c>
      <c r="K428" s="24">
        <v>45280.707384259258</v>
      </c>
      <c r="L428" s="23">
        <v>18</v>
      </c>
      <c r="M428" s="1" t="s">
        <v>455</v>
      </c>
      <c r="O428" s="51">
        <v>1</v>
      </c>
      <c r="P428" s="30">
        <v>18</v>
      </c>
      <c r="Q428" s="30">
        <v>0</v>
      </c>
    </row>
    <row r="429" spans="2:21" x14ac:dyDescent="0.25">
      <c r="B429" s="42" t="s">
        <v>457</v>
      </c>
      <c r="C429" s="42" t="s">
        <v>458</v>
      </c>
      <c r="D429" s="20" t="s">
        <v>373</v>
      </c>
      <c r="E429" s="21">
        <v>32</v>
      </c>
      <c r="F429" s="1" t="s">
        <v>145</v>
      </c>
      <c r="G429" s="71" t="s">
        <v>238</v>
      </c>
      <c r="H429" s="1" t="s">
        <v>219</v>
      </c>
      <c r="I429" s="1" t="s">
        <v>220</v>
      </c>
      <c r="J429" s="30">
        <v>1</v>
      </c>
      <c r="K429" s="24">
        <v>45280.70758101852</v>
      </c>
      <c r="L429" s="23">
        <v>32</v>
      </c>
      <c r="M429" s="1" t="s">
        <v>455</v>
      </c>
      <c r="O429" s="51">
        <v>1</v>
      </c>
      <c r="P429" s="30">
        <v>32</v>
      </c>
      <c r="Q429" s="30">
        <v>0</v>
      </c>
    </row>
    <row r="430" spans="2:21" x14ac:dyDescent="0.25">
      <c r="B430" s="42" t="s">
        <v>457</v>
      </c>
      <c r="C430" s="42" t="s">
        <v>458</v>
      </c>
      <c r="D430" s="20" t="s">
        <v>373</v>
      </c>
      <c r="E430" s="21">
        <v>26</v>
      </c>
      <c r="F430" s="1" t="s">
        <v>145</v>
      </c>
      <c r="G430" s="71" t="s">
        <v>408</v>
      </c>
      <c r="H430" s="1" t="s">
        <v>219</v>
      </c>
      <c r="I430" s="1" t="s">
        <v>220</v>
      </c>
      <c r="J430" s="30">
        <v>1</v>
      </c>
      <c r="K430" s="24">
        <v>45280.707766203705</v>
      </c>
      <c r="L430" s="23">
        <v>26</v>
      </c>
      <c r="M430" s="1" t="s">
        <v>455</v>
      </c>
      <c r="O430" s="51">
        <v>1</v>
      </c>
      <c r="P430" s="30">
        <v>26</v>
      </c>
      <c r="Q430" s="30">
        <v>0</v>
      </c>
    </row>
    <row r="431" spans="2:21" x14ac:dyDescent="0.25">
      <c r="B431" s="42" t="s">
        <v>457</v>
      </c>
      <c r="C431" s="42" t="s">
        <v>458</v>
      </c>
      <c r="D431" s="20" t="s">
        <v>373</v>
      </c>
      <c r="E431" s="21">
        <v>14</v>
      </c>
      <c r="F431" s="1" t="s">
        <v>145</v>
      </c>
      <c r="G431" s="71" t="s">
        <v>64</v>
      </c>
      <c r="H431" s="1" t="s">
        <v>219</v>
      </c>
      <c r="I431" s="1" t="s">
        <v>220</v>
      </c>
      <c r="J431" s="30">
        <v>1</v>
      </c>
      <c r="K431" s="24">
        <v>45280.707997685182</v>
      </c>
      <c r="L431" s="23">
        <v>14</v>
      </c>
      <c r="M431" s="1" t="s">
        <v>455</v>
      </c>
      <c r="O431" s="51">
        <v>1</v>
      </c>
      <c r="P431" s="30">
        <v>14</v>
      </c>
      <c r="Q431" s="30">
        <v>0</v>
      </c>
    </row>
    <row r="432" spans="2:21" x14ac:dyDescent="0.25">
      <c r="B432" s="42" t="s">
        <v>457</v>
      </c>
      <c r="C432" s="42" t="s">
        <v>458</v>
      </c>
      <c r="D432" s="20" t="s">
        <v>373</v>
      </c>
      <c r="E432" s="21">
        <v>10</v>
      </c>
      <c r="F432" s="1" t="s">
        <v>145</v>
      </c>
      <c r="G432" s="71" t="s">
        <v>228</v>
      </c>
      <c r="H432" s="1" t="s">
        <v>219</v>
      </c>
      <c r="I432" s="1" t="s">
        <v>220</v>
      </c>
      <c r="J432" s="30">
        <v>1</v>
      </c>
      <c r="K432" s="24">
        <v>45280.70820601852</v>
      </c>
      <c r="L432" s="23">
        <v>10</v>
      </c>
      <c r="M432" s="1" t="s">
        <v>455</v>
      </c>
      <c r="O432" s="51">
        <v>1</v>
      </c>
      <c r="P432" s="30">
        <v>10</v>
      </c>
      <c r="Q432" s="30">
        <v>0</v>
      </c>
    </row>
    <row r="433" spans="2:17" ht="30" x14ac:dyDescent="0.25">
      <c r="B433" s="42" t="s">
        <v>459</v>
      </c>
      <c r="C433" s="42" t="s">
        <v>460</v>
      </c>
      <c r="D433" s="20" t="s">
        <v>461</v>
      </c>
      <c r="E433" s="21">
        <v>20000</v>
      </c>
      <c r="F433" s="1" t="s">
        <v>68</v>
      </c>
      <c r="G433" s="71" t="s">
        <v>133</v>
      </c>
      <c r="H433" s="1" t="s">
        <v>134</v>
      </c>
      <c r="I433" s="1" t="s">
        <v>115</v>
      </c>
      <c r="J433" s="30">
        <v>1</v>
      </c>
      <c r="K433" s="24">
        <v>45654.526423611111</v>
      </c>
      <c r="L433" s="23">
        <v>217000</v>
      </c>
      <c r="M433" s="1" t="s">
        <v>462</v>
      </c>
      <c r="O433" s="51">
        <v>2400</v>
      </c>
      <c r="P433" s="30">
        <v>8</v>
      </c>
      <c r="Q433" s="30">
        <v>800.00000000000136</v>
      </c>
    </row>
    <row r="434" spans="2:17" ht="30" x14ac:dyDescent="0.25">
      <c r="B434" s="42" t="s">
        <v>169</v>
      </c>
      <c r="C434" s="42" t="s">
        <v>380</v>
      </c>
      <c r="D434" s="20" t="s">
        <v>463</v>
      </c>
      <c r="E434" s="21">
        <v>1600</v>
      </c>
      <c r="F434" s="1" t="s">
        <v>68</v>
      </c>
      <c r="G434" s="71" t="s">
        <v>181</v>
      </c>
      <c r="H434" s="1" t="s">
        <v>182</v>
      </c>
      <c r="I434" s="1" t="s">
        <v>115</v>
      </c>
      <c r="J434" s="57">
        <v>0</v>
      </c>
      <c r="K434" s="24">
        <v>45294.571736111109</v>
      </c>
      <c r="L434" s="23">
        <v>30200</v>
      </c>
      <c r="O434" s="51">
        <v>2400</v>
      </c>
      <c r="P434" s="30">
        <v>0</v>
      </c>
      <c r="Q434" s="30">
        <v>1600</v>
      </c>
    </row>
    <row r="435" spans="2:17" ht="30" x14ac:dyDescent="0.25">
      <c r="B435" s="42" t="s">
        <v>169</v>
      </c>
      <c r="C435" s="42" t="s">
        <v>380</v>
      </c>
      <c r="D435" s="20" t="s">
        <v>463</v>
      </c>
      <c r="E435" s="21">
        <v>1000</v>
      </c>
      <c r="F435" s="1" t="s">
        <v>68</v>
      </c>
      <c r="G435" s="71" t="s">
        <v>183</v>
      </c>
      <c r="H435" s="1" t="s">
        <v>184</v>
      </c>
      <c r="I435" s="1" t="s">
        <v>115</v>
      </c>
      <c r="J435" s="57">
        <v>0</v>
      </c>
      <c r="K435" s="24">
        <v>45294.57203703704</v>
      </c>
      <c r="L435" s="23">
        <v>29000</v>
      </c>
      <c r="O435" s="51">
        <v>2400</v>
      </c>
      <c r="P435" s="30">
        <v>0</v>
      </c>
      <c r="Q435" s="30">
        <v>1000</v>
      </c>
    </row>
    <row r="436" spans="2:17" ht="30" x14ac:dyDescent="0.25">
      <c r="B436" s="42" t="s">
        <v>169</v>
      </c>
      <c r="C436" s="42" t="s">
        <v>415</v>
      </c>
      <c r="D436" s="20" t="s">
        <v>464</v>
      </c>
      <c r="E436" s="21">
        <v>400</v>
      </c>
      <c r="F436" s="1" t="s">
        <v>68</v>
      </c>
      <c r="G436" s="71" t="s">
        <v>127</v>
      </c>
      <c r="H436" s="1" t="s">
        <v>128</v>
      </c>
      <c r="I436" s="1" t="s">
        <v>115</v>
      </c>
      <c r="J436" s="57">
        <v>0</v>
      </c>
      <c r="K436" s="24">
        <v>45294.572604166664</v>
      </c>
      <c r="L436" s="23">
        <v>5400</v>
      </c>
      <c r="O436" s="51">
        <v>3000</v>
      </c>
      <c r="P436" s="30">
        <v>0</v>
      </c>
      <c r="Q436" s="30">
        <v>400</v>
      </c>
    </row>
    <row r="437" spans="2:17" ht="30" x14ac:dyDescent="0.25">
      <c r="B437" s="42" t="s">
        <v>169</v>
      </c>
      <c r="C437" s="42" t="s">
        <v>415</v>
      </c>
      <c r="D437" s="20" t="s">
        <v>464</v>
      </c>
      <c r="E437" s="21">
        <v>400</v>
      </c>
      <c r="F437" s="1" t="s">
        <v>68</v>
      </c>
      <c r="G437" s="71" t="s">
        <v>129</v>
      </c>
      <c r="H437" s="1" t="s">
        <v>130</v>
      </c>
      <c r="I437" s="1" t="s">
        <v>115</v>
      </c>
      <c r="J437" s="57">
        <v>0</v>
      </c>
      <c r="K437" s="24">
        <v>45294.572870370372</v>
      </c>
      <c r="L437" s="23">
        <v>29600</v>
      </c>
      <c r="O437" s="51">
        <v>2400</v>
      </c>
      <c r="P437" s="30">
        <v>0</v>
      </c>
      <c r="Q437" s="30">
        <v>400</v>
      </c>
    </row>
    <row r="438" spans="2:17" x14ac:dyDescent="0.25">
      <c r="B438" s="42" t="s">
        <v>169</v>
      </c>
      <c r="C438" s="42" t="s">
        <v>385</v>
      </c>
      <c r="D438" s="20" t="s">
        <v>465</v>
      </c>
      <c r="E438" s="21">
        <v>4700</v>
      </c>
      <c r="F438" s="1" t="s">
        <v>68</v>
      </c>
      <c r="G438" s="71" t="s">
        <v>156</v>
      </c>
      <c r="H438" s="1" t="s">
        <v>157</v>
      </c>
      <c r="I438" s="1" t="s">
        <v>154</v>
      </c>
      <c r="J438" s="57">
        <v>0</v>
      </c>
      <c r="K438" s="24">
        <v>45294.573483796295</v>
      </c>
      <c r="L438" s="23">
        <v>14420</v>
      </c>
      <c r="O438" s="51">
        <v>500</v>
      </c>
      <c r="P438" s="30">
        <v>9</v>
      </c>
      <c r="Q438" s="30">
        <v>200.00000000000017</v>
      </c>
    </row>
    <row r="439" spans="2:17" x14ac:dyDescent="0.25">
      <c r="B439" s="42" t="s">
        <v>169</v>
      </c>
      <c r="C439" s="42" t="s">
        <v>385</v>
      </c>
      <c r="D439" s="20" t="s">
        <v>465</v>
      </c>
      <c r="E439" s="21">
        <v>60</v>
      </c>
      <c r="F439" s="1" t="s">
        <v>68</v>
      </c>
      <c r="G439" s="71" t="s">
        <v>174</v>
      </c>
      <c r="H439" s="1" t="s">
        <v>175</v>
      </c>
      <c r="I439" s="1" t="s">
        <v>176</v>
      </c>
      <c r="J439" s="57">
        <v>0</v>
      </c>
      <c r="K439" s="24">
        <v>45294.573819444442</v>
      </c>
      <c r="L439" s="23">
        <v>-10</v>
      </c>
      <c r="O439" s="51">
        <v>300</v>
      </c>
      <c r="P439" s="30">
        <v>0</v>
      </c>
      <c r="Q439" s="30">
        <v>60</v>
      </c>
    </row>
    <row r="440" spans="2:17" x14ac:dyDescent="0.25">
      <c r="B440" s="42" t="s">
        <v>169</v>
      </c>
      <c r="C440" s="42" t="s">
        <v>385</v>
      </c>
      <c r="D440" s="20" t="s">
        <v>465</v>
      </c>
      <c r="E440" s="21">
        <v>40</v>
      </c>
      <c r="F440" s="1" t="s">
        <v>68</v>
      </c>
      <c r="G440" s="71" t="s">
        <v>119</v>
      </c>
      <c r="H440" s="1" t="s">
        <v>173</v>
      </c>
      <c r="J440" s="57">
        <v>0</v>
      </c>
      <c r="K440" s="24">
        <v>45294.574189814812</v>
      </c>
      <c r="L440" s="23">
        <v>192</v>
      </c>
      <c r="O440" s="51">
        <v>96</v>
      </c>
      <c r="P440" s="30">
        <v>0</v>
      </c>
      <c r="Q440" s="30">
        <v>40</v>
      </c>
    </row>
    <row r="441" spans="2:17" x14ac:dyDescent="0.25">
      <c r="B441" s="42" t="s">
        <v>169</v>
      </c>
      <c r="C441" s="42" t="s">
        <v>385</v>
      </c>
      <c r="D441" s="20" t="s">
        <v>465</v>
      </c>
      <c r="E441" s="21">
        <v>1300</v>
      </c>
      <c r="F441" s="1" t="s">
        <v>68</v>
      </c>
      <c r="G441" s="25" t="s">
        <v>212</v>
      </c>
      <c r="H441" s="1" t="s">
        <v>213</v>
      </c>
      <c r="I441" s="1" t="s">
        <v>154</v>
      </c>
      <c r="J441" s="57">
        <v>0</v>
      </c>
      <c r="K441" s="24">
        <v>45294.574537037035</v>
      </c>
      <c r="L441" s="23">
        <v>7200</v>
      </c>
      <c r="O441" s="51">
        <v>1</v>
      </c>
      <c r="P441" s="30">
        <v>1300</v>
      </c>
      <c r="Q441" s="30">
        <v>0</v>
      </c>
    </row>
    <row r="442" spans="2:17" x14ac:dyDescent="0.25">
      <c r="B442" s="42" t="s">
        <v>169</v>
      </c>
      <c r="C442" s="42" t="s">
        <v>385</v>
      </c>
      <c r="D442" s="20" t="s">
        <v>465</v>
      </c>
      <c r="E442" s="21">
        <v>760</v>
      </c>
      <c r="F442" s="1" t="s">
        <v>145</v>
      </c>
      <c r="G442" s="71" t="s">
        <v>149</v>
      </c>
      <c r="H442" s="1" t="s">
        <v>147</v>
      </c>
      <c r="I442" s="1" t="s">
        <v>148</v>
      </c>
      <c r="J442" s="57">
        <v>0</v>
      </c>
      <c r="K442" s="24">
        <v>45294.574872685182</v>
      </c>
      <c r="L442" s="23">
        <v>3688</v>
      </c>
      <c r="O442" s="51">
        <v>144</v>
      </c>
      <c r="P442" s="30">
        <v>5</v>
      </c>
      <c r="Q442" s="30">
        <v>39.999999999999986</v>
      </c>
    </row>
    <row r="443" spans="2:17" x14ac:dyDescent="0.25">
      <c r="B443" s="42" t="s">
        <v>169</v>
      </c>
      <c r="C443" s="42" t="s">
        <v>385</v>
      </c>
      <c r="D443" s="20" t="s">
        <v>465</v>
      </c>
      <c r="E443" s="21">
        <v>670</v>
      </c>
      <c r="F443" s="1" t="s">
        <v>145</v>
      </c>
      <c r="G443" s="71" t="s">
        <v>150</v>
      </c>
      <c r="H443" s="1" t="s">
        <v>147</v>
      </c>
      <c r="I443" s="1" t="s">
        <v>148</v>
      </c>
      <c r="J443" s="57">
        <v>0</v>
      </c>
      <c r="K443" s="24">
        <v>45294.575104166666</v>
      </c>
      <c r="L443" s="23">
        <v>3362</v>
      </c>
      <c r="O443" s="51">
        <v>144</v>
      </c>
      <c r="P443" s="30">
        <v>4</v>
      </c>
      <c r="Q443" s="30">
        <v>93.999999999999986</v>
      </c>
    </row>
    <row r="444" spans="2:17" ht="30" x14ac:dyDescent="0.25">
      <c r="B444" s="42" t="s">
        <v>169</v>
      </c>
      <c r="C444" s="42" t="s">
        <v>411</v>
      </c>
      <c r="D444" s="20" t="s">
        <v>466</v>
      </c>
      <c r="E444" s="21">
        <v>2200</v>
      </c>
      <c r="F444" s="1" t="s">
        <v>68</v>
      </c>
      <c r="G444" s="71" t="s">
        <v>120</v>
      </c>
      <c r="H444" s="1" t="s">
        <v>121</v>
      </c>
      <c r="I444" s="1" t="s">
        <v>115</v>
      </c>
      <c r="J444" s="57">
        <v>0</v>
      </c>
      <c r="K444" s="24">
        <v>45294.575648148151</v>
      </c>
      <c r="L444" s="23">
        <v>1800</v>
      </c>
      <c r="O444" s="51">
        <v>2400</v>
      </c>
      <c r="P444" s="30">
        <v>0</v>
      </c>
      <c r="Q444" s="30">
        <v>2200</v>
      </c>
    </row>
    <row r="445" spans="2:17" ht="30" x14ac:dyDescent="0.25">
      <c r="B445" s="42" t="s">
        <v>169</v>
      </c>
      <c r="C445" s="42" t="s">
        <v>411</v>
      </c>
      <c r="D445" s="20" t="s">
        <v>466</v>
      </c>
      <c r="E445" s="21">
        <v>2600</v>
      </c>
      <c r="F445" s="1" t="s">
        <v>68</v>
      </c>
      <c r="G445" s="71" t="s">
        <v>135</v>
      </c>
      <c r="H445" s="1" t="s">
        <v>136</v>
      </c>
      <c r="I445" s="1" t="s">
        <v>115</v>
      </c>
      <c r="J445" s="57">
        <v>0</v>
      </c>
      <c r="K445" s="24">
        <v>45294.575972222221</v>
      </c>
      <c r="L445" s="23">
        <v>4600</v>
      </c>
      <c r="O445" s="51">
        <v>2400</v>
      </c>
      <c r="P445" s="30">
        <v>1</v>
      </c>
      <c r="Q445" s="30">
        <v>199.99999999999983</v>
      </c>
    </row>
    <row r="446" spans="2:17" x14ac:dyDescent="0.25">
      <c r="B446" s="42" t="s">
        <v>169</v>
      </c>
      <c r="C446" s="42" t="s">
        <v>411</v>
      </c>
      <c r="D446" s="20" t="s">
        <v>466</v>
      </c>
      <c r="E446" s="21">
        <v>35</v>
      </c>
      <c r="F446" s="1" t="s">
        <v>68</v>
      </c>
      <c r="G446" s="25" t="s">
        <v>773</v>
      </c>
      <c r="H446" s="1" t="s">
        <v>180</v>
      </c>
      <c r="I446" s="1" t="s">
        <v>154</v>
      </c>
      <c r="J446" s="57">
        <v>0</v>
      </c>
      <c r="K446" s="24">
        <v>45294.576192129629</v>
      </c>
      <c r="L446" s="23">
        <v>600</v>
      </c>
      <c r="O446" s="51">
        <v>100</v>
      </c>
      <c r="P446" s="30">
        <v>0</v>
      </c>
      <c r="Q446" s="30">
        <v>35</v>
      </c>
    </row>
    <row r="447" spans="2:17" ht="30" x14ac:dyDescent="0.25">
      <c r="B447" s="42" t="s">
        <v>169</v>
      </c>
      <c r="C447" s="42" t="s">
        <v>255</v>
      </c>
      <c r="D447" s="20" t="s">
        <v>467</v>
      </c>
      <c r="E447" s="21">
        <v>5600</v>
      </c>
      <c r="F447" s="1" t="s">
        <v>68</v>
      </c>
      <c r="G447" s="71" t="s">
        <v>131</v>
      </c>
      <c r="H447" s="1" t="s">
        <v>132</v>
      </c>
      <c r="I447" s="1" t="s">
        <v>115</v>
      </c>
      <c r="J447" s="57">
        <v>0</v>
      </c>
      <c r="K447" s="24">
        <v>45294.576666666668</v>
      </c>
      <c r="L447" s="23">
        <v>14300</v>
      </c>
      <c r="O447" s="51">
        <v>3000</v>
      </c>
      <c r="P447" s="30">
        <v>1</v>
      </c>
      <c r="Q447" s="30">
        <v>2600</v>
      </c>
    </row>
    <row r="448" spans="2:17" x14ac:dyDescent="0.25">
      <c r="B448" s="42" t="s">
        <v>169</v>
      </c>
      <c r="C448" s="42" t="s">
        <v>255</v>
      </c>
      <c r="D448" s="20" t="s">
        <v>467</v>
      </c>
      <c r="E448" s="21">
        <v>26</v>
      </c>
      <c r="F448" s="1" t="s">
        <v>137</v>
      </c>
      <c r="G448" s="71" t="s">
        <v>143</v>
      </c>
      <c r="H448" s="1" t="s">
        <v>144</v>
      </c>
      <c r="I448" s="1" t="s">
        <v>140</v>
      </c>
      <c r="J448" s="57">
        <v>0</v>
      </c>
      <c r="K448" s="24">
        <v>45294.577060185184</v>
      </c>
      <c r="L448" s="23">
        <v>920</v>
      </c>
      <c r="O448" s="51">
        <v>10</v>
      </c>
      <c r="P448" s="30">
        <v>2</v>
      </c>
      <c r="Q448" s="30">
        <v>6.0000000000000009</v>
      </c>
    </row>
    <row r="449" spans="2:17" x14ac:dyDescent="0.25">
      <c r="B449" s="42" t="s">
        <v>169</v>
      </c>
      <c r="C449" s="42" t="s">
        <v>255</v>
      </c>
      <c r="D449" s="20" t="s">
        <v>467</v>
      </c>
      <c r="E449" s="21">
        <v>34</v>
      </c>
      <c r="F449" s="1" t="s">
        <v>137</v>
      </c>
      <c r="G449" s="71" t="s">
        <v>141</v>
      </c>
      <c r="H449" s="1" t="s">
        <v>142</v>
      </c>
      <c r="I449" s="1" t="s">
        <v>140</v>
      </c>
      <c r="J449" s="57">
        <v>0</v>
      </c>
      <c r="K449" s="24">
        <v>45294.577361111114</v>
      </c>
      <c r="L449" s="23">
        <v>6741</v>
      </c>
      <c r="M449" s="23">
        <f>L449-L395</f>
        <v>466</v>
      </c>
      <c r="O449" s="51">
        <v>10</v>
      </c>
      <c r="P449" s="30">
        <v>3</v>
      </c>
      <c r="Q449" s="30">
        <v>3.9999999999999991</v>
      </c>
    </row>
    <row r="450" spans="2:17" x14ac:dyDescent="0.25">
      <c r="B450" s="42" t="s">
        <v>169</v>
      </c>
      <c r="C450" s="42" t="s">
        <v>383</v>
      </c>
      <c r="D450" s="20" t="s">
        <v>468</v>
      </c>
      <c r="E450" s="21">
        <v>512</v>
      </c>
      <c r="F450" s="1" t="s">
        <v>145</v>
      </c>
      <c r="G450" s="71" t="s">
        <v>151</v>
      </c>
      <c r="H450" s="1" t="s">
        <v>147</v>
      </c>
      <c r="I450" s="1" t="s">
        <v>148</v>
      </c>
      <c r="J450" s="57">
        <v>0</v>
      </c>
      <c r="K450" s="24">
        <v>45294.577939814815</v>
      </c>
      <c r="L450" s="23">
        <v>1360</v>
      </c>
      <c r="O450" s="51">
        <v>144</v>
      </c>
      <c r="P450" s="30">
        <v>3</v>
      </c>
      <c r="Q450" s="30">
        <v>79.999999999999972</v>
      </c>
    </row>
    <row r="451" spans="2:17" x14ac:dyDescent="0.25">
      <c r="B451" s="42" t="s">
        <v>169</v>
      </c>
      <c r="C451" s="42" t="s">
        <v>322</v>
      </c>
      <c r="D451" s="20" t="s">
        <v>469</v>
      </c>
      <c r="E451" s="21">
        <v>150</v>
      </c>
      <c r="F451" s="1" t="s">
        <v>68</v>
      </c>
      <c r="G451" s="25" t="s">
        <v>774</v>
      </c>
      <c r="H451" s="1" t="s">
        <v>189</v>
      </c>
      <c r="I451" s="1" t="s">
        <v>154</v>
      </c>
      <c r="J451" s="57">
        <v>0</v>
      </c>
      <c r="K451" s="24">
        <v>45294.578425925924</v>
      </c>
      <c r="L451" s="23">
        <v>2110</v>
      </c>
      <c r="O451" s="51">
        <v>100</v>
      </c>
      <c r="P451" s="30">
        <v>1</v>
      </c>
      <c r="Q451" s="30">
        <v>50</v>
      </c>
    </row>
    <row r="452" spans="2:17" x14ac:dyDescent="0.25">
      <c r="B452" s="42" t="s">
        <v>169</v>
      </c>
      <c r="C452" s="42" t="s">
        <v>256</v>
      </c>
      <c r="D452" s="20" t="s">
        <v>470</v>
      </c>
      <c r="E452" s="21">
        <v>180</v>
      </c>
      <c r="F452" s="1" t="s">
        <v>185</v>
      </c>
      <c r="G452" s="71" t="s">
        <v>186</v>
      </c>
      <c r="H452" s="1" t="s">
        <v>187</v>
      </c>
      <c r="J452" s="57">
        <v>0</v>
      </c>
      <c r="K452" s="24">
        <v>45294.579074074078</v>
      </c>
      <c r="L452" s="23">
        <v>500</v>
      </c>
      <c r="O452" s="51">
        <v>20</v>
      </c>
      <c r="P452" s="30">
        <v>9</v>
      </c>
      <c r="Q452" s="30">
        <v>0</v>
      </c>
    </row>
    <row r="453" spans="2:17" ht="30" x14ac:dyDescent="0.25">
      <c r="B453" s="42" t="s">
        <v>314</v>
      </c>
      <c r="C453" s="42" t="s">
        <v>336</v>
      </c>
      <c r="D453" s="20" t="s">
        <v>471</v>
      </c>
      <c r="E453" s="21">
        <v>8100</v>
      </c>
      <c r="F453" s="1" t="s">
        <v>68</v>
      </c>
      <c r="G453" s="71" t="s">
        <v>133</v>
      </c>
      <c r="H453" s="1" t="s">
        <v>134</v>
      </c>
      <c r="I453" s="1" t="s">
        <v>115</v>
      </c>
      <c r="J453" s="57">
        <v>0</v>
      </c>
      <c r="K453" s="24">
        <v>45296.550023148149</v>
      </c>
      <c r="L453" s="23">
        <v>208900</v>
      </c>
      <c r="O453" s="51">
        <v>2400</v>
      </c>
      <c r="P453" s="30">
        <v>3</v>
      </c>
      <c r="Q453" s="30">
        <v>900</v>
      </c>
    </row>
    <row r="454" spans="2:17" x14ac:dyDescent="0.25">
      <c r="B454" s="42" t="s">
        <v>314</v>
      </c>
      <c r="C454" s="42" t="s">
        <v>472</v>
      </c>
      <c r="D454" s="20" t="s">
        <v>473</v>
      </c>
      <c r="E454" s="21">
        <v>30</v>
      </c>
      <c r="F454" s="1" t="s">
        <v>137</v>
      </c>
      <c r="G454" s="71" t="s">
        <v>138</v>
      </c>
      <c r="H454" s="1" t="s">
        <v>139</v>
      </c>
      <c r="I454" s="1" t="s">
        <v>140</v>
      </c>
      <c r="J454" s="57">
        <v>0</v>
      </c>
      <c r="K454" s="24">
        <v>45296.581724537034</v>
      </c>
      <c r="L454" s="23">
        <v>1538</v>
      </c>
      <c r="N454" s="26" t="s">
        <v>474</v>
      </c>
      <c r="O454" s="51">
        <v>10</v>
      </c>
      <c r="P454" s="30">
        <v>3</v>
      </c>
      <c r="Q454" s="30">
        <v>0</v>
      </c>
    </row>
    <row r="455" spans="2:17" x14ac:dyDescent="0.25">
      <c r="B455" s="42" t="s">
        <v>314</v>
      </c>
      <c r="C455" s="42" t="s">
        <v>472</v>
      </c>
      <c r="D455" s="20" t="s">
        <v>473</v>
      </c>
      <c r="E455" s="21">
        <v>30</v>
      </c>
      <c r="F455" s="1" t="s">
        <v>137</v>
      </c>
      <c r="G455" s="71" t="s">
        <v>141</v>
      </c>
      <c r="H455" s="1" t="s">
        <v>142</v>
      </c>
      <c r="I455" s="1" t="s">
        <v>140</v>
      </c>
      <c r="J455" s="57">
        <v>0</v>
      </c>
      <c r="K455" s="24">
        <v>45296.581782407404</v>
      </c>
      <c r="L455" s="23">
        <v>6711</v>
      </c>
      <c r="M455" s="23"/>
      <c r="N455" s="26" t="s">
        <v>474</v>
      </c>
      <c r="O455" s="51">
        <v>10</v>
      </c>
      <c r="P455" s="30">
        <v>3</v>
      </c>
      <c r="Q455" s="30">
        <v>0</v>
      </c>
    </row>
    <row r="456" spans="2:17" x14ac:dyDescent="0.25">
      <c r="B456" s="42" t="s">
        <v>314</v>
      </c>
      <c r="C456" s="42" t="s">
        <v>472</v>
      </c>
      <c r="D456" s="20" t="s">
        <v>473</v>
      </c>
      <c r="E456" s="21">
        <v>60</v>
      </c>
      <c r="F456" s="1" t="s">
        <v>137</v>
      </c>
      <c r="G456" s="71" t="s">
        <v>143</v>
      </c>
      <c r="H456" s="1" t="s">
        <v>144</v>
      </c>
      <c r="I456" s="1" t="s">
        <v>140</v>
      </c>
      <c r="J456" s="57">
        <v>0</v>
      </c>
      <c r="K456" s="24">
        <v>45296.582013888888</v>
      </c>
      <c r="L456" s="23">
        <v>860</v>
      </c>
      <c r="N456" s="26" t="s">
        <v>474</v>
      </c>
      <c r="O456" s="51">
        <v>10</v>
      </c>
      <c r="P456" s="30">
        <v>6</v>
      </c>
      <c r="Q456" s="30">
        <v>0</v>
      </c>
    </row>
    <row r="457" spans="2:17" x14ac:dyDescent="0.25">
      <c r="B457" s="42" t="s">
        <v>314</v>
      </c>
      <c r="C457" s="42" t="s">
        <v>475</v>
      </c>
      <c r="D457" s="20" t="s">
        <v>476</v>
      </c>
      <c r="E457" s="21">
        <v>115</v>
      </c>
      <c r="F457" s="1" t="s">
        <v>68</v>
      </c>
      <c r="G457" s="25" t="s">
        <v>773</v>
      </c>
      <c r="H457" s="1" t="s">
        <v>180</v>
      </c>
      <c r="I457" s="1" t="s">
        <v>154</v>
      </c>
      <c r="J457" s="57">
        <v>0</v>
      </c>
      <c r="K457" s="72">
        <v>45299.399756944447</v>
      </c>
      <c r="L457" s="23">
        <v>485</v>
      </c>
      <c r="O457" s="51">
        <v>100</v>
      </c>
      <c r="P457" s="30">
        <v>1</v>
      </c>
      <c r="Q457" s="30">
        <v>14.999999999999991</v>
      </c>
    </row>
    <row r="458" spans="2:17" x14ac:dyDescent="0.25">
      <c r="B458" s="42" t="s">
        <v>314</v>
      </c>
      <c r="C458" s="42" t="s">
        <v>338</v>
      </c>
      <c r="D458" s="20" t="s">
        <v>477</v>
      </c>
      <c r="E458" s="21">
        <v>2500</v>
      </c>
      <c r="F458" s="1" t="s">
        <v>68</v>
      </c>
      <c r="G458" s="71" t="s">
        <v>156</v>
      </c>
      <c r="H458" s="1" t="s">
        <v>157</v>
      </c>
      <c r="I458" s="1" t="s">
        <v>154</v>
      </c>
      <c r="J458" s="57">
        <v>0</v>
      </c>
      <c r="K458" s="72">
        <v>45299.400509259256</v>
      </c>
      <c r="L458" s="23">
        <v>11920</v>
      </c>
      <c r="O458" s="51">
        <v>500</v>
      </c>
      <c r="P458" s="30">
        <v>5</v>
      </c>
      <c r="Q458" s="30">
        <v>0</v>
      </c>
    </row>
    <row r="459" spans="2:17" x14ac:dyDescent="0.25">
      <c r="B459" s="42" t="s">
        <v>314</v>
      </c>
      <c r="C459" s="42" t="s">
        <v>478</v>
      </c>
      <c r="D459" s="20" t="s">
        <v>479</v>
      </c>
      <c r="E459" s="21">
        <v>5</v>
      </c>
      <c r="F459" s="1" t="s">
        <v>68</v>
      </c>
      <c r="G459" s="71" t="s">
        <v>193</v>
      </c>
      <c r="H459" s="1" t="s">
        <v>194</v>
      </c>
      <c r="J459" s="57">
        <v>0</v>
      </c>
      <c r="K459" s="24">
        <v>45299.401192129626</v>
      </c>
      <c r="L459" s="23">
        <v>29</v>
      </c>
      <c r="O459" s="51">
        <v>36</v>
      </c>
      <c r="P459" s="30">
        <v>0</v>
      </c>
      <c r="Q459" s="30">
        <v>5</v>
      </c>
    </row>
    <row r="460" spans="2:17" x14ac:dyDescent="0.25">
      <c r="B460" s="42" t="s">
        <v>314</v>
      </c>
      <c r="C460" s="42" t="s">
        <v>478</v>
      </c>
      <c r="D460" s="20" t="s">
        <v>479</v>
      </c>
      <c r="E460" s="21">
        <v>200</v>
      </c>
      <c r="F460" s="1" t="s">
        <v>68</v>
      </c>
      <c r="G460" s="71" t="s">
        <v>170</v>
      </c>
      <c r="H460" s="1" t="s">
        <v>171</v>
      </c>
      <c r="I460" s="1" t="s">
        <v>172</v>
      </c>
      <c r="J460" s="57">
        <v>0</v>
      </c>
      <c r="K460" s="72">
        <v>45299.401458333334</v>
      </c>
      <c r="L460" s="23">
        <v>3012</v>
      </c>
      <c r="O460" s="51">
        <v>36</v>
      </c>
      <c r="P460" s="30">
        <v>5</v>
      </c>
      <c r="Q460" s="30">
        <v>19.999999999999993</v>
      </c>
    </row>
    <row r="461" spans="2:17" x14ac:dyDescent="0.25">
      <c r="B461" s="42" t="s">
        <v>314</v>
      </c>
      <c r="C461" s="42" t="s">
        <v>478</v>
      </c>
      <c r="D461" s="20" t="s">
        <v>479</v>
      </c>
      <c r="E461" s="21">
        <v>30</v>
      </c>
      <c r="F461" s="1" t="s">
        <v>68</v>
      </c>
      <c r="G461" s="25" t="s">
        <v>773</v>
      </c>
      <c r="H461" s="1" t="s">
        <v>180</v>
      </c>
      <c r="I461" s="1" t="s">
        <v>154</v>
      </c>
      <c r="J461" s="57">
        <v>0</v>
      </c>
      <c r="K461" s="72">
        <v>45299.401990740742</v>
      </c>
      <c r="L461" s="23">
        <v>455</v>
      </c>
      <c r="O461" s="51">
        <v>100</v>
      </c>
      <c r="P461" s="30">
        <v>0</v>
      </c>
      <c r="Q461" s="30">
        <v>30</v>
      </c>
    </row>
    <row r="462" spans="2:17" x14ac:dyDescent="0.25">
      <c r="B462" s="42" t="s">
        <v>314</v>
      </c>
      <c r="C462" s="42" t="s">
        <v>478</v>
      </c>
      <c r="D462" s="20" t="s">
        <v>479</v>
      </c>
      <c r="E462" s="21">
        <v>24</v>
      </c>
      <c r="F462" s="1" t="s">
        <v>68</v>
      </c>
      <c r="G462" s="71" t="s">
        <v>177</v>
      </c>
      <c r="H462" s="1" t="s">
        <v>178</v>
      </c>
      <c r="J462" s="57">
        <v>0</v>
      </c>
      <c r="K462" s="72">
        <v>45299.402303240742</v>
      </c>
      <c r="L462" s="23">
        <v>632</v>
      </c>
      <c r="O462" s="51">
        <v>4</v>
      </c>
      <c r="P462" s="30">
        <v>6</v>
      </c>
      <c r="Q462" s="30">
        <v>0</v>
      </c>
    </row>
    <row r="463" spans="2:17" x14ac:dyDescent="0.25">
      <c r="B463" s="42" t="s">
        <v>314</v>
      </c>
      <c r="C463" s="42" t="s">
        <v>478</v>
      </c>
      <c r="D463" s="20" t="s">
        <v>479</v>
      </c>
      <c r="E463" s="21">
        <v>24</v>
      </c>
      <c r="F463" s="1" t="s">
        <v>68</v>
      </c>
      <c r="G463" s="25" t="s">
        <v>772</v>
      </c>
      <c r="H463" s="1" t="s">
        <v>160</v>
      </c>
      <c r="I463" s="1" t="s">
        <v>154</v>
      </c>
      <c r="J463" s="57">
        <v>0</v>
      </c>
      <c r="K463" s="72">
        <v>45299.402569444443</v>
      </c>
      <c r="L463" s="23">
        <v>239</v>
      </c>
      <c r="O463" s="51">
        <v>4</v>
      </c>
      <c r="P463" s="30">
        <v>6</v>
      </c>
      <c r="Q463" s="30">
        <v>0</v>
      </c>
    </row>
    <row r="464" spans="2:17" x14ac:dyDescent="0.25">
      <c r="B464" s="42" t="s">
        <v>314</v>
      </c>
      <c r="C464" s="42" t="s">
        <v>480</v>
      </c>
      <c r="D464" s="20" t="s">
        <v>481</v>
      </c>
      <c r="E464" s="21">
        <v>25</v>
      </c>
      <c r="F464" s="1" t="s">
        <v>68</v>
      </c>
      <c r="G464" s="71" t="s">
        <v>177</v>
      </c>
      <c r="H464" s="1" t="s">
        <v>178</v>
      </c>
      <c r="J464" s="57">
        <v>0</v>
      </c>
      <c r="K464" s="72">
        <v>45299.403101851851</v>
      </c>
      <c r="L464" s="23">
        <v>607</v>
      </c>
      <c r="O464" s="51">
        <v>4</v>
      </c>
      <c r="P464" s="30">
        <v>6</v>
      </c>
      <c r="Q464" s="30">
        <v>1</v>
      </c>
    </row>
    <row r="465" spans="2:17" x14ac:dyDescent="0.25">
      <c r="B465" s="42" t="s">
        <v>314</v>
      </c>
      <c r="C465" s="42" t="s">
        <v>472</v>
      </c>
      <c r="D465" s="20" t="s">
        <v>482</v>
      </c>
      <c r="E465" s="21">
        <v>120</v>
      </c>
      <c r="F465" s="1" t="s">
        <v>137</v>
      </c>
      <c r="G465" s="42" t="s">
        <v>143</v>
      </c>
      <c r="H465" s="1" t="s">
        <v>144</v>
      </c>
      <c r="I465" s="1" t="s">
        <v>140</v>
      </c>
      <c r="J465" s="57">
        <v>0</v>
      </c>
      <c r="K465" s="72">
        <v>45299.403854166667</v>
      </c>
      <c r="L465" s="23">
        <v>740</v>
      </c>
      <c r="O465" s="51">
        <v>10</v>
      </c>
      <c r="P465" s="30">
        <v>12</v>
      </c>
      <c r="Q465" s="30">
        <v>0</v>
      </c>
    </row>
    <row r="466" spans="2:17" x14ac:dyDescent="0.25">
      <c r="B466" s="42" t="s">
        <v>314</v>
      </c>
      <c r="C466" s="42" t="s">
        <v>472</v>
      </c>
      <c r="D466" s="20" t="s">
        <v>482</v>
      </c>
      <c r="E466" s="21">
        <v>60</v>
      </c>
      <c r="F466" s="1" t="s">
        <v>137</v>
      </c>
      <c r="G466" s="42" t="s">
        <v>138</v>
      </c>
      <c r="H466" s="1" t="s">
        <v>139</v>
      </c>
      <c r="I466" s="1" t="s">
        <v>140</v>
      </c>
      <c r="J466" s="57">
        <v>0</v>
      </c>
      <c r="K466" s="72">
        <v>45299.404166666667</v>
      </c>
      <c r="L466" s="23">
        <v>1478</v>
      </c>
      <c r="O466" s="51">
        <v>10</v>
      </c>
      <c r="P466" s="30">
        <v>6</v>
      </c>
      <c r="Q466" s="30">
        <v>0</v>
      </c>
    </row>
    <row r="467" spans="2:17" x14ac:dyDescent="0.25">
      <c r="B467" s="42" t="s">
        <v>314</v>
      </c>
      <c r="C467" s="42" t="s">
        <v>472</v>
      </c>
      <c r="D467" s="20" t="s">
        <v>482</v>
      </c>
      <c r="E467" s="21">
        <v>60</v>
      </c>
      <c r="F467" s="1" t="s">
        <v>137</v>
      </c>
      <c r="G467" s="42" t="s">
        <v>141</v>
      </c>
      <c r="H467" s="1" t="s">
        <v>142</v>
      </c>
      <c r="I467" s="1" t="s">
        <v>140</v>
      </c>
      <c r="J467" s="57">
        <v>0</v>
      </c>
      <c r="K467" s="72">
        <v>45299.404479166667</v>
      </c>
      <c r="L467" s="23">
        <v>6651</v>
      </c>
      <c r="M467" s="23">
        <f>L467-L497</f>
        <v>6422</v>
      </c>
      <c r="O467" s="51">
        <v>10</v>
      </c>
      <c r="P467" s="30">
        <v>6</v>
      </c>
      <c r="Q467" s="30">
        <v>0</v>
      </c>
    </row>
    <row r="468" spans="2:17" x14ac:dyDescent="0.25">
      <c r="B468" s="42" t="s">
        <v>483</v>
      </c>
      <c r="C468" s="42" t="s">
        <v>484</v>
      </c>
      <c r="D468" s="20" t="s">
        <v>116</v>
      </c>
      <c r="E468" s="21">
        <v>1000</v>
      </c>
      <c r="F468" s="1" t="s">
        <v>68</v>
      </c>
      <c r="G468" s="25" t="s">
        <v>774</v>
      </c>
      <c r="H468" s="1" t="s">
        <v>189</v>
      </c>
      <c r="I468" s="1" t="s">
        <v>154</v>
      </c>
      <c r="J468" s="30">
        <v>1</v>
      </c>
      <c r="K468" s="24">
        <v>45299.642060185186</v>
      </c>
      <c r="L468" s="23">
        <v>3110</v>
      </c>
      <c r="M468" s="22">
        <v>45383</v>
      </c>
      <c r="O468" s="51">
        <v>100</v>
      </c>
      <c r="P468" s="30">
        <v>10</v>
      </c>
      <c r="Q468" s="30">
        <v>0</v>
      </c>
    </row>
    <row r="469" spans="2:17" x14ac:dyDescent="0.25">
      <c r="B469" s="42" t="s">
        <v>483</v>
      </c>
      <c r="C469" s="42" t="s">
        <v>484</v>
      </c>
      <c r="D469" s="20" t="s">
        <v>116</v>
      </c>
      <c r="E469" s="21">
        <v>2000</v>
      </c>
      <c r="F469" s="1" t="s">
        <v>68</v>
      </c>
      <c r="G469" s="25" t="s">
        <v>212</v>
      </c>
      <c r="H469" s="1" t="s">
        <v>213</v>
      </c>
      <c r="I469" s="1" t="s">
        <v>154</v>
      </c>
      <c r="J469" s="30">
        <v>1</v>
      </c>
      <c r="K469" s="24">
        <v>45299.643900462965</v>
      </c>
      <c r="L469" s="23">
        <v>9200</v>
      </c>
      <c r="M469" s="22">
        <v>45383</v>
      </c>
      <c r="O469" s="51">
        <v>1</v>
      </c>
      <c r="P469" s="30">
        <v>2000</v>
      </c>
      <c r="Q469" s="30">
        <v>0</v>
      </c>
    </row>
    <row r="470" spans="2:17" x14ac:dyDescent="0.25">
      <c r="B470" s="42" t="s">
        <v>485</v>
      </c>
      <c r="C470" s="42" t="s">
        <v>486</v>
      </c>
      <c r="D470" s="20" t="s">
        <v>116</v>
      </c>
      <c r="E470" s="21">
        <v>6420</v>
      </c>
      <c r="F470" s="1" t="s">
        <v>68</v>
      </c>
      <c r="G470" s="25" t="s">
        <v>420</v>
      </c>
      <c r="H470" s="1" t="s">
        <v>159</v>
      </c>
      <c r="I470" s="1" t="s">
        <v>154</v>
      </c>
      <c r="J470" s="30">
        <v>1</v>
      </c>
      <c r="K470" s="24">
        <v>45299.646527777775</v>
      </c>
      <c r="L470" s="23">
        <v>8100</v>
      </c>
      <c r="M470" s="22">
        <v>45383</v>
      </c>
      <c r="O470" s="51">
        <v>60</v>
      </c>
      <c r="P470" s="30">
        <v>107</v>
      </c>
      <c r="Q470" s="30">
        <v>0</v>
      </c>
    </row>
    <row r="471" spans="2:17" x14ac:dyDescent="0.25">
      <c r="B471" s="42" t="s">
        <v>487</v>
      </c>
      <c r="C471" s="42" t="s">
        <v>488</v>
      </c>
      <c r="D471" s="20" t="s">
        <v>116</v>
      </c>
      <c r="E471" s="21">
        <v>20000</v>
      </c>
      <c r="F471" s="1" t="s">
        <v>68</v>
      </c>
      <c r="G471" s="25" t="s">
        <v>156</v>
      </c>
      <c r="H471" s="1" t="s">
        <v>157</v>
      </c>
      <c r="I471" s="1" t="s">
        <v>154</v>
      </c>
      <c r="J471" s="30">
        <v>1</v>
      </c>
      <c r="K471" s="24">
        <v>45299.649270833332</v>
      </c>
      <c r="L471" s="23">
        <v>31920</v>
      </c>
      <c r="M471" s="22">
        <v>45383</v>
      </c>
      <c r="O471" s="51">
        <v>440</v>
      </c>
      <c r="P471" s="30">
        <v>45</v>
      </c>
      <c r="Q471" s="30">
        <v>199.99999999999943</v>
      </c>
    </row>
    <row r="472" spans="2:17" x14ac:dyDescent="0.25">
      <c r="B472" s="42" t="s">
        <v>314</v>
      </c>
      <c r="C472" s="42" t="s">
        <v>422</v>
      </c>
      <c r="D472" s="20" t="s">
        <v>489</v>
      </c>
      <c r="E472" s="21">
        <v>1150</v>
      </c>
      <c r="F472" s="1" t="s">
        <v>68</v>
      </c>
      <c r="G472" s="42" t="s">
        <v>165</v>
      </c>
      <c r="H472" s="1" t="s">
        <v>166</v>
      </c>
      <c r="J472" s="57">
        <v>0</v>
      </c>
      <c r="K472" s="24">
        <v>45300.569618055553</v>
      </c>
      <c r="L472" s="23">
        <v>548</v>
      </c>
      <c r="O472" s="51">
        <v>1</v>
      </c>
      <c r="P472" s="30">
        <v>1150</v>
      </c>
      <c r="Q472" s="30">
        <v>0</v>
      </c>
    </row>
    <row r="473" spans="2:17" x14ac:dyDescent="0.25">
      <c r="B473" s="42" t="s">
        <v>169</v>
      </c>
      <c r="C473" s="42" t="s">
        <v>385</v>
      </c>
      <c r="D473" s="20" t="s">
        <v>490</v>
      </c>
      <c r="E473" s="21">
        <v>4700</v>
      </c>
      <c r="F473" s="1" t="s">
        <v>68</v>
      </c>
      <c r="G473" s="25" t="s">
        <v>156</v>
      </c>
      <c r="H473" s="1" t="s">
        <v>157</v>
      </c>
      <c r="I473" s="1" t="s">
        <v>154</v>
      </c>
      <c r="J473" s="57">
        <v>0</v>
      </c>
      <c r="K473" s="24">
        <v>45300.570497685185</v>
      </c>
      <c r="L473" s="23">
        <v>27220</v>
      </c>
      <c r="O473" s="51">
        <v>440</v>
      </c>
      <c r="P473" s="30">
        <v>10</v>
      </c>
      <c r="Q473" s="30">
        <v>299.99999999999994</v>
      </c>
    </row>
    <row r="474" spans="2:17" x14ac:dyDescent="0.25">
      <c r="B474" s="42" t="s">
        <v>169</v>
      </c>
      <c r="C474" s="42" t="s">
        <v>255</v>
      </c>
      <c r="D474" s="20" t="s">
        <v>491</v>
      </c>
      <c r="E474" s="21">
        <v>5100</v>
      </c>
      <c r="F474" s="1" t="s">
        <v>68</v>
      </c>
      <c r="G474" s="42" t="s">
        <v>131</v>
      </c>
      <c r="H474" s="1" t="s">
        <v>132</v>
      </c>
      <c r="I474" s="1" t="s">
        <v>115</v>
      </c>
      <c r="J474" s="57">
        <v>0</v>
      </c>
      <c r="K474" s="24">
        <v>45300.571342592593</v>
      </c>
      <c r="L474" s="23">
        <v>9200</v>
      </c>
      <c r="O474" s="51">
        <v>3000</v>
      </c>
      <c r="P474" s="30">
        <v>1</v>
      </c>
      <c r="Q474" s="30">
        <v>2100</v>
      </c>
    </row>
    <row r="475" spans="2:17" x14ac:dyDescent="0.25">
      <c r="B475" s="42" t="s">
        <v>169</v>
      </c>
      <c r="C475" s="42" t="s">
        <v>255</v>
      </c>
      <c r="D475" s="20" t="s">
        <v>491</v>
      </c>
      <c r="E475" s="21">
        <v>34</v>
      </c>
      <c r="F475" s="1" t="s">
        <v>137</v>
      </c>
      <c r="G475" s="25" t="s">
        <v>141</v>
      </c>
      <c r="H475" s="1" t="s">
        <v>142</v>
      </c>
      <c r="I475" s="1" t="s">
        <v>140</v>
      </c>
      <c r="J475" s="57">
        <v>0</v>
      </c>
      <c r="K475" s="24">
        <v>45300.571840277778</v>
      </c>
      <c r="L475" s="23">
        <v>6617</v>
      </c>
      <c r="O475" s="51">
        <v>10</v>
      </c>
      <c r="P475" s="30">
        <v>3</v>
      </c>
      <c r="Q475" s="30">
        <v>3.9999999999999991</v>
      </c>
    </row>
    <row r="476" spans="2:17" x14ac:dyDescent="0.25">
      <c r="B476" s="42" t="s">
        <v>492</v>
      </c>
      <c r="C476" s="42" t="s">
        <v>493</v>
      </c>
      <c r="D476" s="20" t="s">
        <v>373</v>
      </c>
      <c r="E476" s="21">
        <v>2</v>
      </c>
      <c r="F476" s="20" t="s">
        <v>68</v>
      </c>
      <c r="G476" s="25" t="s">
        <v>372</v>
      </c>
      <c r="H476" s="31" t="s">
        <v>219</v>
      </c>
      <c r="I476" s="1" t="s">
        <v>220</v>
      </c>
      <c r="J476" s="30">
        <v>1</v>
      </c>
      <c r="K476" s="24">
        <v>45302.429699074077</v>
      </c>
      <c r="L476" s="23">
        <v>24</v>
      </c>
      <c r="M476" s="22">
        <v>45352</v>
      </c>
      <c r="O476" s="51">
        <v>1</v>
      </c>
      <c r="P476" s="30">
        <v>2</v>
      </c>
      <c r="Q476" s="30">
        <v>0</v>
      </c>
    </row>
    <row r="477" spans="2:17" x14ac:dyDescent="0.25">
      <c r="B477" s="42" t="s">
        <v>492</v>
      </c>
      <c r="C477" s="42" t="s">
        <v>493</v>
      </c>
      <c r="D477" s="20" t="s">
        <v>373</v>
      </c>
      <c r="E477" s="21">
        <v>3</v>
      </c>
      <c r="F477" s="1" t="s">
        <v>145</v>
      </c>
      <c r="G477" s="25" t="s">
        <v>237</v>
      </c>
      <c r="H477" s="26" t="s">
        <v>219</v>
      </c>
      <c r="I477" s="1" t="s">
        <v>220</v>
      </c>
      <c r="J477" s="30">
        <v>1</v>
      </c>
      <c r="K477" s="24">
        <v>45302.429872685185</v>
      </c>
      <c r="L477" s="23">
        <v>24</v>
      </c>
      <c r="M477" s="22">
        <v>45352</v>
      </c>
      <c r="O477" s="51">
        <v>1</v>
      </c>
      <c r="P477" s="30">
        <v>3</v>
      </c>
      <c r="Q477" s="30">
        <v>0</v>
      </c>
    </row>
    <row r="478" spans="2:17" x14ac:dyDescent="0.25">
      <c r="B478" s="42" t="s">
        <v>492</v>
      </c>
      <c r="C478" s="42" t="s">
        <v>493</v>
      </c>
      <c r="D478" s="20" t="s">
        <v>373</v>
      </c>
      <c r="E478" s="21">
        <v>19</v>
      </c>
      <c r="F478" s="1" t="s">
        <v>145</v>
      </c>
      <c r="G478" s="25" t="s">
        <v>371</v>
      </c>
      <c r="H478" s="26" t="s">
        <v>219</v>
      </c>
      <c r="I478" s="1" t="s">
        <v>220</v>
      </c>
      <c r="J478" s="30">
        <v>1</v>
      </c>
      <c r="K478" s="24">
        <v>45302.4299537037</v>
      </c>
      <c r="L478" s="23">
        <v>37</v>
      </c>
      <c r="M478" s="22">
        <v>45352</v>
      </c>
      <c r="O478" s="51">
        <v>1</v>
      </c>
      <c r="P478" s="30">
        <v>19</v>
      </c>
      <c r="Q478" s="30">
        <v>0</v>
      </c>
    </row>
    <row r="479" spans="2:17" x14ac:dyDescent="0.25">
      <c r="B479" s="42" t="s">
        <v>492</v>
      </c>
      <c r="C479" s="42" t="s">
        <v>493</v>
      </c>
      <c r="D479" s="20" t="s">
        <v>373</v>
      </c>
      <c r="E479" s="21">
        <v>8</v>
      </c>
      <c r="F479" s="1" t="s">
        <v>145</v>
      </c>
      <c r="G479" s="25" t="s">
        <v>238</v>
      </c>
      <c r="H479" s="26" t="s">
        <v>219</v>
      </c>
      <c r="I479" s="1" t="s">
        <v>220</v>
      </c>
      <c r="J479" s="30">
        <v>1</v>
      </c>
      <c r="K479" s="24">
        <v>45302.430034722223</v>
      </c>
      <c r="L479" s="23">
        <v>40</v>
      </c>
      <c r="M479" s="22">
        <v>45352</v>
      </c>
      <c r="O479" s="51">
        <v>1</v>
      </c>
      <c r="P479" s="30">
        <v>8</v>
      </c>
      <c r="Q479" s="30">
        <v>0</v>
      </c>
    </row>
    <row r="480" spans="2:17" x14ac:dyDescent="0.25">
      <c r="B480" s="42" t="s">
        <v>492</v>
      </c>
      <c r="C480" s="42" t="s">
        <v>493</v>
      </c>
      <c r="D480" s="20" t="s">
        <v>373</v>
      </c>
      <c r="E480" s="21">
        <v>25</v>
      </c>
      <c r="F480" s="1" t="s">
        <v>145</v>
      </c>
      <c r="G480" s="25" t="s">
        <v>408</v>
      </c>
      <c r="H480" s="26" t="s">
        <v>219</v>
      </c>
      <c r="I480" s="1" t="s">
        <v>220</v>
      </c>
      <c r="J480" s="30">
        <v>1</v>
      </c>
      <c r="K480" s="24">
        <v>45302.430162037039</v>
      </c>
      <c r="L480" s="23">
        <v>51</v>
      </c>
      <c r="M480" s="22">
        <v>45352</v>
      </c>
      <c r="O480" s="51">
        <v>1</v>
      </c>
      <c r="P480" s="30">
        <v>25</v>
      </c>
      <c r="Q480" s="30">
        <v>0</v>
      </c>
    </row>
    <row r="481" spans="2:17" x14ac:dyDescent="0.25">
      <c r="B481" s="42" t="s">
        <v>492</v>
      </c>
      <c r="C481" s="42" t="s">
        <v>493</v>
      </c>
      <c r="D481" s="20" t="s">
        <v>373</v>
      </c>
      <c r="E481" s="21">
        <v>50</v>
      </c>
      <c r="F481" s="1" t="s">
        <v>145</v>
      </c>
      <c r="G481" s="25" t="s">
        <v>228</v>
      </c>
      <c r="H481" s="26" t="s">
        <v>219</v>
      </c>
      <c r="I481" s="1" t="s">
        <v>220</v>
      </c>
      <c r="J481" s="30">
        <v>1</v>
      </c>
      <c r="K481" s="24">
        <v>45302.430347222224</v>
      </c>
      <c r="L481" s="23">
        <v>60</v>
      </c>
      <c r="M481" s="22">
        <v>45352</v>
      </c>
      <c r="O481" s="51">
        <v>1</v>
      </c>
      <c r="P481" s="30">
        <v>50</v>
      </c>
      <c r="Q481" s="30">
        <v>0</v>
      </c>
    </row>
    <row r="482" spans="2:17" x14ac:dyDescent="0.25">
      <c r="B482" s="42" t="s">
        <v>492</v>
      </c>
      <c r="C482" s="42" t="s">
        <v>493</v>
      </c>
      <c r="D482" s="20" t="s">
        <v>373</v>
      </c>
      <c r="E482" s="21">
        <v>42</v>
      </c>
      <c r="F482" s="1" t="s">
        <v>145</v>
      </c>
      <c r="G482" s="25" t="s">
        <v>229</v>
      </c>
      <c r="H482" s="26" t="s">
        <v>219</v>
      </c>
      <c r="I482" s="1" t="s">
        <v>220</v>
      </c>
      <c r="J482" s="30">
        <v>1</v>
      </c>
      <c r="K482" s="24">
        <v>45302.430520833332</v>
      </c>
      <c r="L482" s="23">
        <v>42</v>
      </c>
      <c r="M482" s="22">
        <v>45352</v>
      </c>
      <c r="O482" s="51">
        <v>1</v>
      </c>
      <c r="P482" s="30">
        <v>42</v>
      </c>
      <c r="Q482" s="30">
        <v>0</v>
      </c>
    </row>
    <row r="483" spans="2:17" x14ac:dyDescent="0.25">
      <c r="B483" s="42" t="s">
        <v>492</v>
      </c>
      <c r="C483" s="42" t="s">
        <v>493</v>
      </c>
      <c r="D483" s="20" t="s">
        <v>373</v>
      </c>
      <c r="E483" s="21">
        <v>8</v>
      </c>
      <c r="F483" s="1" t="s">
        <v>145</v>
      </c>
      <c r="G483" s="25" t="s">
        <v>65</v>
      </c>
      <c r="H483" s="26" t="s">
        <v>219</v>
      </c>
      <c r="I483" s="1" t="s">
        <v>220</v>
      </c>
      <c r="J483" s="30">
        <v>1</v>
      </c>
      <c r="K483" s="24">
        <v>45302.430601851855</v>
      </c>
      <c r="L483" s="23">
        <v>8</v>
      </c>
      <c r="M483" s="22">
        <v>45352</v>
      </c>
      <c r="O483" s="51">
        <v>1</v>
      </c>
      <c r="P483" s="30">
        <v>8</v>
      </c>
      <c r="Q483" s="30">
        <v>0</v>
      </c>
    </row>
    <row r="484" spans="2:17" x14ac:dyDescent="0.25">
      <c r="B484" s="42" t="s">
        <v>492</v>
      </c>
      <c r="C484" s="42" t="s">
        <v>493</v>
      </c>
      <c r="D484" s="20" t="s">
        <v>373</v>
      </c>
      <c r="E484" s="21">
        <v>27</v>
      </c>
      <c r="F484" s="1" t="s">
        <v>145</v>
      </c>
      <c r="G484" s="25" t="s">
        <v>230</v>
      </c>
      <c r="H484" s="26" t="s">
        <v>219</v>
      </c>
      <c r="I484" s="1" t="s">
        <v>220</v>
      </c>
      <c r="J484" s="30">
        <v>1</v>
      </c>
      <c r="K484" s="24">
        <v>45302.430787037039</v>
      </c>
      <c r="L484" s="23">
        <v>27</v>
      </c>
      <c r="M484" s="22">
        <v>45352</v>
      </c>
      <c r="O484" s="51">
        <v>1</v>
      </c>
      <c r="P484" s="30">
        <v>27</v>
      </c>
      <c r="Q484" s="30">
        <v>0</v>
      </c>
    </row>
    <row r="485" spans="2:17" x14ac:dyDescent="0.25">
      <c r="B485" s="42" t="s">
        <v>314</v>
      </c>
      <c r="C485" s="42" t="s">
        <v>338</v>
      </c>
      <c r="D485" s="20" t="s">
        <v>494</v>
      </c>
      <c r="E485" s="21">
        <v>800</v>
      </c>
      <c r="F485" s="1" t="s">
        <v>68</v>
      </c>
      <c r="G485" s="42" t="s">
        <v>190</v>
      </c>
      <c r="H485" s="1" t="s">
        <v>191</v>
      </c>
      <c r="I485" s="1" t="s">
        <v>154</v>
      </c>
      <c r="J485" s="57">
        <v>0</v>
      </c>
      <c r="K485" s="24">
        <v>45301.473229166666</v>
      </c>
      <c r="L485" s="23">
        <v>0</v>
      </c>
      <c r="O485" s="51">
        <v>2000</v>
      </c>
      <c r="P485" s="30">
        <v>0</v>
      </c>
      <c r="Q485" s="30">
        <v>800</v>
      </c>
    </row>
    <row r="486" spans="2:17" x14ac:dyDescent="0.25">
      <c r="B486" s="42" t="s">
        <v>314</v>
      </c>
      <c r="C486" s="42" t="s">
        <v>338</v>
      </c>
      <c r="D486" s="20" t="s">
        <v>494</v>
      </c>
      <c r="E486" s="21">
        <v>2500</v>
      </c>
      <c r="F486" s="1" t="s">
        <v>68</v>
      </c>
      <c r="G486" s="25" t="s">
        <v>156</v>
      </c>
      <c r="H486" s="1" t="s">
        <v>157</v>
      </c>
      <c r="I486" s="1" t="s">
        <v>154</v>
      </c>
      <c r="J486" s="57">
        <v>0</v>
      </c>
      <c r="K486" s="24">
        <v>45301.473645833335</v>
      </c>
      <c r="L486" s="23">
        <v>24720</v>
      </c>
      <c r="O486" s="51">
        <v>440</v>
      </c>
      <c r="P486" s="30">
        <v>5</v>
      </c>
      <c r="Q486" s="30">
        <v>299.99999999999994</v>
      </c>
    </row>
    <row r="487" spans="2:17" x14ac:dyDescent="0.25">
      <c r="B487" s="42" t="s">
        <v>314</v>
      </c>
      <c r="C487" s="42" t="s">
        <v>338</v>
      </c>
      <c r="D487" s="20" t="s">
        <v>494</v>
      </c>
      <c r="E487" s="21">
        <v>500</v>
      </c>
      <c r="F487" s="1" t="s">
        <v>68</v>
      </c>
      <c r="G487" s="25" t="s">
        <v>165</v>
      </c>
      <c r="H487" s="1" t="s">
        <v>166</v>
      </c>
      <c r="J487" s="57">
        <v>0</v>
      </c>
      <c r="K487" s="24">
        <v>45301.473981481482</v>
      </c>
      <c r="L487" s="23">
        <v>48</v>
      </c>
      <c r="O487" s="51">
        <v>1</v>
      </c>
      <c r="P487" s="30">
        <v>500</v>
      </c>
      <c r="Q487" s="30">
        <v>0</v>
      </c>
    </row>
    <row r="488" spans="2:17" x14ac:dyDescent="0.25">
      <c r="B488" s="42" t="s">
        <v>314</v>
      </c>
      <c r="C488" s="42" t="s">
        <v>472</v>
      </c>
      <c r="D488" s="20" t="s">
        <v>495</v>
      </c>
      <c r="E488" s="21">
        <v>120</v>
      </c>
      <c r="F488" s="1" t="s">
        <v>137</v>
      </c>
      <c r="G488" s="42" t="s">
        <v>143</v>
      </c>
      <c r="H488" s="1" t="s">
        <v>139</v>
      </c>
      <c r="I488" s="1" t="s">
        <v>140</v>
      </c>
      <c r="J488" s="57">
        <v>0</v>
      </c>
      <c r="K488" s="24">
        <v>45301.47583333333</v>
      </c>
      <c r="L488" s="23">
        <v>620</v>
      </c>
      <c r="O488" s="51">
        <v>10</v>
      </c>
      <c r="P488" s="30">
        <v>12</v>
      </c>
      <c r="Q488" s="30">
        <v>0</v>
      </c>
    </row>
    <row r="489" spans="2:17" x14ac:dyDescent="0.25">
      <c r="B489" s="42" t="s">
        <v>314</v>
      </c>
      <c r="C489" s="42" t="s">
        <v>472</v>
      </c>
      <c r="D489" s="20" t="s">
        <v>495</v>
      </c>
      <c r="E489" s="21">
        <v>60</v>
      </c>
      <c r="F489" s="1" t="s">
        <v>137</v>
      </c>
      <c r="G489" s="42" t="s">
        <v>138</v>
      </c>
      <c r="H489" s="1" t="s">
        <v>139</v>
      </c>
      <c r="I489" s="1" t="s">
        <v>140</v>
      </c>
      <c r="J489" s="57">
        <v>0</v>
      </c>
      <c r="K489" s="24">
        <v>45301.476111111115</v>
      </c>
      <c r="L489" s="23">
        <v>1418</v>
      </c>
      <c r="O489" s="51">
        <v>10</v>
      </c>
      <c r="P489" s="30">
        <v>6</v>
      </c>
      <c r="Q489" s="30">
        <v>0</v>
      </c>
    </row>
    <row r="490" spans="2:17" x14ac:dyDescent="0.25">
      <c r="B490" s="42" t="s">
        <v>314</v>
      </c>
      <c r="C490" s="42" t="s">
        <v>472</v>
      </c>
      <c r="D490" s="20" t="s">
        <v>495</v>
      </c>
      <c r="E490" s="21">
        <v>60</v>
      </c>
      <c r="F490" s="1" t="s">
        <v>137</v>
      </c>
      <c r="G490" s="42" t="s">
        <v>141</v>
      </c>
      <c r="H490" s="1" t="s">
        <v>142</v>
      </c>
      <c r="I490" s="1" t="s">
        <v>140</v>
      </c>
      <c r="J490" s="57">
        <v>0</v>
      </c>
      <c r="K490" s="24">
        <v>45301.476331018515</v>
      </c>
      <c r="L490" s="23">
        <v>6557</v>
      </c>
      <c r="O490" s="51">
        <v>10</v>
      </c>
      <c r="P490" s="30">
        <v>6</v>
      </c>
      <c r="Q490" s="30">
        <v>0</v>
      </c>
    </row>
    <row r="491" spans="2:17" x14ac:dyDescent="0.25">
      <c r="B491" s="42" t="s">
        <v>314</v>
      </c>
      <c r="C491" s="42" t="s">
        <v>357</v>
      </c>
      <c r="D491" s="20" t="s">
        <v>496</v>
      </c>
      <c r="E491" s="21">
        <v>144</v>
      </c>
      <c r="F491" s="1" t="s">
        <v>145</v>
      </c>
      <c r="G491" s="42" t="s">
        <v>150</v>
      </c>
      <c r="H491" s="1" t="s">
        <v>147</v>
      </c>
      <c r="I491" s="1" t="s">
        <v>148</v>
      </c>
      <c r="J491" s="57">
        <v>0</v>
      </c>
      <c r="K491" s="24">
        <v>45301.477175925924</v>
      </c>
      <c r="L491" s="23">
        <v>3218</v>
      </c>
      <c r="O491" s="51">
        <v>144</v>
      </c>
      <c r="P491" s="30">
        <v>1</v>
      </c>
      <c r="Q491" s="30">
        <v>0</v>
      </c>
    </row>
    <row r="492" spans="2:17" x14ac:dyDescent="0.25">
      <c r="B492" s="42" t="s">
        <v>314</v>
      </c>
      <c r="C492" s="42" t="s">
        <v>497</v>
      </c>
      <c r="D492" s="20" t="s">
        <v>498</v>
      </c>
      <c r="E492" s="21">
        <v>36</v>
      </c>
      <c r="F492" s="1" t="s">
        <v>68</v>
      </c>
      <c r="G492" s="42" t="s">
        <v>177</v>
      </c>
      <c r="H492" s="1" t="s">
        <v>178</v>
      </c>
      <c r="J492" s="57">
        <v>0</v>
      </c>
      <c r="K492" s="24">
        <v>45301.477685185186</v>
      </c>
      <c r="L492" s="23">
        <v>571</v>
      </c>
      <c r="O492" s="51">
        <v>4</v>
      </c>
      <c r="P492" s="30">
        <v>9</v>
      </c>
      <c r="Q492" s="30">
        <v>0</v>
      </c>
    </row>
    <row r="493" spans="2:17" x14ac:dyDescent="0.25">
      <c r="B493" s="42" t="s">
        <v>314</v>
      </c>
      <c r="C493" s="42" t="s">
        <v>258</v>
      </c>
      <c r="D493" s="20" t="s">
        <v>499</v>
      </c>
      <c r="E493" s="21">
        <v>6</v>
      </c>
      <c r="F493" s="1" t="s">
        <v>68</v>
      </c>
      <c r="G493" s="25" t="s">
        <v>771</v>
      </c>
      <c r="H493" s="1" t="s">
        <v>158</v>
      </c>
      <c r="I493" s="1" t="s">
        <v>154</v>
      </c>
      <c r="J493" s="57">
        <v>0</v>
      </c>
      <c r="K493" s="24">
        <v>45301.478587962964</v>
      </c>
      <c r="L493" s="23">
        <v>209</v>
      </c>
      <c r="O493" s="51">
        <v>24</v>
      </c>
      <c r="P493" s="30">
        <v>0</v>
      </c>
      <c r="Q493" s="30">
        <v>6</v>
      </c>
    </row>
    <row r="494" spans="2:17" x14ac:dyDescent="0.25">
      <c r="B494" s="42" t="s">
        <v>314</v>
      </c>
      <c r="C494" s="42" t="s">
        <v>258</v>
      </c>
      <c r="D494" s="20" t="s">
        <v>499</v>
      </c>
      <c r="E494" s="21">
        <v>150</v>
      </c>
      <c r="F494" s="1" t="s">
        <v>68</v>
      </c>
      <c r="G494" s="42" t="s">
        <v>163</v>
      </c>
      <c r="H494" s="1" t="s">
        <v>164</v>
      </c>
      <c r="I494" s="1" t="s">
        <v>115</v>
      </c>
      <c r="J494" s="57">
        <v>0</v>
      </c>
      <c r="K494" s="24">
        <v>45301.478842592594</v>
      </c>
      <c r="L494" s="23">
        <v>1800</v>
      </c>
      <c r="O494" s="51">
        <v>100</v>
      </c>
      <c r="P494" s="30">
        <v>1</v>
      </c>
      <c r="Q494" s="30">
        <v>50</v>
      </c>
    </row>
    <row r="495" spans="2:17" x14ac:dyDescent="0.25">
      <c r="B495" s="42" t="s">
        <v>314</v>
      </c>
      <c r="C495" s="42" t="s">
        <v>361</v>
      </c>
      <c r="D495" s="20" t="s">
        <v>500</v>
      </c>
      <c r="E495" s="21">
        <v>6000</v>
      </c>
      <c r="F495" s="1" t="s">
        <v>68</v>
      </c>
      <c r="G495" s="42" t="s">
        <v>117</v>
      </c>
      <c r="H495" s="1" t="s">
        <v>118</v>
      </c>
      <c r="I495" s="1" t="s">
        <v>115</v>
      </c>
      <c r="J495" s="57">
        <v>0</v>
      </c>
      <c r="K495" s="24">
        <v>45301.479675925926</v>
      </c>
      <c r="L495" s="23">
        <v>14000</v>
      </c>
      <c r="O495" s="51">
        <v>1200</v>
      </c>
      <c r="P495" s="30">
        <v>5</v>
      </c>
      <c r="Q495" s="30">
        <v>0</v>
      </c>
    </row>
    <row r="496" spans="2:17" x14ac:dyDescent="0.25">
      <c r="B496" s="42" t="s">
        <v>314</v>
      </c>
      <c r="C496" s="42" t="s">
        <v>259</v>
      </c>
      <c r="D496" s="20" t="s">
        <v>501</v>
      </c>
      <c r="E496" s="21">
        <v>300</v>
      </c>
      <c r="F496" s="1" t="s">
        <v>68</v>
      </c>
      <c r="G496" s="42" t="s">
        <v>170</v>
      </c>
      <c r="H496" s="1" t="s">
        <v>171</v>
      </c>
      <c r="I496" s="1" t="s">
        <v>172</v>
      </c>
      <c r="J496" s="57">
        <v>0</v>
      </c>
      <c r="K496" s="24">
        <v>45301.480138888888</v>
      </c>
      <c r="L496" s="23">
        <v>2712</v>
      </c>
      <c r="O496" s="51">
        <v>36</v>
      </c>
      <c r="P496" s="30">
        <v>8</v>
      </c>
      <c r="Q496" s="30">
        <v>12.000000000000021</v>
      </c>
    </row>
    <row r="497" spans="2:17" x14ac:dyDescent="0.25">
      <c r="B497" s="42" t="s">
        <v>314</v>
      </c>
      <c r="C497" s="42" t="s">
        <v>259</v>
      </c>
      <c r="D497" s="20" t="s">
        <v>501</v>
      </c>
      <c r="E497" s="21">
        <v>10</v>
      </c>
      <c r="F497" s="1" t="s">
        <v>68</v>
      </c>
      <c r="G497" s="25" t="s">
        <v>772</v>
      </c>
      <c r="H497" s="1" t="s">
        <v>160</v>
      </c>
      <c r="I497" s="1" t="s">
        <v>154</v>
      </c>
      <c r="J497" s="57">
        <v>0</v>
      </c>
      <c r="K497" s="24">
        <v>45301.480381944442</v>
      </c>
      <c r="L497" s="23">
        <v>229</v>
      </c>
      <c r="O497" s="51">
        <v>4</v>
      </c>
      <c r="P497" s="30">
        <v>2</v>
      </c>
      <c r="Q497" s="30">
        <v>2</v>
      </c>
    </row>
    <row r="498" spans="2:17" x14ac:dyDescent="0.25">
      <c r="B498" s="42" t="s">
        <v>314</v>
      </c>
      <c r="C498" s="42" t="s">
        <v>502</v>
      </c>
      <c r="D498" s="20" t="s">
        <v>503</v>
      </c>
      <c r="E498" s="21">
        <v>12000</v>
      </c>
      <c r="F498" s="1" t="s">
        <v>68</v>
      </c>
      <c r="G498" s="42" t="s">
        <v>113</v>
      </c>
      <c r="H498" s="1" t="s">
        <v>114</v>
      </c>
      <c r="I498" s="1" t="s">
        <v>115</v>
      </c>
      <c r="J498" s="57">
        <v>0</v>
      </c>
      <c r="K498" s="24">
        <v>45301.480902777781</v>
      </c>
      <c r="L498" s="23">
        <v>133800</v>
      </c>
      <c r="O498" s="51">
        <v>2400</v>
      </c>
      <c r="P498" s="30">
        <v>5</v>
      </c>
      <c r="Q498" s="30">
        <v>0</v>
      </c>
    </row>
    <row r="499" spans="2:17" x14ac:dyDescent="0.25">
      <c r="B499" s="42" t="s">
        <v>314</v>
      </c>
      <c r="C499" s="42" t="s">
        <v>422</v>
      </c>
      <c r="D499" s="20" t="s">
        <v>504</v>
      </c>
      <c r="E499" s="21">
        <v>12000</v>
      </c>
      <c r="F499" s="1" t="s">
        <v>68</v>
      </c>
      <c r="G499" s="42" t="s">
        <v>133</v>
      </c>
      <c r="H499" s="1" t="s">
        <v>134</v>
      </c>
      <c r="I499" s="1" t="s">
        <v>115</v>
      </c>
      <c r="J499" s="57">
        <v>0</v>
      </c>
      <c r="K499" s="24">
        <v>45301.481377314813</v>
      </c>
      <c r="L499" s="23">
        <v>196900</v>
      </c>
      <c r="O499" s="51">
        <v>2400</v>
      </c>
      <c r="P499" s="30">
        <v>5</v>
      </c>
      <c r="Q499" s="30">
        <v>0</v>
      </c>
    </row>
    <row r="500" spans="2:17" x14ac:dyDescent="0.25">
      <c r="B500" s="42" t="s">
        <v>314</v>
      </c>
      <c r="C500" s="42" t="s">
        <v>422</v>
      </c>
      <c r="D500" s="20" t="s">
        <v>504</v>
      </c>
      <c r="E500" s="21">
        <v>2</v>
      </c>
      <c r="F500" s="1" t="s">
        <v>68</v>
      </c>
      <c r="G500" s="25" t="s">
        <v>423</v>
      </c>
      <c r="H500" s="1" t="s">
        <v>192</v>
      </c>
      <c r="J500" s="57">
        <v>0</v>
      </c>
      <c r="K500" s="24">
        <v>45301.482268518521</v>
      </c>
      <c r="L500" s="23">
        <v>46</v>
      </c>
      <c r="O500" s="51">
        <v>40</v>
      </c>
      <c r="P500" s="30">
        <v>0</v>
      </c>
      <c r="Q500" s="30">
        <v>2</v>
      </c>
    </row>
    <row r="501" spans="2:17" x14ac:dyDescent="0.25">
      <c r="B501" s="42" t="s">
        <v>314</v>
      </c>
      <c r="C501" s="42" t="s">
        <v>260</v>
      </c>
      <c r="D501" s="20" t="s">
        <v>505</v>
      </c>
      <c r="E501" s="21">
        <v>2</v>
      </c>
      <c r="F501" s="1" t="s">
        <v>68</v>
      </c>
      <c r="G501" s="42" t="s">
        <v>193</v>
      </c>
      <c r="H501" s="1" t="s">
        <v>194</v>
      </c>
      <c r="J501" s="57">
        <v>0</v>
      </c>
      <c r="K501" s="24">
        <v>45301.482731481483</v>
      </c>
      <c r="L501" s="23">
        <v>27</v>
      </c>
      <c r="O501" s="51">
        <v>36</v>
      </c>
      <c r="P501" s="30">
        <v>0</v>
      </c>
      <c r="Q501" s="30">
        <v>2</v>
      </c>
    </row>
    <row r="502" spans="2:17" x14ac:dyDescent="0.25">
      <c r="B502" s="42" t="s">
        <v>314</v>
      </c>
      <c r="C502" s="42" t="s">
        <v>260</v>
      </c>
      <c r="D502" s="20" t="s">
        <v>505</v>
      </c>
      <c r="E502" s="21">
        <v>120</v>
      </c>
      <c r="F502" s="1" t="s">
        <v>68</v>
      </c>
      <c r="G502" s="25" t="s">
        <v>212</v>
      </c>
      <c r="H502" s="1" t="s">
        <v>213</v>
      </c>
      <c r="I502" s="1" t="s">
        <v>154</v>
      </c>
      <c r="J502" s="57">
        <v>0</v>
      </c>
      <c r="K502" s="24">
        <v>45301.483032407406</v>
      </c>
      <c r="L502" s="23">
        <v>9080</v>
      </c>
      <c r="O502" s="51">
        <v>1</v>
      </c>
      <c r="P502" s="30">
        <v>120</v>
      </c>
      <c r="Q502" s="30">
        <v>0</v>
      </c>
    </row>
    <row r="503" spans="2:17" x14ac:dyDescent="0.25">
      <c r="B503" s="42" t="s">
        <v>314</v>
      </c>
      <c r="C503" s="42" t="s">
        <v>260</v>
      </c>
      <c r="D503" s="20" t="s">
        <v>505</v>
      </c>
      <c r="E503" s="21">
        <v>120</v>
      </c>
      <c r="F503" s="1" t="s">
        <v>68</v>
      </c>
      <c r="G503" s="25" t="s">
        <v>420</v>
      </c>
      <c r="H503" s="1" t="s">
        <v>159</v>
      </c>
      <c r="I503" s="1" t="s">
        <v>154</v>
      </c>
      <c r="J503" s="57">
        <v>0</v>
      </c>
      <c r="K503" s="24">
        <v>45301.483217592591</v>
      </c>
      <c r="L503" s="23">
        <v>7980</v>
      </c>
      <c r="O503" s="51">
        <v>60</v>
      </c>
      <c r="P503" s="30">
        <v>2</v>
      </c>
      <c r="Q503" s="73">
        <v>0</v>
      </c>
    </row>
    <row r="504" spans="2:17" x14ac:dyDescent="0.25">
      <c r="B504" s="42" t="s">
        <v>169</v>
      </c>
      <c r="C504" s="42" t="s">
        <v>411</v>
      </c>
      <c r="D504" s="20" t="s">
        <v>506</v>
      </c>
      <c r="E504" s="21">
        <v>35</v>
      </c>
      <c r="F504" s="1" t="s">
        <v>68</v>
      </c>
      <c r="G504" s="25" t="s">
        <v>773</v>
      </c>
      <c r="H504" s="1" t="s">
        <v>180</v>
      </c>
      <c r="I504" s="1" t="s">
        <v>154</v>
      </c>
      <c r="J504" s="57">
        <v>0</v>
      </c>
      <c r="K504" s="24">
        <v>45303.641331018516</v>
      </c>
      <c r="L504" s="23">
        <v>420</v>
      </c>
      <c r="O504" s="51">
        <v>100</v>
      </c>
      <c r="P504" s="30">
        <v>0</v>
      </c>
      <c r="Q504" s="30">
        <v>35</v>
      </c>
    </row>
    <row r="505" spans="2:17" x14ac:dyDescent="0.25">
      <c r="B505" s="42" t="s">
        <v>169</v>
      </c>
      <c r="C505" s="42" t="s">
        <v>411</v>
      </c>
      <c r="D505" s="20" t="s">
        <v>506</v>
      </c>
      <c r="E505" s="21">
        <v>10</v>
      </c>
      <c r="F505" s="1" t="s">
        <v>68</v>
      </c>
      <c r="G505" s="25" t="s">
        <v>772</v>
      </c>
      <c r="H505" s="1" t="s">
        <v>160</v>
      </c>
      <c r="I505" s="1" t="s">
        <v>154</v>
      </c>
      <c r="J505" s="57">
        <v>0</v>
      </c>
      <c r="K505" s="24">
        <v>45303.641550925924</v>
      </c>
      <c r="L505" s="23">
        <v>219</v>
      </c>
      <c r="O505" s="51">
        <v>4</v>
      </c>
      <c r="P505" s="30">
        <v>2</v>
      </c>
      <c r="Q505" s="30">
        <v>2</v>
      </c>
    </row>
    <row r="506" spans="2:17" x14ac:dyDescent="0.25">
      <c r="B506" s="42" t="s">
        <v>169</v>
      </c>
      <c r="C506" s="42" t="s">
        <v>385</v>
      </c>
      <c r="D506" s="20" t="s">
        <v>507</v>
      </c>
      <c r="E506" s="21">
        <v>5600</v>
      </c>
      <c r="F506" s="1" t="s">
        <v>68</v>
      </c>
      <c r="G506" s="42" t="s">
        <v>133</v>
      </c>
      <c r="H506" s="1" t="s">
        <v>134</v>
      </c>
      <c r="I506" s="1" t="s">
        <v>115</v>
      </c>
      <c r="J506" s="57">
        <v>0</v>
      </c>
      <c r="K506" s="24">
        <v>45303.642175925925</v>
      </c>
      <c r="L506" s="23">
        <v>191300</v>
      </c>
      <c r="O506" s="51">
        <v>2400</v>
      </c>
      <c r="P506" s="30">
        <v>2</v>
      </c>
      <c r="Q506" s="30">
        <v>800.00000000000034</v>
      </c>
    </row>
    <row r="507" spans="2:17" x14ac:dyDescent="0.25">
      <c r="B507" s="42" t="s">
        <v>169</v>
      </c>
      <c r="C507" s="42" t="s">
        <v>385</v>
      </c>
      <c r="D507" s="20" t="s">
        <v>507</v>
      </c>
      <c r="E507" s="21">
        <v>760</v>
      </c>
      <c r="F507" s="1" t="s">
        <v>145</v>
      </c>
      <c r="G507" s="25" t="s">
        <v>149</v>
      </c>
      <c r="H507" s="1" t="s">
        <v>147</v>
      </c>
      <c r="I507" s="1" t="s">
        <v>148</v>
      </c>
      <c r="J507" s="57">
        <v>0</v>
      </c>
      <c r="K507" s="24">
        <v>45303.642777777779</v>
      </c>
      <c r="L507" s="23">
        <v>2928</v>
      </c>
      <c r="O507" s="51">
        <v>144</v>
      </c>
      <c r="P507" s="30">
        <v>5</v>
      </c>
      <c r="Q507" s="30">
        <v>39.999999999999986</v>
      </c>
    </row>
    <row r="508" spans="2:17" x14ac:dyDescent="0.25">
      <c r="B508" s="42" t="s">
        <v>169</v>
      </c>
      <c r="C508" s="42" t="s">
        <v>380</v>
      </c>
      <c r="D508" s="20" t="s">
        <v>508</v>
      </c>
      <c r="E508" s="21">
        <v>1600</v>
      </c>
      <c r="F508" s="1" t="s">
        <v>68</v>
      </c>
      <c r="G508" s="42" t="s">
        <v>181</v>
      </c>
      <c r="H508" s="1" t="s">
        <v>182</v>
      </c>
      <c r="I508" s="1" t="s">
        <v>115</v>
      </c>
      <c r="J508" s="57">
        <v>0</v>
      </c>
      <c r="K508" s="24">
        <v>45303.64371527778</v>
      </c>
      <c r="L508" s="23">
        <v>28600</v>
      </c>
      <c r="O508" s="51">
        <v>2400</v>
      </c>
      <c r="P508" s="30">
        <v>0</v>
      </c>
      <c r="Q508" s="30">
        <v>1600</v>
      </c>
    </row>
    <row r="509" spans="2:17" x14ac:dyDescent="0.25">
      <c r="B509" s="42" t="s">
        <v>169</v>
      </c>
      <c r="C509" s="42" t="s">
        <v>509</v>
      </c>
      <c r="D509" s="20" t="s">
        <v>510</v>
      </c>
      <c r="E509" s="21">
        <v>1340</v>
      </c>
      <c r="F509" s="1" t="s">
        <v>68</v>
      </c>
      <c r="G509" s="25" t="s">
        <v>420</v>
      </c>
      <c r="H509" s="1" t="s">
        <v>159</v>
      </c>
      <c r="I509" s="1" t="s">
        <v>154</v>
      </c>
      <c r="J509" s="57">
        <v>0</v>
      </c>
      <c r="K509" s="24">
        <v>45303.64875</v>
      </c>
      <c r="L509" s="23">
        <v>6640</v>
      </c>
      <c r="O509" s="51">
        <v>60</v>
      </c>
      <c r="P509" s="30">
        <v>22</v>
      </c>
      <c r="Q509" s="30">
        <v>19.999999999999929</v>
      </c>
    </row>
    <row r="510" spans="2:17" x14ac:dyDescent="0.25">
      <c r="B510" s="42" t="s">
        <v>511</v>
      </c>
      <c r="C510" s="42" t="s">
        <v>512</v>
      </c>
      <c r="D510" s="20" t="s">
        <v>513</v>
      </c>
      <c r="E510" s="21">
        <v>4000</v>
      </c>
      <c r="F510" s="1" t="s">
        <v>68</v>
      </c>
      <c r="G510" s="42" t="s">
        <v>174</v>
      </c>
      <c r="H510" s="1" t="s">
        <v>175</v>
      </c>
      <c r="I510" s="1" t="s">
        <v>176</v>
      </c>
      <c r="J510" s="30">
        <v>1</v>
      </c>
      <c r="K510" s="24">
        <v>45306.683449074073</v>
      </c>
      <c r="L510" s="23">
        <v>3990</v>
      </c>
      <c r="M510" s="22">
        <v>45413</v>
      </c>
      <c r="O510" s="51">
        <v>300</v>
      </c>
      <c r="P510" s="30">
        <v>13</v>
      </c>
      <c r="Q510" s="30">
        <v>100.00000000000017</v>
      </c>
    </row>
    <row r="511" spans="2:17" x14ac:dyDescent="0.25">
      <c r="B511" s="42" t="s">
        <v>169</v>
      </c>
      <c r="C511" s="42" t="s">
        <v>411</v>
      </c>
      <c r="D511" s="20" t="s">
        <v>514</v>
      </c>
      <c r="E511" s="21">
        <v>40</v>
      </c>
      <c r="F511" s="1" t="s">
        <v>68</v>
      </c>
      <c r="G511" s="25" t="s">
        <v>773</v>
      </c>
      <c r="H511" s="1" t="s">
        <v>180</v>
      </c>
      <c r="I511" s="1" t="s">
        <v>154</v>
      </c>
      <c r="J511" s="57">
        <v>0</v>
      </c>
      <c r="K511" s="24">
        <v>45308.641273148147</v>
      </c>
      <c r="L511" s="23">
        <v>380</v>
      </c>
      <c r="O511" s="51">
        <v>100</v>
      </c>
      <c r="P511" s="30">
        <v>0</v>
      </c>
      <c r="Q511" s="30">
        <v>40</v>
      </c>
    </row>
    <row r="512" spans="2:17" x14ac:dyDescent="0.25">
      <c r="B512" s="42" t="s">
        <v>169</v>
      </c>
      <c r="C512" s="42" t="s">
        <v>380</v>
      </c>
      <c r="D512" s="20" t="s">
        <v>515</v>
      </c>
      <c r="E512" s="21">
        <v>1600</v>
      </c>
      <c r="F512" s="1" t="s">
        <v>68</v>
      </c>
      <c r="G512" s="42" t="s">
        <v>181</v>
      </c>
      <c r="H512" s="1" t="s">
        <v>182</v>
      </c>
      <c r="I512" s="1" t="s">
        <v>115</v>
      </c>
      <c r="J512" s="57">
        <v>0</v>
      </c>
      <c r="K512" s="24">
        <v>45308.643078703702</v>
      </c>
      <c r="L512" s="23">
        <v>27000</v>
      </c>
      <c r="O512" s="51">
        <v>2400</v>
      </c>
      <c r="P512" s="30">
        <v>0</v>
      </c>
      <c r="Q512" s="30">
        <v>1600</v>
      </c>
    </row>
    <row r="513" spans="2:17" x14ac:dyDescent="0.25">
      <c r="B513" s="42" t="s">
        <v>169</v>
      </c>
      <c r="C513" s="42" t="s">
        <v>254</v>
      </c>
      <c r="D513" s="20" t="s">
        <v>516</v>
      </c>
      <c r="E513" s="21">
        <v>1000</v>
      </c>
      <c r="F513" s="1" t="s">
        <v>68</v>
      </c>
      <c r="G513" s="42" t="s">
        <v>174</v>
      </c>
      <c r="H513" s="1" t="s">
        <v>175</v>
      </c>
      <c r="I513" s="1" t="s">
        <v>176</v>
      </c>
      <c r="J513" s="57">
        <v>0</v>
      </c>
      <c r="K513" s="24">
        <v>45308.643969907411</v>
      </c>
      <c r="L513" s="23">
        <v>3000</v>
      </c>
      <c r="O513" s="51">
        <v>300</v>
      </c>
      <c r="P513" s="30">
        <v>3</v>
      </c>
      <c r="Q513" s="30">
        <v>100.00000000000004</v>
      </c>
    </row>
    <row r="514" spans="2:17" x14ac:dyDescent="0.25">
      <c r="B514" s="42" t="s">
        <v>169</v>
      </c>
      <c r="C514" s="42" t="s">
        <v>254</v>
      </c>
      <c r="D514" s="20" t="s">
        <v>516</v>
      </c>
      <c r="E514" s="21">
        <v>288</v>
      </c>
      <c r="F514" s="1" t="s">
        <v>145</v>
      </c>
      <c r="G514" s="42" t="s">
        <v>146</v>
      </c>
      <c r="H514" s="1" t="s">
        <v>147</v>
      </c>
      <c r="I514" s="1" t="s">
        <v>148</v>
      </c>
      <c r="J514" s="57">
        <v>0</v>
      </c>
      <c r="K514" s="24">
        <v>45308.644976851851</v>
      </c>
      <c r="L514" s="23">
        <v>0</v>
      </c>
      <c r="O514" s="51">
        <v>144</v>
      </c>
      <c r="P514" s="30">
        <v>2</v>
      </c>
      <c r="Q514" s="30">
        <v>0</v>
      </c>
    </row>
    <row r="515" spans="2:17" x14ac:dyDescent="0.25">
      <c r="B515" s="42" t="s">
        <v>169</v>
      </c>
      <c r="C515" s="42" t="s">
        <v>255</v>
      </c>
      <c r="D515" s="20" t="s">
        <v>517</v>
      </c>
      <c r="E515" s="21">
        <v>700</v>
      </c>
      <c r="F515" s="1" t="s">
        <v>68</v>
      </c>
      <c r="G515" s="43" t="s">
        <v>420</v>
      </c>
      <c r="H515" s="1" t="s">
        <v>159</v>
      </c>
      <c r="I515" s="1" t="s">
        <v>154</v>
      </c>
      <c r="J515" s="57">
        <v>0</v>
      </c>
      <c r="K515" s="24">
        <v>45308.64744212963</v>
      </c>
      <c r="L515" s="23">
        <v>5940</v>
      </c>
      <c r="O515" s="51">
        <v>60</v>
      </c>
      <c r="P515" s="30">
        <v>11</v>
      </c>
      <c r="Q515" s="30">
        <v>39.999999999999964</v>
      </c>
    </row>
    <row r="516" spans="2:17" x14ac:dyDescent="0.25">
      <c r="B516" s="42" t="s">
        <v>314</v>
      </c>
      <c r="C516" s="42" t="s">
        <v>518</v>
      </c>
      <c r="D516" s="20" t="s">
        <v>519</v>
      </c>
      <c r="E516" s="21">
        <v>5000</v>
      </c>
      <c r="F516" s="1" t="s">
        <v>68</v>
      </c>
      <c r="G516" s="42" t="s">
        <v>152</v>
      </c>
      <c r="H516" s="58" t="s">
        <v>153</v>
      </c>
      <c r="I516" s="1" t="s">
        <v>154</v>
      </c>
      <c r="J516" s="57">
        <v>0</v>
      </c>
      <c r="K516" s="24">
        <v>45308.656400462962</v>
      </c>
      <c r="L516" s="23">
        <v>696</v>
      </c>
      <c r="O516" s="51">
        <v>24</v>
      </c>
      <c r="P516" s="30">
        <v>208</v>
      </c>
      <c r="Q516" s="30">
        <v>8.0000000000002274</v>
      </c>
    </row>
    <row r="517" spans="2:17" x14ac:dyDescent="0.25">
      <c r="B517" s="42" t="s">
        <v>314</v>
      </c>
      <c r="C517" s="42" t="s">
        <v>497</v>
      </c>
      <c r="D517" s="20" t="s">
        <v>520</v>
      </c>
      <c r="E517" s="21">
        <v>36</v>
      </c>
      <c r="F517" s="1" t="s">
        <v>68</v>
      </c>
      <c r="G517" s="42" t="s">
        <v>177</v>
      </c>
      <c r="H517" s="1" t="s">
        <v>178</v>
      </c>
      <c r="J517" s="57">
        <v>0</v>
      </c>
      <c r="K517" s="24">
        <v>45308.657314814816</v>
      </c>
      <c r="L517" s="23">
        <v>535</v>
      </c>
      <c r="O517" s="51">
        <v>4</v>
      </c>
      <c r="P517" s="30">
        <v>9</v>
      </c>
      <c r="Q517" s="30">
        <v>0</v>
      </c>
    </row>
    <row r="518" spans="2:17" x14ac:dyDescent="0.25">
      <c r="B518" s="42" t="s">
        <v>314</v>
      </c>
      <c r="C518" s="42" t="s">
        <v>422</v>
      </c>
      <c r="D518" s="20" t="s">
        <v>521</v>
      </c>
      <c r="E518" s="21">
        <v>12000</v>
      </c>
      <c r="F518" s="1" t="s">
        <v>68</v>
      </c>
      <c r="G518" s="42" t="s">
        <v>133</v>
      </c>
      <c r="H518" s="58" t="s">
        <v>134</v>
      </c>
      <c r="I518" s="1" t="s">
        <v>115</v>
      </c>
      <c r="J518" s="57">
        <v>0</v>
      </c>
      <c r="K518" s="24">
        <v>45308.660104166665</v>
      </c>
      <c r="L518" s="23">
        <v>179300</v>
      </c>
      <c r="O518" s="51">
        <v>2400</v>
      </c>
      <c r="P518" s="30">
        <v>5</v>
      </c>
      <c r="Q518" s="30">
        <v>0</v>
      </c>
    </row>
    <row r="519" spans="2:17" x14ac:dyDescent="0.25">
      <c r="B519" s="42" t="s">
        <v>314</v>
      </c>
      <c r="C519" s="42" t="s">
        <v>422</v>
      </c>
      <c r="D519" s="20" t="s">
        <v>521</v>
      </c>
      <c r="E519" s="21">
        <v>2</v>
      </c>
      <c r="F519" s="1" t="s">
        <v>68</v>
      </c>
      <c r="G519" s="25" t="s">
        <v>423</v>
      </c>
      <c r="H519" s="58" t="s">
        <v>192</v>
      </c>
      <c r="J519" s="57">
        <v>0</v>
      </c>
      <c r="K519" s="24">
        <v>45308.660636574074</v>
      </c>
      <c r="L519" s="23">
        <v>44</v>
      </c>
      <c r="O519" s="51">
        <v>40</v>
      </c>
      <c r="P519" s="30">
        <v>0</v>
      </c>
      <c r="Q519" s="30">
        <v>2</v>
      </c>
    </row>
    <row r="520" spans="2:17" x14ac:dyDescent="0.25">
      <c r="B520" s="42" t="s">
        <v>314</v>
      </c>
      <c r="C520" s="42" t="s">
        <v>260</v>
      </c>
      <c r="D520" s="20" t="s">
        <v>522</v>
      </c>
      <c r="E520" s="21">
        <v>2</v>
      </c>
      <c r="F520" s="1" t="s">
        <v>68</v>
      </c>
      <c r="G520" s="42" t="s">
        <v>193</v>
      </c>
      <c r="H520" s="58" t="s">
        <v>194</v>
      </c>
      <c r="J520" s="57">
        <v>0</v>
      </c>
      <c r="K520" s="24">
        <v>45308.661874999998</v>
      </c>
      <c r="L520" s="23">
        <v>25</v>
      </c>
      <c r="O520" s="51">
        <v>36</v>
      </c>
      <c r="P520" s="30">
        <v>0</v>
      </c>
      <c r="Q520" s="30">
        <v>2</v>
      </c>
    </row>
    <row r="521" spans="2:17" x14ac:dyDescent="0.25">
      <c r="B521" s="42" t="s">
        <v>314</v>
      </c>
      <c r="C521" s="42" t="s">
        <v>260</v>
      </c>
      <c r="D521" s="20" t="s">
        <v>522</v>
      </c>
      <c r="E521" s="21">
        <v>120</v>
      </c>
      <c r="F521" s="1" t="s">
        <v>68</v>
      </c>
      <c r="G521" s="25" t="s">
        <v>212</v>
      </c>
      <c r="H521" s="58" t="s">
        <v>213</v>
      </c>
      <c r="I521" s="1" t="s">
        <v>154</v>
      </c>
      <c r="J521" s="57">
        <v>0</v>
      </c>
      <c r="K521" s="24">
        <v>45308.662372685183</v>
      </c>
      <c r="L521" s="23">
        <v>8960</v>
      </c>
      <c r="O521" s="51">
        <v>100</v>
      </c>
      <c r="P521" s="30">
        <v>1</v>
      </c>
      <c r="Q521" s="30">
        <v>19.999999999999996</v>
      </c>
    </row>
    <row r="522" spans="2:17" x14ac:dyDescent="0.25">
      <c r="B522" s="42" t="s">
        <v>314</v>
      </c>
      <c r="C522" s="42" t="s">
        <v>260</v>
      </c>
      <c r="D522" s="20" t="s">
        <v>522</v>
      </c>
      <c r="E522" s="21">
        <v>120</v>
      </c>
      <c r="F522" s="1" t="s">
        <v>68</v>
      </c>
      <c r="G522" s="25" t="s">
        <v>420</v>
      </c>
      <c r="H522" s="58" t="s">
        <v>159</v>
      </c>
      <c r="I522" s="1" t="s">
        <v>154</v>
      </c>
      <c r="J522" s="57">
        <v>0</v>
      </c>
      <c r="K522" s="24">
        <v>45308.662812499999</v>
      </c>
      <c r="L522" s="23">
        <v>5820</v>
      </c>
      <c r="O522" s="51">
        <v>60</v>
      </c>
      <c r="P522" s="30">
        <v>2</v>
      </c>
      <c r="Q522" s="30">
        <v>0</v>
      </c>
    </row>
    <row r="523" spans="2:17" x14ac:dyDescent="0.25">
      <c r="B523" s="42" t="s">
        <v>314</v>
      </c>
      <c r="C523" s="42" t="s">
        <v>259</v>
      </c>
      <c r="D523" s="20" t="s">
        <v>523</v>
      </c>
      <c r="E523" s="21">
        <v>300</v>
      </c>
      <c r="F523" s="1" t="s">
        <v>68</v>
      </c>
      <c r="G523" s="42" t="s">
        <v>170</v>
      </c>
      <c r="H523" s="1" t="s">
        <v>171</v>
      </c>
      <c r="I523" s="1" t="s">
        <v>172</v>
      </c>
      <c r="J523" s="57">
        <v>0</v>
      </c>
      <c r="K523" s="24">
        <v>45308.665601851855</v>
      </c>
      <c r="L523" s="23">
        <v>2412</v>
      </c>
      <c r="O523" s="51">
        <v>36</v>
      </c>
      <c r="P523" s="30">
        <v>8</v>
      </c>
      <c r="Q523" s="30">
        <v>12.000000000000021</v>
      </c>
    </row>
    <row r="524" spans="2:17" x14ac:dyDescent="0.25">
      <c r="B524" s="42" t="s">
        <v>314</v>
      </c>
      <c r="C524" s="42" t="s">
        <v>259</v>
      </c>
      <c r="D524" s="20" t="s">
        <v>523</v>
      </c>
      <c r="E524" s="21">
        <v>10</v>
      </c>
      <c r="F524" s="1" t="s">
        <v>68</v>
      </c>
      <c r="G524" s="25" t="s">
        <v>772</v>
      </c>
      <c r="H524" s="1" t="s">
        <v>160</v>
      </c>
      <c r="I524" s="1" t="s">
        <v>154</v>
      </c>
      <c r="J524" s="57">
        <v>0</v>
      </c>
      <c r="K524" s="24">
        <v>45308.66615740741</v>
      </c>
      <c r="L524" s="23">
        <v>209</v>
      </c>
      <c r="O524" s="51">
        <v>4</v>
      </c>
      <c r="P524" s="30">
        <v>2</v>
      </c>
      <c r="Q524" s="30">
        <v>2</v>
      </c>
    </row>
    <row r="525" spans="2:17" x14ac:dyDescent="0.25">
      <c r="B525" s="42" t="s">
        <v>314</v>
      </c>
      <c r="C525" s="42" t="s">
        <v>338</v>
      </c>
      <c r="D525" s="20" t="s">
        <v>524</v>
      </c>
      <c r="E525" s="21">
        <v>2500</v>
      </c>
      <c r="F525" s="1" t="s">
        <v>68</v>
      </c>
      <c r="G525" s="42" t="s">
        <v>156</v>
      </c>
      <c r="H525" s="1" t="s">
        <v>157</v>
      </c>
      <c r="I525" s="1" t="s">
        <v>154</v>
      </c>
      <c r="J525" s="57">
        <v>0</v>
      </c>
      <c r="K525" s="24">
        <v>45308.667592592596</v>
      </c>
      <c r="L525" s="23">
        <v>22220</v>
      </c>
      <c r="O525" s="51">
        <v>440</v>
      </c>
      <c r="P525" s="30">
        <v>5</v>
      </c>
      <c r="Q525" s="30">
        <v>299.99999999999994</v>
      </c>
    </row>
    <row r="526" spans="2:17" x14ac:dyDescent="0.25">
      <c r="B526" s="42" t="s">
        <v>314</v>
      </c>
      <c r="C526" s="42" t="s">
        <v>258</v>
      </c>
      <c r="D526" s="20" t="s">
        <v>525</v>
      </c>
      <c r="E526" s="21">
        <v>6</v>
      </c>
      <c r="F526" s="1" t="s">
        <v>68</v>
      </c>
      <c r="G526" s="25" t="s">
        <v>771</v>
      </c>
      <c r="H526" s="1" t="s">
        <v>158</v>
      </c>
      <c r="I526" s="1" t="s">
        <v>154</v>
      </c>
      <c r="J526" s="57">
        <v>0</v>
      </c>
      <c r="K526" s="24">
        <v>45308.671041666668</v>
      </c>
      <c r="L526" s="23">
        <v>203</v>
      </c>
      <c r="O526" s="51">
        <v>24</v>
      </c>
      <c r="P526" s="30">
        <v>0</v>
      </c>
      <c r="Q526" s="30">
        <v>6</v>
      </c>
    </row>
    <row r="527" spans="2:17" x14ac:dyDescent="0.25">
      <c r="B527" s="42" t="s">
        <v>314</v>
      </c>
      <c r="C527" s="42" t="s">
        <v>258</v>
      </c>
      <c r="D527" s="20" t="s">
        <v>525</v>
      </c>
      <c r="E527" s="21">
        <v>150</v>
      </c>
      <c r="F527" s="1" t="s">
        <v>68</v>
      </c>
      <c r="G527" s="25" t="s">
        <v>163</v>
      </c>
      <c r="H527" s="1" t="s">
        <v>164</v>
      </c>
      <c r="I527" s="1" t="s">
        <v>115</v>
      </c>
      <c r="J527" s="57">
        <v>0</v>
      </c>
      <c r="K527" s="24">
        <v>45308.671840277777</v>
      </c>
      <c r="L527" s="23">
        <v>1650</v>
      </c>
      <c r="O527" s="51">
        <v>100</v>
      </c>
      <c r="P527" s="30">
        <v>1</v>
      </c>
      <c r="Q527" s="30">
        <v>50</v>
      </c>
    </row>
    <row r="528" spans="2:17" x14ac:dyDescent="0.25">
      <c r="B528" s="42" t="s">
        <v>314</v>
      </c>
      <c r="C528" s="42" t="s">
        <v>472</v>
      </c>
      <c r="D528" s="20" t="s">
        <v>526</v>
      </c>
      <c r="E528" s="21">
        <v>120</v>
      </c>
      <c r="F528" s="1" t="s">
        <v>137</v>
      </c>
      <c r="G528" s="42" t="s">
        <v>143</v>
      </c>
      <c r="H528" s="1" t="s">
        <v>144</v>
      </c>
      <c r="I528" s="1" t="s">
        <v>140</v>
      </c>
      <c r="J528" s="57">
        <v>0</v>
      </c>
      <c r="K528" s="24">
        <v>45308.674560185187</v>
      </c>
      <c r="L528" s="23">
        <v>500</v>
      </c>
      <c r="O528" s="51">
        <v>10</v>
      </c>
      <c r="P528" s="30">
        <v>12</v>
      </c>
      <c r="Q528" s="30">
        <v>0</v>
      </c>
    </row>
    <row r="529" spans="2:17" x14ac:dyDescent="0.25">
      <c r="B529" s="42" t="s">
        <v>314</v>
      </c>
      <c r="C529" s="42" t="s">
        <v>472</v>
      </c>
      <c r="D529" s="20" t="s">
        <v>526</v>
      </c>
      <c r="E529" s="21">
        <v>60</v>
      </c>
      <c r="F529" s="1" t="s">
        <v>137</v>
      </c>
      <c r="G529" s="42" t="s">
        <v>138</v>
      </c>
      <c r="H529" s="1" t="s">
        <v>139</v>
      </c>
      <c r="I529" s="1" t="s">
        <v>140</v>
      </c>
      <c r="J529" s="57">
        <v>0</v>
      </c>
      <c r="K529" s="24">
        <v>45308.674895833334</v>
      </c>
      <c r="L529" s="23">
        <v>1358</v>
      </c>
      <c r="O529" s="51">
        <v>10</v>
      </c>
      <c r="P529" s="30">
        <v>6</v>
      </c>
      <c r="Q529" s="30">
        <v>0</v>
      </c>
    </row>
    <row r="530" spans="2:17" x14ac:dyDescent="0.25">
      <c r="B530" s="42" t="s">
        <v>314</v>
      </c>
      <c r="C530" s="42" t="s">
        <v>472</v>
      </c>
      <c r="D530" s="20" t="s">
        <v>526</v>
      </c>
      <c r="E530" s="21">
        <v>60</v>
      </c>
      <c r="F530" s="1" t="s">
        <v>137</v>
      </c>
      <c r="G530" s="42" t="s">
        <v>141</v>
      </c>
      <c r="H530" s="1" t="s">
        <v>142</v>
      </c>
      <c r="I530" s="1" t="s">
        <v>140</v>
      </c>
      <c r="J530" s="57">
        <v>0</v>
      </c>
      <c r="K530" s="24">
        <v>45308.675185185188</v>
      </c>
      <c r="L530" s="23">
        <v>6497</v>
      </c>
      <c r="O530" s="51">
        <v>10</v>
      </c>
      <c r="P530" s="30">
        <v>6</v>
      </c>
      <c r="Q530" s="30">
        <v>0</v>
      </c>
    </row>
    <row r="531" spans="2:17" x14ac:dyDescent="0.25">
      <c r="B531" s="42" t="s">
        <v>314</v>
      </c>
      <c r="C531" s="42" t="s">
        <v>357</v>
      </c>
      <c r="D531" s="20" t="s">
        <v>527</v>
      </c>
      <c r="E531" s="21">
        <v>120</v>
      </c>
      <c r="F531" s="1" t="s">
        <v>145</v>
      </c>
      <c r="G531" s="25" t="s">
        <v>150</v>
      </c>
      <c r="H531" s="1" t="s">
        <v>147</v>
      </c>
      <c r="I531" s="1" t="s">
        <v>148</v>
      </c>
      <c r="J531" s="57">
        <v>0</v>
      </c>
      <c r="K531" s="24">
        <v>45308.678113425929</v>
      </c>
      <c r="L531" s="23">
        <v>3098</v>
      </c>
      <c r="O531" s="51">
        <v>144</v>
      </c>
      <c r="P531" s="30">
        <v>0</v>
      </c>
      <c r="Q531" s="30">
        <v>120</v>
      </c>
    </row>
    <row r="532" spans="2:17" x14ac:dyDescent="0.25">
      <c r="B532" s="42" t="s">
        <v>314</v>
      </c>
      <c r="C532" s="42" t="s">
        <v>361</v>
      </c>
      <c r="D532" s="20" t="s">
        <v>528</v>
      </c>
      <c r="E532" s="21">
        <v>6000</v>
      </c>
      <c r="F532" s="1" t="s">
        <v>68</v>
      </c>
      <c r="G532" s="42" t="s">
        <v>117</v>
      </c>
      <c r="H532" s="1" t="s">
        <v>118</v>
      </c>
      <c r="I532" s="1" t="s">
        <v>115</v>
      </c>
      <c r="J532" s="57">
        <v>0</v>
      </c>
      <c r="K532" s="24">
        <v>45308.678182870368</v>
      </c>
      <c r="L532" s="23">
        <v>8000</v>
      </c>
      <c r="O532" s="51">
        <v>1200</v>
      </c>
      <c r="P532" s="30">
        <v>5</v>
      </c>
      <c r="Q532" s="30">
        <v>0</v>
      </c>
    </row>
    <row r="533" spans="2:17" x14ac:dyDescent="0.25">
      <c r="B533" s="42" t="s">
        <v>314</v>
      </c>
      <c r="C533" s="42" t="s">
        <v>502</v>
      </c>
      <c r="D533" s="20" t="s">
        <v>529</v>
      </c>
      <c r="E533" s="21">
        <v>12000</v>
      </c>
      <c r="F533" s="1" t="s">
        <v>68</v>
      </c>
      <c r="G533" s="42" t="s">
        <v>113</v>
      </c>
      <c r="H533" s="58" t="s">
        <v>114</v>
      </c>
      <c r="I533" s="1" t="s">
        <v>115</v>
      </c>
      <c r="J533" s="57">
        <v>0</v>
      </c>
      <c r="K533" s="24">
        <v>45308.67900462963</v>
      </c>
      <c r="L533" s="23">
        <v>121800</v>
      </c>
      <c r="O533" s="51">
        <v>2400</v>
      </c>
      <c r="P533" s="30">
        <v>5</v>
      </c>
      <c r="Q533" s="30">
        <v>0</v>
      </c>
    </row>
    <row r="534" spans="2:17" x14ac:dyDescent="0.25">
      <c r="B534" s="42" t="s">
        <v>169</v>
      </c>
      <c r="C534" s="42" t="s">
        <v>530</v>
      </c>
      <c r="D534" s="20" t="s">
        <v>531</v>
      </c>
      <c r="E534" s="21">
        <v>400</v>
      </c>
      <c r="F534" s="1" t="s">
        <v>68</v>
      </c>
      <c r="G534" s="42" t="s">
        <v>129</v>
      </c>
      <c r="H534" s="58" t="s">
        <v>130</v>
      </c>
      <c r="I534" s="1" t="s">
        <v>115</v>
      </c>
      <c r="J534" s="57">
        <v>0</v>
      </c>
      <c r="K534" s="24">
        <v>45310.436712962961</v>
      </c>
      <c r="L534" s="23">
        <v>29200</v>
      </c>
      <c r="O534" s="51">
        <v>2400</v>
      </c>
      <c r="P534" s="30">
        <v>0</v>
      </c>
      <c r="Q534" s="30">
        <v>400</v>
      </c>
    </row>
    <row r="535" spans="2:17" x14ac:dyDescent="0.25">
      <c r="B535" s="42" t="s">
        <v>169</v>
      </c>
      <c r="C535" s="42" t="s">
        <v>530</v>
      </c>
      <c r="D535" s="20" t="s">
        <v>531</v>
      </c>
      <c r="E535" s="21">
        <v>200</v>
      </c>
      <c r="F535" s="1" t="s">
        <v>68</v>
      </c>
      <c r="G535" s="42" t="s">
        <v>123</v>
      </c>
      <c r="H535" s="58" t="s">
        <v>124</v>
      </c>
      <c r="I535" s="1" t="s">
        <v>115</v>
      </c>
      <c r="J535" s="57">
        <v>0</v>
      </c>
      <c r="K535" s="24">
        <v>45310.436828703707</v>
      </c>
      <c r="L535" s="23">
        <v>4200</v>
      </c>
      <c r="O535" s="51">
        <v>3000</v>
      </c>
      <c r="P535" s="30">
        <v>0</v>
      </c>
      <c r="Q535" s="30">
        <v>200</v>
      </c>
    </row>
    <row r="536" spans="2:17" x14ac:dyDescent="0.25">
      <c r="B536" s="42" t="s">
        <v>169</v>
      </c>
      <c r="C536" s="42" t="s">
        <v>530</v>
      </c>
      <c r="D536" s="20" t="s">
        <v>531</v>
      </c>
      <c r="E536" s="21">
        <v>400</v>
      </c>
      <c r="F536" s="1" t="s">
        <v>68</v>
      </c>
      <c r="G536" s="42" t="s">
        <v>127</v>
      </c>
      <c r="H536" s="58" t="s">
        <v>128</v>
      </c>
      <c r="I536" s="1" t="s">
        <v>115</v>
      </c>
      <c r="J536" s="57">
        <v>0</v>
      </c>
      <c r="K536" s="24">
        <v>45310.436898148146</v>
      </c>
      <c r="L536" s="23">
        <v>5000</v>
      </c>
      <c r="O536" s="51">
        <v>3000</v>
      </c>
      <c r="P536" s="30">
        <v>0</v>
      </c>
      <c r="Q536" s="30">
        <v>400</v>
      </c>
    </row>
    <row r="537" spans="2:17" x14ac:dyDescent="0.25">
      <c r="B537" s="42" t="s">
        <v>169</v>
      </c>
      <c r="C537" s="42" t="s">
        <v>530</v>
      </c>
      <c r="D537" s="20" t="s">
        <v>531</v>
      </c>
      <c r="E537" s="21">
        <v>5500</v>
      </c>
      <c r="F537" s="1" t="s">
        <v>68</v>
      </c>
      <c r="G537" s="42" t="s">
        <v>131</v>
      </c>
      <c r="H537" s="58" t="s">
        <v>132</v>
      </c>
      <c r="I537" s="1" t="s">
        <v>115</v>
      </c>
      <c r="J537" s="57">
        <v>0</v>
      </c>
      <c r="K537" s="24">
        <v>45310.437013888892</v>
      </c>
      <c r="L537" s="23">
        <v>3700</v>
      </c>
      <c r="O537" s="51">
        <v>3000</v>
      </c>
      <c r="P537" s="30">
        <v>1</v>
      </c>
      <c r="Q537" s="30">
        <v>2500</v>
      </c>
    </row>
    <row r="538" spans="2:17" x14ac:dyDescent="0.25">
      <c r="B538" s="42" t="s">
        <v>532</v>
      </c>
      <c r="C538" s="42" t="s">
        <v>533</v>
      </c>
      <c r="D538" s="20" t="s">
        <v>534</v>
      </c>
      <c r="E538" s="21">
        <v>600</v>
      </c>
      <c r="F538" s="1" t="s">
        <v>137</v>
      </c>
      <c r="G538" s="42" t="s">
        <v>143</v>
      </c>
      <c r="H538" s="1" t="s">
        <v>144</v>
      </c>
      <c r="I538" s="1" t="s">
        <v>140</v>
      </c>
      <c r="J538" s="30">
        <v>1</v>
      </c>
      <c r="K538" s="24">
        <v>45310.577164351853</v>
      </c>
      <c r="L538" s="23">
        <v>1100</v>
      </c>
      <c r="M538" s="1" t="s">
        <v>535</v>
      </c>
      <c r="O538" s="51">
        <v>10</v>
      </c>
      <c r="P538" s="30">
        <v>60</v>
      </c>
      <c r="Q538" s="30">
        <v>0</v>
      </c>
    </row>
    <row r="539" spans="2:17" x14ac:dyDescent="0.25">
      <c r="B539" s="42" t="s">
        <v>532</v>
      </c>
      <c r="C539" s="42" t="s">
        <v>533</v>
      </c>
      <c r="D539" s="20" t="s">
        <v>534</v>
      </c>
      <c r="E539" s="21">
        <v>1440</v>
      </c>
      <c r="F539" s="1" t="s">
        <v>145</v>
      </c>
      <c r="G539" s="42" t="s">
        <v>149</v>
      </c>
      <c r="H539" s="1" t="s">
        <v>147</v>
      </c>
      <c r="I539" s="1" t="s">
        <v>148</v>
      </c>
      <c r="J539" s="30">
        <v>1</v>
      </c>
      <c r="K539" s="24">
        <v>45310.577997685185</v>
      </c>
      <c r="L539" s="23">
        <v>4368</v>
      </c>
      <c r="M539" s="1" t="s">
        <v>535</v>
      </c>
      <c r="O539" s="51">
        <v>144</v>
      </c>
      <c r="P539" s="30">
        <v>10</v>
      </c>
      <c r="Q539" s="30">
        <v>0</v>
      </c>
    </row>
    <row r="540" spans="2:17" x14ac:dyDescent="0.25">
      <c r="B540" s="42" t="s">
        <v>532</v>
      </c>
      <c r="C540" s="42" t="s">
        <v>533</v>
      </c>
      <c r="D540" s="20" t="s">
        <v>534</v>
      </c>
      <c r="E540" s="21">
        <v>720</v>
      </c>
      <c r="F540" s="1" t="s">
        <v>145</v>
      </c>
      <c r="G540" s="42" t="s">
        <v>146</v>
      </c>
      <c r="H540" s="1" t="s">
        <v>147</v>
      </c>
      <c r="I540" s="1" t="s">
        <v>148</v>
      </c>
      <c r="J540" s="30">
        <v>1</v>
      </c>
      <c r="K540" s="24">
        <v>45310.578287037039</v>
      </c>
      <c r="L540" s="23">
        <v>720</v>
      </c>
      <c r="M540" s="1" t="s">
        <v>535</v>
      </c>
      <c r="O540" s="51">
        <v>144</v>
      </c>
      <c r="P540" s="30">
        <v>5</v>
      </c>
      <c r="Q540" s="30">
        <v>0</v>
      </c>
    </row>
    <row r="541" spans="2:17" x14ac:dyDescent="0.25">
      <c r="B541" s="42" t="s">
        <v>169</v>
      </c>
      <c r="C541" s="42" t="s">
        <v>536</v>
      </c>
      <c r="D541" s="20" t="s">
        <v>537</v>
      </c>
      <c r="E541" s="21">
        <v>10</v>
      </c>
      <c r="F541" s="1" t="s">
        <v>68</v>
      </c>
      <c r="G541" s="25" t="s">
        <v>772</v>
      </c>
      <c r="H541" s="1" t="s">
        <v>160</v>
      </c>
      <c r="I541" s="1" t="s">
        <v>154</v>
      </c>
      <c r="J541" s="57">
        <v>0</v>
      </c>
      <c r="K541" s="24">
        <v>45310.579756944448</v>
      </c>
      <c r="L541" s="23">
        <v>199</v>
      </c>
      <c r="O541" s="51">
        <v>4</v>
      </c>
      <c r="P541" s="30">
        <v>2</v>
      </c>
      <c r="Q541" s="30">
        <v>2</v>
      </c>
    </row>
    <row r="542" spans="2:17" x14ac:dyDescent="0.25">
      <c r="B542" s="42" t="s">
        <v>169</v>
      </c>
      <c r="C542" s="42" t="s">
        <v>536</v>
      </c>
      <c r="D542" s="20" t="s">
        <v>538</v>
      </c>
      <c r="E542" s="21">
        <v>500</v>
      </c>
      <c r="F542" s="1" t="s">
        <v>145</v>
      </c>
      <c r="G542" s="25" t="s">
        <v>151</v>
      </c>
      <c r="H542" s="1" t="s">
        <v>147</v>
      </c>
      <c r="I542" s="1" t="s">
        <v>148</v>
      </c>
      <c r="J542" s="57">
        <v>0</v>
      </c>
      <c r="K542" s="24">
        <v>45310.581377314818</v>
      </c>
      <c r="L542" s="23">
        <v>860</v>
      </c>
      <c r="O542" s="51">
        <v>144</v>
      </c>
      <c r="P542" s="30">
        <v>3</v>
      </c>
      <c r="Q542" s="30">
        <v>68.000000000000014</v>
      </c>
    </row>
    <row r="543" spans="2:17" x14ac:dyDescent="0.25">
      <c r="B543" s="42" t="s">
        <v>169</v>
      </c>
      <c r="C543" s="42" t="s">
        <v>536</v>
      </c>
      <c r="D543" s="20" t="s">
        <v>538</v>
      </c>
      <c r="E543" s="21">
        <v>150</v>
      </c>
      <c r="F543" s="1" t="s">
        <v>68</v>
      </c>
      <c r="G543" s="42" t="s">
        <v>161</v>
      </c>
      <c r="H543" s="1" t="s">
        <v>162</v>
      </c>
      <c r="I543" s="1" t="s">
        <v>115</v>
      </c>
      <c r="J543" s="57">
        <v>0</v>
      </c>
      <c r="K543" s="24">
        <v>45310.58148148148</v>
      </c>
      <c r="L543" s="23">
        <v>1306</v>
      </c>
      <c r="O543" s="51">
        <v>200</v>
      </c>
      <c r="P543" s="30">
        <v>0</v>
      </c>
      <c r="Q543" s="30">
        <v>150</v>
      </c>
    </row>
    <row r="544" spans="2:17" x14ac:dyDescent="0.25">
      <c r="B544" s="42" t="s">
        <v>169</v>
      </c>
      <c r="C544" s="42" t="s">
        <v>380</v>
      </c>
      <c r="D544" s="20" t="s">
        <v>539</v>
      </c>
      <c r="E544" s="21">
        <v>1600</v>
      </c>
      <c r="F544" s="1" t="s">
        <v>68</v>
      </c>
      <c r="G544" s="42" t="s">
        <v>181</v>
      </c>
      <c r="H544" s="1" t="s">
        <v>182</v>
      </c>
      <c r="I544" s="1" t="s">
        <v>115</v>
      </c>
      <c r="J544" s="57">
        <v>0</v>
      </c>
      <c r="K544" s="24">
        <v>45310.582175925927</v>
      </c>
      <c r="L544" s="23">
        <v>25400</v>
      </c>
      <c r="O544" s="51">
        <v>2400</v>
      </c>
      <c r="P544" s="30">
        <v>0</v>
      </c>
      <c r="Q544" s="30">
        <v>1600</v>
      </c>
    </row>
    <row r="545" spans="2:17" x14ac:dyDescent="0.25">
      <c r="B545" s="42" t="s">
        <v>169</v>
      </c>
      <c r="C545" s="42" t="s">
        <v>385</v>
      </c>
      <c r="D545" s="20" t="s">
        <v>540</v>
      </c>
      <c r="E545" s="21">
        <v>5600</v>
      </c>
      <c r="F545" s="1" t="s">
        <v>68</v>
      </c>
      <c r="G545" s="42" t="s">
        <v>133</v>
      </c>
      <c r="H545" s="1" t="s">
        <v>134</v>
      </c>
      <c r="I545" s="1" t="s">
        <v>115</v>
      </c>
      <c r="J545" s="57">
        <v>0</v>
      </c>
      <c r="K545" s="24">
        <v>45310.583067129628</v>
      </c>
      <c r="L545" s="23">
        <v>173700</v>
      </c>
      <c r="O545" s="51">
        <v>2400</v>
      </c>
      <c r="P545" s="30">
        <v>2</v>
      </c>
      <c r="Q545" s="30">
        <v>800.00000000000034</v>
      </c>
    </row>
    <row r="546" spans="2:17" x14ac:dyDescent="0.25">
      <c r="B546" s="42" t="s">
        <v>169</v>
      </c>
      <c r="C546" s="42" t="s">
        <v>411</v>
      </c>
      <c r="D546" s="20" t="s">
        <v>541</v>
      </c>
      <c r="E546" s="21">
        <v>10</v>
      </c>
      <c r="F546" s="1" t="s">
        <v>68</v>
      </c>
      <c r="G546" s="25" t="s">
        <v>772</v>
      </c>
      <c r="H546" s="1" t="s">
        <v>160</v>
      </c>
      <c r="I546" s="1" t="s">
        <v>154</v>
      </c>
      <c r="J546" s="57">
        <v>0</v>
      </c>
      <c r="K546" s="24">
        <v>45310.584201388891</v>
      </c>
      <c r="L546" s="23">
        <v>189</v>
      </c>
      <c r="O546" s="51">
        <v>4</v>
      </c>
      <c r="P546" s="30">
        <v>2</v>
      </c>
      <c r="Q546" s="30">
        <v>2</v>
      </c>
    </row>
    <row r="547" spans="2:17" x14ac:dyDescent="0.25">
      <c r="B547" s="42" t="s">
        <v>169</v>
      </c>
      <c r="C547" s="42" t="s">
        <v>255</v>
      </c>
      <c r="D547" s="20" t="s">
        <v>542</v>
      </c>
      <c r="E547" s="21">
        <v>700</v>
      </c>
      <c r="F547" s="1" t="s">
        <v>68</v>
      </c>
      <c r="G547" s="25" t="s">
        <v>420</v>
      </c>
      <c r="H547" s="1" t="s">
        <v>159</v>
      </c>
      <c r="I547" s="1" t="s">
        <v>154</v>
      </c>
      <c r="J547" s="57">
        <v>0</v>
      </c>
      <c r="K547" s="24">
        <v>45310.58494212963</v>
      </c>
      <c r="L547" s="23">
        <v>5120</v>
      </c>
      <c r="O547" s="51">
        <v>60</v>
      </c>
      <c r="P547" s="30">
        <v>11</v>
      </c>
      <c r="Q547" s="30">
        <v>39.999999999999964</v>
      </c>
    </row>
    <row r="548" spans="2:17" x14ac:dyDescent="0.25">
      <c r="B548" s="42" t="s">
        <v>314</v>
      </c>
      <c r="C548" s="42" t="s">
        <v>543</v>
      </c>
      <c r="D548" s="20" t="s">
        <v>544</v>
      </c>
      <c r="E548" s="74" t="s">
        <v>807</v>
      </c>
      <c r="F548" s="1" t="s">
        <v>145</v>
      </c>
      <c r="G548" s="75" t="s">
        <v>62</v>
      </c>
      <c r="H548" s="1" t="s">
        <v>219</v>
      </c>
      <c r="I548" s="1" t="s">
        <v>220</v>
      </c>
      <c r="J548" s="57">
        <v>0</v>
      </c>
      <c r="K548" s="24">
        <v>45313.497696759259</v>
      </c>
      <c r="L548" s="23">
        <v>9</v>
      </c>
      <c r="O548" s="51">
        <v>1</v>
      </c>
      <c r="P548" s="30">
        <v>10</v>
      </c>
      <c r="Q548" s="30">
        <v>0</v>
      </c>
    </row>
    <row r="549" spans="2:17" x14ac:dyDescent="0.25">
      <c r="B549" s="42" t="s">
        <v>314</v>
      </c>
      <c r="C549" s="42" t="s">
        <v>543</v>
      </c>
      <c r="D549" s="20" t="s">
        <v>544</v>
      </c>
      <c r="E549" s="74" t="s">
        <v>807</v>
      </c>
      <c r="F549" s="1" t="s">
        <v>145</v>
      </c>
      <c r="G549" s="75" t="s">
        <v>238</v>
      </c>
      <c r="H549" s="1" t="s">
        <v>219</v>
      </c>
      <c r="I549" s="1" t="s">
        <v>220</v>
      </c>
      <c r="J549" s="57">
        <v>0</v>
      </c>
      <c r="K549" s="24">
        <v>45313.497766203705</v>
      </c>
      <c r="L549" s="23">
        <v>30</v>
      </c>
      <c r="O549" s="51">
        <v>1</v>
      </c>
      <c r="P549" s="30">
        <v>10</v>
      </c>
      <c r="Q549" s="30">
        <v>0</v>
      </c>
    </row>
    <row r="550" spans="2:17" x14ac:dyDescent="0.25">
      <c r="B550" s="42" t="s">
        <v>314</v>
      </c>
      <c r="C550" s="42" t="s">
        <v>543</v>
      </c>
      <c r="D550" s="20" t="s">
        <v>544</v>
      </c>
      <c r="E550" s="74" t="s">
        <v>808</v>
      </c>
      <c r="F550" s="1" t="s">
        <v>145</v>
      </c>
      <c r="G550" s="75" t="s">
        <v>408</v>
      </c>
      <c r="H550" s="1" t="s">
        <v>219</v>
      </c>
      <c r="I550" s="1" t="s">
        <v>220</v>
      </c>
      <c r="J550" s="57">
        <v>0</v>
      </c>
      <c r="K550" s="24">
        <v>45313.497858796298</v>
      </c>
      <c r="L550" s="23">
        <v>36</v>
      </c>
      <c r="O550" s="51">
        <v>1</v>
      </c>
      <c r="P550" s="30">
        <v>15</v>
      </c>
      <c r="Q550" s="30">
        <v>0</v>
      </c>
    </row>
    <row r="551" spans="2:17" x14ac:dyDescent="0.25">
      <c r="B551" s="42" t="s">
        <v>314</v>
      </c>
      <c r="C551" s="42" t="s">
        <v>543</v>
      </c>
      <c r="D551" s="20" t="s">
        <v>544</v>
      </c>
      <c r="E551" s="74" t="s">
        <v>809</v>
      </c>
      <c r="F551" s="1" t="s">
        <v>145</v>
      </c>
      <c r="G551" s="75" t="s">
        <v>64</v>
      </c>
      <c r="H551" s="1" t="s">
        <v>219</v>
      </c>
      <c r="I551" s="1" t="s">
        <v>220</v>
      </c>
      <c r="J551" s="57">
        <v>0</v>
      </c>
      <c r="K551" s="24">
        <v>45313.497916666667</v>
      </c>
      <c r="L551" s="23">
        <v>0</v>
      </c>
      <c r="O551" s="51">
        <v>1</v>
      </c>
      <c r="P551" s="30">
        <v>14</v>
      </c>
      <c r="Q551" s="30">
        <v>0</v>
      </c>
    </row>
    <row r="552" spans="2:17" x14ac:dyDescent="0.25">
      <c r="B552" s="42" t="s">
        <v>314</v>
      </c>
      <c r="C552" s="42" t="s">
        <v>543</v>
      </c>
      <c r="D552" s="20" t="s">
        <v>544</v>
      </c>
      <c r="E552" s="74" t="s">
        <v>808</v>
      </c>
      <c r="F552" s="1" t="s">
        <v>145</v>
      </c>
      <c r="G552" s="75" t="s">
        <v>228</v>
      </c>
      <c r="H552" s="1" t="s">
        <v>219</v>
      </c>
      <c r="I552" s="1" t="s">
        <v>220</v>
      </c>
      <c r="J552" s="57">
        <v>0</v>
      </c>
      <c r="K552" s="24">
        <v>45313.497986111113</v>
      </c>
      <c r="L552" s="23">
        <v>45</v>
      </c>
      <c r="O552" s="51">
        <v>1</v>
      </c>
      <c r="P552" s="30">
        <v>15</v>
      </c>
      <c r="Q552" s="30">
        <v>0</v>
      </c>
    </row>
    <row r="553" spans="2:17" x14ac:dyDescent="0.25">
      <c r="B553" s="42" t="s">
        <v>314</v>
      </c>
      <c r="C553" s="42" t="s">
        <v>543</v>
      </c>
      <c r="D553" s="20" t="s">
        <v>544</v>
      </c>
      <c r="E553" s="74" t="s">
        <v>810</v>
      </c>
      <c r="F553" s="1" t="s">
        <v>145</v>
      </c>
      <c r="G553" s="75" t="s">
        <v>229</v>
      </c>
      <c r="H553" s="1" t="s">
        <v>219</v>
      </c>
      <c r="I553" s="1" t="s">
        <v>220</v>
      </c>
      <c r="J553" s="57">
        <v>0</v>
      </c>
      <c r="K553" s="24">
        <v>45313.498020833336</v>
      </c>
      <c r="L553" s="23">
        <v>37</v>
      </c>
      <c r="O553" s="51">
        <v>1</v>
      </c>
      <c r="P553" s="30">
        <v>5</v>
      </c>
      <c r="Q553" s="30">
        <v>0</v>
      </c>
    </row>
    <row r="554" spans="2:17" x14ac:dyDescent="0.25">
      <c r="B554" s="42" t="s">
        <v>314</v>
      </c>
      <c r="C554" s="42" t="s">
        <v>543</v>
      </c>
      <c r="D554" s="20" t="s">
        <v>544</v>
      </c>
      <c r="E554" s="74" t="s">
        <v>810</v>
      </c>
      <c r="F554" s="1" t="s">
        <v>145</v>
      </c>
      <c r="G554" s="75" t="s">
        <v>65</v>
      </c>
      <c r="H554" s="1" t="s">
        <v>219</v>
      </c>
      <c r="I554" s="1" t="s">
        <v>220</v>
      </c>
      <c r="J554" s="57">
        <v>0</v>
      </c>
      <c r="K554" s="24">
        <v>45313.498055555552</v>
      </c>
      <c r="L554" s="23">
        <v>3</v>
      </c>
      <c r="O554" s="51">
        <v>1</v>
      </c>
      <c r="P554" s="30">
        <v>5</v>
      </c>
      <c r="Q554" s="30">
        <v>0</v>
      </c>
    </row>
    <row r="555" spans="2:17" x14ac:dyDescent="0.25">
      <c r="B555" s="42" t="s">
        <v>314</v>
      </c>
      <c r="C555" s="42" t="s">
        <v>543</v>
      </c>
      <c r="D555" s="20" t="s">
        <v>544</v>
      </c>
      <c r="E555" s="74" t="s">
        <v>810</v>
      </c>
      <c r="F555" s="1" t="s">
        <v>145</v>
      </c>
      <c r="G555" s="75" t="s">
        <v>230</v>
      </c>
      <c r="H555" s="1" t="s">
        <v>219</v>
      </c>
      <c r="I555" s="1" t="s">
        <v>220</v>
      </c>
      <c r="J555" s="57">
        <v>0</v>
      </c>
      <c r="K555" s="24">
        <v>45313.498090277775</v>
      </c>
      <c r="L555" s="23">
        <v>22</v>
      </c>
      <c r="O555" s="51">
        <v>1</v>
      </c>
      <c r="P555" s="30">
        <v>5</v>
      </c>
      <c r="Q555" s="30">
        <v>0</v>
      </c>
    </row>
    <row r="556" spans="2:17" x14ac:dyDescent="0.25">
      <c r="B556" s="42" t="s">
        <v>314</v>
      </c>
      <c r="C556" s="42" t="s">
        <v>543</v>
      </c>
      <c r="D556" s="20" t="s">
        <v>544</v>
      </c>
      <c r="E556" s="74" t="s">
        <v>811</v>
      </c>
      <c r="F556" s="1" t="s">
        <v>145</v>
      </c>
      <c r="G556" s="75" t="s">
        <v>63</v>
      </c>
      <c r="H556" s="1" t="s">
        <v>219</v>
      </c>
      <c r="I556" s="1" t="s">
        <v>220</v>
      </c>
      <c r="J556" s="57">
        <v>0</v>
      </c>
      <c r="K556" s="24">
        <v>45313.498124999998</v>
      </c>
      <c r="L556" s="23">
        <v>0</v>
      </c>
      <c r="O556" s="51">
        <v>1</v>
      </c>
      <c r="P556" s="30">
        <v>2</v>
      </c>
      <c r="Q556" s="30">
        <v>0</v>
      </c>
    </row>
    <row r="557" spans="2:17" x14ac:dyDescent="0.25">
      <c r="B557" s="42" t="s">
        <v>169</v>
      </c>
      <c r="C557" s="42" t="s">
        <v>385</v>
      </c>
      <c r="D557" s="20" t="s">
        <v>545</v>
      </c>
      <c r="E557" s="21">
        <v>1200</v>
      </c>
      <c r="F557" s="1" t="s">
        <v>68</v>
      </c>
      <c r="G557" s="25" t="s">
        <v>212</v>
      </c>
      <c r="H557" s="1" t="s">
        <v>213</v>
      </c>
      <c r="I557" s="1" t="s">
        <v>154</v>
      </c>
      <c r="J557" s="57">
        <v>0</v>
      </c>
      <c r="K557" s="24">
        <v>45313.501574074071</v>
      </c>
      <c r="L557" s="23">
        <v>7760</v>
      </c>
      <c r="O557" s="51">
        <v>100</v>
      </c>
      <c r="P557" s="30">
        <v>12</v>
      </c>
      <c r="Q557" s="30">
        <v>0</v>
      </c>
    </row>
    <row r="558" spans="2:17" x14ac:dyDescent="0.25">
      <c r="B558" s="42" t="s">
        <v>169</v>
      </c>
      <c r="C558" s="42" t="s">
        <v>411</v>
      </c>
      <c r="D558" s="20" t="s">
        <v>546</v>
      </c>
      <c r="E558" s="21">
        <v>10</v>
      </c>
      <c r="F558" s="1" t="s">
        <v>68</v>
      </c>
      <c r="G558" s="25" t="s">
        <v>772</v>
      </c>
      <c r="H558" s="1" t="s">
        <v>160</v>
      </c>
      <c r="I558" s="1" t="s">
        <v>154</v>
      </c>
      <c r="J558" s="57">
        <v>0</v>
      </c>
      <c r="K558" s="24">
        <v>45313.501886574071</v>
      </c>
      <c r="L558" s="23">
        <v>179</v>
      </c>
      <c r="O558" s="51">
        <v>4</v>
      </c>
      <c r="P558" s="30">
        <v>2</v>
      </c>
      <c r="Q558" s="30">
        <v>2</v>
      </c>
    </row>
    <row r="559" spans="2:17" x14ac:dyDescent="0.25">
      <c r="B559" s="42" t="s">
        <v>169</v>
      </c>
      <c r="C559" s="42" t="s">
        <v>254</v>
      </c>
      <c r="D559" s="20" t="s">
        <v>547</v>
      </c>
      <c r="E559" s="21">
        <v>1000</v>
      </c>
      <c r="F559" s="1" t="s">
        <v>68</v>
      </c>
      <c r="G559" s="75" t="s">
        <v>174</v>
      </c>
      <c r="H559" s="1" t="s">
        <v>175</v>
      </c>
      <c r="I559" s="1" t="s">
        <v>176</v>
      </c>
      <c r="J559" s="57">
        <v>0</v>
      </c>
      <c r="K559" s="24">
        <v>45313.501956018517</v>
      </c>
      <c r="L559" s="23">
        <v>2000</v>
      </c>
      <c r="O559" s="51">
        <v>300</v>
      </c>
      <c r="P559" s="30">
        <v>3</v>
      </c>
      <c r="Q559" s="30">
        <v>100.00000000000004</v>
      </c>
    </row>
    <row r="560" spans="2:17" x14ac:dyDescent="0.25">
      <c r="B560" s="42" t="s">
        <v>169</v>
      </c>
      <c r="C560" s="42" t="s">
        <v>380</v>
      </c>
      <c r="D560" s="20" t="s">
        <v>548</v>
      </c>
      <c r="E560" s="21">
        <v>1600</v>
      </c>
      <c r="F560" s="1" t="s">
        <v>68</v>
      </c>
      <c r="G560" s="75" t="s">
        <v>181</v>
      </c>
      <c r="H560" s="1" t="s">
        <v>182</v>
      </c>
      <c r="I560" s="1" t="s">
        <v>115</v>
      </c>
      <c r="J560" s="57">
        <v>0</v>
      </c>
      <c r="K560" s="24">
        <v>45313.50199074074</v>
      </c>
      <c r="L560" s="23">
        <v>23800</v>
      </c>
      <c r="O560" s="51">
        <v>2400</v>
      </c>
      <c r="P560" s="30">
        <v>0</v>
      </c>
      <c r="Q560" s="30">
        <v>1600</v>
      </c>
    </row>
    <row r="561" spans="2:17" x14ac:dyDescent="0.25">
      <c r="B561" s="42" t="s">
        <v>169</v>
      </c>
      <c r="C561" s="42" t="s">
        <v>255</v>
      </c>
      <c r="D561" s="20" t="s">
        <v>549</v>
      </c>
      <c r="E561" s="21">
        <v>200</v>
      </c>
      <c r="F561" s="1" t="s">
        <v>68</v>
      </c>
      <c r="G561" s="75" t="s">
        <v>177</v>
      </c>
      <c r="H561" s="58" t="s">
        <v>178</v>
      </c>
      <c r="J561" s="57">
        <v>0</v>
      </c>
      <c r="K561" s="24">
        <v>45313.502060185187</v>
      </c>
      <c r="L561" s="23">
        <v>335</v>
      </c>
      <c r="O561" s="51">
        <v>4</v>
      </c>
      <c r="P561" s="30">
        <v>50</v>
      </c>
      <c r="Q561" s="30">
        <v>0</v>
      </c>
    </row>
    <row r="562" spans="2:17" x14ac:dyDescent="0.25">
      <c r="B562" s="42" t="s">
        <v>169</v>
      </c>
      <c r="C562" s="42" t="s">
        <v>255</v>
      </c>
      <c r="D562" s="20" t="s">
        <v>549</v>
      </c>
      <c r="E562" s="21">
        <v>34</v>
      </c>
      <c r="F562" s="1" t="s">
        <v>137</v>
      </c>
      <c r="G562" s="75" t="s">
        <v>141</v>
      </c>
      <c r="H562" s="1" t="s">
        <v>142</v>
      </c>
      <c r="I562" s="1" t="s">
        <v>140</v>
      </c>
      <c r="J562" s="57">
        <v>0</v>
      </c>
      <c r="K562" s="24">
        <v>45313.502106481479</v>
      </c>
      <c r="L562" s="23">
        <v>6463</v>
      </c>
      <c r="O562" s="51">
        <v>10</v>
      </c>
      <c r="P562" s="30">
        <v>3</v>
      </c>
      <c r="Q562" s="30">
        <v>3.9999999999999991</v>
      </c>
    </row>
    <row r="563" spans="2:17" x14ac:dyDescent="0.25">
      <c r="B563" s="42" t="s">
        <v>550</v>
      </c>
      <c r="C563" s="42" t="s">
        <v>116</v>
      </c>
      <c r="D563" s="20" t="s">
        <v>116</v>
      </c>
      <c r="E563" s="20" t="s">
        <v>551</v>
      </c>
      <c r="F563" s="20" t="s">
        <v>68</v>
      </c>
      <c r="G563" s="42" t="s">
        <v>156</v>
      </c>
      <c r="H563" s="1" t="s">
        <v>157</v>
      </c>
      <c r="I563" s="1" t="s">
        <v>154</v>
      </c>
      <c r="J563" s="30">
        <v>1</v>
      </c>
      <c r="K563" s="24">
        <v>45313.737708333334</v>
      </c>
      <c r="L563" s="23">
        <v>47220</v>
      </c>
      <c r="M563" s="1" t="s">
        <v>552</v>
      </c>
      <c r="O563" s="51">
        <v>440</v>
      </c>
      <c r="P563" s="30">
        <v>56</v>
      </c>
      <c r="Q563" s="30">
        <v>360.00000000000085</v>
      </c>
    </row>
    <row r="564" spans="2:17" x14ac:dyDescent="0.25">
      <c r="B564" s="42" t="s">
        <v>314</v>
      </c>
      <c r="C564" s="42" t="s">
        <v>357</v>
      </c>
      <c r="D564" s="20" t="s">
        <v>553</v>
      </c>
      <c r="E564" s="21">
        <v>600</v>
      </c>
      <c r="F564" s="1" t="s">
        <v>145</v>
      </c>
      <c r="G564" s="75" t="s">
        <v>150</v>
      </c>
      <c r="H564" s="1" t="s">
        <v>147</v>
      </c>
      <c r="I564" s="1" t="s">
        <v>148</v>
      </c>
      <c r="J564" s="57">
        <v>0</v>
      </c>
      <c r="K564" s="24">
        <v>45314.640856481485</v>
      </c>
      <c r="L564" s="23">
        <v>2498</v>
      </c>
      <c r="O564" s="51">
        <v>144</v>
      </c>
      <c r="P564" s="30">
        <v>4</v>
      </c>
      <c r="Q564" s="30">
        <v>24.000000000000043</v>
      </c>
    </row>
    <row r="565" spans="2:17" x14ac:dyDescent="0.25">
      <c r="B565" s="42" t="s">
        <v>314</v>
      </c>
      <c r="C565" s="42" t="s">
        <v>554</v>
      </c>
      <c r="D565" s="20" t="s">
        <v>555</v>
      </c>
      <c r="E565" s="21">
        <v>4200</v>
      </c>
      <c r="F565" s="1" t="s">
        <v>68</v>
      </c>
      <c r="G565" s="75" t="s">
        <v>131</v>
      </c>
      <c r="H565" s="1" t="s">
        <v>132</v>
      </c>
      <c r="I565" s="1" t="s">
        <v>115</v>
      </c>
      <c r="J565" s="57">
        <v>0</v>
      </c>
      <c r="K565" s="24">
        <v>45314.642685185187</v>
      </c>
      <c r="L565" s="23">
        <v>-500</v>
      </c>
      <c r="O565" s="51">
        <v>3000</v>
      </c>
      <c r="P565" s="30">
        <v>1</v>
      </c>
      <c r="Q565" s="30">
        <v>1199.9999999999998</v>
      </c>
    </row>
    <row r="566" spans="2:17" x14ac:dyDescent="0.25">
      <c r="B566" s="42" t="s">
        <v>169</v>
      </c>
      <c r="C566" s="42" t="s">
        <v>380</v>
      </c>
      <c r="D566" s="59" t="s">
        <v>556</v>
      </c>
      <c r="E566" s="21">
        <v>1600</v>
      </c>
      <c r="F566" s="1" t="s">
        <v>68</v>
      </c>
      <c r="G566" s="75" t="s">
        <v>181</v>
      </c>
      <c r="H566" s="1" t="s">
        <v>182</v>
      </c>
      <c r="I566" s="1" t="s">
        <v>115</v>
      </c>
      <c r="J566" s="57">
        <v>0</v>
      </c>
      <c r="K566" s="24">
        <v>45314.64329861111</v>
      </c>
      <c r="L566" s="23">
        <v>22200</v>
      </c>
      <c r="O566" s="51">
        <v>2400</v>
      </c>
      <c r="P566" s="30">
        <v>0</v>
      </c>
      <c r="Q566" s="30">
        <v>1600</v>
      </c>
    </row>
    <row r="567" spans="2:17" x14ac:dyDescent="0.25">
      <c r="B567" s="42" t="s">
        <v>169</v>
      </c>
      <c r="C567" s="42" t="s">
        <v>411</v>
      </c>
      <c r="D567" s="59" t="s">
        <v>557</v>
      </c>
      <c r="E567" s="21">
        <v>10</v>
      </c>
      <c r="F567" s="1" t="s">
        <v>68</v>
      </c>
      <c r="G567" s="25" t="s">
        <v>772</v>
      </c>
      <c r="H567" s="1" t="s">
        <v>160</v>
      </c>
      <c r="I567" s="1" t="s">
        <v>154</v>
      </c>
      <c r="J567" s="57">
        <v>0</v>
      </c>
      <c r="K567" s="24">
        <v>45314.64371527778</v>
      </c>
      <c r="L567" s="23">
        <v>169</v>
      </c>
      <c r="O567" s="51">
        <v>4</v>
      </c>
      <c r="P567" s="30">
        <v>2</v>
      </c>
      <c r="Q567" s="30">
        <v>2</v>
      </c>
    </row>
    <row r="568" spans="2:17" x14ac:dyDescent="0.25">
      <c r="B568" s="42" t="s">
        <v>558</v>
      </c>
      <c r="C568" s="42" t="s">
        <v>116</v>
      </c>
      <c r="D568" s="20" t="s">
        <v>116</v>
      </c>
      <c r="E568" s="21">
        <v>15000</v>
      </c>
      <c r="F568" s="1" t="s">
        <v>68</v>
      </c>
      <c r="G568" s="75" t="s">
        <v>131</v>
      </c>
      <c r="H568" s="1" t="s">
        <v>132</v>
      </c>
      <c r="I568" s="1" t="s">
        <v>115</v>
      </c>
      <c r="J568" s="30">
        <v>1</v>
      </c>
      <c r="K568" s="24">
        <v>45314.651909722219</v>
      </c>
      <c r="L568" s="23">
        <v>14500</v>
      </c>
      <c r="M568" s="1" t="s">
        <v>559</v>
      </c>
      <c r="O568" s="51">
        <v>3000</v>
      </c>
      <c r="P568" s="30">
        <v>5</v>
      </c>
      <c r="Q568" s="30">
        <v>0</v>
      </c>
    </row>
    <row r="569" spans="2:17" x14ac:dyDescent="0.25">
      <c r="B569" s="42" t="s">
        <v>558</v>
      </c>
      <c r="C569" s="42" t="s">
        <v>116</v>
      </c>
      <c r="D569" s="20" t="s">
        <v>116</v>
      </c>
      <c r="E569" s="21">
        <v>3000</v>
      </c>
      <c r="F569" s="1" t="s">
        <v>68</v>
      </c>
      <c r="G569" s="75" t="s">
        <v>120</v>
      </c>
      <c r="H569" s="1" t="s">
        <v>121</v>
      </c>
      <c r="I569" s="1" t="s">
        <v>115</v>
      </c>
      <c r="J569" s="30">
        <v>1</v>
      </c>
      <c r="K569" s="24">
        <v>45314.652384259258</v>
      </c>
      <c r="L569" s="23">
        <v>4800</v>
      </c>
      <c r="M569" s="1" t="s">
        <v>559</v>
      </c>
      <c r="O569" s="51">
        <v>2400</v>
      </c>
      <c r="P569" s="30">
        <v>1</v>
      </c>
      <c r="Q569" s="30">
        <v>600</v>
      </c>
    </row>
    <row r="570" spans="2:17" x14ac:dyDescent="0.25">
      <c r="B570" s="42" t="s">
        <v>560</v>
      </c>
      <c r="C570" s="42" t="s">
        <v>116</v>
      </c>
      <c r="D570" s="20" t="s">
        <v>116</v>
      </c>
      <c r="E570" s="21">
        <v>40000</v>
      </c>
      <c r="F570" s="1" t="s">
        <v>68</v>
      </c>
      <c r="G570" s="75" t="s">
        <v>117</v>
      </c>
      <c r="H570" s="1" t="s">
        <v>118</v>
      </c>
      <c r="I570" s="1" t="s">
        <v>115</v>
      </c>
      <c r="J570" s="30">
        <v>1</v>
      </c>
      <c r="K570" s="24">
        <v>45314.65320601852</v>
      </c>
      <c r="L570" s="23">
        <v>48000</v>
      </c>
      <c r="M570" s="1" t="s">
        <v>559</v>
      </c>
      <c r="O570" s="51">
        <v>1200</v>
      </c>
      <c r="P570" s="30">
        <v>33</v>
      </c>
      <c r="Q570" s="30">
        <v>400.00000000000284</v>
      </c>
    </row>
    <row r="571" spans="2:17" x14ac:dyDescent="0.25">
      <c r="B571" s="42" t="s">
        <v>560</v>
      </c>
      <c r="C571" s="42" t="s">
        <v>116</v>
      </c>
      <c r="D571" s="20" t="s">
        <v>116</v>
      </c>
      <c r="E571" s="21">
        <v>10000</v>
      </c>
      <c r="F571" s="1" t="s">
        <v>68</v>
      </c>
      <c r="G571" s="75" t="s">
        <v>135</v>
      </c>
      <c r="H571" s="1" t="s">
        <v>136</v>
      </c>
      <c r="I571" s="1" t="s">
        <v>115</v>
      </c>
      <c r="J571" s="30">
        <v>1</v>
      </c>
      <c r="K571" s="24">
        <v>45314.653599537036</v>
      </c>
      <c r="L571" s="23">
        <v>14600</v>
      </c>
      <c r="M571" s="1" t="s">
        <v>559</v>
      </c>
      <c r="O571" s="51">
        <v>2400</v>
      </c>
      <c r="P571" s="30">
        <v>4</v>
      </c>
      <c r="Q571" s="30">
        <v>400.00000000000068</v>
      </c>
    </row>
    <row r="572" spans="2:17" x14ac:dyDescent="0.25">
      <c r="B572" s="42" t="s">
        <v>169</v>
      </c>
      <c r="C572" s="42" t="s">
        <v>411</v>
      </c>
      <c r="D572" s="59" t="s">
        <v>557</v>
      </c>
      <c r="E572" s="21">
        <v>10</v>
      </c>
      <c r="F572" s="1" t="s">
        <v>68</v>
      </c>
      <c r="G572" s="25" t="s">
        <v>772</v>
      </c>
      <c r="H572" s="1" t="s">
        <v>160</v>
      </c>
      <c r="I572" s="1" t="s">
        <v>154</v>
      </c>
      <c r="J572" s="57">
        <v>0</v>
      </c>
      <c r="K572" s="24">
        <v>45314.714062500003</v>
      </c>
      <c r="L572" s="23">
        <v>159</v>
      </c>
      <c r="O572" s="51">
        <v>4</v>
      </c>
      <c r="P572" s="30">
        <v>2</v>
      </c>
      <c r="Q572" s="30">
        <v>2</v>
      </c>
    </row>
    <row r="573" spans="2:17" x14ac:dyDescent="0.25">
      <c r="B573" s="42" t="s">
        <v>169</v>
      </c>
      <c r="C573" s="42" t="s">
        <v>380</v>
      </c>
      <c r="D573" s="59" t="s">
        <v>556</v>
      </c>
      <c r="E573" s="21">
        <v>1600</v>
      </c>
      <c r="F573" s="1" t="s">
        <v>68</v>
      </c>
      <c r="G573" s="75" t="s">
        <v>181</v>
      </c>
      <c r="H573" s="1" t="s">
        <v>182</v>
      </c>
      <c r="I573" s="1" t="s">
        <v>115</v>
      </c>
      <c r="J573" s="57">
        <v>0</v>
      </c>
      <c r="K573" s="24">
        <v>45314.71466435185</v>
      </c>
      <c r="L573" s="23">
        <v>20600</v>
      </c>
      <c r="O573" s="51">
        <v>2400</v>
      </c>
      <c r="P573" s="30">
        <v>0</v>
      </c>
      <c r="Q573" s="30">
        <v>1600</v>
      </c>
    </row>
    <row r="574" spans="2:17" x14ac:dyDescent="0.25">
      <c r="B574" s="42" t="s">
        <v>314</v>
      </c>
      <c r="C574" s="42" t="s">
        <v>561</v>
      </c>
      <c r="D574" s="20" t="s">
        <v>562</v>
      </c>
      <c r="E574" s="21">
        <v>2600</v>
      </c>
      <c r="F574" s="1" t="s">
        <v>68</v>
      </c>
      <c r="G574" s="75" t="s">
        <v>117</v>
      </c>
      <c r="H574" s="1" t="s">
        <v>118</v>
      </c>
      <c r="I574" s="1" t="s">
        <v>115</v>
      </c>
      <c r="J574" s="57">
        <v>0</v>
      </c>
      <c r="K574" s="24">
        <v>45315.643148148149</v>
      </c>
      <c r="L574" s="23">
        <v>45400</v>
      </c>
      <c r="O574" s="51">
        <v>1200</v>
      </c>
      <c r="P574" s="30">
        <v>2</v>
      </c>
      <c r="Q574" s="30">
        <v>199.99999999999983</v>
      </c>
    </row>
    <row r="575" spans="2:17" x14ac:dyDescent="0.25">
      <c r="B575" s="42" t="s">
        <v>314</v>
      </c>
      <c r="C575" s="42" t="s">
        <v>361</v>
      </c>
      <c r="D575" s="20" t="s">
        <v>563</v>
      </c>
      <c r="E575" s="21">
        <v>17400</v>
      </c>
      <c r="F575" s="1" t="s">
        <v>68</v>
      </c>
      <c r="G575" s="75" t="s">
        <v>117</v>
      </c>
      <c r="H575" s="1" t="s">
        <v>118</v>
      </c>
      <c r="I575" s="1" t="s">
        <v>115</v>
      </c>
      <c r="J575" s="57">
        <v>0</v>
      </c>
      <c r="K575" s="24">
        <v>45315.643784722219</v>
      </c>
      <c r="L575" s="23">
        <v>28000</v>
      </c>
      <c r="O575" s="51">
        <v>1200</v>
      </c>
      <c r="P575" s="30">
        <v>14</v>
      </c>
      <c r="Q575" s="30">
        <v>600</v>
      </c>
    </row>
    <row r="576" spans="2:17" x14ac:dyDescent="0.25">
      <c r="B576" s="42" t="s">
        <v>314</v>
      </c>
      <c r="C576" s="42" t="s">
        <v>258</v>
      </c>
      <c r="D576" s="20" t="s">
        <v>564</v>
      </c>
      <c r="E576" s="21">
        <v>6</v>
      </c>
      <c r="F576" s="1" t="s">
        <v>68</v>
      </c>
      <c r="G576" s="25" t="s">
        <v>771</v>
      </c>
      <c r="H576" s="1" t="s">
        <v>158</v>
      </c>
      <c r="I576" s="1" t="s">
        <v>154</v>
      </c>
      <c r="J576" s="57">
        <v>0</v>
      </c>
      <c r="K576" s="24">
        <v>45315.644305555557</v>
      </c>
      <c r="L576" s="23">
        <v>197</v>
      </c>
      <c r="O576" s="51">
        <v>24</v>
      </c>
      <c r="P576" s="30">
        <v>0</v>
      </c>
      <c r="Q576" s="30">
        <v>6</v>
      </c>
    </row>
    <row r="577" spans="2:17" x14ac:dyDescent="0.25">
      <c r="B577" s="42" t="s">
        <v>314</v>
      </c>
      <c r="C577" s="42" t="s">
        <v>258</v>
      </c>
      <c r="D577" s="20" t="s">
        <v>564</v>
      </c>
      <c r="E577" s="21">
        <v>150</v>
      </c>
      <c r="F577" s="1" t="s">
        <v>68</v>
      </c>
      <c r="G577" s="75" t="s">
        <v>163</v>
      </c>
      <c r="H577" s="1" t="s">
        <v>164</v>
      </c>
      <c r="I577" s="1" t="s">
        <v>115</v>
      </c>
      <c r="J577" s="57">
        <v>0</v>
      </c>
      <c r="K577" s="24">
        <v>45315.644560185188</v>
      </c>
      <c r="L577" s="23">
        <v>1500</v>
      </c>
      <c r="O577" s="51">
        <v>100</v>
      </c>
      <c r="P577" s="30">
        <v>1</v>
      </c>
      <c r="Q577" s="30">
        <v>50</v>
      </c>
    </row>
    <row r="578" spans="2:17" x14ac:dyDescent="0.25">
      <c r="B578" s="42" t="s">
        <v>314</v>
      </c>
      <c r="C578" s="42" t="s">
        <v>357</v>
      </c>
      <c r="D578" s="20" t="s">
        <v>565</v>
      </c>
      <c r="E578" s="21">
        <v>144</v>
      </c>
      <c r="F578" s="1" t="s">
        <v>145</v>
      </c>
      <c r="G578" s="75" t="s">
        <v>150</v>
      </c>
      <c r="H578" s="1" t="s">
        <v>147</v>
      </c>
      <c r="I578" s="1" t="s">
        <v>148</v>
      </c>
      <c r="J578" s="57">
        <v>0</v>
      </c>
      <c r="K578" s="24">
        <v>45315.645069444443</v>
      </c>
      <c r="L578" s="23">
        <v>2354</v>
      </c>
      <c r="O578" s="51">
        <v>144</v>
      </c>
      <c r="P578" s="30">
        <v>1</v>
      </c>
      <c r="Q578" s="30">
        <v>0</v>
      </c>
    </row>
    <row r="579" spans="2:17" x14ac:dyDescent="0.25">
      <c r="B579" s="42" t="s">
        <v>314</v>
      </c>
      <c r="C579" s="42" t="s">
        <v>260</v>
      </c>
      <c r="D579" s="20" t="s">
        <v>566</v>
      </c>
      <c r="E579" s="21">
        <v>15</v>
      </c>
      <c r="F579" s="1" t="s">
        <v>68</v>
      </c>
      <c r="G579" s="75" t="s">
        <v>193</v>
      </c>
      <c r="H579" s="1" t="s">
        <v>194</v>
      </c>
      <c r="J579" s="57">
        <v>0</v>
      </c>
      <c r="K579" s="24">
        <v>45315.645555555559</v>
      </c>
      <c r="L579" s="23">
        <v>10</v>
      </c>
      <c r="O579" s="51">
        <v>36</v>
      </c>
      <c r="P579" s="30">
        <v>0</v>
      </c>
      <c r="Q579" s="30">
        <v>15</v>
      </c>
    </row>
    <row r="580" spans="2:17" x14ac:dyDescent="0.25">
      <c r="B580" s="42" t="s">
        <v>314</v>
      </c>
      <c r="C580" s="42" t="s">
        <v>338</v>
      </c>
      <c r="D580" s="20" t="s">
        <v>564</v>
      </c>
      <c r="E580" s="21">
        <v>2500</v>
      </c>
      <c r="F580" s="1" t="s">
        <v>68</v>
      </c>
      <c r="G580" s="75" t="s">
        <v>156</v>
      </c>
      <c r="H580" s="1" t="s">
        <v>157</v>
      </c>
      <c r="I580" s="1" t="s">
        <v>154</v>
      </c>
      <c r="J580" s="57">
        <v>0</v>
      </c>
      <c r="K580" s="24">
        <v>45315.64603009259</v>
      </c>
      <c r="L580" s="23">
        <v>44720</v>
      </c>
      <c r="O580" s="51">
        <v>440</v>
      </c>
      <c r="P580" s="30">
        <v>5</v>
      </c>
      <c r="Q580" s="30">
        <v>299.99999999999994</v>
      </c>
    </row>
    <row r="581" spans="2:17" x14ac:dyDescent="0.25">
      <c r="B581" s="42" t="s">
        <v>314</v>
      </c>
      <c r="C581" s="42" t="s">
        <v>472</v>
      </c>
      <c r="D581" s="20" t="s">
        <v>567</v>
      </c>
      <c r="E581" s="21">
        <v>195</v>
      </c>
      <c r="F581" s="1" t="s">
        <v>137</v>
      </c>
      <c r="G581" s="75" t="s">
        <v>143</v>
      </c>
      <c r="H581" s="1" t="s">
        <v>144</v>
      </c>
      <c r="I581" s="1" t="s">
        <v>140</v>
      </c>
      <c r="J581" s="57">
        <v>0</v>
      </c>
      <c r="K581" s="24">
        <v>45315.646527777775</v>
      </c>
      <c r="L581" s="23">
        <v>905</v>
      </c>
      <c r="O581" s="51">
        <v>10</v>
      </c>
      <c r="P581" s="30">
        <v>19</v>
      </c>
      <c r="Q581" s="30">
        <v>5</v>
      </c>
    </row>
    <row r="582" spans="2:17" x14ac:dyDescent="0.25">
      <c r="B582" s="42" t="s">
        <v>314</v>
      </c>
      <c r="C582" s="42" t="s">
        <v>472</v>
      </c>
      <c r="D582" s="20" t="s">
        <v>567</v>
      </c>
      <c r="E582" s="21">
        <v>98</v>
      </c>
      <c r="F582" s="1" t="s">
        <v>137</v>
      </c>
      <c r="G582" s="75" t="s">
        <v>138</v>
      </c>
      <c r="H582" s="1" t="s">
        <v>139</v>
      </c>
      <c r="I582" s="1" t="s">
        <v>140</v>
      </c>
      <c r="J582" s="57">
        <v>0</v>
      </c>
      <c r="K582" s="24">
        <v>45315.64671296296</v>
      </c>
      <c r="L582" s="23">
        <v>1260</v>
      </c>
      <c r="O582" s="51">
        <v>10</v>
      </c>
      <c r="P582" s="30">
        <v>9</v>
      </c>
      <c r="Q582" s="30">
        <v>8.0000000000000071</v>
      </c>
    </row>
    <row r="583" spans="2:17" x14ac:dyDescent="0.25">
      <c r="B583" s="42" t="s">
        <v>314</v>
      </c>
      <c r="C583" s="42" t="s">
        <v>472</v>
      </c>
      <c r="D583" s="20" t="s">
        <v>567</v>
      </c>
      <c r="E583" s="21">
        <v>98</v>
      </c>
      <c r="F583" s="1" t="s">
        <v>137</v>
      </c>
      <c r="G583" s="75" t="s">
        <v>141</v>
      </c>
      <c r="H583" s="1" t="s">
        <v>142</v>
      </c>
      <c r="I583" s="1" t="s">
        <v>140</v>
      </c>
      <c r="J583" s="57">
        <v>0</v>
      </c>
      <c r="K583" s="24">
        <v>45315.646909722222</v>
      </c>
      <c r="L583" s="23">
        <v>6365</v>
      </c>
      <c r="O583" s="51">
        <v>10</v>
      </c>
      <c r="P583" s="30">
        <v>9</v>
      </c>
      <c r="Q583" s="30">
        <v>8.0000000000000071</v>
      </c>
    </row>
    <row r="584" spans="2:17" x14ac:dyDescent="0.25">
      <c r="B584" s="42" t="s">
        <v>314</v>
      </c>
      <c r="C584" s="42" t="s">
        <v>497</v>
      </c>
      <c r="D584" s="20" t="s">
        <v>568</v>
      </c>
      <c r="E584" s="21">
        <v>36</v>
      </c>
      <c r="F584" s="1" t="s">
        <v>68</v>
      </c>
      <c r="G584" s="75" t="s">
        <v>177</v>
      </c>
      <c r="H584" s="1" t="s">
        <v>178</v>
      </c>
      <c r="J584" s="57">
        <v>0</v>
      </c>
      <c r="K584" s="24">
        <v>45315.647453703707</v>
      </c>
      <c r="L584" s="23">
        <v>299</v>
      </c>
      <c r="O584" s="51">
        <v>4</v>
      </c>
      <c r="P584" s="30">
        <v>9</v>
      </c>
      <c r="Q584" s="30">
        <v>0</v>
      </c>
    </row>
    <row r="585" spans="2:17" x14ac:dyDescent="0.25">
      <c r="B585" s="42" t="s">
        <v>314</v>
      </c>
      <c r="C585" s="42" t="s">
        <v>259</v>
      </c>
      <c r="D585" s="20" t="s">
        <v>569</v>
      </c>
      <c r="E585" s="21">
        <v>300</v>
      </c>
      <c r="F585" s="1" t="s">
        <v>68</v>
      </c>
      <c r="G585" s="75" t="s">
        <v>170</v>
      </c>
      <c r="H585" s="1" t="s">
        <v>171</v>
      </c>
      <c r="I585" s="1" t="s">
        <v>172</v>
      </c>
      <c r="J585" s="57">
        <v>0</v>
      </c>
      <c r="K585" s="24">
        <v>45315.647893518515</v>
      </c>
      <c r="L585" s="23">
        <v>2112</v>
      </c>
      <c r="O585" s="51">
        <v>36</v>
      </c>
      <c r="P585" s="30">
        <v>8</v>
      </c>
      <c r="Q585" s="30">
        <v>12.000000000000021</v>
      </c>
    </row>
    <row r="586" spans="2:17" x14ac:dyDescent="0.25">
      <c r="B586" s="42" t="s">
        <v>314</v>
      </c>
      <c r="C586" s="42" t="s">
        <v>259</v>
      </c>
      <c r="D586" s="20" t="s">
        <v>569</v>
      </c>
      <c r="E586" s="21">
        <v>10</v>
      </c>
      <c r="F586" s="1" t="s">
        <v>68</v>
      </c>
      <c r="G586" s="25" t="s">
        <v>772</v>
      </c>
      <c r="H586" s="1" t="s">
        <v>160</v>
      </c>
      <c r="I586" s="1" t="s">
        <v>154</v>
      </c>
      <c r="J586" s="57">
        <v>0</v>
      </c>
      <c r="K586" s="24">
        <v>45315.6481712963</v>
      </c>
      <c r="L586" s="23">
        <v>149</v>
      </c>
      <c r="O586" s="51">
        <v>4</v>
      </c>
      <c r="P586" s="30">
        <v>2</v>
      </c>
      <c r="Q586" s="30">
        <v>2</v>
      </c>
    </row>
    <row r="587" spans="2:17" x14ac:dyDescent="0.25">
      <c r="B587" s="42" t="s">
        <v>314</v>
      </c>
      <c r="C587" s="42" t="s">
        <v>502</v>
      </c>
      <c r="D587" s="20" t="s">
        <v>570</v>
      </c>
      <c r="E587" s="21">
        <v>12000</v>
      </c>
      <c r="F587" s="1" t="s">
        <v>68</v>
      </c>
      <c r="G587" s="75" t="s">
        <v>113</v>
      </c>
      <c r="H587" s="1" t="s">
        <v>114</v>
      </c>
      <c r="I587" s="1" t="s">
        <v>115</v>
      </c>
      <c r="J587" s="57">
        <v>0</v>
      </c>
      <c r="K587" s="24">
        <v>45315.648645833331</v>
      </c>
      <c r="L587" s="23">
        <v>109800</v>
      </c>
      <c r="O587" s="51">
        <v>2400</v>
      </c>
      <c r="P587" s="30">
        <v>5</v>
      </c>
      <c r="Q587" s="30">
        <v>0</v>
      </c>
    </row>
    <row r="588" spans="2:17" x14ac:dyDescent="0.25">
      <c r="B588" s="42" t="s">
        <v>314</v>
      </c>
      <c r="C588" s="42" t="s">
        <v>422</v>
      </c>
      <c r="D588" s="20" t="s">
        <v>571</v>
      </c>
      <c r="E588" s="21">
        <v>2</v>
      </c>
      <c r="F588" s="1" t="s">
        <v>68</v>
      </c>
      <c r="G588" s="25" t="s">
        <v>423</v>
      </c>
      <c r="H588" s="1" t="s">
        <v>192</v>
      </c>
      <c r="J588" s="57">
        <v>0</v>
      </c>
      <c r="K588" s="24">
        <v>45315.649085648147</v>
      </c>
      <c r="L588" s="23">
        <v>42</v>
      </c>
      <c r="O588" s="51">
        <v>40</v>
      </c>
      <c r="P588" s="30">
        <v>0</v>
      </c>
      <c r="Q588" s="30">
        <v>2</v>
      </c>
    </row>
    <row r="589" spans="2:17" x14ac:dyDescent="0.25">
      <c r="B589" s="42" t="s">
        <v>314</v>
      </c>
      <c r="C589" s="42" t="s">
        <v>422</v>
      </c>
      <c r="D589" s="20" t="s">
        <v>571</v>
      </c>
      <c r="E589" s="21">
        <v>120</v>
      </c>
      <c r="F589" s="1" t="s">
        <v>68</v>
      </c>
      <c r="G589" s="25" t="s">
        <v>212</v>
      </c>
      <c r="H589" s="1" t="s">
        <v>213</v>
      </c>
      <c r="I589" s="1" t="s">
        <v>154</v>
      </c>
      <c r="J589" s="57">
        <v>0</v>
      </c>
      <c r="K589" s="24">
        <v>45315.649363425924</v>
      </c>
      <c r="L589" s="23">
        <v>7640</v>
      </c>
      <c r="O589" s="51">
        <v>100</v>
      </c>
      <c r="P589" s="30">
        <v>1</v>
      </c>
      <c r="Q589" s="30">
        <v>19.999999999999996</v>
      </c>
    </row>
    <row r="590" spans="2:17" x14ac:dyDescent="0.25">
      <c r="B590" s="42" t="s">
        <v>314</v>
      </c>
      <c r="C590" s="42" t="s">
        <v>422</v>
      </c>
      <c r="D590" s="20" t="s">
        <v>571</v>
      </c>
      <c r="E590" s="21">
        <v>12000</v>
      </c>
      <c r="F590" s="1" t="s">
        <v>68</v>
      </c>
      <c r="G590" s="25" t="s">
        <v>133</v>
      </c>
      <c r="H590" s="1" t="s">
        <v>134</v>
      </c>
      <c r="I590" s="1" t="s">
        <v>115</v>
      </c>
      <c r="J590" s="57">
        <v>0</v>
      </c>
      <c r="K590" s="24">
        <v>45315.649583333332</v>
      </c>
      <c r="L590" s="23">
        <v>161700</v>
      </c>
      <c r="O590" s="51">
        <v>2400</v>
      </c>
      <c r="P590" s="30">
        <v>5</v>
      </c>
      <c r="Q590" s="30">
        <v>0</v>
      </c>
    </row>
    <row r="591" spans="2:17" x14ac:dyDescent="0.25">
      <c r="B591" s="42" t="s">
        <v>122</v>
      </c>
      <c r="C591" s="42" t="s">
        <v>122</v>
      </c>
      <c r="D591" s="20" t="s">
        <v>122</v>
      </c>
      <c r="E591" s="20" t="s">
        <v>572</v>
      </c>
      <c r="F591" s="20" t="s">
        <v>68</v>
      </c>
      <c r="G591" s="42" t="s">
        <v>122</v>
      </c>
      <c r="H591" s="28" t="s">
        <v>351</v>
      </c>
      <c r="I591" s="1" t="s">
        <v>66</v>
      </c>
      <c r="J591" s="57"/>
      <c r="K591" s="24">
        <v>45316.37940972222</v>
      </c>
      <c r="O591" s="51">
        <v>100</v>
      </c>
      <c r="P591" s="30">
        <v>0</v>
      </c>
      <c r="Q591" s="30">
        <v>1</v>
      </c>
    </row>
    <row r="592" spans="2:17" x14ac:dyDescent="0.25">
      <c r="B592" s="42" t="s">
        <v>169</v>
      </c>
      <c r="C592" s="42" t="s">
        <v>303</v>
      </c>
      <c r="D592" s="20" t="s">
        <v>573</v>
      </c>
      <c r="E592" s="21">
        <v>5600</v>
      </c>
      <c r="F592" s="1" t="s">
        <v>68</v>
      </c>
      <c r="G592" s="42" t="s">
        <v>133</v>
      </c>
      <c r="H592" s="1" t="s">
        <v>134</v>
      </c>
      <c r="I592" s="1" t="s">
        <v>115</v>
      </c>
      <c r="J592" s="57">
        <v>0</v>
      </c>
      <c r="K592" s="24">
        <v>45320.577719907407</v>
      </c>
      <c r="L592" s="23">
        <v>156100</v>
      </c>
      <c r="O592" s="51">
        <v>2400</v>
      </c>
      <c r="P592" s="30">
        <v>2</v>
      </c>
      <c r="Q592" s="30">
        <v>800.00000000000034</v>
      </c>
    </row>
    <row r="593" spans="2:17" x14ac:dyDescent="0.25">
      <c r="B593" s="42" t="s">
        <v>169</v>
      </c>
      <c r="C593" s="42" t="s">
        <v>303</v>
      </c>
      <c r="D593" s="20" t="s">
        <v>573</v>
      </c>
      <c r="E593" s="21">
        <v>50</v>
      </c>
      <c r="F593" s="1" t="s">
        <v>68</v>
      </c>
      <c r="G593" s="25" t="s">
        <v>771</v>
      </c>
      <c r="H593" s="1" t="s">
        <v>158</v>
      </c>
      <c r="I593" s="1" t="s">
        <v>154</v>
      </c>
      <c r="J593" s="57">
        <v>0</v>
      </c>
      <c r="K593" s="24">
        <v>45320.577928240738</v>
      </c>
      <c r="L593" s="23">
        <v>147</v>
      </c>
      <c r="O593" s="51">
        <v>24</v>
      </c>
      <c r="P593" s="30">
        <v>2</v>
      </c>
      <c r="Q593" s="30">
        <v>2.0000000000000036</v>
      </c>
    </row>
    <row r="594" spans="2:17" x14ac:dyDescent="0.25">
      <c r="B594" s="42" t="s">
        <v>169</v>
      </c>
      <c r="C594" s="42" t="s">
        <v>411</v>
      </c>
      <c r="D594" s="20" t="s">
        <v>574</v>
      </c>
      <c r="E594" s="21">
        <v>10</v>
      </c>
      <c r="F594" s="1" t="s">
        <v>68</v>
      </c>
      <c r="G594" s="25" t="s">
        <v>772</v>
      </c>
      <c r="H594" s="1" t="s">
        <v>160</v>
      </c>
      <c r="I594" s="1" t="s">
        <v>154</v>
      </c>
      <c r="J594" s="57">
        <v>0</v>
      </c>
      <c r="K594" s="24">
        <v>45320.578472222223</v>
      </c>
      <c r="L594" s="23">
        <v>139</v>
      </c>
      <c r="O594" s="51">
        <v>4</v>
      </c>
      <c r="P594" s="30">
        <v>2</v>
      </c>
      <c r="Q594" s="30">
        <v>2</v>
      </c>
    </row>
    <row r="595" spans="2:17" x14ac:dyDescent="0.25">
      <c r="B595" s="42" t="s">
        <v>169</v>
      </c>
      <c r="C595" s="42" t="s">
        <v>575</v>
      </c>
      <c r="D595" s="20" t="s">
        <v>576</v>
      </c>
      <c r="E595" s="21">
        <v>900</v>
      </c>
      <c r="F595" s="1" t="s">
        <v>68</v>
      </c>
      <c r="G595" s="25" t="s">
        <v>774</v>
      </c>
      <c r="H595" s="1" t="s">
        <v>189</v>
      </c>
      <c r="I595" s="1" t="s">
        <v>154</v>
      </c>
      <c r="J595" s="57">
        <v>0</v>
      </c>
      <c r="K595" s="24">
        <v>45320.579062500001</v>
      </c>
      <c r="L595" s="23">
        <v>2210</v>
      </c>
      <c r="O595" s="51">
        <v>100</v>
      </c>
      <c r="P595" s="30">
        <v>9</v>
      </c>
      <c r="Q595" s="30">
        <v>0</v>
      </c>
    </row>
    <row r="596" spans="2:17" x14ac:dyDescent="0.25">
      <c r="B596" s="42" t="s">
        <v>169</v>
      </c>
      <c r="C596" s="42" t="s">
        <v>575</v>
      </c>
      <c r="D596" s="20" t="s">
        <v>576</v>
      </c>
      <c r="E596" s="21">
        <v>200</v>
      </c>
      <c r="F596" s="1" t="s">
        <v>68</v>
      </c>
      <c r="G596" s="25" t="s">
        <v>152</v>
      </c>
      <c r="H596" s="1" t="s">
        <v>153</v>
      </c>
      <c r="I596" s="1" t="s">
        <v>154</v>
      </c>
      <c r="J596" s="57">
        <v>0</v>
      </c>
      <c r="K596" s="24">
        <v>45320.579467592594</v>
      </c>
      <c r="L596" s="23">
        <v>496</v>
      </c>
      <c r="O596" s="51">
        <v>24</v>
      </c>
      <c r="P596" s="30">
        <v>8</v>
      </c>
      <c r="Q596" s="30">
        <v>8.0000000000000142</v>
      </c>
    </row>
    <row r="597" spans="2:17" x14ac:dyDescent="0.25">
      <c r="B597" s="42" t="s">
        <v>169</v>
      </c>
      <c r="C597" s="42" t="s">
        <v>575</v>
      </c>
      <c r="D597" s="20" t="s">
        <v>576</v>
      </c>
      <c r="E597" s="21">
        <v>120</v>
      </c>
      <c r="F597" s="1" t="s">
        <v>68</v>
      </c>
      <c r="G597" s="25" t="s">
        <v>161</v>
      </c>
      <c r="H597" s="1" t="s">
        <v>162</v>
      </c>
      <c r="I597" s="1" t="s">
        <v>115</v>
      </c>
      <c r="J597" s="57">
        <v>0</v>
      </c>
      <c r="K597" s="24">
        <v>45320.579687500001</v>
      </c>
      <c r="L597" s="23">
        <v>1186</v>
      </c>
      <c r="O597" s="51">
        <v>200</v>
      </c>
      <c r="P597" s="30">
        <v>0</v>
      </c>
      <c r="Q597" s="30">
        <v>120</v>
      </c>
    </row>
    <row r="598" spans="2:17" x14ac:dyDescent="0.25">
      <c r="B598" s="42" t="s">
        <v>169</v>
      </c>
      <c r="C598" s="42" t="s">
        <v>530</v>
      </c>
      <c r="D598" s="20" t="s">
        <v>577</v>
      </c>
      <c r="E598" s="21">
        <v>400</v>
      </c>
      <c r="F598" s="1" t="s">
        <v>68</v>
      </c>
      <c r="G598" s="42" t="s">
        <v>129</v>
      </c>
      <c r="H598" s="1" t="s">
        <v>130</v>
      </c>
      <c r="I598" s="1" t="s">
        <v>115</v>
      </c>
      <c r="J598" s="57">
        <v>0</v>
      </c>
      <c r="K598" s="24">
        <v>45320.580335648148</v>
      </c>
      <c r="L598" s="23">
        <v>28800</v>
      </c>
      <c r="O598" s="51">
        <v>2400</v>
      </c>
      <c r="P598" s="30">
        <v>0</v>
      </c>
      <c r="Q598" s="30">
        <v>400</v>
      </c>
    </row>
    <row r="599" spans="2:17" x14ac:dyDescent="0.25">
      <c r="B599" s="42" t="s">
        <v>169</v>
      </c>
      <c r="C599" s="42" t="s">
        <v>530</v>
      </c>
      <c r="D599" s="20" t="s">
        <v>577</v>
      </c>
      <c r="E599" s="21">
        <v>200</v>
      </c>
      <c r="F599" s="1" t="s">
        <v>68</v>
      </c>
      <c r="G599" s="25" t="s">
        <v>123</v>
      </c>
      <c r="H599" s="1" t="s">
        <v>124</v>
      </c>
      <c r="I599" s="1" t="s">
        <v>115</v>
      </c>
      <c r="J599" s="57">
        <v>0</v>
      </c>
      <c r="K599" s="24">
        <v>45320.580659722225</v>
      </c>
      <c r="L599" s="23">
        <v>4000</v>
      </c>
      <c r="O599" s="51">
        <v>3000</v>
      </c>
      <c r="P599" s="30">
        <v>0</v>
      </c>
      <c r="Q599" s="30">
        <v>200</v>
      </c>
    </row>
    <row r="600" spans="2:17" x14ac:dyDescent="0.25">
      <c r="B600" s="42" t="s">
        <v>314</v>
      </c>
      <c r="C600" s="42" t="s">
        <v>422</v>
      </c>
      <c r="D600" s="20" t="s">
        <v>578</v>
      </c>
      <c r="E600" s="21">
        <v>12000</v>
      </c>
      <c r="F600" s="1" t="s">
        <v>68</v>
      </c>
      <c r="G600" s="42" t="s">
        <v>133</v>
      </c>
      <c r="H600" s="1" t="s">
        <v>134</v>
      </c>
      <c r="I600" s="1" t="s">
        <v>115</v>
      </c>
      <c r="J600" s="57">
        <v>0</v>
      </c>
      <c r="K600" s="24">
        <v>45324.383287037039</v>
      </c>
      <c r="L600" s="23">
        <v>144100</v>
      </c>
      <c r="O600" s="51">
        <v>2400</v>
      </c>
      <c r="P600" s="30">
        <v>5</v>
      </c>
      <c r="Q600" s="30">
        <v>0</v>
      </c>
    </row>
    <row r="601" spans="2:17" x14ac:dyDescent="0.25">
      <c r="B601" s="42" t="s">
        <v>314</v>
      </c>
      <c r="C601" s="42" t="s">
        <v>422</v>
      </c>
      <c r="D601" s="20" t="s">
        <v>578</v>
      </c>
      <c r="E601" s="21">
        <v>120</v>
      </c>
      <c r="F601" s="1" t="s">
        <v>68</v>
      </c>
      <c r="G601" s="25" t="s">
        <v>212</v>
      </c>
      <c r="H601" s="1" t="s">
        <v>213</v>
      </c>
      <c r="I601" s="1" t="s">
        <v>154</v>
      </c>
      <c r="J601" s="57">
        <v>0</v>
      </c>
      <c r="K601" s="24">
        <v>45324.383414351854</v>
      </c>
      <c r="L601" s="23">
        <v>7520</v>
      </c>
      <c r="O601" s="51">
        <v>100</v>
      </c>
      <c r="P601" s="30">
        <v>1</v>
      </c>
      <c r="Q601" s="30">
        <v>19.999999999999996</v>
      </c>
    </row>
    <row r="602" spans="2:17" x14ac:dyDescent="0.25">
      <c r="B602" s="42" t="s">
        <v>314</v>
      </c>
      <c r="C602" s="42" t="s">
        <v>422</v>
      </c>
      <c r="D602" s="20" t="s">
        <v>578</v>
      </c>
      <c r="E602" s="21">
        <v>2</v>
      </c>
      <c r="F602" s="1" t="s">
        <v>68</v>
      </c>
      <c r="G602" s="25" t="s">
        <v>423</v>
      </c>
      <c r="H602" s="1" t="s">
        <v>192</v>
      </c>
      <c r="J602" s="57">
        <v>0</v>
      </c>
      <c r="K602" s="24">
        <v>45324.383483796293</v>
      </c>
      <c r="L602" s="23">
        <v>40</v>
      </c>
      <c r="O602" s="51">
        <v>40</v>
      </c>
      <c r="P602" s="30">
        <v>0</v>
      </c>
      <c r="Q602" s="30">
        <v>2</v>
      </c>
    </row>
    <row r="603" spans="2:17" x14ac:dyDescent="0.25">
      <c r="B603" s="42" t="s">
        <v>314</v>
      </c>
      <c r="C603" s="42" t="s">
        <v>338</v>
      </c>
      <c r="D603" s="20" t="s">
        <v>579</v>
      </c>
      <c r="E603" s="21">
        <v>2500</v>
      </c>
      <c r="F603" s="1" t="s">
        <v>68</v>
      </c>
      <c r="G603" s="42" t="s">
        <v>156</v>
      </c>
      <c r="H603" s="1" t="s">
        <v>157</v>
      </c>
      <c r="I603" s="1" t="s">
        <v>154</v>
      </c>
      <c r="J603" s="57">
        <v>0</v>
      </c>
      <c r="K603" s="24">
        <v>45324.383784722224</v>
      </c>
      <c r="L603" s="23">
        <v>42220</v>
      </c>
      <c r="O603" s="51">
        <v>440</v>
      </c>
      <c r="P603" s="30">
        <v>5</v>
      </c>
      <c r="Q603" s="30">
        <v>299.99999999999994</v>
      </c>
    </row>
    <row r="604" spans="2:17" x14ac:dyDescent="0.25">
      <c r="B604" s="42" t="s">
        <v>314</v>
      </c>
      <c r="C604" s="42" t="s">
        <v>338</v>
      </c>
      <c r="D604" s="20" t="s">
        <v>579</v>
      </c>
      <c r="E604" s="21">
        <v>80</v>
      </c>
      <c r="F604" s="1" t="s">
        <v>68</v>
      </c>
      <c r="G604" s="25" t="s">
        <v>119</v>
      </c>
      <c r="H604" s="1" t="s">
        <v>173</v>
      </c>
      <c r="J604" s="57">
        <v>0</v>
      </c>
      <c r="K604" s="24">
        <v>45324.383923611109</v>
      </c>
      <c r="L604" s="23">
        <v>112</v>
      </c>
      <c r="O604" s="51">
        <v>96</v>
      </c>
      <c r="P604" s="30">
        <v>0</v>
      </c>
      <c r="Q604" s="30">
        <v>80</v>
      </c>
    </row>
    <row r="605" spans="2:17" x14ac:dyDescent="0.25">
      <c r="B605" s="42" t="s">
        <v>314</v>
      </c>
      <c r="C605" s="42" t="s">
        <v>260</v>
      </c>
      <c r="D605" s="20" t="s">
        <v>580</v>
      </c>
      <c r="E605" s="21">
        <v>2</v>
      </c>
      <c r="F605" s="1" t="s">
        <v>68</v>
      </c>
      <c r="G605" s="42" t="s">
        <v>193</v>
      </c>
      <c r="H605" s="1" t="s">
        <v>194</v>
      </c>
      <c r="J605" s="57">
        <v>0</v>
      </c>
      <c r="K605" s="24">
        <v>45324.384108796294</v>
      </c>
      <c r="L605" s="23">
        <v>8</v>
      </c>
      <c r="O605" s="51">
        <v>36</v>
      </c>
      <c r="P605" s="30">
        <v>0</v>
      </c>
      <c r="Q605" s="30">
        <v>2</v>
      </c>
    </row>
    <row r="606" spans="2:17" x14ac:dyDescent="0.25">
      <c r="B606" s="42" t="s">
        <v>314</v>
      </c>
      <c r="C606" s="42" t="s">
        <v>260</v>
      </c>
      <c r="D606" s="20" t="s">
        <v>580</v>
      </c>
      <c r="E606" s="21">
        <v>120</v>
      </c>
      <c r="F606" s="1" t="s">
        <v>68</v>
      </c>
      <c r="G606" s="25" t="s">
        <v>420</v>
      </c>
      <c r="H606" s="1" t="s">
        <v>159</v>
      </c>
      <c r="I606" s="1" t="s">
        <v>154</v>
      </c>
      <c r="J606" s="57">
        <v>0</v>
      </c>
      <c r="K606" s="24">
        <v>45324.384189814817</v>
      </c>
      <c r="L606" s="23">
        <v>5000</v>
      </c>
      <c r="O606" s="51">
        <v>60</v>
      </c>
      <c r="P606" s="30">
        <v>2</v>
      </c>
      <c r="Q606" s="30">
        <v>0</v>
      </c>
    </row>
    <row r="607" spans="2:17" x14ac:dyDescent="0.25">
      <c r="B607" s="42" t="s">
        <v>314</v>
      </c>
      <c r="C607" s="42" t="s">
        <v>259</v>
      </c>
      <c r="D607" s="20" t="s">
        <v>581</v>
      </c>
      <c r="E607" s="21">
        <v>10</v>
      </c>
      <c r="F607" s="1" t="s">
        <v>68</v>
      </c>
      <c r="G607" s="25" t="s">
        <v>772</v>
      </c>
      <c r="H607" s="1" t="s">
        <v>160</v>
      </c>
      <c r="I607" s="1" t="s">
        <v>154</v>
      </c>
      <c r="J607" s="57">
        <v>0</v>
      </c>
      <c r="K607" s="24">
        <v>45324.384236111109</v>
      </c>
      <c r="L607" s="23">
        <v>129</v>
      </c>
      <c r="O607" s="51">
        <v>4</v>
      </c>
      <c r="P607" s="30">
        <v>2</v>
      </c>
      <c r="Q607" s="30">
        <v>2</v>
      </c>
    </row>
    <row r="608" spans="2:17" x14ac:dyDescent="0.25">
      <c r="B608" s="42" t="s">
        <v>314</v>
      </c>
      <c r="C608" s="42" t="s">
        <v>258</v>
      </c>
      <c r="D608" s="20" t="s">
        <v>582</v>
      </c>
      <c r="E608" s="21">
        <v>6</v>
      </c>
      <c r="F608" s="1" t="s">
        <v>68</v>
      </c>
      <c r="G608" s="25" t="s">
        <v>771</v>
      </c>
      <c r="H608" s="1" t="s">
        <v>158</v>
      </c>
      <c r="I608" s="1" t="s">
        <v>154</v>
      </c>
      <c r="J608" s="57">
        <v>0</v>
      </c>
      <c r="K608" s="24">
        <v>45324.384259259263</v>
      </c>
      <c r="L608" s="23">
        <v>141</v>
      </c>
      <c r="O608" s="51">
        <v>24</v>
      </c>
      <c r="P608" s="30">
        <v>0</v>
      </c>
      <c r="Q608" s="30">
        <v>6</v>
      </c>
    </row>
    <row r="609" spans="2:17" x14ac:dyDescent="0.25">
      <c r="B609" s="42" t="s">
        <v>314</v>
      </c>
      <c r="C609" s="42" t="s">
        <v>472</v>
      </c>
      <c r="D609" s="20" t="s">
        <v>583</v>
      </c>
      <c r="E609" s="21">
        <v>120</v>
      </c>
      <c r="F609" s="1" t="s">
        <v>137</v>
      </c>
      <c r="G609" s="42" t="s">
        <v>143</v>
      </c>
      <c r="H609" s="1" t="s">
        <v>144</v>
      </c>
      <c r="I609" s="1" t="s">
        <v>140</v>
      </c>
      <c r="J609" s="57">
        <v>0</v>
      </c>
      <c r="K609" s="24">
        <v>45324.384282407409</v>
      </c>
      <c r="L609" s="23">
        <v>785</v>
      </c>
      <c r="O609" s="51">
        <v>10</v>
      </c>
      <c r="P609" s="30">
        <v>12</v>
      </c>
      <c r="Q609" s="30">
        <v>0</v>
      </c>
    </row>
    <row r="610" spans="2:17" x14ac:dyDescent="0.25">
      <c r="B610" s="42" t="s">
        <v>314</v>
      </c>
      <c r="C610" s="42" t="s">
        <v>472</v>
      </c>
      <c r="D610" s="20" t="s">
        <v>583</v>
      </c>
      <c r="E610" s="21">
        <v>60</v>
      </c>
      <c r="F610" s="1" t="s">
        <v>137</v>
      </c>
      <c r="G610" s="42" t="s">
        <v>138</v>
      </c>
      <c r="H610" s="1" t="s">
        <v>139</v>
      </c>
      <c r="I610" s="1" t="s">
        <v>140</v>
      </c>
      <c r="J610" s="57">
        <v>0</v>
      </c>
      <c r="K610" s="24">
        <v>45324.384340277778</v>
      </c>
      <c r="L610" s="23">
        <v>1200</v>
      </c>
      <c r="O610" s="51">
        <v>10</v>
      </c>
      <c r="P610" s="30">
        <v>6</v>
      </c>
      <c r="Q610" s="30">
        <v>0</v>
      </c>
    </row>
    <row r="611" spans="2:17" x14ac:dyDescent="0.25">
      <c r="B611" s="42" t="s">
        <v>314</v>
      </c>
      <c r="C611" s="42" t="s">
        <v>472</v>
      </c>
      <c r="D611" s="20" t="s">
        <v>583</v>
      </c>
      <c r="E611" s="21">
        <v>60</v>
      </c>
      <c r="F611" s="1" t="s">
        <v>137</v>
      </c>
      <c r="G611" s="42" t="s">
        <v>141</v>
      </c>
      <c r="H611" s="1" t="s">
        <v>142</v>
      </c>
      <c r="I611" s="1" t="s">
        <v>140</v>
      </c>
      <c r="J611" s="57">
        <v>0</v>
      </c>
      <c r="K611" s="24">
        <v>45324.384375000001</v>
      </c>
      <c r="L611" s="23">
        <v>6305</v>
      </c>
      <c r="O611" s="51">
        <v>10</v>
      </c>
      <c r="P611" s="30">
        <v>6</v>
      </c>
      <c r="Q611" s="30">
        <v>0</v>
      </c>
    </row>
    <row r="612" spans="2:17" x14ac:dyDescent="0.25">
      <c r="B612" s="42" t="s">
        <v>314</v>
      </c>
      <c r="C612" s="42" t="s">
        <v>357</v>
      </c>
      <c r="D612" s="20" t="s">
        <v>584</v>
      </c>
      <c r="E612" s="21">
        <v>144</v>
      </c>
      <c r="F612" s="1" t="s">
        <v>145</v>
      </c>
      <c r="G612" s="42" t="s">
        <v>150</v>
      </c>
      <c r="H612" s="1" t="s">
        <v>147</v>
      </c>
      <c r="I612" s="1" t="s">
        <v>148</v>
      </c>
      <c r="J612" s="57">
        <v>0</v>
      </c>
      <c r="K612" s="24">
        <v>45324.384409722225</v>
      </c>
      <c r="L612" s="23">
        <v>2210</v>
      </c>
      <c r="O612" s="51">
        <v>144</v>
      </c>
      <c r="P612" s="30">
        <v>1</v>
      </c>
      <c r="Q612" s="30">
        <v>0</v>
      </c>
    </row>
    <row r="613" spans="2:17" x14ac:dyDescent="0.25">
      <c r="B613" s="42" t="s">
        <v>314</v>
      </c>
      <c r="C613" s="42" t="s">
        <v>585</v>
      </c>
      <c r="D613" s="20" t="s">
        <v>586</v>
      </c>
      <c r="E613" s="21">
        <v>6</v>
      </c>
      <c r="F613" s="1" t="s">
        <v>68</v>
      </c>
      <c r="G613" s="42" t="s">
        <v>168</v>
      </c>
      <c r="H613" s="1" t="s">
        <v>166</v>
      </c>
      <c r="J613" s="57">
        <v>0</v>
      </c>
      <c r="K613" s="24">
        <v>45324.384432870371</v>
      </c>
      <c r="L613" s="23">
        <v>1208</v>
      </c>
      <c r="O613" s="51">
        <v>12</v>
      </c>
      <c r="P613" s="30">
        <v>0</v>
      </c>
      <c r="Q613" s="30">
        <v>6</v>
      </c>
    </row>
    <row r="614" spans="2:17" x14ac:dyDescent="0.25">
      <c r="B614" s="42" t="s">
        <v>314</v>
      </c>
      <c r="C614" s="42" t="s">
        <v>585</v>
      </c>
      <c r="D614" s="20" t="s">
        <v>586</v>
      </c>
      <c r="E614" s="21">
        <v>200</v>
      </c>
      <c r="F614" s="1" t="s">
        <v>68</v>
      </c>
      <c r="G614" s="42" t="s">
        <v>163</v>
      </c>
      <c r="H614" s="1" t="s">
        <v>164</v>
      </c>
      <c r="I614" s="1" t="s">
        <v>115</v>
      </c>
      <c r="J614" s="57">
        <v>0</v>
      </c>
      <c r="K614" s="24">
        <v>45324.384479166663</v>
      </c>
      <c r="L614" s="23">
        <v>1300</v>
      </c>
      <c r="O614" s="51">
        <v>100</v>
      </c>
      <c r="P614" s="30">
        <v>2</v>
      </c>
      <c r="Q614" s="30">
        <v>0</v>
      </c>
    </row>
    <row r="615" spans="2:17" x14ac:dyDescent="0.25">
      <c r="B615" s="42" t="s">
        <v>314</v>
      </c>
      <c r="C615" s="42" t="s">
        <v>587</v>
      </c>
      <c r="D615" s="20" t="s">
        <v>588</v>
      </c>
      <c r="E615" s="21">
        <v>240</v>
      </c>
      <c r="F615" s="1" t="s">
        <v>68</v>
      </c>
      <c r="G615" s="42" t="s">
        <v>174</v>
      </c>
      <c r="H615" s="1" t="s">
        <v>175</v>
      </c>
      <c r="I615" s="1" t="s">
        <v>176</v>
      </c>
      <c r="J615" s="57">
        <v>0</v>
      </c>
      <c r="K615" s="24">
        <v>45324.384525462963</v>
      </c>
      <c r="L615" s="23">
        <v>1760</v>
      </c>
      <c r="O615" s="51">
        <v>300</v>
      </c>
      <c r="P615" s="30">
        <v>0</v>
      </c>
      <c r="Q615" s="30">
        <v>240</v>
      </c>
    </row>
    <row r="616" spans="2:17" x14ac:dyDescent="0.25">
      <c r="B616" s="42" t="s">
        <v>314</v>
      </c>
      <c r="C616" s="42" t="s">
        <v>561</v>
      </c>
      <c r="D616" s="20" t="s">
        <v>589</v>
      </c>
      <c r="E616" s="21">
        <v>6000</v>
      </c>
      <c r="F616" s="1" t="s">
        <v>68</v>
      </c>
      <c r="G616" s="42" t="s">
        <v>117</v>
      </c>
      <c r="H616" s="1" t="s">
        <v>118</v>
      </c>
      <c r="I616" s="1" t="s">
        <v>115</v>
      </c>
      <c r="J616" s="57">
        <v>0</v>
      </c>
      <c r="K616" s="24">
        <v>45324.384560185186</v>
      </c>
      <c r="L616" s="23">
        <v>22000</v>
      </c>
      <c r="O616" s="51">
        <v>1200</v>
      </c>
      <c r="P616" s="30">
        <v>5</v>
      </c>
      <c r="Q616" s="30">
        <v>0</v>
      </c>
    </row>
    <row r="617" spans="2:17" x14ac:dyDescent="0.25">
      <c r="B617" s="42" t="s">
        <v>314</v>
      </c>
      <c r="C617" s="42" t="s">
        <v>502</v>
      </c>
      <c r="D617" s="20" t="s">
        <v>590</v>
      </c>
      <c r="E617" s="21">
        <v>12000</v>
      </c>
      <c r="F617" s="1" t="s">
        <v>68</v>
      </c>
      <c r="G617" s="42" t="s">
        <v>113</v>
      </c>
      <c r="H617" s="1" t="s">
        <v>114</v>
      </c>
      <c r="I617" s="1" t="s">
        <v>115</v>
      </c>
      <c r="J617" s="57">
        <v>0</v>
      </c>
      <c r="K617" s="24">
        <v>45324.384594907409</v>
      </c>
      <c r="L617" s="23">
        <v>97800</v>
      </c>
      <c r="O617" s="51">
        <v>2400</v>
      </c>
      <c r="P617" s="30">
        <v>5</v>
      </c>
      <c r="Q617" s="30">
        <v>0</v>
      </c>
    </row>
    <row r="618" spans="2:17" x14ac:dyDescent="0.25">
      <c r="B618" s="42" t="s">
        <v>314</v>
      </c>
      <c r="C618" s="42" t="s">
        <v>497</v>
      </c>
      <c r="D618" s="20" t="s">
        <v>591</v>
      </c>
      <c r="E618" s="21">
        <v>36</v>
      </c>
      <c r="F618" s="1" t="s">
        <v>68</v>
      </c>
      <c r="G618" s="42" t="s">
        <v>177</v>
      </c>
      <c r="H618" s="1" t="s">
        <v>178</v>
      </c>
      <c r="J618" s="57">
        <v>0</v>
      </c>
      <c r="K618" s="24">
        <v>45324.384722222225</v>
      </c>
      <c r="L618" s="23">
        <v>263</v>
      </c>
      <c r="O618" s="51">
        <v>4</v>
      </c>
      <c r="P618" s="30">
        <v>9</v>
      </c>
      <c r="Q618" s="30">
        <v>0</v>
      </c>
    </row>
    <row r="619" spans="2:17" x14ac:dyDescent="0.25">
      <c r="B619" s="42" t="s">
        <v>169</v>
      </c>
      <c r="C619" s="42" t="s">
        <v>575</v>
      </c>
      <c r="D619" s="20" t="s">
        <v>592</v>
      </c>
      <c r="E619" s="21">
        <v>200</v>
      </c>
      <c r="F619" s="1" t="s">
        <v>68</v>
      </c>
      <c r="G619" s="42" t="s">
        <v>152</v>
      </c>
      <c r="H619" s="1" t="s">
        <v>153</v>
      </c>
      <c r="I619" s="1" t="s">
        <v>154</v>
      </c>
      <c r="J619" s="57">
        <v>0</v>
      </c>
      <c r="K619" s="24">
        <v>45327.457372685189</v>
      </c>
      <c r="L619" s="23">
        <v>296</v>
      </c>
      <c r="O619" s="51">
        <v>24</v>
      </c>
      <c r="P619" s="30">
        <v>8</v>
      </c>
      <c r="Q619" s="30">
        <v>8.0000000000000142</v>
      </c>
    </row>
    <row r="620" spans="2:17" x14ac:dyDescent="0.25">
      <c r="B620" s="42" t="s">
        <v>169</v>
      </c>
      <c r="C620" s="42" t="s">
        <v>255</v>
      </c>
      <c r="D620" s="20" t="s">
        <v>593</v>
      </c>
      <c r="E620" s="21">
        <v>53</v>
      </c>
      <c r="F620" s="1" t="s">
        <v>137</v>
      </c>
      <c r="G620" s="42" t="s">
        <v>141</v>
      </c>
      <c r="H620" s="1" t="s">
        <v>142</v>
      </c>
      <c r="I620" s="1" t="s">
        <v>140</v>
      </c>
      <c r="J620" s="57">
        <v>0</v>
      </c>
      <c r="K620" s="24">
        <v>45327.457442129627</v>
      </c>
      <c r="L620" s="23">
        <v>6252</v>
      </c>
      <c r="O620" s="51">
        <v>10</v>
      </c>
      <c r="P620" s="30">
        <v>5</v>
      </c>
      <c r="Q620" s="30">
        <v>2.9999999999999982</v>
      </c>
    </row>
    <row r="621" spans="2:17" x14ac:dyDescent="0.25">
      <c r="B621" s="42" t="s">
        <v>169</v>
      </c>
      <c r="C621" s="42" t="s">
        <v>530</v>
      </c>
      <c r="D621" s="20" t="s">
        <v>594</v>
      </c>
      <c r="E621" s="21">
        <v>200</v>
      </c>
      <c r="F621" s="1" t="s">
        <v>68</v>
      </c>
      <c r="G621" s="42" t="s">
        <v>123</v>
      </c>
      <c r="H621" s="1" t="s">
        <v>124</v>
      </c>
      <c r="I621" s="1" t="s">
        <v>115</v>
      </c>
      <c r="J621" s="57">
        <v>0</v>
      </c>
      <c r="K621" s="24">
        <v>45327.457488425927</v>
      </c>
      <c r="L621" s="23">
        <v>3800</v>
      </c>
      <c r="O621" s="51">
        <v>3000</v>
      </c>
      <c r="P621" s="30">
        <v>0</v>
      </c>
      <c r="Q621" s="30">
        <v>200</v>
      </c>
    </row>
    <row r="622" spans="2:17" x14ac:dyDescent="0.25">
      <c r="B622" s="42" t="s">
        <v>169</v>
      </c>
      <c r="C622" s="42" t="s">
        <v>530</v>
      </c>
      <c r="D622" s="20" t="s">
        <v>595</v>
      </c>
      <c r="E622" s="21">
        <v>600</v>
      </c>
      <c r="F622" s="1" t="s">
        <v>68</v>
      </c>
      <c r="G622" s="42" t="s">
        <v>127</v>
      </c>
      <c r="H622" s="1" t="s">
        <v>128</v>
      </c>
      <c r="I622" s="1" t="s">
        <v>115</v>
      </c>
      <c r="J622" s="57">
        <v>0</v>
      </c>
      <c r="K622" s="24">
        <v>45329.670555555553</v>
      </c>
      <c r="L622" s="23">
        <v>4400</v>
      </c>
      <c r="O622" s="51">
        <v>3000</v>
      </c>
      <c r="P622" s="30">
        <v>0</v>
      </c>
      <c r="Q622" s="30">
        <v>600</v>
      </c>
    </row>
    <row r="623" spans="2:17" x14ac:dyDescent="0.25">
      <c r="B623" s="42" t="s">
        <v>169</v>
      </c>
      <c r="C623" s="42" t="s">
        <v>257</v>
      </c>
      <c r="D623" s="20" t="s">
        <v>596</v>
      </c>
      <c r="E623" s="21">
        <v>400</v>
      </c>
      <c r="F623" s="1" t="s">
        <v>68</v>
      </c>
      <c r="G623" s="42" t="s">
        <v>289</v>
      </c>
      <c r="H623" s="1" t="s">
        <v>290</v>
      </c>
      <c r="I623" s="1" t="s">
        <v>115</v>
      </c>
      <c r="J623" s="57">
        <v>0</v>
      </c>
      <c r="K623" s="24">
        <v>45329.670624999999</v>
      </c>
      <c r="L623" s="23">
        <v>0</v>
      </c>
      <c r="O623" s="51">
        <v>1</v>
      </c>
      <c r="P623" s="30">
        <v>400</v>
      </c>
      <c r="Q623" s="30">
        <v>0</v>
      </c>
    </row>
    <row r="624" spans="2:17" x14ac:dyDescent="0.25">
      <c r="B624" s="42" t="s">
        <v>169</v>
      </c>
      <c r="C624" s="42" t="s">
        <v>254</v>
      </c>
      <c r="D624" s="20" t="s">
        <v>597</v>
      </c>
      <c r="E624" s="21">
        <v>500</v>
      </c>
      <c r="F624" s="1" t="s">
        <v>145</v>
      </c>
      <c r="G624" s="42" t="s">
        <v>146</v>
      </c>
      <c r="H624" s="1" t="s">
        <v>147</v>
      </c>
      <c r="I624" s="1" t="s">
        <v>148</v>
      </c>
      <c r="J624" s="57">
        <v>0</v>
      </c>
      <c r="K624" s="24">
        <v>45329.670648148145</v>
      </c>
      <c r="L624" s="23">
        <v>220</v>
      </c>
      <c r="O624" s="51">
        <v>144</v>
      </c>
      <c r="P624" s="30">
        <v>3</v>
      </c>
      <c r="Q624" s="30">
        <v>68.000000000000014</v>
      </c>
    </row>
    <row r="625" spans="2:17" x14ac:dyDescent="0.25">
      <c r="B625" s="42" t="s">
        <v>169</v>
      </c>
      <c r="C625" s="42" t="s">
        <v>254</v>
      </c>
      <c r="D625" s="20" t="s">
        <v>597</v>
      </c>
      <c r="E625" s="21">
        <v>700</v>
      </c>
      <c r="F625" s="1" t="s">
        <v>145</v>
      </c>
      <c r="G625" s="42" t="s">
        <v>150</v>
      </c>
      <c r="H625" s="1" t="s">
        <v>147</v>
      </c>
      <c r="I625" s="1" t="s">
        <v>148</v>
      </c>
      <c r="J625" s="57">
        <v>0</v>
      </c>
      <c r="K625" s="24">
        <v>45329.670682870368</v>
      </c>
      <c r="L625" s="23">
        <v>1510</v>
      </c>
      <c r="O625" s="51">
        <v>144</v>
      </c>
      <c r="P625" s="30">
        <v>4</v>
      </c>
      <c r="Q625" s="30">
        <v>123.99999999999994</v>
      </c>
    </row>
    <row r="626" spans="2:17" x14ac:dyDescent="0.25">
      <c r="B626" s="42" t="s">
        <v>169</v>
      </c>
      <c r="C626" s="42" t="s">
        <v>411</v>
      </c>
      <c r="D626" s="20" t="s">
        <v>598</v>
      </c>
      <c r="E626" s="21">
        <v>2500</v>
      </c>
      <c r="F626" s="1" t="s">
        <v>68</v>
      </c>
      <c r="G626" s="42" t="s">
        <v>135</v>
      </c>
      <c r="H626" s="1" t="s">
        <v>136</v>
      </c>
      <c r="I626" s="1" t="s">
        <v>115</v>
      </c>
      <c r="J626" s="57">
        <v>0</v>
      </c>
      <c r="K626" s="24">
        <v>45329.670717592591</v>
      </c>
      <c r="L626" s="23">
        <v>12100</v>
      </c>
      <c r="O626" s="51">
        <v>2400</v>
      </c>
      <c r="P626" s="30">
        <v>1</v>
      </c>
      <c r="Q626" s="30">
        <v>100.00000000000017</v>
      </c>
    </row>
    <row r="627" spans="2:17" x14ac:dyDescent="0.25">
      <c r="B627" s="42" t="s">
        <v>169</v>
      </c>
      <c r="C627" s="42" t="s">
        <v>411</v>
      </c>
      <c r="D627" s="20" t="s">
        <v>598</v>
      </c>
      <c r="E627" s="21">
        <v>40</v>
      </c>
      <c r="F627" s="1" t="s">
        <v>68</v>
      </c>
      <c r="G627" s="25" t="s">
        <v>773</v>
      </c>
      <c r="H627" s="1" t="s">
        <v>180</v>
      </c>
      <c r="I627" s="1" t="s">
        <v>154</v>
      </c>
      <c r="J627" s="57">
        <v>0</v>
      </c>
      <c r="K627" s="24">
        <v>45329.670775462961</v>
      </c>
      <c r="L627" s="23">
        <v>340</v>
      </c>
      <c r="O627" s="51">
        <v>100</v>
      </c>
      <c r="P627" s="30">
        <v>0</v>
      </c>
      <c r="Q627" s="30">
        <v>40</v>
      </c>
    </row>
    <row r="628" spans="2:17" x14ac:dyDescent="0.25">
      <c r="B628" s="42" t="s">
        <v>169</v>
      </c>
      <c r="C628" s="42" t="s">
        <v>380</v>
      </c>
      <c r="D628" s="20" t="s">
        <v>599</v>
      </c>
      <c r="E628" s="21">
        <v>1600</v>
      </c>
      <c r="F628" s="1" t="s">
        <v>68</v>
      </c>
      <c r="G628" s="42" t="s">
        <v>181</v>
      </c>
      <c r="H628" s="1" t="s">
        <v>182</v>
      </c>
      <c r="I628" s="1" t="s">
        <v>115</v>
      </c>
      <c r="J628" s="57">
        <v>0</v>
      </c>
      <c r="K628" s="24">
        <v>45329.67082175926</v>
      </c>
      <c r="L628" s="23">
        <v>19000</v>
      </c>
      <c r="O628" s="51">
        <v>2400</v>
      </c>
      <c r="P628" s="30">
        <v>0</v>
      </c>
      <c r="Q628" s="30">
        <v>1600</v>
      </c>
    </row>
    <row r="629" spans="2:17" x14ac:dyDescent="0.25">
      <c r="B629" s="42" t="s">
        <v>169</v>
      </c>
      <c r="C629" s="42" t="s">
        <v>385</v>
      </c>
      <c r="D629" s="20" t="s">
        <v>600</v>
      </c>
      <c r="E629" s="21">
        <v>1600</v>
      </c>
      <c r="F629" s="1" t="s">
        <v>68</v>
      </c>
      <c r="G629" s="42" t="s">
        <v>156</v>
      </c>
      <c r="H629" s="1" t="s">
        <v>157</v>
      </c>
      <c r="I629" s="1" t="s">
        <v>154</v>
      </c>
      <c r="J629" s="57">
        <v>0</v>
      </c>
      <c r="K629" s="24">
        <v>45329.670868055553</v>
      </c>
      <c r="L629" s="23">
        <v>40620</v>
      </c>
      <c r="O629" s="51">
        <v>440</v>
      </c>
      <c r="P629" s="30">
        <v>3</v>
      </c>
      <c r="Q629" s="30">
        <v>279.99999999999994</v>
      </c>
    </row>
    <row r="630" spans="2:17" x14ac:dyDescent="0.25">
      <c r="B630" s="42" t="s">
        <v>314</v>
      </c>
      <c r="C630" s="42" t="s">
        <v>472</v>
      </c>
      <c r="D630" s="20" t="s">
        <v>601</v>
      </c>
      <c r="E630" s="21">
        <v>250</v>
      </c>
      <c r="F630" s="1" t="s">
        <v>137</v>
      </c>
      <c r="G630" s="42" t="s">
        <v>138</v>
      </c>
      <c r="H630" s="1" t="s">
        <v>139</v>
      </c>
      <c r="I630" s="1" t="s">
        <v>140</v>
      </c>
      <c r="J630" s="57">
        <v>0</v>
      </c>
      <c r="K630" s="24">
        <v>45329.672592592593</v>
      </c>
      <c r="L630" s="23">
        <v>950</v>
      </c>
      <c r="O630" s="51">
        <v>10</v>
      </c>
      <c r="P630" s="30">
        <v>25</v>
      </c>
      <c r="Q630" s="30">
        <v>0</v>
      </c>
    </row>
    <row r="631" spans="2:17" x14ac:dyDescent="0.25">
      <c r="B631" s="42" t="s">
        <v>314</v>
      </c>
      <c r="C631" s="42" t="s">
        <v>472</v>
      </c>
      <c r="D631" s="20" t="s">
        <v>601</v>
      </c>
      <c r="E631" s="21">
        <v>120</v>
      </c>
      <c r="F631" s="1" t="s">
        <v>137</v>
      </c>
      <c r="G631" s="42" t="s">
        <v>141</v>
      </c>
      <c r="H631" s="1" t="s">
        <v>142</v>
      </c>
      <c r="I631" s="1" t="s">
        <v>140</v>
      </c>
      <c r="J631" s="57">
        <v>0</v>
      </c>
      <c r="K631" s="24">
        <v>45329.672638888886</v>
      </c>
      <c r="L631" s="23">
        <v>6132</v>
      </c>
      <c r="O631" s="51">
        <v>10</v>
      </c>
      <c r="P631" s="30">
        <v>12</v>
      </c>
      <c r="Q631" s="30">
        <v>0</v>
      </c>
    </row>
    <row r="632" spans="2:17" x14ac:dyDescent="0.25">
      <c r="B632" s="42" t="s">
        <v>314</v>
      </c>
      <c r="C632" s="42" t="s">
        <v>472</v>
      </c>
      <c r="D632" s="20" t="s">
        <v>601</v>
      </c>
      <c r="E632" s="21">
        <v>130</v>
      </c>
      <c r="F632" s="1" t="s">
        <v>137</v>
      </c>
      <c r="G632" s="42" t="s">
        <v>143</v>
      </c>
      <c r="H632" s="1" t="s">
        <v>144</v>
      </c>
      <c r="I632" s="1" t="s">
        <v>140</v>
      </c>
      <c r="J632" s="57">
        <v>0</v>
      </c>
      <c r="K632" s="24">
        <v>45329.672673611109</v>
      </c>
      <c r="L632" s="23">
        <v>655</v>
      </c>
      <c r="O632" s="51">
        <v>10</v>
      </c>
      <c r="P632" s="30">
        <v>13</v>
      </c>
      <c r="Q632" s="30">
        <v>0</v>
      </c>
    </row>
    <row r="633" spans="2:17" x14ac:dyDescent="0.25">
      <c r="B633" s="42" t="s">
        <v>314</v>
      </c>
      <c r="C633" s="42" t="s">
        <v>447</v>
      </c>
      <c r="D633" s="20" t="s">
        <v>602</v>
      </c>
      <c r="E633" s="21">
        <v>100</v>
      </c>
      <c r="F633" s="1" t="s">
        <v>68</v>
      </c>
      <c r="G633" s="42" t="s">
        <v>161</v>
      </c>
      <c r="H633" s="1" t="s">
        <v>162</v>
      </c>
      <c r="I633" s="1" t="s">
        <v>115</v>
      </c>
      <c r="J633" s="57">
        <v>0</v>
      </c>
      <c r="K633" s="24">
        <v>45330.346666666665</v>
      </c>
      <c r="L633" s="23">
        <v>1086</v>
      </c>
      <c r="O633" s="51">
        <v>200</v>
      </c>
      <c r="P633" s="30">
        <v>0</v>
      </c>
      <c r="Q633" s="30">
        <v>100</v>
      </c>
    </row>
    <row r="634" spans="2:17" x14ac:dyDescent="0.25">
      <c r="B634" s="42" t="s">
        <v>314</v>
      </c>
      <c r="C634" s="42" t="s">
        <v>502</v>
      </c>
      <c r="D634" s="20" t="s">
        <v>603</v>
      </c>
      <c r="E634" s="21">
        <v>12000</v>
      </c>
      <c r="F634" s="1" t="s">
        <v>68</v>
      </c>
      <c r="G634" s="42" t="s">
        <v>113</v>
      </c>
      <c r="H634" s="1" t="s">
        <v>114</v>
      </c>
      <c r="I634" s="1" t="s">
        <v>115</v>
      </c>
      <c r="J634" s="57">
        <v>0</v>
      </c>
      <c r="K634" s="24">
        <v>45330.346701388888</v>
      </c>
      <c r="L634" s="23">
        <v>85800</v>
      </c>
      <c r="O634" s="51">
        <v>2400</v>
      </c>
      <c r="P634" s="30">
        <v>5</v>
      </c>
      <c r="Q634" s="30">
        <v>0</v>
      </c>
    </row>
    <row r="635" spans="2:17" x14ac:dyDescent="0.25">
      <c r="B635" s="42" t="s">
        <v>314</v>
      </c>
      <c r="C635" s="42" t="s">
        <v>561</v>
      </c>
      <c r="D635" s="20" t="s">
        <v>604</v>
      </c>
      <c r="E635" s="21">
        <v>8000</v>
      </c>
      <c r="F635" s="1" t="s">
        <v>68</v>
      </c>
      <c r="G635" s="42" t="s">
        <v>117</v>
      </c>
      <c r="H635" s="1" t="s">
        <v>118</v>
      </c>
      <c r="I635" s="1" t="s">
        <v>115</v>
      </c>
      <c r="J635" s="57">
        <v>0</v>
      </c>
      <c r="K635" s="24">
        <v>45330.346805555557</v>
      </c>
      <c r="L635" s="23">
        <v>14000</v>
      </c>
      <c r="O635" s="51">
        <v>1200</v>
      </c>
      <c r="P635" s="30">
        <v>6</v>
      </c>
      <c r="Q635" s="30">
        <v>800.00000000000034</v>
      </c>
    </row>
    <row r="636" spans="2:17" x14ac:dyDescent="0.25">
      <c r="B636" s="42" t="s">
        <v>314</v>
      </c>
      <c r="C636" s="42" t="s">
        <v>585</v>
      </c>
      <c r="D636" s="20" t="s">
        <v>605</v>
      </c>
      <c r="E636" s="21">
        <v>30</v>
      </c>
      <c r="F636" s="1" t="s">
        <v>68</v>
      </c>
      <c r="G636" s="42" t="s">
        <v>168</v>
      </c>
      <c r="H636" s="1" t="s">
        <v>166</v>
      </c>
      <c r="J636" s="57">
        <v>0</v>
      </c>
      <c r="K636" s="24">
        <v>45330.346828703703</v>
      </c>
      <c r="L636" s="23">
        <v>1178</v>
      </c>
      <c r="O636" s="51">
        <v>12</v>
      </c>
      <c r="P636" s="30">
        <v>2</v>
      </c>
      <c r="Q636" s="30">
        <v>6</v>
      </c>
    </row>
    <row r="637" spans="2:17" x14ac:dyDescent="0.25">
      <c r="B637" s="42" t="s">
        <v>314</v>
      </c>
      <c r="C637" s="42" t="s">
        <v>585</v>
      </c>
      <c r="D637" s="20" t="s">
        <v>605</v>
      </c>
      <c r="E637" s="21">
        <v>150</v>
      </c>
      <c r="F637" s="1" t="s">
        <v>68</v>
      </c>
      <c r="G637" s="42" t="s">
        <v>163</v>
      </c>
      <c r="H637" s="1" t="s">
        <v>164</v>
      </c>
      <c r="I637" s="1" t="s">
        <v>115</v>
      </c>
      <c r="J637" s="57">
        <v>0</v>
      </c>
      <c r="K637" s="24">
        <v>45330.346863425926</v>
      </c>
      <c r="L637" s="23">
        <v>1150</v>
      </c>
      <c r="O637" s="51">
        <v>100</v>
      </c>
      <c r="P637" s="30">
        <v>1</v>
      </c>
      <c r="Q637" s="30">
        <v>50</v>
      </c>
    </row>
    <row r="638" spans="2:17" x14ac:dyDescent="0.25">
      <c r="B638" s="42" t="s">
        <v>314</v>
      </c>
      <c r="C638" s="42" t="s">
        <v>357</v>
      </c>
      <c r="D638" s="20" t="s">
        <v>606</v>
      </c>
      <c r="E638" s="21">
        <v>144</v>
      </c>
      <c r="F638" s="1" t="s">
        <v>145</v>
      </c>
      <c r="G638" s="42" t="s">
        <v>150</v>
      </c>
      <c r="H638" s="1" t="s">
        <v>147</v>
      </c>
      <c r="I638" s="1" t="s">
        <v>148</v>
      </c>
      <c r="J638" s="57">
        <v>0</v>
      </c>
      <c r="K638" s="24">
        <v>45330.346886574072</v>
      </c>
      <c r="L638" s="23">
        <v>1366</v>
      </c>
      <c r="O638" s="51">
        <v>144</v>
      </c>
      <c r="P638" s="30">
        <v>1</v>
      </c>
      <c r="Q638" s="30">
        <v>0</v>
      </c>
    </row>
    <row r="639" spans="2:17" x14ac:dyDescent="0.25">
      <c r="B639" s="42" t="s">
        <v>314</v>
      </c>
      <c r="C639" s="42" t="s">
        <v>258</v>
      </c>
      <c r="D639" s="20" t="s">
        <v>607</v>
      </c>
      <c r="E639" s="21">
        <v>6</v>
      </c>
      <c r="F639" s="1" t="s">
        <v>68</v>
      </c>
      <c r="G639" s="25" t="s">
        <v>771</v>
      </c>
      <c r="H639" s="1" t="s">
        <v>158</v>
      </c>
      <c r="I639" s="1" t="s">
        <v>154</v>
      </c>
      <c r="J639" s="57">
        <v>0</v>
      </c>
      <c r="K639" s="24">
        <v>45330.346921296295</v>
      </c>
      <c r="L639" s="23">
        <v>135</v>
      </c>
      <c r="O639" s="51">
        <v>24</v>
      </c>
      <c r="P639" s="30">
        <v>0</v>
      </c>
      <c r="Q639" s="30">
        <v>6</v>
      </c>
    </row>
    <row r="640" spans="2:17" x14ac:dyDescent="0.25">
      <c r="B640" s="42" t="s">
        <v>314</v>
      </c>
      <c r="C640" s="42" t="s">
        <v>259</v>
      </c>
      <c r="D640" s="20" t="s">
        <v>608</v>
      </c>
      <c r="E640" s="21">
        <v>27</v>
      </c>
      <c r="F640" s="1" t="s">
        <v>68</v>
      </c>
      <c r="G640" s="25" t="s">
        <v>772</v>
      </c>
      <c r="H640" s="1" t="s">
        <v>160</v>
      </c>
      <c r="I640" s="1" t="s">
        <v>154</v>
      </c>
      <c r="J640" s="57">
        <v>0</v>
      </c>
      <c r="K640" s="24">
        <v>45330.347013888888</v>
      </c>
      <c r="L640" s="23">
        <v>102</v>
      </c>
      <c r="O640" s="51">
        <v>4</v>
      </c>
      <c r="P640" s="30">
        <v>6</v>
      </c>
      <c r="Q640" s="30">
        <v>3</v>
      </c>
    </row>
    <row r="641" spans="2:18" x14ac:dyDescent="0.25">
      <c r="B641" s="42" t="s">
        <v>314</v>
      </c>
      <c r="C641" s="42" t="s">
        <v>587</v>
      </c>
      <c r="D641" s="20" t="s">
        <v>609</v>
      </c>
      <c r="E641" s="21">
        <v>240</v>
      </c>
      <c r="F641" s="1" t="s">
        <v>68</v>
      </c>
      <c r="G641" s="42" t="s">
        <v>174</v>
      </c>
      <c r="H641" s="1" t="s">
        <v>175</v>
      </c>
      <c r="I641" s="1" t="s">
        <v>176</v>
      </c>
      <c r="J641" s="57">
        <v>0</v>
      </c>
      <c r="K641" s="24">
        <v>45330.347048611111</v>
      </c>
      <c r="L641" s="23">
        <v>1520</v>
      </c>
      <c r="O641" s="51">
        <v>300</v>
      </c>
      <c r="P641" s="30">
        <v>0</v>
      </c>
      <c r="Q641" s="30">
        <v>240</v>
      </c>
    </row>
    <row r="642" spans="2:18" x14ac:dyDescent="0.25">
      <c r="B642" s="42" t="s">
        <v>314</v>
      </c>
      <c r="C642" s="42" t="s">
        <v>587</v>
      </c>
      <c r="D642" s="20" t="s">
        <v>609</v>
      </c>
      <c r="E642" s="21">
        <v>50</v>
      </c>
      <c r="F642" s="1" t="s">
        <v>68</v>
      </c>
      <c r="G642" s="25" t="s">
        <v>773</v>
      </c>
      <c r="H642" s="1" t="s">
        <v>180</v>
      </c>
      <c r="I642" s="1" t="s">
        <v>154</v>
      </c>
      <c r="J642" s="57">
        <v>0</v>
      </c>
      <c r="K642" s="24">
        <v>45330.347071759257</v>
      </c>
      <c r="L642" s="23">
        <v>290</v>
      </c>
      <c r="O642" s="51">
        <v>100</v>
      </c>
      <c r="P642" s="30">
        <v>0</v>
      </c>
      <c r="Q642" s="30">
        <v>50</v>
      </c>
    </row>
    <row r="643" spans="2:18" x14ac:dyDescent="0.25">
      <c r="B643" s="42" t="s">
        <v>314</v>
      </c>
      <c r="C643" s="42" t="s">
        <v>338</v>
      </c>
      <c r="D643" s="20" t="s">
        <v>610</v>
      </c>
      <c r="E643" s="21">
        <v>2500</v>
      </c>
      <c r="F643" s="1" t="s">
        <v>68</v>
      </c>
      <c r="G643" s="42" t="s">
        <v>156</v>
      </c>
      <c r="H643" s="1" t="s">
        <v>157</v>
      </c>
      <c r="I643" s="1" t="s">
        <v>154</v>
      </c>
      <c r="J643" s="57">
        <v>0</v>
      </c>
      <c r="K643" s="24">
        <v>45330.347094907411</v>
      </c>
      <c r="L643" s="23">
        <v>38120</v>
      </c>
      <c r="O643" s="51">
        <v>440</v>
      </c>
      <c r="P643" s="30">
        <v>5</v>
      </c>
      <c r="Q643" s="30">
        <v>299.99999999999994</v>
      </c>
    </row>
    <row r="644" spans="2:18" x14ac:dyDescent="0.25">
      <c r="B644" s="42" t="s">
        <v>314</v>
      </c>
      <c r="C644" s="42" t="s">
        <v>260</v>
      </c>
      <c r="D644" s="20" t="s">
        <v>611</v>
      </c>
      <c r="E644" s="21">
        <v>2</v>
      </c>
      <c r="F644" s="1" t="s">
        <v>68</v>
      </c>
      <c r="G644" s="25" t="s">
        <v>193</v>
      </c>
      <c r="H644" s="1" t="s">
        <v>194</v>
      </c>
      <c r="J644" s="57">
        <v>0</v>
      </c>
      <c r="K644" s="24">
        <v>45330.347245370373</v>
      </c>
      <c r="L644" s="23">
        <v>6</v>
      </c>
      <c r="O644" s="51">
        <v>36</v>
      </c>
      <c r="P644" s="30">
        <v>0</v>
      </c>
      <c r="Q644" s="30">
        <v>2</v>
      </c>
    </row>
    <row r="645" spans="2:18" x14ac:dyDescent="0.25">
      <c r="B645" s="42" t="s">
        <v>314</v>
      </c>
      <c r="C645" s="42" t="s">
        <v>260</v>
      </c>
      <c r="D645" s="20" t="s">
        <v>611</v>
      </c>
      <c r="E645" s="21">
        <v>120</v>
      </c>
      <c r="F645" s="1" t="s">
        <v>68</v>
      </c>
      <c r="G645" s="25" t="s">
        <v>420</v>
      </c>
      <c r="H645" s="1" t="s">
        <v>159</v>
      </c>
      <c r="I645" s="1" t="s">
        <v>154</v>
      </c>
      <c r="J645" s="57">
        <v>0</v>
      </c>
      <c r="K645" s="24">
        <v>45330.347291666665</v>
      </c>
      <c r="L645" s="23">
        <v>4880</v>
      </c>
      <c r="O645" s="51">
        <v>60</v>
      </c>
      <c r="P645" s="30">
        <v>2</v>
      </c>
      <c r="Q645" s="30">
        <v>0</v>
      </c>
    </row>
    <row r="646" spans="2:18" x14ac:dyDescent="0.25">
      <c r="B646" s="42" t="s">
        <v>314</v>
      </c>
      <c r="C646" s="42" t="s">
        <v>422</v>
      </c>
      <c r="D646" s="20" t="s">
        <v>612</v>
      </c>
      <c r="E646" s="21">
        <v>12000</v>
      </c>
      <c r="F646" s="1" t="s">
        <v>68</v>
      </c>
      <c r="G646" s="42" t="s">
        <v>133</v>
      </c>
      <c r="H646" s="1" t="s">
        <v>134</v>
      </c>
      <c r="I646" s="1" t="s">
        <v>115</v>
      </c>
      <c r="J646" s="57">
        <v>0</v>
      </c>
      <c r="K646" s="24">
        <v>45330.347349537034</v>
      </c>
      <c r="L646" s="23">
        <v>132100</v>
      </c>
      <c r="O646" s="51">
        <v>2400</v>
      </c>
      <c r="P646" s="30">
        <v>5</v>
      </c>
      <c r="Q646" s="30">
        <v>0</v>
      </c>
    </row>
    <row r="647" spans="2:18" x14ac:dyDescent="0.25">
      <c r="B647" s="42" t="s">
        <v>314</v>
      </c>
      <c r="C647" s="42" t="s">
        <v>422</v>
      </c>
      <c r="D647" s="20" t="s">
        <v>612</v>
      </c>
      <c r="E647" s="21">
        <v>120</v>
      </c>
      <c r="F647" s="1" t="s">
        <v>68</v>
      </c>
      <c r="G647" s="25" t="s">
        <v>212</v>
      </c>
      <c r="H647" s="1" t="s">
        <v>213</v>
      </c>
      <c r="I647" s="1" t="s">
        <v>154</v>
      </c>
      <c r="J647" s="57">
        <v>0</v>
      </c>
      <c r="K647" s="24">
        <v>45330.347384259258</v>
      </c>
      <c r="L647" s="23">
        <v>7400</v>
      </c>
      <c r="O647" s="51">
        <v>100</v>
      </c>
      <c r="P647" s="30">
        <v>1</v>
      </c>
      <c r="Q647" s="30">
        <v>19.999999999999996</v>
      </c>
    </row>
    <row r="648" spans="2:18" x14ac:dyDescent="0.25">
      <c r="B648" s="42" t="s">
        <v>314</v>
      </c>
      <c r="C648" s="42" t="s">
        <v>422</v>
      </c>
      <c r="D648" s="20" t="s">
        <v>612</v>
      </c>
      <c r="E648" s="21">
        <v>2</v>
      </c>
      <c r="F648" s="1" t="s">
        <v>68</v>
      </c>
      <c r="G648" s="25" t="s">
        <v>423</v>
      </c>
      <c r="H648" s="1" t="s">
        <v>192</v>
      </c>
      <c r="J648" s="57">
        <v>0</v>
      </c>
      <c r="K648" s="24">
        <v>45330.34747685185</v>
      </c>
      <c r="L648" s="23">
        <v>38</v>
      </c>
      <c r="O648" s="51">
        <v>40</v>
      </c>
      <c r="P648" s="30">
        <v>0</v>
      </c>
      <c r="Q648" s="30">
        <v>2</v>
      </c>
    </row>
    <row r="649" spans="2:18" x14ac:dyDescent="0.25">
      <c r="B649" s="42" t="s">
        <v>314</v>
      </c>
      <c r="C649" s="42" t="s">
        <v>497</v>
      </c>
      <c r="D649" s="20" t="s">
        <v>613</v>
      </c>
      <c r="E649" s="21">
        <v>36</v>
      </c>
      <c r="F649" s="1" t="s">
        <v>68</v>
      </c>
      <c r="G649" s="42" t="s">
        <v>177</v>
      </c>
      <c r="H649" s="1" t="s">
        <v>178</v>
      </c>
      <c r="J649" s="57">
        <v>0</v>
      </c>
      <c r="K649" s="24">
        <v>45330.347546296296</v>
      </c>
      <c r="L649" s="23">
        <v>227</v>
      </c>
      <c r="O649" s="51">
        <v>4</v>
      </c>
      <c r="P649" s="30">
        <v>9</v>
      </c>
      <c r="Q649" s="30">
        <v>0</v>
      </c>
    </row>
    <row r="650" spans="2:18" x14ac:dyDescent="0.25">
      <c r="B650" s="42" t="s">
        <v>169</v>
      </c>
      <c r="C650" s="42" t="s">
        <v>575</v>
      </c>
      <c r="D650" s="20" t="s">
        <v>614</v>
      </c>
      <c r="E650" s="21">
        <v>200</v>
      </c>
      <c r="F650" s="1" t="s">
        <v>68</v>
      </c>
      <c r="G650" s="42" t="s">
        <v>152</v>
      </c>
      <c r="H650" s="1" t="s">
        <v>153</v>
      </c>
      <c r="I650" s="1" t="s">
        <v>154</v>
      </c>
      <c r="J650" s="57">
        <v>0</v>
      </c>
      <c r="K650" s="24">
        <v>45331.510393518518</v>
      </c>
      <c r="L650" s="23">
        <v>96</v>
      </c>
      <c r="O650" s="51">
        <v>24</v>
      </c>
      <c r="P650" s="30">
        <v>8</v>
      </c>
      <c r="Q650" s="30">
        <v>8.0000000000000142</v>
      </c>
    </row>
    <row r="651" spans="2:18" x14ac:dyDescent="0.25">
      <c r="B651" s="42" t="s">
        <v>169</v>
      </c>
      <c r="C651" s="42" t="s">
        <v>380</v>
      </c>
      <c r="D651" s="20" t="s">
        <v>615</v>
      </c>
      <c r="E651" s="21">
        <v>1000</v>
      </c>
      <c r="F651" s="1" t="s">
        <v>68</v>
      </c>
      <c r="G651" s="42" t="s">
        <v>117</v>
      </c>
      <c r="H651" s="1" t="s">
        <v>118</v>
      </c>
      <c r="I651" s="1" t="s">
        <v>115</v>
      </c>
      <c r="J651" s="57">
        <v>0</v>
      </c>
      <c r="K651" s="24">
        <v>45331.51054398148</v>
      </c>
      <c r="L651" s="23">
        <v>13000</v>
      </c>
      <c r="O651" s="51">
        <v>1200</v>
      </c>
      <c r="P651" s="30">
        <v>0</v>
      </c>
      <c r="Q651" s="30">
        <v>1000</v>
      </c>
    </row>
    <row r="652" spans="2:18" x14ac:dyDescent="0.25">
      <c r="B652" s="42" t="s">
        <v>314</v>
      </c>
      <c r="C652" s="42" t="s">
        <v>616</v>
      </c>
      <c r="D652" s="20" t="s">
        <v>617</v>
      </c>
      <c r="E652" s="21">
        <v>1000</v>
      </c>
      <c r="F652" s="1" t="s">
        <v>68</v>
      </c>
      <c r="G652" s="42" t="s">
        <v>170</v>
      </c>
      <c r="H652" s="1" t="s">
        <v>171</v>
      </c>
      <c r="I652" s="1" t="s">
        <v>172</v>
      </c>
      <c r="J652" s="57">
        <v>0</v>
      </c>
      <c r="K652" s="24">
        <v>45331.630798611113</v>
      </c>
      <c r="L652" s="23">
        <v>1112</v>
      </c>
      <c r="O652" s="51">
        <v>36</v>
      </c>
      <c r="P652" s="30">
        <v>27</v>
      </c>
      <c r="Q652" s="30">
        <v>28.000000000000028</v>
      </c>
    </row>
    <row r="653" spans="2:18" x14ac:dyDescent="0.25">
      <c r="B653" s="42" t="s">
        <v>314</v>
      </c>
      <c r="C653" s="42" t="s">
        <v>618</v>
      </c>
      <c r="D653" s="20" t="s">
        <v>66</v>
      </c>
      <c r="E653" s="21">
        <v>5000</v>
      </c>
      <c r="F653" s="1" t="s">
        <v>68</v>
      </c>
      <c r="G653" s="42" t="s">
        <v>156</v>
      </c>
      <c r="H653" s="1" t="s">
        <v>157</v>
      </c>
      <c r="I653" s="1" t="s">
        <v>154</v>
      </c>
      <c r="J653" s="57">
        <v>0</v>
      </c>
      <c r="K653" s="24">
        <v>45332.566516203704</v>
      </c>
      <c r="L653" s="23">
        <v>33120</v>
      </c>
      <c r="O653" s="51">
        <v>440</v>
      </c>
      <c r="P653" s="30">
        <v>11</v>
      </c>
      <c r="Q653" s="30">
        <v>159.99999999999986</v>
      </c>
    </row>
    <row r="654" spans="2:18" x14ac:dyDescent="0.25">
      <c r="B654" s="42" t="s">
        <v>169</v>
      </c>
      <c r="C654" s="43" t="s">
        <v>255</v>
      </c>
      <c r="D654" s="21">
        <v>1387</v>
      </c>
      <c r="E654" s="21">
        <v>340</v>
      </c>
      <c r="F654" s="21" t="s">
        <v>68</v>
      </c>
      <c r="G654" s="43" t="s">
        <v>420</v>
      </c>
      <c r="H654" s="26" t="s">
        <v>159</v>
      </c>
      <c r="I654" s="1" t="s">
        <v>154</v>
      </c>
      <c r="J654" s="57">
        <v>0</v>
      </c>
      <c r="K654" s="24">
        <v>45335.535011574073</v>
      </c>
      <c r="L654" s="23">
        <v>4540</v>
      </c>
      <c r="O654" s="51">
        <v>60</v>
      </c>
      <c r="P654" s="30">
        <v>5</v>
      </c>
      <c r="Q654" s="73">
        <v>40.000000000000014</v>
      </c>
      <c r="R654" s="76"/>
    </row>
    <row r="655" spans="2:18" x14ac:dyDescent="0.25">
      <c r="B655" s="42" t="s">
        <v>169</v>
      </c>
      <c r="C655" s="42" t="s">
        <v>575</v>
      </c>
      <c r="D655" s="20" t="s">
        <v>619</v>
      </c>
      <c r="E655" s="21">
        <v>200</v>
      </c>
      <c r="F655" s="1" t="s">
        <v>68</v>
      </c>
      <c r="G655" s="42" t="s">
        <v>152</v>
      </c>
      <c r="H655" s="26" t="s">
        <v>153</v>
      </c>
      <c r="I655" s="1" t="s">
        <v>154</v>
      </c>
      <c r="J655" s="57">
        <v>0</v>
      </c>
      <c r="K655" s="24">
        <v>45335.535081018519</v>
      </c>
      <c r="L655" s="23">
        <v>7888</v>
      </c>
      <c r="O655" s="51">
        <v>24</v>
      </c>
      <c r="P655" s="30">
        <v>8</v>
      </c>
      <c r="Q655" s="30">
        <v>8.0000000000000142</v>
      </c>
    </row>
    <row r="656" spans="2:18" x14ac:dyDescent="0.25">
      <c r="B656" s="42" t="s">
        <v>169</v>
      </c>
      <c r="C656" s="42" t="s">
        <v>254</v>
      </c>
      <c r="D656" s="20" t="s">
        <v>620</v>
      </c>
      <c r="E656" s="21">
        <v>1000</v>
      </c>
      <c r="F656" s="1" t="s">
        <v>68</v>
      </c>
      <c r="G656" s="42" t="s">
        <v>174</v>
      </c>
      <c r="H656" s="26" t="s">
        <v>175</v>
      </c>
      <c r="I656" s="1" t="s">
        <v>176</v>
      </c>
      <c r="J656" s="57">
        <v>0</v>
      </c>
      <c r="K656" s="24">
        <v>45335.535104166665</v>
      </c>
      <c r="L656" s="23">
        <v>520</v>
      </c>
      <c r="O656" s="51">
        <v>300</v>
      </c>
      <c r="P656" s="30">
        <v>3</v>
      </c>
      <c r="Q656" s="30">
        <v>100.00000000000004</v>
      </c>
    </row>
    <row r="657" spans="2:18" x14ac:dyDescent="0.25">
      <c r="B657" s="42" t="s">
        <v>169</v>
      </c>
      <c r="C657" s="42" t="s">
        <v>254</v>
      </c>
      <c r="D657" s="20" t="s">
        <v>620</v>
      </c>
      <c r="E657" s="21">
        <v>800</v>
      </c>
      <c r="F657" s="1" t="s">
        <v>145</v>
      </c>
      <c r="G657" s="42" t="s">
        <v>149</v>
      </c>
      <c r="H657" s="26" t="s">
        <v>147</v>
      </c>
      <c r="I657" s="1" t="s">
        <v>148</v>
      </c>
      <c r="J657" s="57">
        <v>0</v>
      </c>
      <c r="K657" s="24">
        <v>45335.535115740742</v>
      </c>
      <c r="L657" s="23">
        <v>3568</v>
      </c>
      <c r="O657" s="51">
        <v>144</v>
      </c>
      <c r="P657" s="30">
        <v>5</v>
      </c>
      <c r="Q657" s="30">
        <v>79.999999999999972</v>
      </c>
    </row>
    <row r="658" spans="2:18" x14ac:dyDescent="0.25">
      <c r="B658" s="42" t="s">
        <v>169</v>
      </c>
      <c r="C658" s="42" t="s">
        <v>621</v>
      </c>
      <c r="D658" s="20" t="s">
        <v>622</v>
      </c>
      <c r="E658" s="21">
        <v>1200</v>
      </c>
      <c r="F658" s="1" t="s">
        <v>68</v>
      </c>
      <c r="G658" s="42" t="s">
        <v>113</v>
      </c>
      <c r="H658" s="26" t="s">
        <v>114</v>
      </c>
      <c r="I658" s="1" t="s">
        <v>115</v>
      </c>
      <c r="J658" s="57">
        <v>0</v>
      </c>
      <c r="K658" s="24">
        <v>45335.535127314812</v>
      </c>
      <c r="L658" s="23">
        <v>84600</v>
      </c>
      <c r="O658" s="51">
        <v>2400</v>
      </c>
      <c r="P658" s="30">
        <v>0</v>
      </c>
      <c r="Q658" s="30">
        <v>1200</v>
      </c>
    </row>
    <row r="659" spans="2:18" x14ac:dyDescent="0.25">
      <c r="B659" s="42" t="s">
        <v>169</v>
      </c>
      <c r="C659" s="42" t="s">
        <v>621</v>
      </c>
      <c r="D659" s="20" t="s">
        <v>622</v>
      </c>
      <c r="E659" s="21">
        <v>200</v>
      </c>
      <c r="F659" s="1" t="s">
        <v>137</v>
      </c>
      <c r="G659" s="42" t="s">
        <v>138</v>
      </c>
      <c r="H659" s="26" t="s">
        <v>139</v>
      </c>
      <c r="I659" s="1" t="s">
        <v>140</v>
      </c>
      <c r="J659" s="57">
        <v>0</v>
      </c>
      <c r="K659" s="24">
        <v>45335.535127314812</v>
      </c>
      <c r="L659" s="23">
        <v>750</v>
      </c>
      <c r="O659" s="51">
        <v>10</v>
      </c>
      <c r="P659" s="30">
        <v>20</v>
      </c>
      <c r="Q659" s="30">
        <v>0</v>
      </c>
    </row>
    <row r="660" spans="2:18" x14ac:dyDescent="0.25">
      <c r="B660" s="42" t="s">
        <v>169</v>
      </c>
      <c r="C660" s="42" t="s">
        <v>621</v>
      </c>
      <c r="D660" s="20" t="s">
        <v>622</v>
      </c>
      <c r="E660" s="21">
        <v>20</v>
      </c>
      <c r="F660" s="1" t="s">
        <v>137</v>
      </c>
      <c r="G660" s="42" t="s">
        <v>143</v>
      </c>
      <c r="H660" s="26" t="s">
        <v>144</v>
      </c>
      <c r="I660" s="1" t="s">
        <v>140</v>
      </c>
      <c r="J660" s="57">
        <v>0</v>
      </c>
      <c r="K660" s="24">
        <v>45335.535138888888</v>
      </c>
      <c r="L660" s="23">
        <v>635</v>
      </c>
      <c r="O660" s="51">
        <v>10</v>
      </c>
      <c r="P660" s="30">
        <v>2</v>
      </c>
      <c r="Q660" s="30">
        <v>0</v>
      </c>
    </row>
    <row r="661" spans="2:18" x14ac:dyDescent="0.25">
      <c r="B661" s="42" t="s">
        <v>169</v>
      </c>
      <c r="C661" s="42" t="s">
        <v>621</v>
      </c>
      <c r="D661" s="20" t="s">
        <v>622</v>
      </c>
      <c r="E661" s="21">
        <v>34</v>
      </c>
      <c r="F661" s="1" t="s">
        <v>137</v>
      </c>
      <c r="G661" s="42" t="s">
        <v>141</v>
      </c>
      <c r="H661" s="26" t="s">
        <v>142</v>
      </c>
      <c r="I661" s="1" t="s">
        <v>140</v>
      </c>
      <c r="J661" s="57">
        <v>0</v>
      </c>
      <c r="K661" s="24">
        <v>45335.535150462965</v>
      </c>
      <c r="L661" s="23">
        <v>6098</v>
      </c>
      <c r="O661" s="51">
        <v>10</v>
      </c>
      <c r="P661" s="30">
        <v>3</v>
      </c>
      <c r="Q661" s="30">
        <v>3.9999999999999991</v>
      </c>
    </row>
    <row r="662" spans="2:18" x14ac:dyDescent="0.25">
      <c r="B662" s="42" t="s">
        <v>169</v>
      </c>
      <c r="C662" s="42" t="s">
        <v>380</v>
      </c>
      <c r="D662" s="20" t="s">
        <v>623</v>
      </c>
      <c r="E662" s="21">
        <v>1600</v>
      </c>
      <c r="F662" s="1" t="s">
        <v>68</v>
      </c>
      <c r="G662" s="42" t="s">
        <v>181</v>
      </c>
      <c r="H662" s="26" t="s">
        <v>182</v>
      </c>
      <c r="I662" s="1" t="s">
        <v>115</v>
      </c>
      <c r="J662" s="57">
        <v>0</v>
      </c>
      <c r="K662" s="24">
        <v>45335.535162037035</v>
      </c>
      <c r="L662" s="23">
        <v>17400</v>
      </c>
      <c r="O662" s="51">
        <v>2400</v>
      </c>
      <c r="P662" s="30">
        <v>0</v>
      </c>
      <c r="Q662" s="30">
        <v>1600</v>
      </c>
    </row>
    <row r="663" spans="2:18" x14ac:dyDescent="0.25">
      <c r="B663" s="42" t="s">
        <v>169</v>
      </c>
      <c r="C663" s="42" t="s">
        <v>380</v>
      </c>
      <c r="D663" s="20" t="s">
        <v>623</v>
      </c>
      <c r="E663" s="21">
        <v>1000</v>
      </c>
      <c r="F663" s="1" t="s">
        <v>68</v>
      </c>
      <c r="G663" s="42" t="s">
        <v>117</v>
      </c>
      <c r="H663" s="26" t="s">
        <v>118</v>
      </c>
      <c r="I663" s="1" t="s">
        <v>115</v>
      </c>
      <c r="J663" s="57">
        <v>0</v>
      </c>
      <c r="K663" s="24">
        <v>45335.535173611112</v>
      </c>
      <c r="L663" s="23">
        <v>12000</v>
      </c>
      <c r="O663" s="51">
        <v>1200</v>
      </c>
      <c r="P663" s="30">
        <v>0</v>
      </c>
      <c r="Q663" s="30">
        <v>1000</v>
      </c>
    </row>
    <row r="664" spans="2:18" x14ac:dyDescent="0.25">
      <c r="B664" s="42" t="s">
        <v>169</v>
      </c>
      <c r="C664" s="42" t="s">
        <v>411</v>
      </c>
      <c r="D664" s="20" t="s">
        <v>624</v>
      </c>
      <c r="E664" s="21">
        <v>40</v>
      </c>
      <c r="F664" s="1" t="s">
        <v>68</v>
      </c>
      <c r="G664" s="25" t="s">
        <v>773</v>
      </c>
      <c r="H664" s="26" t="s">
        <v>180</v>
      </c>
      <c r="I664" s="1" t="s">
        <v>154</v>
      </c>
      <c r="J664" s="57">
        <v>0</v>
      </c>
      <c r="K664" s="24">
        <v>45335.535208333335</v>
      </c>
      <c r="L664" s="23">
        <v>250</v>
      </c>
      <c r="O664" s="51">
        <v>100</v>
      </c>
      <c r="P664" s="30">
        <v>0</v>
      </c>
      <c r="Q664" s="30">
        <v>40</v>
      </c>
    </row>
    <row r="665" spans="2:18" x14ac:dyDescent="0.25">
      <c r="B665" s="42" t="s">
        <v>169</v>
      </c>
      <c r="C665" s="42" t="s">
        <v>411</v>
      </c>
      <c r="D665" s="20" t="s">
        <v>624</v>
      </c>
      <c r="E665" s="21">
        <v>10</v>
      </c>
      <c r="F665" s="1" t="s">
        <v>68</v>
      </c>
      <c r="G665" s="25" t="s">
        <v>772</v>
      </c>
      <c r="H665" s="26" t="s">
        <v>160</v>
      </c>
      <c r="I665" s="1" t="s">
        <v>154</v>
      </c>
      <c r="J665" s="57">
        <v>0</v>
      </c>
      <c r="K665" s="24">
        <v>45335.535219907404</v>
      </c>
      <c r="L665" s="23">
        <v>92</v>
      </c>
      <c r="O665" s="51">
        <v>4</v>
      </c>
      <c r="P665" s="30">
        <v>2</v>
      </c>
      <c r="Q665" s="30">
        <v>2</v>
      </c>
    </row>
    <row r="666" spans="2:18" x14ac:dyDescent="0.25">
      <c r="B666" s="42" t="s">
        <v>169</v>
      </c>
      <c r="C666" s="42" t="s">
        <v>625</v>
      </c>
      <c r="D666" s="20" t="s">
        <v>626</v>
      </c>
      <c r="E666" s="21">
        <v>5000</v>
      </c>
      <c r="F666" s="1" t="s">
        <v>68</v>
      </c>
      <c r="G666" s="42" t="s">
        <v>156</v>
      </c>
      <c r="H666" s="26" t="s">
        <v>157</v>
      </c>
      <c r="I666" s="1" t="s">
        <v>154</v>
      </c>
      <c r="J666" s="57">
        <v>0</v>
      </c>
      <c r="K666" s="24">
        <v>45335.535266203704</v>
      </c>
      <c r="L666" s="23">
        <v>28120</v>
      </c>
      <c r="O666" s="51">
        <v>440</v>
      </c>
      <c r="P666" s="30">
        <v>11</v>
      </c>
      <c r="Q666" s="30">
        <v>159.99999999999986</v>
      </c>
      <c r="R666" s="76"/>
    </row>
    <row r="667" spans="2:18" x14ac:dyDescent="0.25">
      <c r="B667" s="42" t="s">
        <v>169</v>
      </c>
      <c r="C667" s="42" t="s">
        <v>385</v>
      </c>
      <c r="D667" s="20" t="s">
        <v>627</v>
      </c>
      <c r="E667" s="21">
        <v>1200</v>
      </c>
      <c r="F667" s="1" t="s">
        <v>68</v>
      </c>
      <c r="G667" s="25" t="s">
        <v>212</v>
      </c>
      <c r="H667" s="26" t="s">
        <v>213</v>
      </c>
      <c r="I667" s="1" t="s">
        <v>154</v>
      </c>
      <c r="J667" s="57">
        <v>0</v>
      </c>
      <c r="K667" s="24">
        <v>45335.53533564815</v>
      </c>
      <c r="L667" s="23">
        <v>6200</v>
      </c>
      <c r="O667" s="51">
        <v>100</v>
      </c>
      <c r="P667" s="30">
        <v>12</v>
      </c>
      <c r="Q667" s="30">
        <v>0</v>
      </c>
    </row>
    <row r="668" spans="2:18" x14ac:dyDescent="0.25">
      <c r="B668" s="42" t="s">
        <v>169</v>
      </c>
      <c r="C668" s="42" t="s">
        <v>415</v>
      </c>
      <c r="D668" s="20" t="s">
        <v>628</v>
      </c>
      <c r="E668" s="21">
        <v>400</v>
      </c>
      <c r="F668" s="1" t="s">
        <v>68</v>
      </c>
      <c r="G668" s="42" t="s">
        <v>129</v>
      </c>
      <c r="H668" s="26" t="s">
        <v>130</v>
      </c>
      <c r="I668" s="1" t="s">
        <v>115</v>
      </c>
      <c r="J668" s="57">
        <v>0</v>
      </c>
      <c r="K668" s="24">
        <v>45335.53534722222</v>
      </c>
      <c r="L668" s="23">
        <v>28400</v>
      </c>
      <c r="O668" s="51">
        <v>2400</v>
      </c>
      <c r="P668" s="30">
        <v>0</v>
      </c>
      <c r="Q668" s="30">
        <v>400</v>
      </c>
    </row>
    <row r="669" spans="2:18" x14ac:dyDescent="0.25">
      <c r="B669" s="42" t="s">
        <v>169</v>
      </c>
      <c r="C669" s="42" t="s">
        <v>530</v>
      </c>
      <c r="D669" s="20" t="s">
        <v>629</v>
      </c>
      <c r="E669" s="21">
        <v>600</v>
      </c>
      <c r="F669" s="1" t="s">
        <v>68</v>
      </c>
      <c r="G669" s="42" t="s">
        <v>127</v>
      </c>
      <c r="H669" s="26" t="s">
        <v>128</v>
      </c>
      <c r="I669" s="1" t="s">
        <v>115</v>
      </c>
      <c r="J669" s="57">
        <v>0</v>
      </c>
      <c r="K669" s="24">
        <v>45335.535358796296</v>
      </c>
      <c r="L669" s="23">
        <v>3800</v>
      </c>
      <c r="O669" s="51">
        <v>3000</v>
      </c>
      <c r="P669" s="30">
        <v>0</v>
      </c>
      <c r="Q669" s="30">
        <v>600</v>
      </c>
    </row>
    <row r="670" spans="2:18" x14ac:dyDescent="0.25">
      <c r="B670" s="42" t="s">
        <v>169</v>
      </c>
      <c r="C670" s="42" t="s">
        <v>388</v>
      </c>
      <c r="D670" s="20" t="s">
        <v>630</v>
      </c>
      <c r="E670" s="21">
        <v>5</v>
      </c>
      <c r="F670" s="1" t="s">
        <v>145</v>
      </c>
      <c r="G670" s="42" t="s">
        <v>228</v>
      </c>
      <c r="H670" s="26" t="s">
        <v>219</v>
      </c>
      <c r="I670" s="1" t="s">
        <v>220</v>
      </c>
      <c r="J670" s="57">
        <v>0</v>
      </c>
      <c r="K670" s="24">
        <v>45335.535370370373</v>
      </c>
      <c r="L670" s="23">
        <v>40</v>
      </c>
      <c r="O670" s="51">
        <v>1</v>
      </c>
      <c r="P670" s="30">
        <v>5</v>
      </c>
      <c r="Q670" s="30">
        <v>0</v>
      </c>
    </row>
    <row r="671" spans="2:18" x14ac:dyDescent="0.25">
      <c r="B671" s="42" t="s">
        <v>169</v>
      </c>
      <c r="C671" s="42" t="s">
        <v>388</v>
      </c>
      <c r="D671" s="20" t="s">
        <v>630</v>
      </c>
      <c r="E671" s="21">
        <v>5</v>
      </c>
      <c r="F671" s="1" t="s">
        <v>145</v>
      </c>
      <c r="G671" s="42" t="s">
        <v>229</v>
      </c>
      <c r="H671" s="26" t="s">
        <v>219</v>
      </c>
      <c r="I671" s="1" t="s">
        <v>220</v>
      </c>
      <c r="J671" s="57">
        <v>0</v>
      </c>
      <c r="K671" s="24">
        <v>45335.535393518519</v>
      </c>
      <c r="L671" s="23">
        <v>32</v>
      </c>
      <c r="O671" s="51">
        <v>1</v>
      </c>
      <c r="P671" s="30">
        <v>5</v>
      </c>
      <c r="Q671" s="30">
        <v>0</v>
      </c>
    </row>
    <row r="672" spans="2:18" x14ac:dyDescent="0.25">
      <c r="B672" s="42" t="s">
        <v>783</v>
      </c>
      <c r="C672" s="42" t="s">
        <v>66</v>
      </c>
      <c r="D672" s="20" t="s">
        <v>66</v>
      </c>
      <c r="E672" s="21">
        <v>7992</v>
      </c>
      <c r="F672" s="1" t="s">
        <v>68</v>
      </c>
      <c r="G672" s="42" t="s">
        <v>152</v>
      </c>
      <c r="H672" s="1" t="s">
        <v>153</v>
      </c>
      <c r="I672" s="1" t="s">
        <v>154</v>
      </c>
      <c r="J672" s="30">
        <v>1</v>
      </c>
      <c r="K672" s="24">
        <v>45335.534930555557</v>
      </c>
      <c r="L672" s="23">
        <v>8088</v>
      </c>
      <c r="M672" s="22">
        <v>45506</v>
      </c>
      <c r="O672" s="51">
        <v>24</v>
      </c>
      <c r="P672" s="30">
        <v>333</v>
      </c>
      <c r="Q672" s="30">
        <v>0</v>
      </c>
    </row>
    <row r="673" spans="2:17" x14ac:dyDescent="0.25">
      <c r="B673" s="42" t="s">
        <v>783</v>
      </c>
      <c r="C673" s="42" t="s">
        <v>66</v>
      </c>
      <c r="D673" s="20" t="s">
        <v>66</v>
      </c>
      <c r="E673" s="21">
        <v>152</v>
      </c>
      <c r="F673" s="1" t="s">
        <v>68</v>
      </c>
      <c r="G673" s="25" t="s">
        <v>772</v>
      </c>
      <c r="H673" s="1" t="s">
        <v>160</v>
      </c>
      <c r="I673" s="1" t="s">
        <v>154</v>
      </c>
      <c r="J673" s="30">
        <v>1</v>
      </c>
      <c r="K673" s="24">
        <v>45335.53597222222</v>
      </c>
      <c r="L673" s="23">
        <v>244</v>
      </c>
      <c r="M673" s="22">
        <v>45506</v>
      </c>
      <c r="O673" s="51">
        <v>4</v>
      </c>
      <c r="P673" s="30">
        <v>38</v>
      </c>
      <c r="Q673" s="30">
        <v>0</v>
      </c>
    </row>
    <row r="674" spans="2:17" x14ac:dyDescent="0.25">
      <c r="B674" s="42" t="s">
        <v>784</v>
      </c>
      <c r="C674" s="42" t="s">
        <v>66</v>
      </c>
      <c r="D674" s="20" t="s">
        <v>66</v>
      </c>
      <c r="E674" s="21">
        <v>50</v>
      </c>
      <c r="F674" s="1" t="s">
        <v>68</v>
      </c>
      <c r="G674" s="25" t="s">
        <v>423</v>
      </c>
      <c r="H674" s="1" t="s">
        <v>192</v>
      </c>
      <c r="J674" s="30">
        <v>1</v>
      </c>
      <c r="K674" s="24">
        <v>45335.536909722221</v>
      </c>
      <c r="L674" s="23">
        <v>88</v>
      </c>
      <c r="M674" s="22">
        <v>45506</v>
      </c>
      <c r="O674" s="51">
        <v>40</v>
      </c>
      <c r="P674" s="30">
        <v>1</v>
      </c>
      <c r="Q674" s="30">
        <v>10</v>
      </c>
    </row>
    <row r="675" spans="2:17" x14ac:dyDescent="0.25">
      <c r="B675" s="42" t="s">
        <v>785</v>
      </c>
      <c r="C675" s="42" t="s">
        <v>66</v>
      </c>
      <c r="D675" s="20" t="s">
        <v>66</v>
      </c>
      <c r="E675" s="21">
        <v>2304</v>
      </c>
      <c r="F675" s="1" t="s">
        <v>68</v>
      </c>
      <c r="G675" s="42" t="s">
        <v>165</v>
      </c>
      <c r="H675" s="1" t="s">
        <v>166</v>
      </c>
      <c r="J675" s="30">
        <v>1</v>
      </c>
      <c r="K675" s="24">
        <v>45335.537511574075</v>
      </c>
      <c r="L675" s="23">
        <v>2352</v>
      </c>
      <c r="M675" s="22">
        <v>45506</v>
      </c>
      <c r="O675" s="51">
        <v>24</v>
      </c>
      <c r="P675" s="30">
        <v>96</v>
      </c>
      <c r="Q675" s="30">
        <v>0</v>
      </c>
    </row>
    <row r="676" spans="2:17" x14ac:dyDescent="0.25">
      <c r="B676" s="42" t="s">
        <v>785</v>
      </c>
      <c r="C676" s="42" t="s">
        <v>66</v>
      </c>
      <c r="D676" s="20" t="s">
        <v>66</v>
      </c>
      <c r="E676" s="21">
        <v>768</v>
      </c>
      <c r="F676" s="1" t="s">
        <v>68</v>
      </c>
      <c r="G676" s="42" t="s">
        <v>119</v>
      </c>
      <c r="H676" s="1" t="s">
        <v>173</v>
      </c>
      <c r="J676" s="30">
        <v>1</v>
      </c>
      <c r="K676" s="24">
        <v>45335.537835648145</v>
      </c>
      <c r="L676" s="23">
        <v>880</v>
      </c>
      <c r="M676" s="22">
        <v>45506</v>
      </c>
      <c r="O676" s="51">
        <v>96</v>
      </c>
      <c r="P676" s="30">
        <v>8</v>
      </c>
      <c r="Q676" s="30">
        <v>0</v>
      </c>
    </row>
    <row r="677" spans="2:17" x14ac:dyDescent="0.25">
      <c r="B677" s="42" t="s">
        <v>631</v>
      </c>
      <c r="C677" s="42" t="s">
        <v>66</v>
      </c>
      <c r="D677" s="20" t="s">
        <v>66</v>
      </c>
      <c r="E677" s="21">
        <v>1440</v>
      </c>
      <c r="F677" s="1" t="s">
        <v>145</v>
      </c>
      <c r="G677" s="42" t="s">
        <v>149</v>
      </c>
      <c r="H677" s="1" t="s">
        <v>147</v>
      </c>
      <c r="I677" s="1" t="s">
        <v>148</v>
      </c>
      <c r="J677" s="30">
        <v>1</v>
      </c>
      <c r="K677" s="24">
        <v>45335.553124999999</v>
      </c>
      <c r="L677" s="23">
        <v>5008</v>
      </c>
      <c r="M677" s="22">
        <v>45506</v>
      </c>
      <c r="O677" s="51">
        <v>144</v>
      </c>
      <c r="P677" s="30">
        <v>10</v>
      </c>
      <c r="Q677" s="30">
        <v>0</v>
      </c>
    </row>
    <row r="678" spans="2:17" x14ac:dyDescent="0.25">
      <c r="B678" s="42" t="s">
        <v>631</v>
      </c>
      <c r="C678" s="42" t="s">
        <v>66</v>
      </c>
      <c r="D678" s="20" t="s">
        <v>66</v>
      </c>
      <c r="E678" s="21">
        <v>1008</v>
      </c>
      <c r="F678" s="1" t="s">
        <v>145</v>
      </c>
      <c r="G678" s="42" t="s">
        <v>146</v>
      </c>
      <c r="H678" s="1" t="s">
        <v>147</v>
      </c>
      <c r="I678" s="1" t="s">
        <v>148</v>
      </c>
      <c r="J678" s="30">
        <v>1</v>
      </c>
      <c r="K678" s="24">
        <v>45335.553796296299</v>
      </c>
      <c r="L678" s="23">
        <v>1228</v>
      </c>
      <c r="M678" s="22">
        <v>45506</v>
      </c>
      <c r="O678" s="51">
        <v>144</v>
      </c>
      <c r="P678" s="30">
        <v>7</v>
      </c>
      <c r="Q678" s="30">
        <v>0</v>
      </c>
    </row>
    <row r="679" spans="2:17" x14ac:dyDescent="0.25">
      <c r="B679" s="42" t="s">
        <v>631</v>
      </c>
      <c r="C679" s="42" t="s">
        <v>66</v>
      </c>
      <c r="D679" s="20" t="s">
        <v>66</v>
      </c>
      <c r="E679" s="21">
        <v>2880</v>
      </c>
      <c r="F679" s="1" t="s">
        <v>145</v>
      </c>
      <c r="G679" s="42" t="s">
        <v>150</v>
      </c>
      <c r="H679" s="1" t="s">
        <v>147</v>
      </c>
      <c r="I679" s="1" t="s">
        <v>148</v>
      </c>
      <c r="J679" s="30">
        <v>1</v>
      </c>
      <c r="K679" s="24">
        <v>45335.554837962962</v>
      </c>
      <c r="L679" s="23">
        <v>4246</v>
      </c>
      <c r="M679" s="22">
        <v>45506</v>
      </c>
      <c r="O679" s="51">
        <v>144</v>
      </c>
      <c r="P679" s="30">
        <v>20</v>
      </c>
      <c r="Q679" s="30">
        <v>0</v>
      </c>
    </row>
    <row r="680" spans="2:17" x14ac:dyDescent="0.25">
      <c r="B680" s="42" t="s">
        <v>631</v>
      </c>
      <c r="C680" s="42" t="s">
        <v>66</v>
      </c>
      <c r="D680" s="20" t="s">
        <v>728</v>
      </c>
      <c r="E680" s="21">
        <v>1008</v>
      </c>
      <c r="F680" s="1" t="s">
        <v>145</v>
      </c>
      <c r="G680" s="42" t="s">
        <v>151</v>
      </c>
      <c r="H680" s="1" t="s">
        <v>147</v>
      </c>
      <c r="I680" s="1" t="s">
        <v>148</v>
      </c>
      <c r="J680" s="30">
        <v>1</v>
      </c>
      <c r="K680" s="24">
        <v>45335.555208333331</v>
      </c>
      <c r="L680" s="23">
        <v>1868</v>
      </c>
      <c r="M680" s="22">
        <v>45506</v>
      </c>
      <c r="O680" s="51">
        <v>144</v>
      </c>
      <c r="P680" s="30">
        <v>7</v>
      </c>
      <c r="Q680" s="30">
        <v>0</v>
      </c>
    </row>
    <row r="681" spans="2:17" x14ac:dyDescent="0.25">
      <c r="B681" s="42" t="s">
        <v>632</v>
      </c>
      <c r="C681" s="42" t="s">
        <v>66</v>
      </c>
      <c r="D681" s="20" t="s">
        <v>66</v>
      </c>
      <c r="E681" s="21">
        <v>1000</v>
      </c>
      <c r="F681" s="1" t="s">
        <v>68</v>
      </c>
      <c r="G681" s="42" t="s">
        <v>163</v>
      </c>
      <c r="H681" s="1" t="s">
        <v>164</v>
      </c>
      <c r="I681" s="1" t="s">
        <v>115</v>
      </c>
      <c r="J681" s="30">
        <v>1</v>
      </c>
      <c r="K681" s="24">
        <v>45335.672453703701</v>
      </c>
      <c r="L681" s="23">
        <v>2150</v>
      </c>
      <c r="M681" s="22">
        <v>45330</v>
      </c>
      <c r="O681" s="51">
        <v>100</v>
      </c>
      <c r="P681" s="30">
        <v>10</v>
      </c>
      <c r="Q681" s="30">
        <v>0</v>
      </c>
    </row>
    <row r="682" spans="2:17" x14ac:dyDescent="0.25">
      <c r="B682" s="42" t="s">
        <v>314</v>
      </c>
      <c r="C682" s="42" t="s">
        <v>447</v>
      </c>
      <c r="D682" s="20" t="s">
        <v>633</v>
      </c>
      <c r="E682" s="21">
        <v>100</v>
      </c>
      <c r="F682" s="1" t="s">
        <v>68</v>
      </c>
      <c r="G682" s="42" t="s">
        <v>161</v>
      </c>
      <c r="H682" s="1" t="s">
        <v>162</v>
      </c>
      <c r="I682" s="1" t="s">
        <v>115</v>
      </c>
      <c r="J682" s="57">
        <v>0</v>
      </c>
      <c r="K682" s="24">
        <v>45336.484247685185</v>
      </c>
      <c r="L682" s="23">
        <v>986</v>
      </c>
      <c r="O682" s="51">
        <v>200</v>
      </c>
      <c r="P682" s="30">
        <v>0</v>
      </c>
      <c r="Q682" s="30">
        <v>100</v>
      </c>
    </row>
    <row r="683" spans="2:17" x14ac:dyDescent="0.25">
      <c r="B683" s="42" t="s">
        <v>314</v>
      </c>
      <c r="C683" s="42" t="s">
        <v>502</v>
      </c>
      <c r="D683" s="20" t="s">
        <v>634</v>
      </c>
      <c r="E683" s="21">
        <v>12000</v>
      </c>
      <c r="F683" s="1" t="s">
        <v>68</v>
      </c>
      <c r="G683" s="42" t="s">
        <v>113</v>
      </c>
      <c r="H683" s="1" t="s">
        <v>114</v>
      </c>
      <c r="I683" s="1" t="s">
        <v>115</v>
      </c>
      <c r="J683" s="57">
        <v>0</v>
      </c>
      <c r="K683" s="24">
        <v>45336.484293981484</v>
      </c>
      <c r="L683" s="23">
        <v>72600</v>
      </c>
      <c r="O683" s="51">
        <v>2400</v>
      </c>
      <c r="P683" s="30">
        <v>5</v>
      </c>
      <c r="Q683" s="30">
        <v>0</v>
      </c>
    </row>
    <row r="684" spans="2:17" x14ac:dyDescent="0.25">
      <c r="B684" s="42" t="s">
        <v>314</v>
      </c>
      <c r="C684" s="42" t="s">
        <v>561</v>
      </c>
      <c r="D684" s="20" t="s">
        <v>635</v>
      </c>
      <c r="E684" s="21">
        <v>6000</v>
      </c>
      <c r="F684" s="1" t="s">
        <v>68</v>
      </c>
      <c r="G684" s="42" t="s">
        <v>117</v>
      </c>
      <c r="H684" s="1" t="s">
        <v>118</v>
      </c>
      <c r="I684" s="1" t="s">
        <v>115</v>
      </c>
      <c r="J684" s="57">
        <v>0</v>
      </c>
      <c r="K684" s="24">
        <v>45336.484317129631</v>
      </c>
      <c r="L684" s="23">
        <v>6000</v>
      </c>
      <c r="O684" s="51">
        <v>1200</v>
      </c>
      <c r="P684" s="30">
        <v>5</v>
      </c>
      <c r="Q684" s="30">
        <v>0</v>
      </c>
    </row>
    <row r="685" spans="2:17" x14ac:dyDescent="0.25">
      <c r="B685" s="42" t="s">
        <v>314</v>
      </c>
      <c r="C685" s="42" t="s">
        <v>585</v>
      </c>
      <c r="D685" s="20" t="s">
        <v>636</v>
      </c>
      <c r="E685" s="21">
        <v>10</v>
      </c>
      <c r="F685" s="1" t="s">
        <v>68</v>
      </c>
      <c r="G685" s="42" t="s">
        <v>168</v>
      </c>
      <c r="H685" s="1" t="s">
        <v>166</v>
      </c>
      <c r="J685" s="57">
        <v>0</v>
      </c>
      <c r="K685" s="24">
        <v>45336.484340277777</v>
      </c>
      <c r="L685" s="23">
        <v>1168</v>
      </c>
      <c r="O685" s="51">
        <v>12</v>
      </c>
      <c r="P685" s="30">
        <v>0</v>
      </c>
      <c r="Q685" s="30">
        <v>10</v>
      </c>
    </row>
    <row r="686" spans="2:17" x14ac:dyDescent="0.25">
      <c r="B686" s="42" t="s">
        <v>314</v>
      </c>
      <c r="C686" s="42" t="s">
        <v>585</v>
      </c>
      <c r="D686" s="20" t="s">
        <v>636</v>
      </c>
      <c r="E686" s="21">
        <v>150</v>
      </c>
      <c r="F686" s="1" t="s">
        <v>68</v>
      </c>
      <c r="G686" s="42" t="s">
        <v>163</v>
      </c>
      <c r="H686" s="1" t="s">
        <v>164</v>
      </c>
      <c r="I686" s="1" t="s">
        <v>115</v>
      </c>
      <c r="J686" s="57">
        <v>0</v>
      </c>
      <c r="K686" s="24">
        <v>45336.484363425923</v>
      </c>
      <c r="L686" s="23">
        <v>2000</v>
      </c>
      <c r="O686" s="51">
        <v>100</v>
      </c>
      <c r="P686" s="30">
        <v>1</v>
      </c>
      <c r="Q686" s="30">
        <v>50</v>
      </c>
    </row>
    <row r="687" spans="2:17" x14ac:dyDescent="0.25">
      <c r="B687" s="42" t="s">
        <v>314</v>
      </c>
      <c r="C687" s="42" t="s">
        <v>357</v>
      </c>
      <c r="D687" s="20" t="s">
        <v>637</v>
      </c>
      <c r="E687" s="21">
        <v>144</v>
      </c>
      <c r="F687" s="1" t="s">
        <v>145</v>
      </c>
      <c r="G687" s="42" t="s">
        <v>150</v>
      </c>
      <c r="H687" s="1" t="s">
        <v>147</v>
      </c>
      <c r="I687" s="1" t="s">
        <v>148</v>
      </c>
      <c r="J687" s="57">
        <v>0</v>
      </c>
      <c r="K687" s="24">
        <v>45336.484386574077</v>
      </c>
      <c r="L687" s="23">
        <v>4102</v>
      </c>
      <c r="O687" s="51">
        <v>144</v>
      </c>
      <c r="P687" s="30">
        <v>1</v>
      </c>
      <c r="Q687" s="30">
        <v>0</v>
      </c>
    </row>
    <row r="688" spans="2:17" x14ac:dyDescent="0.25">
      <c r="B688" s="42" t="s">
        <v>314</v>
      </c>
      <c r="C688" s="42" t="s">
        <v>472</v>
      </c>
      <c r="D688" s="20" t="s">
        <v>638</v>
      </c>
      <c r="E688" s="21">
        <v>150</v>
      </c>
      <c r="F688" s="1" t="s">
        <v>137</v>
      </c>
      <c r="G688" s="42" t="s">
        <v>143</v>
      </c>
      <c r="H688" s="1" t="s">
        <v>144</v>
      </c>
      <c r="I688" s="1" t="s">
        <v>140</v>
      </c>
      <c r="J688" s="57">
        <v>0</v>
      </c>
      <c r="K688" s="24">
        <v>45336.484409722223</v>
      </c>
      <c r="L688" s="23">
        <v>485</v>
      </c>
      <c r="O688" s="51">
        <v>10</v>
      </c>
      <c r="P688" s="30">
        <v>15</v>
      </c>
      <c r="Q688" s="30">
        <v>0</v>
      </c>
    </row>
    <row r="689" spans="2:18" x14ac:dyDescent="0.25">
      <c r="B689" s="42" t="s">
        <v>314</v>
      </c>
      <c r="C689" s="42" t="s">
        <v>472</v>
      </c>
      <c r="D689" s="20" t="s">
        <v>638</v>
      </c>
      <c r="E689" s="21">
        <v>70</v>
      </c>
      <c r="F689" s="1" t="s">
        <v>137</v>
      </c>
      <c r="G689" s="42" t="s">
        <v>138</v>
      </c>
      <c r="H689" s="1" t="s">
        <v>139</v>
      </c>
      <c r="I689" s="1" t="s">
        <v>140</v>
      </c>
      <c r="J689" s="57">
        <v>0</v>
      </c>
      <c r="K689" s="24">
        <v>45336.484432870369</v>
      </c>
      <c r="L689" s="23">
        <v>680</v>
      </c>
      <c r="O689" s="51">
        <v>10</v>
      </c>
      <c r="P689" s="30">
        <v>7</v>
      </c>
      <c r="Q689" s="30">
        <v>0</v>
      </c>
    </row>
    <row r="690" spans="2:18" x14ac:dyDescent="0.25">
      <c r="B690" s="42" t="s">
        <v>314</v>
      </c>
      <c r="C690" s="42" t="s">
        <v>472</v>
      </c>
      <c r="D690" s="20" t="s">
        <v>638</v>
      </c>
      <c r="E690" s="21">
        <v>80</v>
      </c>
      <c r="F690" s="1" t="s">
        <v>137</v>
      </c>
      <c r="G690" s="42" t="s">
        <v>141</v>
      </c>
      <c r="H690" s="1" t="s">
        <v>142</v>
      </c>
      <c r="I690" s="1" t="s">
        <v>140</v>
      </c>
      <c r="J690" s="57">
        <v>0</v>
      </c>
      <c r="K690" s="24">
        <v>45336.484456018516</v>
      </c>
      <c r="L690" s="23">
        <v>6018</v>
      </c>
      <c r="O690" s="51">
        <v>10</v>
      </c>
      <c r="P690" s="30">
        <v>8</v>
      </c>
      <c r="Q690" s="30">
        <v>0</v>
      </c>
    </row>
    <row r="691" spans="2:18" x14ac:dyDescent="0.25">
      <c r="B691" s="42" t="s">
        <v>314</v>
      </c>
      <c r="C691" s="42" t="s">
        <v>258</v>
      </c>
      <c r="D691" s="20" t="s">
        <v>639</v>
      </c>
      <c r="E691" s="21">
        <v>6</v>
      </c>
      <c r="F691" s="1" t="s">
        <v>68</v>
      </c>
      <c r="G691" s="25" t="s">
        <v>771</v>
      </c>
      <c r="H691" s="1" t="s">
        <v>158</v>
      </c>
      <c r="I691" s="1" t="s">
        <v>154</v>
      </c>
      <c r="J691" s="57">
        <v>0</v>
      </c>
      <c r="K691" s="24">
        <v>45336.484479166669</v>
      </c>
      <c r="L691" s="23">
        <v>129</v>
      </c>
      <c r="O691" s="51">
        <v>24</v>
      </c>
      <c r="P691" s="30">
        <v>0</v>
      </c>
      <c r="Q691" s="30">
        <v>6</v>
      </c>
    </row>
    <row r="692" spans="2:18" x14ac:dyDescent="0.25">
      <c r="B692" s="42" t="s">
        <v>314</v>
      </c>
      <c r="C692" s="42" t="s">
        <v>587</v>
      </c>
      <c r="D692" s="20" t="s">
        <v>640</v>
      </c>
      <c r="E692" s="21">
        <v>240</v>
      </c>
      <c r="F692" s="1" t="s">
        <v>68</v>
      </c>
      <c r="G692" s="42" t="s">
        <v>174</v>
      </c>
      <c r="H692" s="1" t="s">
        <v>175</v>
      </c>
      <c r="I692" s="1" t="s">
        <v>176</v>
      </c>
      <c r="J692" s="57">
        <v>0</v>
      </c>
      <c r="K692" s="24">
        <v>45336.484513888892</v>
      </c>
      <c r="L692" s="23">
        <v>280</v>
      </c>
      <c r="O692" s="51">
        <v>300</v>
      </c>
      <c r="P692" s="30">
        <v>0</v>
      </c>
      <c r="Q692" s="30">
        <v>240</v>
      </c>
    </row>
    <row r="693" spans="2:18" x14ac:dyDescent="0.25">
      <c r="B693" s="42" t="s">
        <v>314</v>
      </c>
      <c r="C693" s="42" t="s">
        <v>587</v>
      </c>
      <c r="D693" s="20" t="s">
        <v>640</v>
      </c>
      <c r="E693" s="21">
        <v>50</v>
      </c>
      <c r="F693" s="1" t="s">
        <v>68</v>
      </c>
      <c r="G693" s="25" t="s">
        <v>773</v>
      </c>
      <c r="H693" s="1" t="s">
        <v>180</v>
      </c>
      <c r="I693" s="1" t="s">
        <v>154</v>
      </c>
      <c r="J693" s="57">
        <v>0</v>
      </c>
      <c r="K693" s="24">
        <v>45336.484537037039</v>
      </c>
      <c r="L693" s="23">
        <v>200</v>
      </c>
      <c r="O693" s="51">
        <v>100</v>
      </c>
      <c r="P693" s="30">
        <v>0</v>
      </c>
      <c r="Q693" s="30">
        <v>50</v>
      </c>
    </row>
    <row r="694" spans="2:18" x14ac:dyDescent="0.25">
      <c r="B694" s="42" t="s">
        <v>314</v>
      </c>
      <c r="C694" s="42" t="s">
        <v>587</v>
      </c>
      <c r="D694" s="20" t="s">
        <v>640</v>
      </c>
      <c r="E694" s="21">
        <v>10</v>
      </c>
      <c r="F694" s="1" t="s">
        <v>68</v>
      </c>
      <c r="G694" s="25" t="s">
        <v>772</v>
      </c>
      <c r="H694" s="1" t="s">
        <v>160</v>
      </c>
      <c r="I694" s="1" t="s">
        <v>154</v>
      </c>
      <c r="J694" s="57">
        <v>0</v>
      </c>
      <c r="K694" s="24">
        <v>45336.484560185185</v>
      </c>
      <c r="L694" s="23">
        <v>234</v>
      </c>
      <c r="O694" s="51">
        <v>4</v>
      </c>
      <c r="P694" s="30">
        <v>2</v>
      </c>
      <c r="Q694" s="30">
        <v>2</v>
      </c>
    </row>
    <row r="695" spans="2:18" x14ac:dyDescent="0.25">
      <c r="B695" s="42" t="s">
        <v>314</v>
      </c>
      <c r="C695" s="42" t="s">
        <v>338</v>
      </c>
      <c r="D695" s="20" t="s">
        <v>641</v>
      </c>
      <c r="E695" s="21">
        <v>2500</v>
      </c>
      <c r="F695" s="1" t="s">
        <v>68</v>
      </c>
      <c r="G695" s="42" t="s">
        <v>156</v>
      </c>
      <c r="H695" s="1" t="s">
        <v>157</v>
      </c>
      <c r="I695" s="1" t="s">
        <v>154</v>
      </c>
      <c r="J695" s="57">
        <v>0</v>
      </c>
      <c r="K695" s="24">
        <v>45336.484618055554</v>
      </c>
      <c r="L695" s="23">
        <v>25620</v>
      </c>
      <c r="O695" s="51">
        <v>440</v>
      </c>
      <c r="P695" s="30">
        <v>5</v>
      </c>
      <c r="Q695" s="30">
        <v>299.99999999999994</v>
      </c>
      <c r="R695" s="76"/>
    </row>
    <row r="696" spans="2:18" x14ac:dyDescent="0.25">
      <c r="B696" s="42" t="s">
        <v>314</v>
      </c>
      <c r="C696" s="42" t="s">
        <v>260</v>
      </c>
      <c r="D696" s="20" t="s">
        <v>642</v>
      </c>
      <c r="E696" s="21">
        <v>2</v>
      </c>
      <c r="F696" s="1" t="s">
        <v>68</v>
      </c>
      <c r="G696" s="42" t="s">
        <v>193</v>
      </c>
      <c r="H696" s="1" t="s">
        <v>194</v>
      </c>
      <c r="J696" s="57">
        <v>0</v>
      </c>
      <c r="K696" s="24">
        <v>45336.4846875</v>
      </c>
      <c r="L696" s="23">
        <v>4</v>
      </c>
      <c r="O696" s="51">
        <v>36</v>
      </c>
      <c r="P696" s="30">
        <v>0</v>
      </c>
      <c r="Q696" s="30">
        <v>2</v>
      </c>
    </row>
    <row r="697" spans="2:18" x14ac:dyDescent="0.25">
      <c r="B697" s="42" t="s">
        <v>314</v>
      </c>
      <c r="C697" s="42" t="s">
        <v>260</v>
      </c>
      <c r="D697" s="20" t="s">
        <v>642</v>
      </c>
      <c r="E697" s="21">
        <v>120</v>
      </c>
      <c r="F697" s="1" t="s">
        <v>68</v>
      </c>
      <c r="G697" s="25" t="s">
        <v>420</v>
      </c>
      <c r="H697" s="1" t="s">
        <v>159</v>
      </c>
      <c r="I697" s="1" t="s">
        <v>154</v>
      </c>
      <c r="J697" s="57">
        <v>0</v>
      </c>
      <c r="K697" s="24">
        <v>45336.484722222223</v>
      </c>
      <c r="L697" s="23">
        <v>4420</v>
      </c>
      <c r="O697" s="51">
        <v>60</v>
      </c>
      <c r="P697" s="30">
        <v>2</v>
      </c>
      <c r="Q697" s="30">
        <v>0</v>
      </c>
    </row>
    <row r="698" spans="2:18" x14ac:dyDescent="0.25">
      <c r="B698" s="42" t="s">
        <v>314</v>
      </c>
      <c r="C698" s="42" t="s">
        <v>422</v>
      </c>
      <c r="D698" s="20" t="s">
        <v>643</v>
      </c>
      <c r="E698" s="21">
        <v>12000</v>
      </c>
      <c r="F698" s="1" t="s">
        <v>68</v>
      </c>
      <c r="G698" s="42" t="s">
        <v>133</v>
      </c>
      <c r="H698" s="1" t="s">
        <v>134</v>
      </c>
      <c r="I698" s="1" t="s">
        <v>115</v>
      </c>
      <c r="J698" s="57">
        <v>0</v>
      </c>
      <c r="K698" s="24">
        <v>45336.484756944446</v>
      </c>
      <c r="L698" s="23">
        <v>120100</v>
      </c>
      <c r="O698" s="51">
        <v>2400</v>
      </c>
      <c r="P698" s="30">
        <v>5</v>
      </c>
      <c r="Q698" s="30">
        <v>0</v>
      </c>
    </row>
    <row r="699" spans="2:18" x14ac:dyDescent="0.25">
      <c r="B699" s="42" t="s">
        <v>314</v>
      </c>
      <c r="C699" s="42" t="s">
        <v>422</v>
      </c>
      <c r="D699" s="20" t="s">
        <v>643</v>
      </c>
      <c r="E699" s="21">
        <v>120</v>
      </c>
      <c r="F699" s="1" t="s">
        <v>68</v>
      </c>
      <c r="G699" s="25" t="s">
        <v>212</v>
      </c>
      <c r="H699" s="1" t="s">
        <v>213</v>
      </c>
      <c r="I699" s="1" t="s">
        <v>154</v>
      </c>
      <c r="J699" s="57">
        <v>0</v>
      </c>
      <c r="K699" s="24">
        <v>45336.484780092593</v>
      </c>
      <c r="L699" s="23">
        <v>6080</v>
      </c>
      <c r="O699" s="51">
        <v>100</v>
      </c>
      <c r="P699" s="30">
        <v>1</v>
      </c>
      <c r="Q699" s="30">
        <v>19.999999999999996</v>
      </c>
    </row>
    <row r="700" spans="2:18" x14ac:dyDescent="0.25">
      <c r="B700" s="42" t="s">
        <v>314</v>
      </c>
      <c r="C700" s="42" t="s">
        <v>422</v>
      </c>
      <c r="D700" s="20" t="s">
        <v>643</v>
      </c>
      <c r="E700" s="21">
        <v>2</v>
      </c>
      <c r="F700" s="1" t="s">
        <v>68</v>
      </c>
      <c r="G700" s="25" t="s">
        <v>423</v>
      </c>
      <c r="H700" s="1" t="s">
        <v>192</v>
      </c>
      <c r="J700" s="57">
        <v>0</v>
      </c>
      <c r="K700" s="24">
        <v>45336.484814814816</v>
      </c>
      <c r="L700" s="23">
        <v>86</v>
      </c>
      <c r="O700" s="51">
        <v>40</v>
      </c>
      <c r="P700" s="30">
        <v>0</v>
      </c>
      <c r="Q700" s="30">
        <v>2</v>
      </c>
    </row>
    <row r="701" spans="2:18" x14ac:dyDescent="0.25">
      <c r="B701" s="42" t="s">
        <v>314</v>
      </c>
      <c r="C701" s="42" t="s">
        <v>497</v>
      </c>
      <c r="D701" s="20" t="s">
        <v>644</v>
      </c>
      <c r="E701" s="21">
        <v>36</v>
      </c>
      <c r="F701" s="1" t="s">
        <v>68</v>
      </c>
      <c r="G701" s="42" t="s">
        <v>177</v>
      </c>
      <c r="H701" s="1" t="s">
        <v>178</v>
      </c>
      <c r="J701" s="57">
        <v>0</v>
      </c>
      <c r="K701" s="24">
        <v>45336.484849537039</v>
      </c>
      <c r="L701" s="23">
        <v>191</v>
      </c>
      <c r="O701" s="51">
        <v>4</v>
      </c>
      <c r="P701" s="30">
        <v>9</v>
      </c>
      <c r="Q701" s="30">
        <v>0</v>
      </c>
    </row>
    <row r="702" spans="2:18" x14ac:dyDescent="0.25">
      <c r="B702" s="42" t="s">
        <v>314</v>
      </c>
      <c r="C702" s="42" t="s">
        <v>645</v>
      </c>
      <c r="D702" s="20" t="s">
        <v>646</v>
      </c>
      <c r="E702" s="21">
        <v>300</v>
      </c>
      <c r="F702" s="1" t="s">
        <v>68</v>
      </c>
      <c r="G702" s="42" t="s">
        <v>170</v>
      </c>
      <c r="H702" s="1" t="s">
        <v>171</v>
      </c>
      <c r="I702" s="1" t="s">
        <v>172</v>
      </c>
      <c r="J702" s="57">
        <v>0</v>
      </c>
      <c r="K702" s="24">
        <v>45336.484907407408</v>
      </c>
      <c r="L702" s="23">
        <v>812</v>
      </c>
      <c r="O702" s="51">
        <v>36</v>
      </c>
      <c r="P702" s="30">
        <v>8</v>
      </c>
      <c r="Q702" s="30">
        <v>12.000000000000021</v>
      </c>
    </row>
    <row r="703" spans="2:18" x14ac:dyDescent="0.25">
      <c r="B703" s="42" t="s">
        <v>647</v>
      </c>
      <c r="C703" s="42" t="s">
        <v>66</v>
      </c>
      <c r="D703" s="20" t="s">
        <v>66</v>
      </c>
      <c r="E703" s="21">
        <v>400</v>
      </c>
      <c r="F703" s="1" t="s">
        <v>68</v>
      </c>
      <c r="G703" s="42" t="s">
        <v>289</v>
      </c>
      <c r="H703" s="1" t="s">
        <v>290</v>
      </c>
      <c r="I703" s="1" t="s">
        <v>115</v>
      </c>
      <c r="J703" s="30">
        <v>1</v>
      </c>
      <c r="K703" s="24">
        <v>45336.542685185188</v>
      </c>
      <c r="L703" s="23">
        <v>400</v>
      </c>
      <c r="M703" s="22">
        <v>45537</v>
      </c>
      <c r="O703" s="51">
        <v>1</v>
      </c>
      <c r="P703" s="30">
        <v>400</v>
      </c>
      <c r="Q703" s="30">
        <v>0</v>
      </c>
    </row>
    <row r="704" spans="2:18" x14ac:dyDescent="0.25">
      <c r="B704" s="42" t="s">
        <v>647</v>
      </c>
      <c r="C704" s="42" t="s">
        <v>66</v>
      </c>
      <c r="D704" s="20" t="s">
        <v>66</v>
      </c>
      <c r="E704" s="21">
        <v>40000</v>
      </c>
      <c r="F704" s="1" t="s">
        <v>68</v>
      </c>
      <c r="G704" s="42" t="s">
        <v>117</v>
      </c>
      <c r="H704" s="1" t="s">
        <v>118</v>
      </c>
      <c r="I704" s="1" t="s">
        <v>115</v>
      </c>
      <c r="J704" s="30">
        <v>1</v>
      </c>
      <c r="K704" s="24">
        <v>45336.542800925927</v>
      </c>
      <c r="L704" s="23">
        <v>46000</v>
      </c>
      <c r="M704" s="22">
        <v>45537</v>
      </c>
      <c r="O704" s="51">
        <v>1200</v>
      </c>
      <c r="P704" s="30">
        <v>33</v>
      </c>
      <c r="Q704" s="30">
        <v>400.00000000000284</v>
      </c>
    </row>
    <row r="705" spans="1:17" x14ac:dyDescent="0.25">
      <c r="B705" s="42" t="s">
        <v>314</v>
      </c>
      <c r="C705" s="42" t="s">
        <v>422</v>
      </c>
      <c r="D705" s="20" t="s">
        <v>648</v>
      </c>
      <c r="E705" s="21">
        <v>250</v>
      </c>
      <c r="F705" s="1" t="s">
        <v>68</v>
      </c>
      <c r="G705" s="42" t="s">
        <v>165</v>
      </c>
      <c r="H705" s="1" t="s">
        <v>166</v>
      </c>
      <c r="J705" s="57">
        <v>0</v>
      </c>
      <c r="K705" s="24">
        <v>45337.672777777778</v>
      </c>
      <c r="L705" s="23">
        <v>2102</v>
      </c>
      <c r="O705" s="51">
        <v>24</v>
      </c>
      <c r="P705" s="30">
        <v>10</v>
      </c>
      <c r="Q705" s="30">
        <v>9.9999999999999858</v>
      </c>
    </row>
    <row r="706" spans="1:17" x14ac:dyDescent="0.25">
      <c r="B706" s="42" t="s">
        <v>314</v>
      </c>
      <c r="C706" s="42" t="s">
        <v>649</v>
      </c>
      <c r="D706" s="20" t="s">
        <v>650</v>
      </c>
      <c r="E706" s="21">
        <v>500</v>
      </c>
      <c r="F706" s="1" t="s">
        <v>68</v>
      </c>
      <c r="G706" s="42" t="s">
        <v>125</v>
      </c>
      <c r="H706" s="1" t="s">
        <v>126</v>
      </c>
      <c r="I706" s="1" t="s">
        <v>115</v>
      </c>
      <c r="J706" s="57">
        <v>0</v>
      </c>
      <c r="K706" s="24">
        <v>45337.673333333332</v>
      </c>
      <c r="L706" s="23">
        <v>13800</v>
      </c>
      <c r="O706" s="51">
        <v>1200</v>
      </c>
      <c r="P706" s="30">
        <v>0</v>
      </c>
      <c r="Q706" s="30">
        <v>500</v>
      </c>
    </row>
    <row r="707" spans="1:17" x14ac:dyDescent="0.25">
      <c r="B707" s="42" t="s">
        <v>169</v>
      </c>
      <c r="C707" s="42" t="s">
        <v>255</v>
      </c>
      <c r="D707" s="20" t="s">
        <v>651</v>
      </c>
      <c r="E707" s="21">
        <v>100</v>
      </c>
      <c r="F707" s="1" t="s">
        <v>68</v>
      </c>
      <c r="G707" s="42" t="s">
        <v>177</v>
      </c>
      <c r="H707" s="1" t="s">
        <v>178</v>
      </c>
      <c r="J707" s="57">
        <v>0</v>
      </c>
      <c r="K707" s="24">
        <v>45337.677893518521</v>
      </c>
      <c r="L707" s="23">
        <v>91</v>
      </c>
      <c r="O707" s="51">
        <v>4</v>
      </c>
      <c r="P707" s="30">
        <v>25</v>
      </c>
      <c r="Q707" s="30">
        <v>0</v>
      </c>
    </row>
    <row r="708" spans="1:17" x14ac:dyDescent="0.25">
      <c r="B708" s="42" t="s">
        <v>169</v>
      </c>
      <c r="C708" s="42" t="s">
        <v>652</v>
      </c>
      <c r="D708" s="20" t="s">
        <v>653</v>
      </c>
      <c r="E708" s="21">
        <v>5600</v>
      </c>
      <c r="F708" s="1" t="s">
        <v>68</v>
      </c>
      <c r="G708" s="42" t="s">
        <v>133</v>
      </c>
      <c r="H708" s="1" t="s">
        <v>134</v>
      </c>
      <c r="I708" s="1" t="s">
        <v>115</v>
      </c>
      <c r="J708" s="57">
        <v>0</v>
      </c>
      <c r="K708" s="24">
        <v>45337.677928240744</v>
      </c>
      <c r="L708" s="23">
        <v>114500</v>
      </c>
      <c r="O708" s="51">
        <v>2400</v>
      </c>
      <c r="P708" s="30">
        <v>2</v>
      </c>
      <c r="Q708" s="30">
        <v>800.00000000000034</v>
      </c>
    </row>
    <row r="709" spans="1:17" x14ac:dyDescent="0.25">
      <c r="B709" s="42" t="s">
        <v>169</v>
      </c>
      <c r="C709" s="42" t="s">
        <v>380</v>
      </c>
      <c r="D709" s="20" t="s">
        <v>654</v>
      </c>
      <c r="E709" s="21">
        <v>1000</v>
      </c>
      <c r="F709" s="1" t="s">
        <v>68</v>
      </c>
      <c r="G709" s="42" t="s">
        <v>117</v>
      </c>
      <c r="H709" s="1" t="s">
        <v>118</v>
      </c>
      <c r="I709" s="1" t="s">
        <v>115</v>
      </c>
      <c r="J709" s="57">
        <v>0</v>
      </c>
      <c r="K709" s="24">
        <v>45337.67796296296</v>
      </c>
      <c r="L709" s="23">
        <v>45000</v>
      </c>
      <c r="O709" s="51">
        <v>1200</v>
      </c>
      <c r="P709" s="30">
        <v>0</v>
      </c>
      <c r="Q709" s="30">
        <v>1000</v>
      </c>
    </row>
    <row r="710" spans="1:17" x14ac:dyDescent="0.25">
      <c r="B710" s="42" t="s">
        <v>169</v>
      </c>
      <c r="C710" s="42" t="s">
        <v>380</v>
      </c>
      <c r="D710" s="20" t="s">
        <v>654</v>
      </c>
      <c r="E710" s="21">
        <v>1600</v>
      </c>
      <c r="F710" s="1" t="s">
        <v>68</v>
      </c>
      <c r="G710" s="42" t="s">
        <v>181</v>
      </c>
      <c r="H710" s="1" t="s">
        <v>182</v>
      </c>
      <c r="I710" s="1" t="s">
        <v>115</v>
      </c>
      <c r="J710" s="57">
        <v>0</v>
      </c>
      <c r="K710" s="24">
        <v>45337.677986111114</v>
      </c>
      <c r="L710" s="23">
        <v>15800</v>
      </c>
      <c r="O710" s="51">
        <v>2400</v>
      </c>
      <c r="P710" s="30">
        <v>0</v>
      </c>
      <c r="Q710" s="30">
        <v>1600</v>
      </c>
    </row>
    <row r="711" spans="1:17" x14ac:dyDescent="0.25">
      <c r="B711" s="42" t="s">
        <v>169</v>
      </c>
      <c r="C711" s="42" t="s">
        <v>575</v>
      </c>
      <c r="D711" s="20" t="s">
        <v>655</v>
      </c>
      <c r="E711" s="21">
        <v>200</v>
      </c>
      <c r="F711" s="1" t="s">
        <v>68</v>
      </c>
      <c r="G711" s="42" t="s">
        <v>152</v>
      </c>
      <c r="H711" s="1" t="s">
        <v>153</v>
      </c>
      <c r="I711" s="1" t="s">
        <v>154</v>
      </c>
      <c r="J711" s="57">
        <v>0</v>
      </c>
      <c r="K711" s="24">
        <v>45337.67800925926</v>
      </c>
      <c r="L711" s="23">
        <v>7688</v>
      </c>
      <c r="O711" s="51">
        <v>24</v>
      </c>
      <c r="P711" s="30">
        <v>8</v>
      </c>
      <c r="Q711" s="30">
        <v>8.0000000000000142</v>
      </c>
    </row>
    <row r="712" spans="1:17" x14ac:dyDescent="0.25">
      <c r="B712" s="42" t="s">
        <v>169</v>
      </c>
      <c r="C712" s="42" t="s">
        <v>621</v>
      </c>
      <c r="D712" s="20" t="s">
        <v>656</v>
      </c>
      <c r="E712" s="21">
        <v>1200</v>
      </c>
      <c r="F712" s="1" t="s">
        <v>68</v>
      </c>
      <c r="G712" s="42" t="s">
        <v>113</v>
      </c>
      <c r="H712" s="1" t="s">
        <v>114</v>
      </c>
      <c r="I712" s="1" t="s">
        <v>115</v>
      </c>
      <c r="J712" s="57">
        <v>0</v>
      </c>
      <c r="K712" s="24">
        <v>45337.678032407406</v>
      </c>
      <c r="L712" s="23">
        <v>71400</v>
      </c>
      <c r="O712" s="51">
        <v>2400</v>
      </c>
      <c r="P712" s="30">
        <v>0</v>
      </c>
      <c r="Q712" s="30">
        <v>1200</v>
      </c>
    </row>
    <row r="713" spans="1:17" x14ac:dyDescent="0.25">
      <c r="B713" s="42" t="s">
        <v>169</v>
      </c>
      <c r="C713" s="42" t="s">
        <v>621</v>
      </c>
      <c r="D713" s="20" t="s">
        <v>656</v>
      </c>
      <c r="E713" s="21">
        <v>200</v>
      </c>
      <c r="F713" s="1" t="s">
        <v>137</v>
      </c>
      <c r="G713" s="42" t="s">
        <v>138</v>
      </c>
      <c r="H713" s="1" t="s">
        <v>139</v>
      </c>
      <c r="I713" s="1" t="s">
        <v>140</v>
      </c>
      <c r="J713" s="57">
        <v>0</v>
      </c>
      <c r="K713" s="24">
        <v>45337.678055555552</v>
      </c>
      <c r="L713" s="23">
        <v>480</v>
      </c>
      <c r="O713" s="51">
        <v>10</v>
      </c>
      <c r="P713" s="30">
        <v>20</v>
      </c>
      <c r="Q713" s="30">
        <v>0</v>
      </c>
    </row>
    <row r="714" spans="1:17" x14ac:dyDescent="0.25">
      <c r="B714" s="42" t="s">
        <v>169</v>
      </c>
      <c r="C714" s="42" t="s">
        <v>621</v>
      </c>
      <c r="D714" s="20" t="s">
        <v>656</v>
      </c>
      <c r="E714" s="21">
        <v>20</v>
      </c>
      <c r="F714" s="1" t="s">
        <v>137</v>
      </c>
      <c r="G714" s="42" t="s">
        <v>138</v>
      </c>
      <c r="H714" s="1" t="s">
        <v>139</v>
      </c>
      <c r="I714" s="1" t="s">
        <v>140</v>
      </c>
      <c r="J714" s="57">
        <v>0</v>
      </c>
      <c r="K714" s="24">
        <v>45337.678078703706</v>
      </c>
      <c r="L714" s="23">
        <v>460</v>
      </c>
      <c r="O714" s="51">
        <v>10</v>
      </c>
      <c r="P714" s="30">
        <v>2</v>
      </c>
      <c r="Q714" s="30">
        <v>0</v>
      </c>
    </row>
    <row r="715" spans="1:17" x14ac:dyDescent="0.25">
      <c r="B715" s="42" t="s">
        <v>169</v>
      </c>
      <c r="C715" s="42" t="s">
        <v>621</v>
      </c>
      <c r="D715" s="20" t="s">
        <v>656</v>
      </c>
      <c r="E715" s="21">
        <v>34</v>
      </c>
      <c r="F715" s="1" t="s">
        <v>137</v>
      </c>
      <c r="G715" s="42" t="s">
        <v>141</v>
      </c>
      <c r="H715" s="1" t="s">
        <v>142</v>
      </c>
      <c r="I715" s="1" t="s">
        <v>140</v>
      </c>
      <c r="J715" s="57">
        <v>0</v>
      </c>
      <c r="K715" s="24">
        <v>45337.678113425929</v>
      </c>
      <c r="L715" s="23">
        <v>5984</v>
      </c>
      <c r="O715" s="51">
        <v>10</v>
      </c>
      <c r="P715" s="30">
        <v>3</v>
      </c>
      <c r="Q715" s="30">
        <v>3.9999999999999991</v>
      </c>
    </row>
    <row r="716" spans="1:17" x14ac:dyDescent="0.25">
      <c r="B716" s="42" t="s">
        <v>169</v>
      </c>
      <c r="C716" s="42" t="s">
        <v>411</v>
      </c>
      <c r="D716" s="20" t="s">
        <v>657</v>
      </c>
      <c r="E716" s="21">
        <v>10</v>
      </c>
      <c r="F716" s="1" t="s">
        <v>68</v>
      </c>
      <c r="G716" s="25" t="s">
        <v>772</v>
      </c>
      <c r="H716" s="1" t="s">
        <v>160</v>
      </c>
      <c r="I716" s="1" t="s">
        <v>154</v>
      </c>
      <c r="J716" s="57">
        <v>0</v>
      </c>
      <c r="K716" s="24">
        <v>45337.678136574075</v>
      </c>
      <c r="L716" s="23">
        <v>224</v>
      </c>
      <c r="O716" s="51">
        <v>4</v>
      </c>
      <c r="P716" s="30">
        <v>2</v>
      </c>
      <c r="Q716" s="30">
        <v>2</v>
      </c>
    </row>
    <row r="717" spans="1:17" x14ac:dyDescent="0.25">
      <c r="B717" s="42" t="s">
        <v>169</v>
      </c>
      <c r="C717" s="42" t="s">
        <v>254</v>
      </c>
      <c r="D717" s="20" t="s">
        <v>658</v>
      </c>
      <c r="E717" s="21">
        <v>120</v>
      </c>
      <c r="F717" s="1" t="s">
        <v>68</v>
      </c>
      <c r="G717" s="42" t="s">
        <v>174</v>
      </c>
      <c r="H717" s="1" t="s">
        <v>175</v>
      </c>
      <c r="I717" s="1" t="s">
        <v>176</v>
      </c>
      <c r="J717" s="57">
        <v>0</v>
      </c>
      <c r="K717" s="24">
        <v>45337.678171296298</v>
      </c>
      <c r="L717" s="23">
        <v>160</v>
      </c>
      <c r="O717" s="51">
        <v>300</v>
      </c>
      <c r="P717" s="30">
        <v>0</v>
      </c>
      <c r="Q717" s="30">
        <v>120</v>
      </c>
    </row>
    <row r="718" spans="1:17" x14ac:dyDescent="0.25">
      <c r="B718" s="42" t="s">
        <v>659</v>
      </c>
      <c r="C718" s="42" t="s">
        <v>67</v>
      </c>
      <c r="D718" s="20" t="s">
        <v>67</v>
      </c>
      <c r="E718" s="21">
        <v>600</v>
      </c>
      <c r="F718" s="1" t="s">
        <v>68</v>
      </c>
      <c r="G718" s="42" t="s">
        <v>177</v>
      </c>
      <c r="H718" s="1" t="s">
        <v>178</v>
      </c>
      <c r="J718" s="30">
        <v>1</v>
      </c>
      <c r="K718" s="24">
        <v>45338.583553240744</v>
      </c>
      <c r="L718" s="23">
        <v>691</v>
      </c>
      <c r="M718" s="22">
        <v>45324</v>
      </c>
      <c r="O718" s="51">
        <v>4</v>
      </c>
      <c r="P718" s="30">
        <v>150</v>
      </c>
      <c r="Q718" s="30">
        <v>0</v>
      </c>
    </row>
    <row r="719" spans="1:17" x14ac:dyDescent="0.25">
      <c r="A719" s="1" t="s">
        <v>660</v>
      </c>
      <c r="B719" s="25" t="s">
        <v>314</v>
      </c>
      <c r="C719" s="25" t="s">
        <v>760</v>
      </c>
      <c r="D719" s="25" t="s">
        <v>661</v>
      </c>
      <c r="E719" s="1">
        <v>812</v>
      </c>
      <c r="F719" s="1" t="s">
        <v>68</v>
      </c>
      <c r="G719" s="25" t="s">
        <v>170</v>
      </c>
      <c r="H719" s="1" t="s">
        <v>171</v>
      </c>
      <c r="I719" s="1" t="s">
        <v>172</v>
      </c>
      <c r="J719" s="10">
        <v>0</v>
      </c>
      <c r="K719" s="24">
        <v>45342.652199074073</v>
      </c>
      <c r="L719" s="23">
        <v>0</v>
      </c>
      <c r="O719" s="51">
        <v>36</v>
      </c>
      <c r="P719" s="30">
        <v>22</v>
      </c>
      <c r="Q719" s="30">
        <v>20.000000000000057</v>
      </c>
    </row>
    <row r="720" spans="1:17" x14ac:dyDescent="0.25">
      <c r="B720" s="25" t="s">
        <v>314</v>
      </c>
      <c r="C720" s="25" t="s">
        <v>587</v>
      </c>
      <c r="D720" s="1" t="s">
        <v>662</v>
      </c>
      <c r="E720" s="1">
        <v>170</v>
      </c>
      <c r="F720" s="1" t="s">
        <v>68</v>
      </c>
      <c r="G720" s="25" t="s">
        <v>174</v>
      </c>
      <c r="H720" s="1" t="s">
        <v>175</v>
      </c>
      <c r="I720" s="1" t="s">
        <v>176</v>
      </c>
      <c r="J720" s="10">
        <v>0</v>
      </c>
      <c r="K720" s="24">
        <v>45342.654687499999</v>
      </c>
      <c r="L720" s="23">
        <v>-10</v>
      </c>
      <c r="O720" s="51">
        <v>300</v>
      </c>
      <c r="P720" s="30">
        <v>0</v>
      </c>
      <c r="Q720" s="30">
        <v>170</v>
      </c>
    </row>
    <row r="721" spans="1:18" x14ac:dyDescent="0.25">
      <c r="B721" s="42" t="s">
        <v>314</v>
      </c>
      <c r="C721" s="42" t="s">
        <v>587</v>
      </c>
      <c r="D721" s="20" t="s">
        <v>662</v>
      </c>
      <c r="E721" s="21">
        <v>20</v>
      </c>
      <c r="F721" s="1" t="s">
        <v>68</v>
      </c>
      <c r="G721" s="25" t="s">
        <v>772</v>
      </c>
      <c r="H721" s="1" t="s">
        <v>160</v>
      </c>
      <c r="I721" s="1" t="s">
        <v>154</v>
      </c>
      <c r="J721" s="10">
        <v>0</v>
      </c>
      <c r="K721" s="24">
        <v>45342.656076388892</v>
      </c>
      <c r="L721" s="23">
        <v>204</v>
      </c>
      <c r="O721" s="51">
        <v>4</v>
      </c>
      <c r="P721" s="30">
        <v>5</v>
      </c>
      <c r="Q721" s="30">
        <v>0</v>
      </c>
    </row>
    <row r="722" spans="1:18" x14ac:dyDescent="0.25">
      <c r="B722" s="42" t="s">
        <v>314</v>
      </c>
      <c r="C722" s="42" t="s">
        <v>472</v>
      </c>
      <c r="D722" s="20" t="s">
        <v>663</v>
      </c>
      <c r="E722" s="21">
        <v>500</v>
      </c>
      <c r="F722" s="1" t="s">
        <v>137</v>
      </c>
      <c r="G722" s="25" t="s">
        <v>138</v>
      </c>
      <c r="H722" s="1" t="s">
        <v>139</v>
      </c>
      <c r="I722" s="1" t="s">
        <v>140</v>
      </c>
      <c r="J722" s="57">
        <v>0</v>
      </c>
      <c r="K722" s="24">
        <v>45342.647743055553</v>
      </c>
      <c r="L722" s="23">
        <v>-40</v>
      </c>
      <c r="O722" s="51">
        <v>10</v>
      </c>
      <c r="P722" s="30">
        <v>50</v>
      </c>
      <c r="Q722" s="30">
        <v>0</v>
      </c>
    </row>
    <row r="723" spans="1:18" x14ac:dyDescent="0.25">
      <c r="B723" s="42" t="s">
        <v>314</v>
      </c>
      <c r="C723" s="42" t="s">
        <v>357</v>
      </c>
      <c r="D723" s="20" t="s">
        <v>664</v>
      </c>
      <c r="E723" s="21">
        <v>600</v>
      </c>
      <c r="F723" s="1" t="s">
        <v>145</v>
      </c>
      <c r="G723" s="25" t="s">
        <v>150</v>
      </c>
      <c r="H723" s="1" t="s">
        <v>147</v>
      </c>
      <c r="I723" s="1" t="s">
        <v>148</v>
      </c>
      <c r="J723" s="57">
        <v>0</v>
      </c>
      <c r="K723" s="24">
        <v>45342.656122685185</v>
      </c>
      <c r="L723" s="23">
        <v>3502</v>
      </c>
      <c r="O723" s="51">
        <v>144</v>
      </c>
      <c r="P723" s="30">
        <v>4</v>
      </c>
      <c r="Q723" s="30">
        <v>24.000000000000043</v>
      </c>
    </row>
    <row r="724" spans="1:18" x14ac:dyDescent="0.25">
      <c r="B724" s="42" t="s">
        <v>314</v>
      </c>
      <c r="C724" s="42" t="s">
        <v>561</v>
      </c>
      <c r="D724" s="20" t="s">
        <v>665</v>
      </c>
      <c r="E724" s="21">
        <v>21400</v>
      </c>
      <c r="F724" s="1" t="s">
        <v>68</v>
      </c>
      <c r="G724" s="25" t="s">
        <v>117</v>
      </c>
      <c r="H724" s="1" t="s">
        <v>118</v>
      </c>
      <c r="I724" s="1" t="s">
        <v>115</v>
      </c>
      <c r="J724" s="57">
        <v>0</v>
      </c>
      <c r="K724" s="24">
        <v>45342.656157407408</v>
      </c>
      <c r="L724" s="23">
        <v>23600</v>
      </c>
      <c r="O724" s="51">
        <v>1200</v>
      </c>
      <c r="P724" s="30">
        <v>17</v>
      </c>
      <c r="Q724" s="30">
        <v>999.99999999999864</v>
      </c>
    </row>
    <row r="725" spans="1:18" x14ac:dyDescent="0.25">
      <c r="B725" s="42" t="s">
        <v>314</v>
      </c>
      <c r="C725" s="42" t="s">
        <v>502</v>
      </c>
      <c r="D725" s="20" t="s">
        <v>666</v>
      </c>
      <c r="E725" s="21">
        <v>5600</v>
      </c>
      <c r="F725" s="1" t="s">
        <v>68</v>
      </c>
      <c r="G725" s="35" t="s">
        <v>113</v>
      </c>
      <c r="H725" s="1" t="s">
        <v>114</v>
      </c>
      <c r="I725" s="1" t="s">
        <v>115</v>
      </c>
      <c r="J725" s="57">
        <v>0</v>
      </c>
      <c r="K725" s="24">
        <v>45342.656192129631</v>
      </c>
      <c r="L725" s="23">
        <v>65800</v>
      </c>
      <c r="O725" s="51">
        <v>2400</v>
      </c>
      <c r="P725" s="30">
        <v>2</v>
      </c>
      <c r="Q725" s="30">
        <v>800.00000000000034</v>
      </c>
      <c r="R725" s="76"/>
    </row>
    <row r="726" spans="1:18" x14ac:dyDescent="0.25">
      <c r="A726" s="1" t="s">
        <v>660</v>
      </c>
      <c r="B726" s="42" t="s">
        <v>314</v>
      </c>
      <c r="C726" s="42" t="s">
        <v>649</v>
      </c>
      <c r="D726" s="20" t="s">
        <v>667</v>
      </c>
      <c r="E726" s="21">
        <v>20000</v>
      </c>
      <c r="F726" s="1" t="s">
        <v>68</v>
      </c>
      <c r="G726" s="25" t="s">
        <v>113</v>
      </c>
      <c r="H726" s="1" t="s">
        <v>114</v>
      </c>
      <c r="I726" s="1" t="s">
        <v>115</v>
      </c>
      <c r="J726" s="57">
        <v>0</v>
      </c>
      <c r="K726" s="24">
        <v>45342.656226851854</v>
      </c>
      <c r="L726" s="23">
        <v>45800</v>
      </c>
      <c r="O726" s="51">
        <v>2400</v>
      </c>
      <c r="P726" s="30">
        <v>8</v>
      </c>
      <c r="Q726" s="30">
        <v>800.00000000000136</v>
      </c>
    </row>
    <row r="727" spans="1:18" x14ac:dyDescent="0.25">
      <c r="B727" s="42" t="s">
        <v>314</v>
      </c>
      <c r="C727" s="42" t="s">
        <v>649</v>
      </c>
      <c r="D727" s="20" t="s">
        <v>667</v>
      </c>
      <c r="E727" s="21">
        <v>1250</v>
      </c>
      <c r="F727" s="1" t="s">
        <v>68</v>
      </c>
      <c r="G727" s="25" t="s">
        <v>125</v>
      </c>
      <c r="H727" s="1" t="s">
        <v>126</v>
      </c>
      <c r="I727" s="1" t="s">
        <v>115</v>
      </c>
      <c r="J727" s="57">
        <v>0</v>
      </c>
      <c r="K727" s="24">
        <v>45342.656261574077</v>
      </c>
      <c r="L727" s="23">
        <v>12550</v>
      </c>
      <c r="O727" s="51">
        <v>1200</v>
      </c>
      <c r="P727" s="30">
        <v>1</v>
      </c>
      <c r="Q727" s="30">
        <v>50.000000000000085</v>
      </c>
    </row>
    <row r="728" spans="1:18" x14ac:dyDescent="0.25">
      <c r="A728" s="1" t="s">
        <v>660</v>
      </c>
      <c r="B728" s="42" t="s">
        <v>314</v>
      </c>
      <c r="C728" s="42" t="s">
        <v>554</v>
      </c>
      <c r="D728" s="20" t="s">
        <v>668</v>
      </c>
      <c r="E728" s="21">
        <v>1400</v>
      </c>
      <c r="F728" s="1" t="s">
        <v>68</v>
      </c>
      <c r="G728" s="25" t="s">
        <v>135</v>
      </c>
      <c r="H728" s="1" t="s">
        <v>136</v>
      </c>
      <c r="I728" s="1" t="s">
        <v>115</v>
      </c>
      <c r="J728" s="57">
        <v>0</v>
      </c>
      <c r="K728" s="24">
        <v>45342.6562962963</v>
      </c>
      <c r="L728" s="23">
        <v>10700</v>
      </c>
      <c r="O728" s="51">
        <v>2400</v>
      </c>
      <c r="P728" s="30">
        <v>0</v>
      </c>
      <c r="Q728" s="30">
        <v>1400</v>
      </c>
    </row>
    <row r="729" spans="1:18" x14ac:dyDescent="0.25">
      <c r="B729" s="42" t="s">
        <v>314</v>
      </c>
      <c r="C729" s="42" t="s">
        <v>422</v>
      </c>
      <c r="D729" s="20" t="s">
        <v>669</v>
      </c>
      <c r="E729" s="21">
        <v>12000</v>
      </c>
      <c r="F729" s="1" t="s">
        <v>68</v>
      </c>
      <c r="G729" s="25" t="s">
        <v>133</v>
      </c>
      <c r="H729" s="1" t="s">
        <v>134</v>
      </c>
      <c r="I729" s="1" t="s">
        <v>115</v>
      </c>
      <c r="J729" s="57">
        <v>0</v>
      </c>
      <c r="K729" s="24">
        <v>45342.656342592592</v>
      </c>
      <c r="L729" s="23">
        <v>102500</v>
      </c>
      <c r="O729" s="51">
        <v>2400</v>
      </c>
      <c r="P729" s="30">
        <v>5</v>
      </c>
      <c r="Q729" s="30">
        <v>0</v>
      </c>
    </row>
    <row r="730" spans="1:18" x14ac:dyDescent="0.25">
      <c r="B730" s="25" t="s">
        <v>169</v>
      </c>
      <c r="C730" s="25" t="s">
        <v>621</v>
      </c>
      <c r="D730" s="25" t="s">
        <v>670</v>
      </c>
      <c r="E730" s="1">
        <v>20</v>
      </c>
      <c r="F730" s="1" t="s">
        <v>137</v>
      </c>
      <c r="G730" s="25" t="s">
        <v>143</v>
      </c>
      <c r="H730" s="1" t="s">
        <v>144</v>
      </c>
      <c r="I730" s="1" t="s">
        <v>140</v>
      </c>
      <c r="J730" s="57">
        <v>0</v>
      </c>
      <c r="K730" s="24">
        <v>45343.410358796296</v>
      </c>
      <c r="L730" s="23">
        <v>465</v>
      </c>
      <c r="O730" s="51">
        <v>10</v>
      </c>
      <c r="P730" s="30">
        <v>2</v>
      </c>
      <c r="Q730" s="30">
        <v>0</v>
      </c>
    </row>
    <row r="731" spans="1:18" x14ac:dyDescent="0.25">
      <c r="B731" s="25" t="s">
        <v>169</v>
      </c>
      <c r="C731" s="25" t="s">
        <v>621</v>
      </c>
      <c r="D731" s="1">
        <v>522</v>
      </c>
      <c r="E731" s="1">
        <v>34</v>
      </c>
      <c r="F731" s="1" t="s">
        <v>137</v>
      </c>
      <c r="G731" s="25" t="s">
        <v>141</v>
      </c>
      <c r="H731" s="1" t="s">
        <v>142</v>
      </c>
      <c r="I731" s="1" t="s">
        <v>140</v>
      </c>
      <c r="J731" s="57">
        <v>0</v>
      </c>
      <c r="K731" s="24">
        <v>45343.410393518519</v>
      </c>
      <c r="L731" s="23">
        <v>5900</v>
      </c>
      <c r="O731" s="51">
        <v>10</v>
      </c>
      <c r="P731" s="30">
        <v>3</v>
      </c>
      <c r="Q731" s="30">
        <v>3.9999999999999991</v>
      </c>
    </row>
    <row r="732" spans="1:18" x14ac:dyDescent="0.25">
      <c r="B732" s="25" t="s">
        <v>169</v>
      </c>
      <c r="C732" s="25" t="s">
        <v>380</v>
      </c>
      <c r="D732" s="25" t="s">
        <v>671</v>
      </c>
      <c r="E732" s="1">
        <v>1600</v>
      </c>
      <c r="F732" s="1" t="s">
        <v>68</v>
      </c>
      <c r="G732" s="25" t="s">
        <v>181</v>
      </c>
      <c r="H732" s="1" t="s">
        <v>182</v>
      </c>
      <c r="I732" s="1" t="s">
        <v>115</v>
      </c>
      <c r="J732" s="57">
        <v>0</v>
      </c>
      <c r="K732" s="24">
        <v>45343.410416666666</v>
      </c>
      <c r="L732" s="23">
        <v>14200</v>
      </c>
      <c r="O732" s="51">
        <v>2400</v>
      </c>
      <c r="P732" s="30">
        <v>0</v>
      </c>
      <c r="Q732" s="30">
        <v>1600</v>
      </c>
    </row>
    <row r="733" spans="1:18" x14ac:dyDescent="0.25">
      <c r="B733" s="25" t="s">
        <v>169</v>
      </c>
      <c r="C733" s="25" t="s">
        <v>380</v>
      </c>
      <c r="D733" s="1">
        <v>523</v>
      </c>
      <c r="E733" s="1">
        <v>1000</v>
      </c>
      <c r="F733" s="1" t="s">
        <v>68</v>
      </c>
      <c r="G733" s="25" t="s">
        <v>117</v>
      </c>
      <c r="H733" s="1" t="s">
        <v>118</v>
      </c>
      <c r="I733" s="1" t="s">
        <v>115</v>
      </c>
      <c r="J733" s="57">
        <v>0</v>
      </c>
      <c r="K733" s="24">
        <v>45343.410439814812</v>
      </c>
      <c r="L733" s="23">
        <v>22600</v>
      </c>
      <c r="O733" s="51">
        <v>1200</v>
      </c>
      <c r="P733" s="30">
        <v>0</v>
      </c>
      <c r="Q733" s="30">
        <v>1000</v>
      </c>
    </row>
    <row r="734" spans="1:18" x14ac:dyDescent="0.25">
      <c r="B734" s="25" t="s">
        <v>169</v>
      </c>
      <c r="C734" s="25" t="s">
        <v>411</v>
      </c>
      <c r="D734" s="25" t="s">
        <v>672</v>
      </c>
      <c r="E734" s="1">
        <v>20</v>
      </c>
      <c r="F734" s="1" t="s">
        <v>68</v>
      </c>
      <c r="G734" s="25" t="s">
        <v>772</v>
      </c>
      <c r="H734" s="1" t="s">
        <v>160</v>
      </c>
      <c r="I734" s="1" t="s">
        <v>154</v>
      </c>
      <c r="J734" s="57">
        <v>0</v>
      </c>
      <c r="K734" s="24">
        <v>45343.410532407404</v>
      </c>
      <c r="L734" s="23">
        <v>184</v>
      </c>
      <c r="O734" s="51">
        <v>4</v>
      </c>
      <c r="P734" s="30">
        <v>5</v>
      </c>
      <c r="Q734" s="30">
        <v>0</v>
      </c>
    </row>
    <row r="735" spans="1:18" x14ac:dyDescent="0.25">
      <c r="B735" s="25" t="s">
        <v>169</v>
      </c>
      <c r="C735" s="25" t="s">
        <v>575</v>
      </c>
      <c r="D735" s="25" t="s">
        <v>673</v>
      </c>
      <c r="E735" s="1">
        <v>200</v>
      </c>
      <c r="F735" s="1" t="s">
        <v>68</v>
      </c>
      <c r="G735" s="25" t="s">
        <v>152</v>
      </c>
      <c r="H735" s="1" t="s">
        <v>153</v>
      </c>
      <c r="I735" s="1" t="s">
        <v>154</v>
      </c>
      <c r="J735" s="57">
        <v>0</v>
      </c>
      <c r="K735" s="24">
        <v>45343.410590277781</v>
      </c>
      <c r="L735" s="23">
        <v>7488</v>
      </c>
      <c r="O735" s="51">
        <v>24</v>
      </c>
      <c r="P735" s="30">
        <v>8</v>
      </c>
      <c r="Q735" s="30">
        <v>8.0000000000000142</v>
      </c>
    </row>
    <row r="736" spans="1:18" x14ac:dyDescent="0.25">
      <c r="B736" s="25" t="s">
        <v>169</v>
      </c>
      <c r="C736" s="25" t="s">
        <v>575</v>
      </c>
      <c r="D736" s="1">
        <v>525</v>
      </c>
      <c r="E736" s="1">
        <v>900</v>
      </c>
      <c r="F736" s="1" t="s">
        <v>68</v>
      </c>
      <c r="G736" s="25" t="s">
        <v>212</v>
      </c>
      <c r="H736" s="1" t="s">
        <v>213</v>
      </c>
      <c r="I736" s="1" t="s">
        <v>154</v>
      </c>
      <c r="J736" s="57">
        <v>0</v>
      </c>
      <c r="K736" s="24">
        <v>45343.41064814815</v>
      </c>
      <c r="L736" s="23">
        <v>5180</v>
      </c>
      <c r="O736" s="51">
        <v>100</v>
      </c>
      <c r="P736" s="30">
        <v>9</v>
      </c>
      <c r="Q736" s="30">
        <v>0</v>
      </c>
    </row>
    <row r="737" spans="1:18" x14ac:dyDescent="0.25">
      <c r="B737" s="25" t="s">
        <v>169</v>
      </c>
      <c r="C737" s="25" t="s">
        <v>575</v>
      </c>
      <c r="D737" s="25" t="s">
        <v>674</v>
      </c>
      <c r="E737" s="1">
        <v>900</v>
      </c>
      <c r="F737" s="1" t="s">
        <v>68</v>
      </c>
      <c r="G737" s="25" t="s">
        <v>774</v>
      </c>
      <c r="H737" s="1" t="s">
        <v>189</v>
      </c>
      <c r="I737" s="1" t="s">
        <v>154</v>
      </c>
      <c r="J737" s="57">
        <v>0</v>
      </c>
      <c r="K737" s="24">
        <v>45343.675694444442</v>
      </c>
      <c r="L737" s="23">
        <v>1310</v>
      </c>
      <c r="O737" s="51">
        <v>100</v>
      </c>
      <c r="P737" s="30">
        <v>9</v>
      </c>
      <c r="Q737" s="30">
        <v>0</v>
      </c>
    </row>
    <row r="738" spans="1:18" x14ac:dyDescent="0.25">
      <c r="B738" s="25" t="s">
        <v>169</v>
      </c>
      <c r="C738" s="25" t="s">
        <v>575</v>
      </c>
      <c r="D738" s="1">
        <v>535</v>
      </c>
      <c r="E738" s="1">
        <v>400</v>
      </c>
      <c r="F738" s="1" t="s">
        <v>68</v>
      </c>
      <c r="G738" s="25" t="s">
        <v>152</v>
      </c>
      <c r="H738" s="1" t="s">
        <v>153</v>
      </c>
      <c r="I738" s="1" t="s">
        <v>154</v>
      </c>
      <c r="J738" s="57">
        <v>0</v>
      </c>
      <c r="K738" s="24">
        <v>45343.675706018519</v>
      </c>
      <c r="L738" s="23">
        <v>7088</v>
      </c>
      <c r="O738" s="51">
        <v>24</v>
      </c>
      <c r="P738" s="30">
        <v>16</v>
      </c>
      <c r="Q738" s="30">
        <v>16.000000000000028</v>
      </c>
    </row>
    <row r="739" spans="1:18" x14ac:dyDescent="0.25">
      <c r="B739" s="25" t="s">
        <v>169</v>
      </c>
      <c r="C739" s="25" t="s">
        <v>621</v>
      </c>
      <c r="D739" s="25" t="s">
        <v>675</v>
      </c>
      <c r="E739" s="1">
        <v>200</v>
      </c>
      <c r="F739" s="1" t="s">
        <v>137</v>
      </c>
      <c r="G739" s="25" t="s">
        <v>138</v>
      </c>
      <c r="H739" s="1" t="s">
        <v>139</v>
      </c>
      <c r="I739" s="1" t="s">
        <v>140</v>
      </c>
      <c r="J739" s="57">
        <v>0</v>
      </c>
      <c r="K739" s="24">
        <v>45343.675729166665</v>
      </c>
      <c r="L739" s="23">
        <v>-193</v>
      </c>
      <c r="N739" s="1" t="s">
        <v>676</v>
      </c>
      <c r="O739" s="51">
        <v>10</v>
      </c>
      <c r="P739" s="30">
        <v>20</v>
      </c>
      <c r="Q739" s="30">
        <v>0</v>
      </c>
    </row>
    <row r="740" spans="1:18" x14ac:dyDescent="0.25">
      <c r="B740" s="25" t="s">
        <v>169</v>
      </c>
      <c r="C740" s="25" t="s">
        <v>621</v>
      </c>
      <c r="D740" s="1">
        <v>536</v>
      </c>
      <c r="E740" s="1">
        <v>200</v>
      </c>
      <c r="F740" s="1" t="s">
        <v>137</v>
      </c>
      <c r="G740" s="25" t="s">
        <v>143</v>
      </c>
      <c r="H740" s="1" t="s">
        <v>144</v>
      </c>
      <c r="I740" s="1" t="s">
        <v>140</v>
      </c>
      <c r="J740" s="57">
        <v>0</v>
      </c>
      <c r="K740" s="24">
        <v>45343.675775462965</v>
      </c>
      <c r="L740" s="23">
        <v>265</v>
      </c>
      <c r="O740" s="51">
        <v>10</v>
      </c>
      <c r="P740" s="30">
        <v>20</v>
      </c>
      <c r="Q740" s="30">
        <v>0</v>
      </c>
    </row>
    <row r="741" spans="1:18" x14ac:dyDescent="0.25">
      <c r="B741" s="25" t="s">
        <v>169</v>
      </c>
      <c r="C741" s="25" t="s">
        <v>621</v>
      </c>
      <c r="D741" s="1">
        <v>536</v>
      </c>
      <c r="E741" s="1">
        <v>300</v>
      </c>
      <c r="F741" s="1" t="s">
        <v>68</v>
      </c>
      <c r="G741" s="25" t="s">
        <v>113</v>
      </c>
      <c r="H741" s="1" t="s">
        <v>114</v>
      </c>
      <c r="I741" s="1" t="s">
        <v>115</v>
      </c>
      <c r="J741" s="57">
        <v>0</v>
      </c>
      <c r="K741" s="24">
        <v>45343.675810185188</v>
      </c>
      <c r="L741" s="23">
        <v>45500</v>
      </c>
      <c r="O741" s="51">
        <v>2400</v>
      </c>
      <c r="P741" s="30">
        <v>0</v>
      </c>
      <c r="Q741" s="30">
        <v>300</v>
      </c>
    </row>
    <row r="742" spans="1:18" x14ac:dyDescent="0.25">
      <c r="B742" s="25" t="s">
        <v>169</v>
      </c>
      <c r="C742" s="25" t="s">
        <v>621</v>
      </c>
      <c r="D742" s="1">
        <v>536</v>
      </c>
      <c r="E742" s="1">
        <v>1200</v>
      </c>
      <c r="F742" s="1" t="s">
        <v>137</v>
      </c>
      <c r="G742" s="25" t="s">
        <v>141</v>
      </c>
      <c r="H742" s="1" t="s">
        <v>142</v>
      </c>
      <c r="I742" s="1" t="s">
        <v>140</v>
      </c>
      <c r="J742" s="57">
        <v>0</v>
      </c>
      <c r="K742" s="24">
        <v>45343.675821759258</v>
      </c>
      <c r="L742" s="23">
        <v>4700</v>
      </c>
      <c r="O742" s="51">
        <v>10</v>
      </c>
      <c r="P742" s="30">
        <v>120</v>
      </c>
      <c r="Q742" s="30">
        <v>0</v>
      </c>
    </row>
    <row r="743" spans="1:18" x14ac:dyDescent="0.25">
      <c r="B743" s="25" t="s">
        <v>169</v>
      </c>
      <c r="C743" s="25" t="s">
        <v>255</v>
      </c>
      <c r="D743" s="25" t="s">
        <v>677</v>
      </c>
      <c r="E743" s="1">
        <v>200</v>
      </c>
      <c r="F743" s="1" t="s">
        <v>68</v>
      </c>
      <c r="G743" s="25" t="s">
        <v>177</v>
      </c>
      <c r="H743" s="1" t="s">
        <v>178</v>
      </c>
      <c r="J743" s="57">
        <v>0</v>
      </c>
      <c r="K743" s="24">
        <v>45343.675844907404</v>
      </c>
      <c r="L743" s="23">
        <v>491</v>
      </c>
      <c r="O743" s="51">
        <v>4</v>
      </c>
      <c r="P743" s="30">
        <v>50</v>
      </c>
      <c r="Q743" s="30">
        <v>0</v>
      </c>
    </row>
    <row r="744" spans="1:18" x14ac:dyDescent="0.25">
      <c r="B744" s="25" t="s">
        <v>169</v>
      </c>
      <c r="C744" s="25" t="s">
        <v>380</v>
      </c>
      <c r="D744" s="25" t="s">
        <v>678</v>
      </c>
      <c r="E744" s="1">
        <v>1000</v>
      </c>
      <c r="F744" s="1" t="s">
        <v>68</v>
      </c>
      <c r="G744" s="25" t="s">
        <v>117</v>
      </c>
      <c r="H744" s="1" t="s">
        <v>118</v>
      </c>
      <c r="I744" s="1" t="s">
        <v>115</v>
      </c>
      <c r="J744" s="57">
        <v>0</v>
      </c>
      <c r="K744" s="24">
        <v>45343.675856481481</v>
      </c>
      <c r="L744" s="23">
        <v>21600</v>
      </c>
      <c r="O744" s="51">
        <v>1200</v>
      </c>
      <c r="P744" s="30">
        <v>0</v>
      </c>
      <c r="Q744" s="30">
        <v>1000</v>
      </c>
    </row>
    <row r="745" spans="1:18" x14ac:dyDescent="0.25">
      <c r="B745" s="25" t="s">
        <v>169</v>
      </c>
      <c r="C745" s="25" t="s">
        <v>380</v>
      </c>
      <c r="D745" s="1">
        <v>538</v>
      </c>
      <c r="E745" s="1">
        <v>1600</v>
      </c>
      <c r="F745" s="1" t="s">
        <v>68</v>
      </c>
      <c r="G745" s="25" t="s">
        <v>181</v>
      </c>
      <c r="H745" s="1" t="s">
        <v>182</v>
      </c>
      <c r="I745" s="1" t="s">
        <v>115</v>
      </c>
      <c r="J745" s="57">
        <v>0</v>
      </c>
      <c r="K745" s="24">
        <v>45343.675868055558</v>
      </c>
      <c r="L745" s="23">
        <v>12600</v>
      </c>
      <c r="O745" s="51">
        <v>2400</v>
      </c>
      <c r="P745" s="30">
        <v>0</v>
      </c>
      <c r="Q745" s="30">
        <v>1600</v>
      </c>
    </row>
    <row r="746" spans="1:18" x14ac:dyDescent="0.25">
      <c r="B746" s="25" t="s">
        <v>169</v>
      </c>
      <c r="C746" s="25" t="s">
        <v>411</v>
      </c>
      <c r="D746" s="25" t="s">
        <v>679</v>
      </c>
      <c r="E746" s="1">
        <v>20</v>
      </c>
      <c r="F746" s="1" t="s">
        <v>68</v>
      </c>
      <c r="G746" s="25" t="s">
        <v>772</v>
      </c>
      <c r="H746" s="1" t="s">
        <v>160</v>
      </c>
      <c r="I746" s="1" t="s">
        <v>154</v>
      </c>
      <c r="J746" s="57">
        <v>0</v>
      </c>
      <c r="K746" s="24">
        <v>45343.675891203704</v>
      </c>
      <c r="L746" s="23">
        <v>164</v>
      </c>
      <c r="O746" s="51">
        <v>4</v>
      </c>
      <c r="P746" s="30">
        <v>5</v>
      </c>
      <c r="Q746" s="30">
        <v>0</v>
      </c>
    </row>
    <row r="747" spans="1:18" x14ac:dyDescent="0.25">
      <c r="B747" s="25" t="s">
        <v>169</v>
      </c>
      <c r="C747" s="25" t="s">
        <v>411</v>
      </c>
      <c r="D747" s="1">
        <v>539</v>
      </c>
      <c r="E747" s="1">
        <v>40</v>
      </c>
      <c r="F747" s="1" t="s">
        <v>68</v>
      </c>
      <c r="G747" s="25" t="s">
        <v>773</v>
      </c>
      <c r="H747" s="1" t="s">
        <v>180</v>
      </c>
      <c r="I747" s="1" t="s">
        <v>154</v>
      </c>
      <c r="J747" s="57">
        <v>0</v>
      </c>
      <c r="K747" s="24">
        <v>45343.675902777781</v>
      </c>
      <c r="L747" s="23">
        <v>160</v>
      </c>
      <c r="O747" s="51">
        <v>100</v>
      </c>
      <c r="P747" s="30">
        <v>0</v>
      </c>
      <c r="Q747" s="30">
        <v>40</v>
      </c>
    </row>
    <row r="748" spans="1:18" x14ac:dyDescent="0.25">
      <c r="A748" s="1" t="s">
        <v>680</v>
      </c>
      <c r="B748" s="25" t="s">
        <v>169</v>
      </c>
      <c r="C748" s="25" t="s">
        <v>625</v>
      </c>
      <c r="D748" s="25" t="s">
        <v>681</v>
      </c>
      <c r="E748" s="1">
        <v>2000</v>
      </c>
      <c r="F748" s="1" t="s">
        <v>68</v>
      </c>
      <c r="G748" s="25" t="s">
        <v>156</v>
      </c>
      <c r="H748" s="1" t="s">
        <v>157</v>
      </c>
      <c r="I748" s="1" t="s">
        <v>154</v>
      </c>
      <c r="J748" s="57">
        <v>0</v>
      </c>
      <c r="K748" s="24">
        <v>45343.67596064815</v>
      </c>
      <c r="L748" s="23">
        <v>23620</v>
      </c>
      <c r="O748" s="51">
        <v>440</v>
      </c>
      <c r="P748" s="30">
        <v>4</v>
      </c>
      <c r="Q748" s="30">
        <v>240.00000000000017</v>
      </c>
      <c r="R748" s="76"/>
    </row>
    <row r="749" spans="1:18" x14ac:dyDescent="0.25">
      <c r="B749" s="42" t="s">
        <v>682</v>
      </c>
      <c r="C749" s="42" t="s">
        <v>67</v>
      </c>
      <c r="D749" s="20" t="s">
        <v>67</v>
      </c>
      <c r="E749" s="21">
        <v>400</v>
      </c>
      <c r="F749" s="1" t="s">
        <v>68</v>
      </c>
      <c r="G749" s="25" t="s">
        <v>773</v>
      </c>
      <c r="H749" s="1" t="s">
        <v>180</v>
      </c>
      <c r="I749" s="1" t="s">
        <v>154</v>
      </c>
      <c r="J749" s="30">
        <v>1</v>
      </c>
      <c r="K749" s="24">
        <v>45343.676608796297</v>
      </c>
      <c r="L749" s="23">
        <v>560</v>
      </c>
      <c r="M749" s="1" t="s">
        <v>683</v>
      </c>
      <c r="O749" s="51">
        <v>100</v>
      </c>
      <c r="P749" s="30">
        <v>4</v>
      </c>
      <c r="Q749" s="30">
        <v>0</v>
      </c>
    </row>
    <row r="750" spans="1:18" x14ac:dyDescent="0.25">
      <c r="B750" s="42" t="s">
        <v>684</v>
      </c>
      <c r="C750" s="42" t="s">
        <v>67</v>
      </c>
      <c r="D750" s="20" t="s">
        <v>67</v>
      </c>
      <c r="E750" s="21">
        <v>54</v>
      </c>
      <c r="F750" s="1" t="s">
        <v>145</v>
      </c>
      <c r="G750" s="42" t="s">
        <v>227</v>
      </c>
      <c r="H750" s="1" t="s">
        <v>219</v>
      </c>
      <c r="I750" s="1" t="s">
        <v>220</v>
      </c>
      <c r="J750" s="30">
        <v>1</v>
      </c>
      <c r="K750" s="24">
        <v>45343.684895833336</v>
      </c>
      <c r="L750" s="23">
        <v>54</v>
      </c>
      <c r="M750" s="1" t="s">
        <v>685</v>
      </c>
      <c r="O750" s="51">
        <v>1</v>
      </c>
      <c r="P750" s="30">
        <v>54</v>
      </c>
      <c r="Q750" s="30">
        <v>0</v>
      </c>
    </row>
    <row r="751" spans="1:18" x14ac:dyDescent="0.25">
      <c r="B751" s="42" t="s">
        <v>684</v>
      </c>
      <c r="C751" s="42" t="s">
        <v>67</v>
      </c>
      <c r="D751" s="20" t="s">
        <v>67</v>
      </c>
      <c r="E751" s="21">
        <v>4</v>
      </c>
      <c r="F751" s="1" t="s">
        <v>145</v>
      </c>
      <c r="G751" s="42" t="s">
        <v>231</v>
      </c>
      <c r="H751" s="1" t="s">
        <v>219</v>
      </c>
      <c r="I751" s="1" t="s">
        <v>220</v>
      </c>
      <c r="J751" s="30">
        <v>1</v>
      </c>
      <c r="K751" s="24">
        <v>45343.684988425928</v>
      </c>
      <c r="L751" s="23">
        <v>4</v>
      </c>
      <c r="M751" s="1" t="s">
        <v>685</v>
      </c>
      <c r="O751" s="51">
        <v>1</v>
      </c>
      <c r="P751" s="30">
        <v>4</v>
      </c>
      <c r="Q751" s="30">
        <v>0</v>
      </c>
    </row>
    <row r="752" spans="1:18" x14ac:dyDescent="0.25">
      <c r="B752" s="42" t="s">
        <v>684</v>
      </c>
      <c r="C752" s="42" t="s">
        <v>67</v>
      </c>
      <c r="D752" s="20" t="s">
        <v>67</v>
      </c>
      <c r="E752" s="21">
        <v>58</v>
      </c>
      <c r="F752" s="1" t="s">
        <v>145</v>
      </c>
      <c r="G752" s="42" t="s">
        <v>64</v>
      </c>
      <c r="H752" s="1" t="s">
        <v>219</v>
      </c>
      <c r="I752" s="1" t="s">
        <v>220</v>
      </c>
      <c r="J752" s="30">
        <v>1</v>
      </c>
      <c r="K752" s="24">
        <v>45343.685023148151</v>
      </c>
      <c r="L752" s="23">
        <v>58</v>
      </c>
      <c r="M752" s="1" t="s">
        <v>685</v>
      </c>
      <c r="O752" s="51">
        <v>1</v>
      </c>
      <c r="P752" s="30">
        <v>58</v>
      </c>
      <c r="Q752" s="30">
        <v>0</v>
      </c>
    </row>
    <row r="753" spans="2:17" x14ac:dyDescent="0.25">
      <c r="B753" s="42" t="s">
        <v>684</v>
      </c>
      <c r="C753" s="42" t="s">
        <v>67</v>
      </c>
      <c r="D753" s="20" t="s">
        <v>67</v>
      </c>
      <c r="E753" s="21">
        <v>30</v>
      </c>
      <c r="F753" s="1" t="s">
        <v>145</v>
      </c>
      <c r="G753" s="42" t="s">
        <v>65</v>
      </c>
      <c r="H753" s="1" t="s">
        <v>219</v>
      </c>
      <c r="I753" s="1" t="s">
        <v>220</v>
      </c>
      <c r="J753" s="30">
        <v>1</v>
      </c>
      <c r="K753" s="24">
        <v>45343.685046296298</v>
      </c>
      <c r="L753" s="23">
        <v>33</v>
      </c>
      <c r="M753" s="1" t="s">
        <v>685</v>
      </c>
      <c r="O753" s="51">
        <v>1</v>
      </c>
      <c r="P753" s="30">
        <v>30</v>
      </c>
      <c r="Q753" s="30">
        <v>0</v>
      </c>
    </row>
    <row r="754" spans="2:17" x14ac:dyDescent="0.25">
      <c r="B754" s="42" t="s">
        <v>684</v>
      </c>
      <c r="C754" s="42" t="s">
        <v>67</v>
      </c>
      <c r="D754" s="20" t="s">
        <v>67</v>
      </c>
      <c r="E754" s="21">
        <v>60</v>
      </c>
      <c r="F754" s="1" t="s">
        <v>145</v>
      </c>
      <c r="G754" s="42" t="s">
        <v>62</v>
      </c>
      <c r="H754" s="1" t="s">
        <v>219</v>
      </c>
      <c r="I754" s="1" t="s">
        <v>220</v>
      </c>
      <c r="J754" s="30">
        <v>1</v>
      </c>
      <c r="K754" s="24">
        <v>45343.685081018521</v>
      </c>
      <c r="L754" s="23">
        <v>69</v>
      </c>
      <c r="M754" s="1" t="s">
        <v>685</v>
      </c>
      <c r="O754" s="51">
        <v>1</v>
      </c>
      <c r="P754" s="30">
        <v>60</v>
      </c>
      <c r="Q754" s="30">
        <v>0</v>
      </c>
    </row>
    <row r="755" spans="2:17" x14ac:dyDescent="0.25">
      <c r="B755" s="42" t="s">
        <v>684</v>
      </c>
      <c r="C755" s="42" t="s">
        <v>67</v>
      </c>
      <c r="D755" s="20" t="s">
        <v>67</v>
      </c>
      <c r="E755" s="21">
        <v>4</v>
      </c>
      <c r="F755" s="1" t="s">
        <v>145</v>
      </c>
      <c r="G755" s="42" t="s">
        <v>239</v>
      </c>
      <c r="H755" s="1" t="s">
        <v>219</v>
      </c>
      <c r="I755" s="1" t="s">
        <v>220</v>
      </c>
      <c r="J755" s="30">
        <v>1</v>
      </c>
      <c r="K755" s="24">
        <v>45343.685104166667</v>
      </c>
      <c r="L755" s="23">
        <v>4</v>
      </c>
      <c r="M755" s="1" t="s">
        <v>685</v>
      </c>
      <c r="O755" s="51">
        <v>1</v>
      </c>
      <c r="P755" s="30">
        <v>4</v>
      </c>
      <c r="Q755" s="30">
        <v>0</v>
      </c>
    </row>
    <row r="756" spans="2:17" x14ac:dyDescent="0.25">
      <c r="B756" s="42" t="s">
        <v>684</v>
      </c>
      <c r="C756" s="42" t="s">
        <v>67</v>
      </c>
      <c r="D756" s="20" t="s">
        <v>67</v>
      </c>
      <c r="E756" s="21">
        <v>4</v>
      </c>
      <c r="F756" s="1" t="s">
        <v>145</v>
      </c>
      <c r="G756" s="42" t="s">
        <v>240</v>
      </c>
      <c r="H756" s="1" t="s">
        <v>219</v>
      </c>
      <c r="I756" s="1" t="s">
        <v>220</v>
      </c>
      <c r="J756" s="30">
        <v>1</v>
      </c>
      <c r="K756" s="24">
        <v>45343.685127314813</v>
      </c>
      <c r="L756" s="23">
        <v>4</v>
      </c>
      <c r="M756" s="1" t="s">
        <v>685</v>
      </c>
      <c r="O756" s="51">
        <v>1</v>
      </c>
      <c r="P756" s="30">
        <v>4</v>
      </c>
      <c r="Q756" s="30">
        <v>0</v>
      </c>
    </row>
    <row r="757" spans="2:17" x14ac:dyDescent="0.25">
      <c r="B757" s="42" t="s">
        <v>684</v>
      </c>
      <c r="C757" s="42" t="s">
        <v>67</v>
      </c>
      <c r="D757" s="20" t="s">
        <v>67</v>
      </c>
      <c r="E757" s="21">
        <v>22</v>
      </c>
      <c r="F757" s="1" t="s">
        <v>145</v>
      </c>
      <c r="G757" s="42" t="s">
        <v>369</v>
      </c>
      <c r="H757" s="1" t="s">
        <v>219</v>
      </c>
      <c r="I757" s="1" t="s">
        <v>220</v>
      </c>
      <c r="J757" s="30">
        <v>1</v>
      </c>
      <c r="K757" s="24">
        <v>45343.685162037036</v>
      </c>
      <c r="L757" s="23">
        <v>22</v>
      </c>
      <c r="M757" s="1" t="s">
        <v>685</v>
      </c>
      <c r="O757" s="51">
        <v>1</v>
      </c>
      <c r="P757" s="30">
        <v>22</v>
      </c>
      <c r="Q757" s="30">
        <v>0</v>
      </c>
    </row>
    <row r="758" spans="2:17" x14ac:dyDescent="0.25">
      <c r="B758" s="42" t="s">
        <v>684</v>
      </c>
      <c r="C758" s="42" t="s">
        <v>67</v>
      </c>
      <c r="D758" s="20" t="s">
        <v>67</v>
      </c>
      <c r="E758" s="21">
        <v>4</v>
      </c>
      <c r="F758" s="1" t="s">
        <v>145</v>
      </c>
      <c r="G758" s="42" t="s">
        <v>63</v>
      </c>
      <c r="H758" s="1" t="s">
        <v>219</v>
      </c>
      <c r="I758" s="1" t="s">
        <v>220</v>
      </c>
      <c r="J758" s="30">
        <v>1</v>
      </c>
      <c r="K758" s="24">
        <v>45343.685185185182</v>
      </c>
      <c r="L758" s="23">
        <v>4</v>
      </c>
      <c r="M758" s="1" t="s">
        <v>685</v>
      </c>
      <c r="O758" s="51">
        <v>1</v>
      </c>
      <c r="P758" s="30">
        <v>4</v>
      </c>
      <c r="Q758" s="30">
        <v>0</v>
      </c>
    </row>
    <row r="759" spans="2:17" x14ac:dyDescent="0.25">
      <c r="B759" s="42" t="s">
        <v>686</v>
      </c>
      <c r="C759" s="42" t="s">
        <v>67</v>
      </c>
      <c r="D759" s="20" t="s">
        <v>67</v>
      </c>
      <c r="E759" s="21">
        <v>15000</v>
      </c>
      <c r="F759" s="1" t="s">
        <v>68</v>
      </c>
      <c r="G759" s="42" t="s">
        <v>131</v>
      </c>
      <c r="H759" s="1" t="s">
        <v>132</v>
      </c>
      <c r="I759" s="1" t="s">
        <v>115</v>
      </c>
      <c r="J759" s="30">
        <v>1</v>
      </c>
      <c r="K759" s="24">
        <v>45343.689236111109</v>
      </c>
      <c r="L759" s="23">
        <v>34200</v>
      </c>
      <c r="M759" s="1" t="s">
        <v>685</v>
      </c>
      <c r="O759" s="51">
        <v>3000</v>
      </c>
      <c r="P759" s="30">
        <v>5</v>
      </c>
      <c r="Q759" s="30">
        <v>0</v>
      </c>
    </row>
    <row r="760" spans="2:17" x14ac:dyDescent="0.25">
      <c r="B760" s="42" t="s">
        <v>686</v>
      </c>
      <c r="C760" s="42" t="s">
        <v>67</v>
      </c>
      <c r="D760" s="20" t="s">
        <v>67</v>
      </c>
      <c r="E760" s="21">
        <v>3000</v>
      </c>
      <c r="F760" s="1" t="s">
        <v>68</v>
      </c>
      <c r="G760" s="42" t="s">
        <v>120</v>
      </c>
      <c r="H760" s="1" t="s">
        <v>121</v>
      </c>
      <c r="I760" s="1" t="s">
        <v>115</v>
      </c>
      <c r="J760" s="30">
        <v>1</v>
      </c>
      <c r="K760" s="24">
        <v>45343.689282407409</v>
      </c>
      <c r="L760" s="23">
        <v>7800</v>
      </c>
      <c r="M760" s="1" t="s">
        <v>685</v>
      </c>
      <c r="O760" s="51">
        <v>2400</v>
      </c>
      <c r="P760" s="30">
        <v>1</v>
      </c>
      <c r="Q760" s="30">
        <v>600</v>
      </c>
    </row>
    <row r="761" spans="2:17" x14ac:dyDescent="0.25">
      <c r="B761" s="42" t="s">
        <v>687</v>
      </c>
      <c r="C761" s="42" t="s">
        <v>688</v>
      </c>
      <c r="D761" s="20" t="s">
        <v>67</v>
      </c>
      <c r="E761" s="21">
        <v>0</v>
      </c>
      <c r="F761" s="1" t="s">
        <v>137</v>
      </c>
      <c r="G761" s="25" t="s">
        <v>141</v>
      </c>
      <c r="H761" s="1" t="s">
        <v>142</v>
      </c>
      <c r="I761" s="1" t="s">
        <v>140</v>
      </c>
      <c r="J761" s="57">
        <v>0</v>
      </c>
      <c r="K761" s="24">
        <v>45343.731342592589</v>
      </c>
      <c r="L761" s="23">
        <v>4700</v>
      </c>
      <c r="O761" s="51">
        <v>10</v>
      </c>
      <c r="P761" s="30">
        <v>0</v>
      </c>
      <c r="Q761" s="30">
        <v>0</v>
      </c>
    </row>
    <row r="762" spans="2:17" x14ac:dyDescent="0.25">
      <c r="B762" s="42" t="s">
        <v>687</v>
      </c>
      <c r="C762" s="42" t="s">
        <v>689</v>
      </c>
      <c r="D762" s="20" t="s">
        <v>67</v>
      </c>
      <c r="E762" s="21">
        <v>0</v>
      </c>
      <c r="F762" s="1" t="s">
        <v>137</v>
      </c>
      <c r="G762" s="25" t="s">
        <v>143</v>
      </c>
      <c r="H762" s="1" t="s">
        <v>144</v>
      </c>
      <c r="I762" s="1" t="s">
        <v>140</v>
      </c>
      <c r="J762" s="57">
        <v>0</v>
      </c>
      <c r="K762" s="24">
        <v>45343.731377314813</v>
      </c>
      <c r="L762" s="23">
        <v>265</v>
      </c>
      <c r="O762" s="51">
        <v>10</v>
      </c>
      <c r="P762" s="30">
        <v>0</v>
      </c>
      <c r="Q762" s="30">
        <v>0</v>
      </c>
    </row>
    <row r="763" spans="2:17" x14ac:dyDescent="0.25">
      <c r="B763" s="42" t="s">
        <v>687</v>
      </c>
      <c r="C763" s="42" t="s">
        <v>690</v>
      </c>
      <c r="D763" s="20" t="s">
        <v>67</v>
      </c>
      <c r="E763" s="21">
        <v>0</v>
      </c>
      <c r="F763" s="1" t="s">
        <v>137</v>
      </c>
      <c r="G763" s="25" t="s">
        <v>138</v>
      </c>
      <c r="H763" s="1" t="s">
        <v>144</v>
      </c>
      <c r="I763" s="1" t="s">
        <v>140</v>
      </c>
      <c r="J763" s="57">
        <v>0</v>
      </c>
      <c r="K763" s="24">
        <v>45344.731377256947</v>
      </c>
      <c r="L763" s="23">
        <v>266</v>
      </c>
    </row>
    <row r="764" spans="2:17" x14ac:dyDescent="0.25">
      <c r="B764" s="42" t="s">
        <v>314</v>
      </c>
      <c r="C764" s="42" t="s">
        <v>543</v>
      </c>
      <c r="D764" s="20" t="s">
        <v>89</v>
      </c>
      <c r="E764" s="21">
        <v>20</v>
      </c>
      <c r="F764" s="1" t="s">
        <v>145</v>
      </c>
      <c r="G764" s="25" t="s">
        <v>62</v>
      </c>
      <c r="H764" s="1" t="s">
        <v>219</v>
      </c>
      <c r="I764" s="1" t="s">
        <v>220</v>
      </c>
      <c r="J764" s="57">
        <v>0</v>
      </c>
      <c r="K764" s="24">
        <v>45344.378125000003</v>
      </c>
      <c r="L764" s="23">
        <v>49</v>
      </c>
      <c r="O764" s="51">
        <v>1</v>
      </c>
      <c r="P764" s="30">
        <v>20</v>
      </c>
      <c r="Q764" s="30">
        <v>0</v>
      </c>
    </row>
    <row r="765" spans="2:17" x14ac:dyDescent="0.25">
      <c r="B765" s="42" t="s">
        <v>314</v>
      </c>
      <c r="C765" s="42" t="s">
        <v>543</v>
      </c>
      <c r="D765" s="20" t="s">
        <v>89</v>
      </c>
      <c r="E765" s="21">
        <v>15</v>
      </c>
      <c r="F765" s="1" t="s">
        <v>145</v>
      </c>
      <c r="G765" s="25" t="s">
        <v>227</v>
      </c>
      <c r="H765" s="1" t="s">
        <v>219</v>
      </c>
      <c r="I765" s="1" t="s">
        <v>220</v>
      </c>
      <c r="J765" s="57">
        <v>0</v>
      </c>
      <c r="K765" s="24">
        <v>45344.378159722219</v>
      </c>
      <c r="L765" s="23">
        <v>39</v>
      </c>
      <c r="O765" s="51">
        <v>1</v>
      </c>
      <c r="P765" s="30">
        <v>15</v>
      </c>
      <c r="Q765" s="30">
        <v>0</v>
      </c>
    </row>
    <row r="766" spans="2:17" x14ac:dyDescent="0.25">
      <c r="B766" s="42" t="s">
        <v>314</v>
      </c>
      <c r="C766" s="42" t="s">
        <v>543</v>
      </c>
      <c r="D766" s="20" t="s">
        <v>89</v>
      </c>
      <c r="E766" s="21">
        <v>30</v>
      </c>
      <c r="F766" s="1" t="s">
        <v>145</v>
      </c>
      <c r="G766" s="25" t="s">
        <v>64</v>
      </c>
      <c r="H766" s="1" t="s">
        <v>219</v>
      </c>
      <c r="I766" s="1" t="s">
        <v>220</v>
      </c>
      <c r="J766" s="57">
        <v>0</v>
      </c>
      <c r="K766" s="24">
        <v>45344.378171296295</v>
      </c>
      <c r="L766" s="23">
        <v>28</v>
      </c>
      <c r="O766" s="51">
        <v>1</v>
      </c>
      <c r="P766" s="30">
        <v>30</v>
      </c>
      <c r="Q766" s="30">
        <v>0</v>
      </c>
    </row>
    <row r="767" spans="2:17" x14ac:dyDescent="0.25">
      <c r="B767" s="42" t="s">
        <v>314</v>
      </c>
      <c r="C767" s="42" t="s">
        <v>543</v>
      </c>
      <c r="D767" s="20" t="s">
        <v>89</v>
      </c>
      <c r="E767" s="21">
        <v>12</v>
      </c>
      <c r="F767" s="1" t="s">
        <v>145</v>
      </c>
      <c r="G767" s="25" t="s">
        <v>369</v>
      </c>
      <c r="H767" s="1" t="s">
        <v>219</v>
      </c>
      <c r="I767" s="1" t="s">
        <v>220</v>
      </c>
      <c r="J767" s="57">
        <v>0</v>
      </c>
      <c r="K767" s="24">
        <v>45344.378182870372</v>
      </c>
      <c r="L767" s="23">
        <v>10</v>
      </c>
      <c r="O767" s="51">
        <v>1</v>
      </c>
      <c r="P767" s="30">
        <v>12</v>
      </c>
      <c r="Q767" s="30">
        <v>0</v>
      </c>
    </row>
    <row r="768" spans="2:17" x14ac:dyDescent="0.25">
      <c r="B768" s="42" t="s">
        <v>314</v>
      </c>
      <c r="C768" s="42" t="s">
        <v>543</v>
      </c>
      <c r="D768" s="20" t="s">
        <v>89</v>
      </c>
      <c r="E768" s="21">
        <v>5</v>
      </c>
      <c r="F768" s="1" t="s">
        <v>145</v>
      </c>
      <c r="G768" s="25" t="s">
        <v>65</v>
      </c>
      <c r="H768" s="1" t="s">
        <v>219</v>
      </c>
      <c r="I768" s="1" t="s">
        <v>220</v>
      </c>
      <c r="J768" s="57">
        <v>0</v>
      </c>
      <c r="K768" s="24">
        <v>45344.378194444442</v>
      </c>
      <c r="L768" s="23">
        <v>28</v>
      </c>
      <c r="O768" s="51">
        <v>1</v>
      </c>
      <c r="P768" s="30">
        <v>5</v>
      </c>
      <c r="Q768" s="30">
        <v>0</v>
      </c>
    </row>
    <row r="769" spans="2:17" x14ac:dyDescent="0.25">
      <c r="B769" s="42" t="s">
        <v>314</v>
      </c>
      <c r="C769" s="42" t="s">
        <v>543</v>
      </c>
      <c r="D769" s="20" t="s">
        <v>89</v>
      </c>
      <c r="E769" s="21">
        <v>2</v>
      </c>
      <c r="F769" s="1" t="s">
        <v>145</v>
      </c>
      <c r="G769" s="25" t="s">
        <v>231</v>
      </c>
      <c r="H769" s="1" t="s">
        <v>219</v>
      </c>
      <c r="I769" s="1" t="s">
        <v>220</v>
      </c>
      <c r="J769" s="57">
        <v>0</v>
      </c>
      <c r="K769" s="24">
        <v>45344.378217592595</v>
      </c>
      <c r="L769" s="23">
        <v>2</v>
      </c>
      <c r="O769" s="51">
        <v>1</v>
      </c>
      <c r="P769" s="30">
        <v>2</v>
      </c>
      <c r="Q769" s="30">
        <v>0</v>
      </c>
    </row>
    <row r="770" spans="2:17" x14ac:dyDescent="0.25">
      <c r="B770" s="42" t="s">
        <v>314</v>
      </c>
      <c r="C770" s="42" t="s">
        <v>543</v>
      </c>
      <c r="D770" s="20" t="s">
        <v>89</v>
      </c>
      <c r="E770" s="21">
        <v>2</v>
      </c>
      <c r="F770" s="1" t="s">
        <v>145</v>
      </c>
      <c r="G770" s="25" t="s">
        <v>63</v>
      </c>
      <c r="H770" s="1" t="s">
        <v>219</v>
      </c>
      <c r="I770" s="1" t="s">
        <v>220</v>
      </c>
      <c r="J770" s="57">
        <v>0</v>
      </c>
      <c r="K770" s="24">
        <v>45344.378229166665</v>
      </c>
      <c r="L770" s="23">
        <v>2</v>
      </c>
      <c r="O770" s="51">
        <v>1</v>
      </c>
      <c r="P770" s="30">
        <v>2</v>
      </c>
      <c r="Q770" s="30">
        <v>0</v>
      </c>
    </row>
    <row r="771" spans="2:17" x14ac:dyDescent="0.25">
      <c r="B771" s="42" t="s">
        <v>314</v>
      </c>
      <c r="C771" s="42" t="s">
        <v>543</v>
      </c>
      <c r="D771" s="20" t="s">
        <v>89</v>
      </c>
      <c r="E771" s="21">
        <v>2</v>
      </c>
      <c r="F771" s="1" t="s">
        <v>145</v>
      </c>
      <c r="G771" s="25" t="s">
        <v>239</v>
      </c>
      <c r="H771" s="1" t="s">
        <v>219</v>
      </c>
      <c r="I771" s="1" t="s">
        <v>220</v>
      </c>
      <c r="J771" s="57">
        <v>0</v>
      </c>
      <c r="K771" s="24">
        <v>45344.378240740742</v>
      </c>
      <c r="L771" s="23">
        <v>2</v>
      </c>
      <c r="O771" s="51">
        <v>1</v>
      </c>
      <c r="P771" s="30">
        <v>2</v>
      </c>
      <c r="Q771" s="30">
        <v>0</v>
      </c>
    </row>
    <row r="772" spans="2:17" x14ac:dyDescent="0.25">
      <c r="B772" s="42" t="s">
        <v>314</v>
      </c>
      <c r="C772" s="42" t="s">
        <v>422</v>
      </c>
      <c r="D772" s="20" t="s">
        <v>691</v>
      </c>
      <c r="E772" s="21">
        <v>250</v>
      </c>
      <c r="F772" s="1" t="s">
        <v>68</v>
      </c>
      <c r="G772" s="25" t="s">
        <v>165</v>
      </c>
      <c r="H772" s="1" t="s">
        <v>166</v>
      </c>
      <c r="J772" s="57">
        <v>0</v>
      </c>
      <c r="K772" s="24">
        <v>45344.378252314818</v>
      </c>
      <c r="L772" s="23">
        <v>1852</v>
      </c>
      <c r="O772" s="51">
        <v>24</v>
      </c>
      <c r="P772" s="30">
        <v>10</v>
      </c>
      <c r="Q772" s="30">
        <v>9.9999999999999858</v>
      </c>
    </row>
    <row r="773" spans="2:17" x14ac:dyDescent="0.25">
      <c r="B773" s="42" t="s">
        <v>314</v>
      </c>
      <c r="C773" s="42" t="s">
        <v>561</v>
      </c>
      <c r="D773" s="20" t="s">
        <v>692</v>
      </c>
      <c r="E773" s="21">
        <v>10000</v>
      </c>
      <c r="F773" s="1" t="s">
        <v>68</v>
      </c>
      <c r="G773" s="25" t="s">
        <v>117</v>
      </c>
      <c r="H773" s="1" t="s">
        <v>118</v>
      </c>
      <c r="I773" s="1" t="s">
        <v>115</v>
      </c>
      <c r="J773" s="57">
        <v>0</v>
      </c>
      <c r="K773" s="24">
        <v>45344.378321759257</v>
      </c>
      <c r="L773" s="23">
        <v>11600</v>
      </c>
      <c r="O773" s="51">
        <v>1200</v>
      </c>
      <c r="P773" s="30">
        <v>8</v>
      </c>
      <c r="Q773" s="30">
        <v>400.00000000000068</v>
      </c>
    </row>
    <row r="774" spans="2:17" x14ac:dyDescent="0.25">
      <c r="B774" s="42" t="s">
        <v>314</v>
      </c>
      <c r="C774" s="42" t="s">
        <v>447</v>
      </c>
      <c r="D774" s="20" t="s">
        <v>693</v>
      </c>
      <c r="E774" s="21">
        <v>200</v>
      </c>
      <c r="F774" s="1" t="s">
        <v>68</v>
      </c>
      <c r="G774" s="25" t="s">
        <v>161</v>
      </c>
      <c r="H774" s="1" t="s">
        <v>162</v>
      </c>
      <c r="I774" s="1" t="s">
        <v>115</v>
      </c>
      <c r="J774" s="57">
        <v>0</v>
      </c>
      <c r="K774" s="24">
        <v>45344.378333333334</v>
      </c>
      <c r="L774" s="23">
        <v>786</v>
      </c>
      <c r="O774" s="51">
        <v>200</v>
      </c>
      <c r="P774" s="30">
        <v>1</v>
      </c>
      <c r="Q774" s="30">
        <v>0</v>
      </c>
    </row>
    <row r="775" spans="2:17" x14ac:dyDescent="0.25">
      <c r="B775" s="42" t="s">
        <v>314</v>
      </c>
      <c r="C775" s="42" t="s">
        <v>649</v>
      </c>
      <c r="D775" s="20" t="s">
        <v>694</v>
      </c>
      <c r="E775" s="21">
        <v>750</v>
      </c>
      <c r="F775" s="1" t="s">
        <v>68</v>
      </c>
      <c r="G775" s="25" t="s">
        <v>125</v>
      </c>
      <c r="H775" s="1" t="s">
        <v>126</v>
      </c>
      <c r="I775" s="1" t="s">
        <v>115</v>
      </c>
      <c r="J775" s="57">
        <v>0</v>
      </c>
      <c r="K775" s="24">
        <v>45344.378344907411</v>
      </c>
      <c r="L775" s="23">
        <v>11800</v>
      </c>
      <c r="O775" s="51">
        <v>1200</v>
      </c>
      <c r="P775" s="30">
        <v>0</v>
      </c>
      <c r="Q775" s="30">
        <v>750</v>
      </c>
    </row>
    <row r="776" spans="2:17" x14ac:dyDescent="0.25">
      <c r="B776" s="42" t="s">
        <v>314</v>
      </c>
      <c r="C776" s="42" t="s">
        <v>587</v>
      </c>
      <c r="D776" s="20" t="s">
        <v>695</v>
      </c>
      <c r="E776" s="21">
        <v>240</v>
      </c>
      <c r="F776" s="1" t="s">
        <v>68</v>
      </c>
      <c r="G776" s="25" t="s">
        <v>174</v>
      </c>
      <c r="H776" s="1" t="s">
        <v>175</v>
      </c>
      <c r="I776" s="1" t="s">
        <v>176</v>
      </c>
      <c r="J776" s="57">
        <v>0</v>
      </c>
      <c r="K776" s="24">
        <v>45344.378368055557</v>
      </c>
      <c r="L776" s="23">
        <v>-246</v>
      </c>
      <c r="O776" s="51">
        <v>300</v>
      </c>
      <c r="P776" s="30">
        <v>0</v>
      </c>
      <c r="Q776" s="30">
        <v>240</v>
      </c>
    </row>
    <row r="777" spans="2:17" x14ac:dyDescent="0.25">
      <c r="B777" s="25" t="s">
        <v>169</v>
      </c>
      <c r="C777" s="25" t="s">
        <v>621</v>
      </c>
      <c r="D777" s="1" t="s">
        <v>701</v>
      </c>
      <c r="E777" s="1">
        <v>40</v>
      </c>
      <c r="F777" s="1" t="s">
        <v>137</v>
      </c>
      <c r="G777" s="25" t="s">
        <v>141</v>
      </c>
      <c r="H777" s="1" t="s">
        <v>142</v>
      </c>
      <c r="I777" s="1" t="s">
        <v>140</v>
      </c>
      <c r="J777" s="57">
        <v>0</v>
      </c>
      <c r="K777" s="24">
        <v>45345.714942129627</v>
      </c>
      <c r="L777" s="23">
        <v>4660</v>
      </c>
      <c r="O777" s="51">
        <v>10</v>
      </c>
      <c r="P777" s="30">
        <v>4</v>
      </c>
      <c r="Q777" s="30">
        <v>0</v>
      </c>
    </row>
    <row r="778" spans="2:17" x14ac:dyDescent="0.25">
      <c r="B778" s="25" t="s">
        <v>169</v>
      </c>
      <c r="C778" s="25" t="s">
        <v>621</v>
      </c>
      <c r="D778" s="1">
        <v>548</v>
      </c>
      <c r="E778" s="1">
        <v>20</v>
      </c>
      <c r="F778" s="1" t="s">
        <v>137</v>
      </c>
      <c r="G778" s="25" t="s">
        <v>143</v>
      </c>
      <c r="H778" s="1" t="s">
        <v>144</v>
      </c>
      <c r="I778" s="1" t="s">
        <v>140</v>
      </c>
      <c r="J778" s="57">
        <v>0</v>
      </c>
      <c r="K778" s="24">
        <v>45345.714965277781</v>
      </c>
      <c r="L778" s="23">
        <v>245</v>
      </c>
      <c r="O778" s="51">
        <v>10</v>
      </c>
      <c r="P778" s="30">
        <v>2</v>
      </c>
      <c r="Q778" s="30">
        <v>0</v>
      </c>
    </row>
    <row r="779" spans="2:17" x14ac:dyDescent="0.25">
      <c r="B779" s="25" t="s">
        <v>169</v>
      </c>
      <c r="C779" s="25" t="s">
        <v>575</v>
      </c>
      <c r="D779" s="1" t="s">
        <v>702</v>
      </c>
      <c r="E779" s="1">
        <v>200</v>
      </c>
      <c r="F779" s="1" t="s">
        <v>68</v>
      </c>
      <c r="G779" s="25" t="s">
        <v>152</v>
      </c>
      <c r="H779" s="1" t="s">
        <v>153</v>
      </c>
      <c r="I779" s="1" t="s">
        <v>154</v>
      </c>
      <c r="J779" s="57">
        <v>0</v>
      </c>
      <c r="K779" s="24">
        <v>45345.71497685185</v>
      </c>
      <c r="L779" s="23">
        <v>6888</v>
      </c>
      <c r="O779" s="51">
        <v>24</v>
      </c>
      <c r="P779" s="30">
        <v>8</v>
      </c>
      <c r="Q779" s="30">
        <v>8.0000000000000142</v>
      </c>
    </row>
    <row r="780" spans="2:17" x14ac:dyDescent="0.25">
      <c r="B780" s="25" t="s">
        <v>169</v>
      </c>
      <c r="C780" s="25" t="s">
        <v>385</v>
      </c>
      <c r="D780" s="1" t="s">
        <v>703</v>
      </c>
      <c r="E780" s="1">
        <v>1000</v>
      </c>
      <c r="F780" s="1" t="s">
        <v>68</v>
      </c>
      <c r="G780" s="25" t="s">
        <v>174</v>
      </c>
      <c r="H780" s="1" t="s">
        <v>175</v>
      </c>
      <c r="I780" s="1" t="s">
        <v>176</v>
      </c>
      <c r="J780" s="57">
        <v>0</v>
      </c>
      <c r="K780" s="24">
        <v>45345.71497685185</v>
      </c>
      <c r="L780" s="23">
        <v>-1246</v>
      </c>
      <c r="O780" s="51">
        <v>300</v>
      </c>
      <c r="P780" s="30">
        <v>3</v>
      </c>
      <c r="Q780" s="30">
        <v>100.00000000000004</v>
      </c>
    </row>
    <row r="781" spans="2:17" x14ac:dyDescent="0.25">
      <c r="B781" s="25" t="s">
        <v>169</v>
      </c>
      <c r="C781" s="25" t="s">
        <v>761</v>
      </c>
      <c r="D781" s="1" t="s">
        <v>704</v>
      </c>
      <c r="E781" s="1">
        <v>500</v>
      </c>
      <c r="F781" s="1" t="s">
        <v>145</v>
      </c>
      <c r="G781" s="25" t="s">
        <v>151</v>
      </c>
      <c r="H781" s="1" t="s">
        <v>147</v>
      </c>
      <c r="I781" s="1" t="s">
        <v>148</v>
      </c>
      <c r="J781" s="57">
        <v>0</v>
      </c>
      <c r="K781" s="24">
        <v>45345.714999999997</v>
      </c>
      <c r="L781" s="23">
        <v>1368</v>
      </c>
      <c r="O781" s="51">
        <v>144</v>
      </c>
      <c r="P781" s="30">
        <v>3</v>
      </c>
      <c r="Q781" s="30">
        <v>68.000000000000014</v>
      </c>
    </row>
    <row r="782" spans="2:17" x14ac:dyDescent="0.25">
      <c r="B782" s="25" t="s">
        <v>314</v>
      </c>
      <c r="C782" s="25" t="s">
        <v>585</v>
      </c>
      <c r="D782" s="1" t="s">
        <v>696</v>
      </c>
      <c r="E782" s="1">
        <v>50</v>
      </c>
      <c r="F782" s="1" t="s">
        <v>68</v>
      </c>
      <c r="G782" s="25" t="s">
        <v>168</v>
      </c>
      <c r="H782" s="1" t="s">
        <v>166</v>
      </c>
      <c r="J782" s="57">
        <v>0</v>
      </c>
      <c r="K782" s="24">
        <v>45348.563460648147</v>
      </c>
      <c r="L782" s="23">
        <v>1118</v>
      </c>
      <c r="O782" s="51">
        <v>12</v>
      </c>
      <c r="P782" s="30">
        <v>4</v>
      </c>
      <c r="Q782" s="30">
        <v>2.0000000000000036</v>
      </c>
    </row>
    <row r="783" spans="2:17" x14ac:dyDescent="0.25">
      <c r="B783" s="25" t="s">
        <v>314</v>
      </c>
      <c r="C783" s="25" t="s">
        <v>258</v>
      </c>
      <c r="D783" s="1" t="s">
        <v>697</v>
      </c>
      <c r="E783" s="1">
        <v>3000</v>
      </c>
      <c r="F783" s="1" t="s">
        <v>68</v>
      </c>
      <c r="G783" s="25" t="s">
        <v>131</v>
      </c>
      <c r="H783" s="1" t="s">
        <v>132</v>
      </c>
      <c r="I783" s="1" t="s">
        <v>115</v>
      </c>
      <c r="J783" s="57">
        <v>0</v>
      </c>
      <c r="K783" s="24">
        <v>45348.56349537037</v>
      </c>
      <c r="L783" s="23">
        <v>31200</v>
      </c>
      <c r="O783" s="51">
        <v>3000</v>
      </c>
      <c r="P783" s="30">
        <v>1</v>
      </c>
      <c r="Q783" s="30">
        <v>0</v>
      </c>
    </row>
    <row r="784" spans="2:17" x14ac:dyDescent="0.25">
      <c r="B784" s="25" t="s">
        <v>314</v>
      </c>
      <c r="C784" s="25" t="s">
        <v>338</v>
      </c>
      <c r="D784" s="1" t="s">
        <v>698</v>
      </c>
      <c r="E784" s="1">
        <v>2000</v>
      </c>
      <c r="F784" s="1" t="s">
        <v>68</v>
      </c>
      <c r="G784" s="25" t="s">
        <v>190</v>
      </c>
      <c r="H784" s="1" t="s">
        <v>191</v>
      </c>
      <c r="I784" s="1" t="s">
        <v>154</v>
      </c>
      <c r="J784" s="57">
        <v>0</v>
      </c>
      <c r="K784" s="24">
        <v>45348.563530092593</v>
      </c>
      <c r="L784" s="23">
        <v>-2000</v>
      </c>
      <c r="O784" s="51">
        <v>2000</v>
      </c>
      <c r="P784" s="30">
        <v>1</v>
      </c>
      <c r="Q784" s="30">
        <v>0</v>
      </c>
    </row>
    <row r="785" spans="2:17" x14ac:dyDescent="0.25">
      <c r="B785" s="25" t="s">
        <v>314</v>
      </c>
      <c r="C785" s="25" t="s">
        <v>762</v>
      </c>
      <c r="D785" s="1" t="s">
        <v>699</v>
      </c>
      <c r="E785" s="1">
        <v>20</v>
      </c>
      <c r="F785" s="1" t="s">
        <v>68</v>
      </c>
      <c r="G785" s="25" t="s">
        <v>779</v>
      </c>
      <c r="H785" s="1" t="s">
        <v>244</v>
      </c>
      <c r="I785" s="1" t="s">
        <v>245</v>
      </c>
      <c r="J785" s="57">
        <v>0</v>
      </c>
      <c r="K785" s="24">
        <v>45348.563622685186</v>
      </c>
      <c r="L785" s="23">
        <v>0</v>
      </c>
      <c r="O785" s="51">
        <v>1</v>
      </c>
      <c r="P785" s="30">
        <v>20</v>
      </c>
      <c r="Q785" s="30">
        <v>0</v>
      </c>
    </row>
    <row r="786" spans="2:17" x14ac:dyDescent="0.25">
      <c r="B786" s="25" t="s">
        <v>314</v>
      </c>
      <c r="C786" s="25" t="s">
        <v>472</v>
      </c>
      <c r="D786" s="1" t="s">
        <v>700</v>
      </c>
      <c r="E786" s="1">
        <v>170</v>
      </c>
      <c r="F786" s="1" t="s">
        <v>137</v>
      </c>
      <c r="G786" s="25" t="s">
        <v>141</v>
      </c>
      <c r="H786" s="1" t="s">
        <v>142</v>
      </c>
      <c r="I786" s="1" t="s">
        <v>140</v>
      </c>
      <c r="J786" s="57">
        <v>0</v>
      </c>
      <c r="K786" s="24">
        <v>45348.563692129632</v>
      </c>
      <c r="L786" s="23">
        <v>4490</v>
      </c>
      <c r="O786" s="51">
        <v>10</v>
      </c>
      <c r="P786" s="30">
        <v>17</v>
      </c>
      <c r="Q786" s="30">
        <v>0</v>
      </c>
    </row>
    <row r="787" spans="2:17" x14ac:dyDescent="0.25">
      <c r="B787" s="42" t="s">
        <v>705</v>
      </c>
      <c r="C787" s="42" t="s">
        <v>67</v>
      </c>
      <c r="D787" s="20" t="s">
        <v>67</v>
      </c>
      <c r="E787" s="21">
        <v>10000</v>
      </c>
      <c r="F787" s="1" t="s">
        <v>68</v>
      </c>
      <c r="G787" s="42" t="s">
        <v>190</v>
      </c>
      <c r="H787" s="1" t="s">
        <v>191</v>
      </c>
      <c r="I787" s="1" t="s">
        <v>154</v>
      </c>
      <c r="J787" s="30">
        <v>1</v>
      </c>
      <c r="K787" s="24">
        <v>45348.5705787037</v>
      </c>
      <c r="L787" s="23">
        <v>8000</v>
      </c>
      <c r="M787" s="1" t="s">
        <v>706</v>
      </c>
      <c r="O787" s="51">
        <v>2000</v>
      </c>
      <c r="P787" s="30">
        <v>5</v>
      </c>
      <c r="Q787" s="30">
        <v>0</v>
      </c>
    </row>
    <row r="788" spans="2:17" x14ac:dyDescent="0.25">
      <c r="B788" s="42" t="s">
        <v>707</v>
      </c>
      <c r="C788" s="42" t="s">
        <v>67</v>
      </c>
      <c r="D788" s="20" t="s">
        <v>67</v>
      </c>
      <c r="E788" s="21">
        <v>14000</v>
      </c>
      <c r="F788" s="1" t="s">
        <v>68</v>
      </c>
      <c r="G788" s="42" t="s">
        <v>190</v>
      </c>
      <c r="H788" s="1" t="s">
        <v>191</v>
      </c>
      <c r="I788" s="1" t="s">
        <v>154</v>
      </c>
      <c r="J788" s="30">
        <v>1</v>
      </c>
      <c r="K788" s="24">
        <v>45348.571747685186</v>
      </c>
      <c r="L788" s="23">
        <v>22000</v>
      </c>
      <c r="M788" s="1" t="s">
        <v>706</v>
      </c>
      <c r="O788" s="51">
        <v>2000</v>
      </c>
      <c r="P788" s="30">
        <v>7</v>
      </c>
      <c r="Q788" s="30">
        <v>0</v>
      </c>
    </row>
    <row r="789" spans="2:17" x14ac:dyDescent="0.25">
      <c r="B789" s="42" t="s">
        <v>708</v>
      </c>
      <c r="C789" s="42" t="s">
        <v>67</v>
      </c>
      <c r="D789" s="20" t="s">
        <v>67</v>
      </c>
      <c r="E789" s="21">
        <v>8000</v>
      </c>
      <c r="F789" s="1" t="s">
        <v>68</v>
      </c>
      <c r="G789" s="25" t="s">
        <v>190</v>
      </c>
      <c r="H789" s="1" t="s">
        <v>191</v>
      </c>
      <c r="I789" s="1" t="s">
        <v>154</v>
      </c>
      <c r="J789" s="30">
        <v>1</v>
      </c>
      <c r="K789" s="24">
        <v>45348.572233796294</v>
      </c>
      <c r="L789" s="23">
        <v>30000</v>
      </c>
      <c r="M789" s="1" t="s">
        <v>706</v>
      </c>
      <c r="O789" s="51">
        <v>2000</v>
      </c>
      <c r="P789" s="30">
        <v>4</v>
      </c>
      <c r="Q789" s="30">
        <v>0</v>
      </c>
    </row>
    <row r="790" spans="2:17" x14ac:dyDescent="0.25">
      <c r="B790" s="42" t="s">
        <v>709</v>
      </c>
      <c r="C790" s="42" t="s">
        <v>67</v>
      </c>
      <c r="D790" s="20" t="s">
        <v>67</v>
      </c>
      <c r="E790" s="21">
        <v>40</v>
      </c>
      <c r="F790" s="1" t="s">
        <v>145</v>
      </c>
      <c r="G790" s="25" t="s">
        <v>408</v>
      </c>
      <c r="H790" s="1" t="s">
        <v>219</v>
      </c>
      <c r="I790" s="1" t="s">
        <v>220</v>
      </c>
      <c r="J790" s="30">
        <v>1</v>
      </c>
      <c r="K790" s="24">
        <v>45348.57980324074</v>
      </c>
      <c r="L790" s="23">
        <v>76</v>
      </c>
      <c r="M790" s="1" t="s">
        <v>706</v>
      </c>
      <c r="O790" s="51">
        <v>1</v>
      </c>
      <c r="P790" s="30">
        <v>40</v>
      </c>
      <c r="Q790" s="30">
        <v>0</v>
      </c>
    </row>
    <row r="791" spans="2:17" x14ac:dyDescent="0.25">
      <c r="B791" s="42" t="s">
        <v>709</v>
      </c>
      <c r="C791" s="42" t="s">
        <v>67</v>
      </c>
      <c r="D791" s="20" t="s">
        <v>67</v>
      </c>
      <c r="E791" s="21">
        <v>44</v>
      </c>
      <c r="F791" s="1" t="s">
        <v>145</v>
      </c>
      <c r="G791" s="25" t="s">
        <v>369</v>
      </c>
      <c r="H791" s="1" t="s">
        <v>219</v>
      </c>
      <c r="I791" s="1" t="s">
        <v>220</v>
      </c>
      <c r="J791" s="30">
        <v>1</v>
      </c>
      <c r="K791" s="24">
        <v>45348.579942129632</v>
      </c>
      <c r="L791" s="23">
        <v>54</v>
      </c>
      <c r="M791" s="1" t="s">
        <v>706</v>
      </c>
      <c r="O791" s="51">
        <v>1</v>
      </c>
      <c r="P791" s="30">
        <v>44</v>
      </c>
      <c r="Q791" s="30">
        <v>0</v>
      </c>
    </row>
    <row r="792" spans="2:17" x14ac:dyDescent="0.25">
      <c r="B792" s="42" t="s">
        <v>709</v>
      </c>
      <c r="C792" s="42" t="s">
        <v>67</v>
      </c>
      <c r="D792" s="20" t="s">
        <v>67</v>
      </c>
      <c r="E792" s="21">
        <v>40</v>
      </c>
      <c r="F792" s="1" t="s">
        <v>145</v>
      </c>
      <c r="G792" s="25" t="s">
        <v>238</v>
      </c>
      <c r="H792" s="1" t="s">
        <v>219</v>
      </c>
      <c r="I792" s="1" t="s">
        <v>220</v>
      </c>
      <c r="J792" s="30">
        <v>1</v>
      </c>
      <c r="K792" s="24">
        <v>45348.58</v>
      </c>
      <c r="L792" s="23">
        <v>70</v>
      </c>
      <c r="M792" s="1" t="s">
        <v>706</v>
      </c>
      <c r="O792" s="51">
        <v>1</v>
      </c>
      <c r="P792" s="30">
        <v>40</v>
      </c>
      <c r="Q792" s="30">
        <v>0</v>
      </c>
    </row>
    <row r="793" spans="2:17" x14ac:dyDescent="0.25">
      <c r="B793" s="42" t="s">
        <v>709</v>
      </c>
      <c r="C793" s="42" t="s">
        <v>67</v>
      </c>
      <c r="D793" s="20" t="s">
        <v>67</v>
      </c>
      <c r="E793" s="21">
        <v>26</v>
      </c>
      <c r="F793" s="1" t="s">
        <v>145</v>
      </c>
      <c r="G793" s="25" t="s">
        <v>227</v>
      </c>
      <c r="H793" s="1" t="s">
        <v>219</v>
      </c>
      <c r="I793" s="1" t="s">
        <v>220</v>
      </c>
      <c r="J793" s="30">
        <v>1</v>
      </c>
      <c r="K793" s="24">
        <v>45348.580046296294</v>
      </c>
      <c r="L793" s="23">
        <v>65</v>
      </c>
      <c r="M793" s="1" t="s">
        <v>706</v>
      </c>
      <c r="O793" s="51">
        <v>1</v>
      </c>
      <c r="P793" s="30">
        <v>26</v>
      </c>
      <c r="Q793" s="30">
        <v>0</v>
      </c>
    </row>
    <row r="794" spans="2:17" x14ac:dyDescent="0.25">
      <c r="B794" s="42" t="s">
        <v>709</v>
      </c>
      <c r="C794" s="42" t="s">
        <v>67</v>
      </c>
      <c r="D794" s="20" t="s">
        <v>67</v>
      </c>
      <c r="E794" s="21">
        <v>4</v>
      </c>
      <c r="F794" s="1" t="s">
        <v>145</v>
      </c>
      <c r="G794" s="25" t="s">
        <v>241</v>
      </c>
      <c r="H794" s="1" t="s">
        <v>219</v>
      </c>
      <c r="I794" s="1" t="s">
        <v>220</v>
      </c>
      <c r="J794" s="30">
        <v>1</v>
      </c>
      <c r="K794" s="24">
        <v>45348.580104166664</v>
      </c>
      <c r="L794" s="23">
        <v>4</v>
      </c>
      <c r="M794" s="1" t="s">
        <v>706</v>
      </c>
      <c r="O794" s="51">
        <v>1</v>
      </c>
      <c r="P794" s="30">
        <v>4</v>
      </c>
      <c r="Q794" s="30">
        <v>0</v>
      </c>
    </row>
    <row r="795" spans="2:17" x14ac:dyDescent="0.25">
      <c r="B795" s="42" t="s">
        <v>709</v>
      </c>
      <c r="C795" s="42" t="s">
        <v>67</v>
      </c>
      <c r="D795" s="20" t="s">
        <v>67</v>
      </c>
      <c r="E795" s="21">
        <v>28</v>
      </c>
      <c r="F795" s="1" t="s">
        <v>145</v>
      </c>
      <c r="G795" s="25" t="s">
        <v>64</v>
      </c>
      <c r="H795" s="1" t="s">
        <v>219</v>
      </c>
      <c r="I795" s="1" t="s">
        <v>220</v>
      </c>
      <c r="J795" s="30">
        <v>1</v>
      </c>
      <c r="K795" s="24">
        <v>45348.580150462964</v>
      </c>
      <c r="L795" s="23">
        <v>56</v>
      </c>
      <c r="M795" s="1" t="s">
        <v>706</v>
      </c>
      <c r="O795" s="51">
        <v>1</v>
      </c>
      <c r="P795" s="30">
        <v>28</v>
      </c>
      <c r="Q795" s="30">
        <v>0</v>
      </c>
    </row>
    <row r="796" spans="2:17" x14ac:dyDescent="0.25">
      <c r="B796" s="42" t="s">
        <v>709</v>
      </c>
      <c r="C796" s="42" t="s">
        <v>67</v>
      </c>
      <c r="D796" s="20" t="s">
        <v>67</v>
      </c>
      <c r="E796" s="21">
        <v>10</v>
      </c>
      <c r="F796" s="1" t="s">
        <v>145</v>
      </c>
      <c r="G796" s="25" t="s">
        <v>65</v>
      </c>
      <c r="H796" s="1" t="s">
        <v>219</v>
      </c>
      <c r="I796" s="1" t="s">
        <v>220</v>
      </c>
      <c r="J796" s="30">
        <v>1</v>
      </c>
      <c r="K796" s="24">
        <v>45348.580208333333</v>
      </c>
      <c r="L796" s="23">
        <v>38</v>
      </c>
      <c r="M796" s="1" t="s">
        <v>706</v>
      </c>
      <c r="O796" s="51">
        <v>1</v>
      </c>
      <c r="P796" s="30">
        <v>10</v>
      </c>
      <c r="Q796" s="30">
        <v>0</v>
      </c>
    </row>
    <row r="797" spans="2:17" x14ac:dyDescent="0.25">
      <c r="B797" s="42" t="s">
        <v>169</v>
      </c>
      <c r="C797" s="42" t="s">
        <v>411</v>
      </c>
      <c r="D797" s="20" t="s">
        <v>729</v>
      </c>
      <c r="E797" s="21">
        <v>40</v>
      </c>
      <c r="F797" s="1" t="s">
        <v>68</v>
      </c>
      <c r="G797" s="25" t="s">
        <v>773</v>
      </c>
      <c r="H797" s="1" t="s">
        <v>180</v>
      </c>
      <c r="I797" s="1" t="s">
        <v>154</v>
      </c>
      <c r="J797" s="57">
        <v>0</v>
      </c>
      <c r="K797" s="24">
        <v>45349.692291666666</v>
      </c>
      <c r="L797" s="23">
        <v>520</v>
      </c>
      <c r="O797" s="51">
        <v>100</v>
      </c>
      <c r="P797" s="30">
        <v>0</v>
      </c>
      <c r="Q797" s="30">
        <v>40</v>
      </c>
    </row>
    <row r="798" spans="2:17" x14ac:dyDescent="0.25">
      <c r="B798" s="42" t="s">
        <v>169</v>
      </c>
      <c r="C798" s="42" t="s">
        <v>411</v>
      </c>
      <c r="D798" s="20" t="s">
        <v>729</v>
      </c>
      <c r="E798" s="21">
        <v>30</v>
      </c>
      <c r="F798" s="1" t="s">
        <v>68</v>
      </c>
      <c r="G798" s="25" t="s">
        <v>772</v>
      </c>
      <c r="H798" s="1" t="s">
        <v>160</v>
      </c>
      <c r="I798" s="1" t="s">
        <v>154</v>
      </c>
      <c r="J798" s="57">
        <v>0</v>
      </c>
      <c r="K798" s="24">
        <v>45349.692395833335</v>
      </c>
      <c r="L798" s="23">
        <v>134</v>
      </c>
      <c r="O798" s="51">
        <v>4</v>
      </c>
      <c r="P798" s="30">
        <v>7</v>
      </c>
      <c r="Q798" s="30">
        <v>2</v>
      </c>
    </row>
    <row r="799" spans="2:17" x14ac:dyDescent="0.25">
      <c r="B799" s="42" t="s">
        <v>169</v>
      </c>
      <c r="C799" s="42" t="s">
        <v>380</v>
      </c>
      <c r="D799" s="20" t="s">
        <v>730</v>
      </c>
      <c r="E799" s="21">
        <v>1000</v>
      </c>
      <c r="F799" s="1" t="s">
        <v>68</v>
      </c>
      <c r="G799" s="42" t="s">
        <v>117</v>
      </c>
      <c r="H799" s="1" t="s">
        <v>118</v>
      </c>
      <c r="I799" s="1" t="s">
        <v>115</v>
      </c>
      <c r="J799" s="57">
        <v>0</v>
      </c>
      <c r="K799" s="24">
        <v>45349.692407407405</v>
      </c>
      <c r="L799" s="23">
        <v>10600</v>
      </c>
      <c r="O799" s="51">
        <v>1200</v>
      </c>
      <c r="P799" s="30">
        <v>0</v>
      </c>
      <c r="Q799" s="30">
        <v>1000</v>
      </c>
    </row>
    <row r="800" spans="2:17" x14ac:dyDescent="0.25">
      <c r="B800" s="42" t="s">
        <v>169</v>
      </c>
      <c r="C800" s="42" t="s">
        <v>380</v>
      </c>
      <c r="D800" s="20" t="s">
        <v>730</v>
      </c>
      <c r="E800" s="21">
        <v>1600</v>
      </c>
      <c r="F800" s="1" t="s">
        <v>68</v>
      </c>
      <c r="G800" s="25" t="s">
        <v>181</v>
      </c>
      <c r="H800" s="1" t="s">
        <v>182</v>
      </c>
      <c r="I800" s="1" t="s">
        <v>115</v>
      </c>
      <c r="J800" s="57">
        <v>0</v>
      </c>
      <c r="K800" s="24">
        <v>45349.692430555559</v>
      </c>
      <c r="L800" s="23">
        <v>11000</v>
      </c>
      <c r="O800" s="51">
        <v>2400</v>
      </c>
      <c r="P800" s="30">
        <v>0</v>
      </c>
      <c r="Q800" s="30">
        <v>1600</v>
      </c>
    </row>
    <row r="801" spans="2:17" x14ac:dyDescent="0.25">
      <c r="B801" s="42" t="s">
        <v>169</v>
      </c>
      <c r="C801" s="42" t="s">
        <v>385</v>
      </c>
      <c r="D801" s="20" t="s">
        <v>731</v>
      </c>
      <c r="E801" s="21">
        <v>1000</v>
      </c>
      <c r="F801" s="1" t="s">
        <v>68</v>
      </c>
      <c r="G801" s="42" t="s">
        <v>174</v>
      </c>
      <c r="H801" s="1" t="s">
        <v>175</v>
      </c>
      <c r="I801" s="1" t="s">
        <v>176</v>
      </c>
      <c r="J801" s="57">
        <v>0</v>
      </c>
      <c r="K801" s="24">
        <v>45349.692523148151</v>
      </c>
      <c r="L801" s="23">
        <v>-2246</v>
      </c>
      <c r="O801" s="51">
        <v>300</v>
      </c>
      <c r="P801" s="30">
        <v>3</v>
      </c>
      <c r="Q801" s="30">
        <v>100.00000000000004</v>
      </c>
    </row>
    <row r="802" spans="2:17" x14ac:dyDescent="0.25">
      <c r="B802" s="42" t="s">
        <v>169</v>
      </c>
      <c r="C802" s="42" t="s">
        <v>621</v>
      </c>
      <c r="D802" s="20" t="s">
        <v>732</v>
      </c>
      <c r="E802" s="21">
        <v>40</v>
      </c>
      <c r="F802" s="1" t="s">
        <v>137</v>
      </c>
      <c r="G802" s="42" t="s">
        <v>141</v>
      </c>
      <c r="H802" s="1" t="s">
        <v>142</v>
      </c>
      <c r="I802" s="1" t="s">
        <v>140</v>
      </c>
      <c r="J802" s="57">
        <v>0</v>
      </c>
      <c r="K802" s="24">
        <v>45349.692615740743</v>
      </c>
      <c r="L802" s="23">
        <v>4450</v>
      </c>
      <c r="O802" s="51">
        <v>10</v>
      </c>
      <c r="P802" s="30">
        <v>4</v>
      </c>
      <c r="Q802" s="30">
        <v>0</v>
      </c>
    </row>
    <row r="803" spans="2:17" x14ac:dyDescent="0.25">
      <c r="B803" s="42" t="s">
        <v>169</v>
      </c>
      <c r="C803" s="42" t="s">
        <v>621</v>
      </c>
      <c r="D803" s="20" t="s">
        <v>732</v>
      </c>
      <c r="E803" s="21">
        <v>1200</v>
      </c>
      <c r="F803" s="1" t="s">
        <v>68</v>
      </c>
      <c r="G803" s="42" t="s">
        <v>113</v>
      </c>
      <c r="H803" s="1" t="s">
        <v>114</v>
      </c>
      <c r="I803" s="1" t="s">
        <v>115</v>
      </c>
      <c r="J803" s="57">
        <v>0</v>
      </c>
      <c r="K803" s="24">
        <v>45349.69263888889</v>
      </c>
      <c r="L803" s="23">
        <v>44300</v>
      </c>
      <c r="O803" s="51">
        <v>2400</v>
      </c>
      <c r="P803" s="30">
        <v>0</v>
      </c>
      <c r="Q803" s="30">
        <v>1200</v>
      </c>
    </row>
    <row r="804" spans="2:17" x14ac:dyDescent="0.25">
      <c r="B804" s="42" t="s">
        <v>169</v>
      </c>
      <c r="C804" s="42" t="s">
        <v>621</v>
      </c>
      <c r="D804" s="20" t="s">
        <v>732</v>
      </c>
      <c r="E804" s="21">
        <v>50</v>
      </c>
      <c r="F804" s="1" t="s">
        <v>137</v>
      </c>
      <c r="G804" s="25" t="s">
        <v>143</v>
      </c>
      <c r="H804" s="1" t="s">
        <v>144</v>
      </c>
      <c r="I804" s="1" t="s">
        <v>140</v>
      </c>
      <c r="J804" s="57">
        <v>0</v>
      </c>
      <c r="K804" s="24">
        <v>45349.692650462966</v>
      </c>
      <c r="L804" s="23">
        <v>195</v>
      </c>
      <c r="O804" s="51">
        <v>10</v>
      </c>
      <c r="P804" s="30">
        <v>5</v>
      </c>
      <c r="Q804" s="30">
        <v>0</v>
      </c>
    </row>
    <row r="805" spans="2:17" x14ac:dyDescent="0.25">
      <c r="B805" s="42" t="s">
        <v>733</v>
      </c>
      <c r="C805" s="42" t="s">
        <v>734</v>
      </c>
      <c r="D805" s="20" t="s">
        <v>66</v>
      </c>
      <c r="E805" s="21">
        <v>4000</v>
      </c>
      <c r="F805" s="1" t="s">
        <v>68</v>
      </c>
      <c r="G805" s="42" t="s">
        <v>174</v>
      </c>
      <c r="H805" s="1" t="s">
        <v>175</v>
      </c>
      <c r="I805" s="1" t="s">
        <v>176</v>
      </c>
      <c r="J805" s="30">
        <v>1</v>
      </c>
      <c r="K805" s="24">
        <v>45349.709305555552</v>
      </c>
      <c r="L805" s="23">
        <v>-6246</v>
      </c>
      <c r="M805" s="22">
        <v>45324</v>
      </c>
      <c r="O805" s="51">
        <v>300</v>
      </c>
      <c r="P805" s="30">
        <v>13</v>
      </c>
      <c r="Q805" s="30">
        <v>100.00000000000017</v>
      </c>
    </row>
    <row r="806" spans="2:17" x14ac:dyDescent="0.25">
      <c r="B806" s="42" t="s">
        <v>687</v>
      </c>
      <c r="C806" s="42" t="s">
        <v>116</v>
      </c>
      <c r="D806" s="20">
        <v>1905</v>
      </c>
      <c r="E806" s="21">
        <v>0</v>
      </c>
      <c r="F806" s="21" t="s">
        <v>137</v>
      </c>
      <c r="G806" s="25" t="s">
        <v>143</v>
      </c>
      <c r="H806" s="1" t="s">
        <v>144</v>
      </c>
      <c r="I806" s="1" t="s">
        <v>140</v>
      </c>
      <c r="J806" s="57">
        <v>0</v>
      </c>
      <c r="K806" s="24">
        <v>45349.71366898148</v>
      </c>
      <c r="L806" s="23">
        <v>1905</v>
      </c>
      <c r="O806" s="51">
        <v>10</v>
      </c>
      <c r="P806" s="30">
        <v>0</v>
      </c>
      <c r="Q806" s="30">
        <v>0</v>
      </c>
    </row>
    <row r="807" spans="2:17" x14ac:dyDescent="0.25">
      <c r="B807" s="42" t="s">
        <v>687</v>
      </c>
      <c r="C807" s="42" t="s">
        <v>116</v>
      </c>
      <c r="D807" s="20" t="s">
        <v>188</v>
      </c>
      <c r="E807" s="21">
        <v>0</v>
      </c>
      <c r="F807" s="1" t="s">
        <v>137</v>
      </c>
      <c r="G807" s="25" t="s">
        <v>138</v>
      </c>
      <c r="H807" s="1" t="s">
        <v>139</v>
      </c>
      <c r="I807" s="1" t="s">
        <v>140</v>
      </c>
      <c r="J807" s="57">
        <v>0</v>
      </c>
      <c r="K807" s="24">
        <v>45349.714375000003</v>
      </c>
      <c r="L807" s="23">
        <v>-193</v>
      </c>
      <c r="O807" s="51">
        <v>10</v>
      </c>
      <c r="P807" s="30">
        <v>0</v>
      </c>
      <c r="Q807" s="30">
        <v>0</v>
      </c>
    </row>
    <row r="808" spans="2:17" x14ac:dyDescent="0.25">
      <c r="B808" s="42" t="s">
        <v>687</v>
      </c>
      <c r="C808" s="42" t="s">
        <v>735</v>
      </c>
      <c r="D808" s="20" t="s">
        <v>66</v>
      </c>
      <c r="E808" s="21">
        <v>0</v>
      </c>
      <c r="F808" s="1" t="s">
        <v>137</v>
      </c>
      <c r="G808" s="42" t="s">
        <v>141</v>
      </c>
      <c r="H808" s="1" t="s">
        <v>142</v>
      </c>
      <c r="I808" s="1" t="s">
        <v>140</v>
      </c>
      <c r="J808" s="57">
        <v>0</v>
      </c>
      <c r="K808" s="24">
        <v>45349.715868055559</v>
      </c>
      <c r="L808" s="23">
        <v>4450</v>
      </c>
      <c r="O808" s="51">
        <v>10</v>
      </c>
      <c r="P808" s="30">
        <v>0</v>
      </c>
      <c r="Q808" s="30">
        <v>0</v>
      </c>
    </row>
    <row r="809" spans="2:17" x14ac:dyDescent="0.25">
      <c r="B809" s="42" t="s">
        <v>687</v>
      </c>
      <c r="C809" s="42" t="s">
        <v>736</v>
      </c>
      <c r="D809" s="20" t="s">
        <v>737</v>
      </c>
      <c r="E809" s="21">
        <v>0</v>
      </c>
      <c r="F809" s="1" t="s">
        <v>145</v>
      </c>
      <c r="G809" s="25" t="s">
        <v>146</v>
      </c>
      <c r="H809" s="1" t="s">
        <v>147</v>
      </c>
      <c r="I809" s="1" t="s">
        <v>148</v>
      </c>
      <c r="J809" s="57">
        <v>0</v>
      </c>
      <c r="K809" s="24">
        <v>45350.666354166664</v>
      </c>
      <c r="L809" s="23">
        <v>1228</v>
      </c>
      <c r="O809" s="51">
        <v>144</v>
      </c>
      <c r="P809" s="30">
        <v>0</v>
      </c>
      <c r="Q809" s="30">
        <v>0</v>
      </c>
    </row>
    <row r="810" spans="2:17" x14ac:dyDescent="0.25">
      <c r="B810" s="42" t="s">
        <v>687</v>
      </c>
      <c r="C810" s="42" t="s">
        <v>738</v>
      </c>
      <c r="D810" s="20" t="s">
        <v>739</v>
      </c>
      <c r="E810" s="21">
        <v>0</v>
      </c>
      <c r="F810" s="1" t="s">
        <v>145</v>
      </c>
      <c r="G810" s="25" t="s">
        <v>149</v>
      </c>
      <c r="H810" s="1" t="s">
        <v>147</v>
      </c>
      <c r="I810" s="1" t="s">
        <v>148</v>
      </c>
      <c r="J810" s="57">
        <v>0</v>
      </c>
      <c r="K810" s="24">
        <v>45350.666400462964</v>
      </c>
      <c r="L810" s="23">
        <v>5008</v>
      </c>
      <c r="O810" s="51">
        <v>144</v>
      </c>
      <c r="P810" s="30">
        <v>0</v>
      </c>
      <c r="Q810" s="30">
        <v>0</v>
      </c>
    </row>
    <row r="811" spans="2:17" x14ac:dyDescent="0.25">
      <c r="B811" s="42" t="s">
        <v>687</v>
      </c>
      <c r="C811" s="42" t="s">
        <v>740</v>
      </c>
      <c r="D811" s="20" t="s">
        <v>741</v>
      </c>
      <c r="E811" s="21">
        <v>0</v>
      </c>
      <c r="F811" s="1" t="s">
        <v>145</v>
      </c>
      <c r="G811" s="25" t="s">
        <v>150</v>
      </c>
      <c r="H811" s="1" t="s">
        <v>147</v>
      </c>
      <c r="I811" s="1" t="s">
        <v>148</v>
      </c>
      <c r="J811" s="57">
        <v>0</v>
      </c>
      <c r="K811" s="24">
        <v>45350.666446759256</v>
      </c>
      <c r="L811" s="23">
        <v>3502</v>
      </c>
      <c r="O811" s="51">
        <v>144</v>
      </c>
      <c r="P811" s="30">
        <v>0</v>
      </c>
      <c r="Q811" s="30">
        <v>0</v>
      </c>
    </row>
    <row r="812" spans="2:17" x14ac:dyDescent="0.25">
      <c r="B812" s="42" t="s">
        <v>687</v>
      </c>
      <c r="C812" s="42" t="s">
        <v>613</v>
      </c>
      <c r="D812" s="20" t="s">
        <v>742</v>
      </c>
      <c r="E812" s="21">
        <v>0</v>
      </c>
      <c r="F812" s="1" t="s">
        <v>145</v>
      </c>
      <c r="G812" s="25" t="s">
        <v>151</v>
      </c>
      <c r="H812" s="1" t="s">
        <v>147</v>
      </c>
      <c r="I812" s="1" t="s">
        <v>148</v>
      </c>
      <c r="J812" s="57">
        <v>0</v>
      </c>
      <c r="K812" s="24">
        <v>45350.666481481479</v>
      </c>
      <c r="L812" s="23">
        <v>1368</v>
      </c>
      <c r="O812" s="51">
        <v>144</v>
      </c>
      <c r="P812" s="30">
        <v>0</v>
      </c>
      <c r="Q812" s="30">
        <v>0</v>
      </c>
    </row>
    <row r="813" spans="2:17" x14ac:dyDescent="0.25">
      <c r="B813" s="42" t="s">
        <v>169</v>
      </c>
      <c r="C813" s="42" t="s">
        <v>385</v>
      </c>
      <c r="D813" s="20" t="s">
        <v>743</v>
      </c>
      <c r="E813" s="21">
        <v>220</v>
      </c>
      <c r="F813" s="1" t="s">
        <v>145</v>
      </c>
      <c r="G813" s="25" t="s">
        <v>146</v>
      </c>
      <c r="H813" s="1" t="s">
        <v>147</v>
      </c>
      <c r="I813" s="1" t="s">
        <v>148</v>
      </c>
      <c r="J813" s="57">
        <v>0</v>
      </c>
      <c r="K813" s="24">
        <v>45330.688067129631</v>
      </c>
      <c r="L813" s="23">
        <v>788</v>
      </c>
      <c r="O813" s="51">
        <v>144</v>
      </c>
      <c r="P813" s="30">
        <v>1</v>
      </c>
      <c r="Q813" s="30">
        <v>75.999999999999986</v>
      </c>
    </row>
    <row r="814" spans="2:17" x14ac:dyDescent="0.25">
      <c r="B814" s="42" t="s">
        <v>169</v>
      </c>
      <c r="C814" s="42" t="s">
        <v>385</v>
      </c>
      <c r="D814" s="20" t="s">
        <v>743</v>
      </c>
      <c r="E814" s="21">
        <v>800</v>
      </c>
      <c r="F814" s="1" t="s">
        <v>145</v>
      </c>
      <c r="G814" s="25" t="s">
        <v>149</v>
      </c>
      <c r="H814" s="1" t="s">
        <v>147</v>
      </c>
      <c r="I814" s="1" t="s">
        <v>148</v>
      </c>
      <c r="J814" s="57">
        <v>0</v>
      </c>
      <c r="K814" s="24">
        <v>45330.688067129631</v>
      </c>
      <c r="L814" s="23">
        <v>4208</v>
      </c>
      <c r="O814" s="51">
        <v>144</v>
      </c>
      <c r="P814" s="30">
        <v>5</v>
      </c>
      <c r="Q814" s="30">
        <v>79.999999999999972</v>
      </c>
    </row>
    <row r="815" spans="2:17" x14ac:dyDescent="0.25">
      <c r="B815" s="42" t="s">
        <v>169</v>
      </c>
      <c r="C815" s="42" t="s">
        <v>385</v>
      </c>
      <c r="D815" s="20" t="s">
        <v>743</v>
      </c>
      <c r="E815" s="21">
        <v>700</v>
      </c>
      <c r="F815" s="1" t="s">
        <v>145</v>
      </c>
      <c r="G815" s="25" t="s">
        <v>150</v>
      </c>
      <c r="H815" s="1" t="s">
        <v>147</v>
      </c>
      <c r="I815" s="1" t="s">
        <v>148</v>
      </c>
      <c r="J815" s="57">
        <v>0</v>
      </c>
      <c r="K815" s="24">
        <v>45330.688067129631</v>
      </c>
      <c r="L815" s="23">
        <v>2802</v>
      </c>
      <c r="O815" s="51">
        <v>144</v>
      </c>
      <c r="P815" s="30">
        <v>4</v>
      </c>
      <c r="Q815" s="30">
        <v>123.99999999999994</v>
      </c>
    </row>
    <row r="816" spans="2:17" x14ac:dyDescent="0.25">
      <c r="B816" s="42" t="s">
        <v>169</v>
      </c>
      <c r="C816" s="42" t="s">
        <v>380</v>
      </c>
      <c r="D816" s="20" t="s">
        <v>744</v>
      </c>
      <c r="E816" s="21">
        <v>1600</v>
      </c>
      <c r="F816" s="1" t="s">
        <v>68</v>
      </c>
      <c r="G816" s="42" t="s">
        <v>181</v>
      </c>
      <c r="H816" s="1" t="s">
        <v>182</v>
      </c>
      <c r="I816" s="1" t="s">
        <v>115</v>
      </c>
      <c r="J816" s="57">
        <v>0</v>
      </c>
      <c r="K816" s="24">
        <v>45330.688067129631</v>
      </c>
      <c r="L816" s="23">
        <v>9400</v>
      </c>
      <c r="O816" s="51">
        <v>2400</v>
      </c>
      <c r="P816" s="30">
        <v>0</v>
      </c>
      <c r="Q816" s="30">
        <v>1600</v>
      </c>
    </row>
    <row r="817" spans="2:17" x14ac:dyDescent="0.25">
      <c r="B817" s="42" t="s">
        <v>169</v>
      </c>
      <c r="C817" s="42" t="s">
        <v>411</v>
      </c>
      <c r="D817" s="20" t="s">
        <v>745</v>
      </c>
      <c r="E817" s="21">
        <v>2500</v>
      </c>
      <c r="F817" s="1" t="s">
        <v>68</v>
      </c>
      <c r="G817" s="42" t="s">
        <v>135</v>
      </c>
      <c r="H817" s="1" t="s">
        <v>136</v>
      </c>
      <c r="I817" s="1" t="s">
        <v>115</v>
      </c>
      <c r="J817" s="57">
        <v>0</v>
      </c>
      <c r="K817" s="24">
        <v>45330.688067129631</v>
      </c>
      <c r="L817" s="23">
        <v>8200</v>
      </c>
      <c r="O817" s="51">
        <v>2400</v>
      </c>
      <c r="P817" s="30">
        <v>1</v>
      </c>
      <c r="Q817" s="30">
        <v>100.00000000000017</v>
      </c>
    </row>
    <row r="818" spans="2:17" x14ac:dyDescent="0.25">
      <c r="B818" s="42" t="s">
        <v>169</v>
      </c>
      <c r="C818" s="42" t="s">
        <v>411</v>
      </c>
      <c r="D818" s="20" t="s">
        <v>745</v>
      </c>
      <c r="E818" s="21">
        <v>40</v>
      </c>
      <c r="F818" s="1" t="s">
        <v>68</v>
      </c>
      <c r="G818" s="25" t="s">
        <v>773</v>
      </c>
      <c r="H818" s="1" t="s">
        <v>180</v>
      </c>
      <c r="I818" s="1" t="s">
        <v>154</v>
      </c>
      <c r="J818" s="57">
        <v>0</v>
      </c>
      <c r="K818" s="24">
        <v>45330.688067129631</v>
      </c>
      <c r="L818" s="23">
        <v>480</v>
      </c>
      <c r="O818" s="51">
        <v>100</v>
      </c>
      <c r="P818" s="30">
        <v>0</v>
      </c>
      <c r="Q818" s="30">
        <v>40</v>
      </c>
    </row>
    <row r="819" spans="2:17" x14ac:dyDescent="0.25">
      <c r="B819" s="42" t="s">
        <v>314</v>
      </c>
      <c r="C819" s="42" t="s">
        <v>554</v>
      </c>
      <c r="D819" s="20" t="s">
        <v>746</v>
      </c>
      <c r="E819" s="21">
        <v>600</v>
      </c>
      <c r="F819" s="1" t="s">
        <v>68</v>
      </c>
      <c r="G819" s="42" t="s">
        <v>135</v>
      </c>
      <c r="H819" s="1" t="s">
        <v>136</v>
      </c>
      <c r="I819" s="1" t="s">
        <v>115</v>
      </c>
      <c r="J819" s="57">
        <v>0</v>
      </c>
      <c r="K819" s="24">
        <v>45330.688067129631</v>
      </c>
      <c r="L819" s="23">
        <v>7600</v>
      </c>
      <c r="O819" s="51">
        <v>2400</v>
      </c>
      <c r="P819" s="30">
        <v>0</v>
      </c>
      <c r="Q819" s="30">
        <v>600</v>
      </c>
    </row>
    <row r="820" spans="2:17" x14ac:dyDescent="0.25">
      <c r="B820" s="42" t="s">
        <v>314</v>
      </c>
      <c r="C820" s="42" t="s">
        <v>747</v>
      </c>
      <c r="D820" s="20" t="s">
        <v>748</v>
      </c>
      <c r="E820" s="21">
        <v>500</v>
      </c>
      <c r="F820" s="1" t="s">
        <v>68</v>
      </c>
      <c r="G820" s="42" t="s">
        <v>125</v>
      </c>
      <c r="H820" s="1" t="s">
        <v>126</v>
      </c>
      <c r="I820" s="1" t="s">
        <v>115</v>
      </c>
      <c r="J820" s="57">
        <v>0</v>
      </c>
      <c r="K820" s="24">
        <v>45330.688067129631</v>
      </c>
      <c r="L820" s="23">
        <v>11300</v>
      </c>
      <c r="O820" s="51">
        <v>1200</v>
      </c>
      <c r="P820" s="30">
        <v>0</v>
      </c>
      <c r="Q820" s="30">
        <v>500</v>
      </c>
    </row>
    <row r="821" spans="2:17" x14ac:dyDescent="0.25">
      <c r="B821" s="42" t="s">
        <v>169</v>
      </c>
      <c r="C821" s="42" t="s">
        <v>621</v>
      </c>
      <c r="D821" s="20" t="s">
        <v>749</v>
      </c>
      <c r="E821" s="21">
        <v>40</v>
      </c>
      <c r="F821" s="1" t="s">
        <v>137</v>
      </c>
      <c r="G821" s="25" t="s">
        <v>141</v>
      </c>
      <c r="H821" s="1" t="s">
        <v>142</v>
      </c>
      <c r="I821" s="1" t="s">
        <v>140</v>
      </c>
      <c r="J821" s="57">
        <v>0</v>
      </c>
      <c r="K821" s="24">
        <v>45351.560983796298</v>
      </c>
      <c r="L821" s="23">
        <v>4810</v>
      </c>
      <c r="O821" s="51">
        <v>10</v>
      </c>
      <c r="P821" s="30">
        <v>4</v>
      </c>
      <c r="Q821" s="30">
        <v>0</v>
      </c>
    </row>
    <row r="822" spans="2:17" x14ac:dyDescent="0.25">
      <c r="B822" s="42" t="s">
        <v>169</v>
      </c>
      <c r="C822" s="42" t="s">
        <v>621</v>
      </c>
      <c r="D822" s="20" t="s">
        <v>749</v>
      </c>
      <c r="E822" s="21">
        <v>1200</v>
      </c>
      <c r="F822" s="1" t="s">
        <v>68</v>
      </c>
      <c r="G822" s="25" t="s">
        <v>113</v>
      </c>
      <c r="H822" s="1" t="s">
        <v>114</v>
      </c>
      <c r="I822" s="1" t="s">
        <v>115</v>
      </c>
      <c r="J822" s="57">
        <v>0</v>
      </c>
      <c r="K822" s="24">
        <v>45351.561030092591</v>
      </c>
      <c r="L822" s="23">
        <v>43100</v>
      </c>
      <c r="O822" s="51">
        <v>2400</v>
      </c>
      <c r="P822" s="30">
        <v>0</v>
      </c>
      <c r="Q822" s="30">
        <v>1200</v>
      </c>
    </row>
    <row r="823" spans="2:17" x14ac:dyDescent="0.25">
      <c r="B823" s="42" t="s">
        <v>169</v>
      </c>
      <c r="C823" s="42" t="s">
        <v>621</v>
      </c>
      <c r="D823" s="20" t="s">
        <v>749</v>
      </c>
      <c r="E823" s="21">
        <v>20</v>
      </c>
      <c r="F823" s="1" t="s">
        <v>137</v>
      </c>
      <c r="G823" s="25" t="s">
        <v>143</v>
      </c>
      <c r="H823" s="1" t="s">
        <v>144</v>
      </c>
      <c r="I823" s="1" t="s">
        <v>140</v>
      </c>
      <c r="J823" s="57">
        <v>0</v>
      </c>
      <c r="K823" s="24">
        <v>45351.56318287037</v>
      </c>
      <c r="L823" s="23">
        <v>1885</v>
      </c>
      <c r="O823" s="51">
        <v>10</v>
      </c>
      <c r="P823" s="30">
        <v>2</v>
      </c>
      <c r="Q823" s="30">
        <v>0</v>
      </c>
    </row>
    <row r="824" spans="2:17" x14ac:dyDescent="0.25">
      <c r="B824" s="42" t="s">
        <v>169</v>
      </c>
      <c r="C824" s="42" t="s">
        <v>411</v>
      </c>
      <c r="D824" s="20" t="s">
        <v>750</v>
      </c>
      <c r="E824" s="21">
        <v>40</v>
      </c>
      <c r="F824" s="1" t="s">
        <v>68</v>
      </c>
      <c r="G824" s="25" t="s">
        <v>773</v>
      </c>
      <c r="H824" s="1" t="s">
        <v>180</v>
      </c>
      <c r="I824" s="1" t="s">
        <v>154</v>
      </c>
      <c r="J824" s="57">
        <v>0</v>
      </c>
      <c r="K824" s="24">
        <v>45351.563217592593</v>
      </c>
      <c r="L824" s="23">
        <v>440</v>
      </c>
      <c r="O824" s="51">
        <v>100</v>
      </c>
      <c r="P824" s="30">
        <v>0</v>
      </c>
      <c r="Q824" s="30">
        <v>40</v>
      </c>
    </row>
    <row r="825" spans="2:17" x14ac:dyDescent="0.25">
      <c r="B825" s="42" t="s">
        <v>169</v>
      </c>
      <c r="C825" s="42" t="s">
        <v>303</v>
      </c>
      <c r="D825" s="20" t="s">
        <v>751</v>
      </c>
      <c r="E825" s="21">
        <v>5600</v>
      </c>
      <c r="F825" s="1" t="s">
        <v>68</v>
      </c>
      <c r="G825" s="25" t="s">
        <v>133</v>
      </c>
      <c r="H825" s="1" t="s">
        <v>134</v>
      </c>
      <c r="I825" s="1" t="s">
        <v>115</v>
      </c>
      <c r="J825" s="57">
        <v>0</v>
      </c>
      <c r="K825" s="24">
        <v>45351.563263888886</v>
      </c>
      <c r="L825" s="23">
        <v>96900</v>
      </c>
      <c r="O825" s="51">
        <v>2400</v>
      </c>
      <c r="P825" s="30">
        <v>2</v>
      </c>
      <c r="Q825" s="30">
        <v>800.00000000000034</v>
      </c>
    </row>
    <row r="826" spans="2:17" x14ac:dyDescent="0.25">
      <c r="B826" s="42" t="s">
        <v>169</v>
      </c>
      <c r="C826" s="42" t="s">
        <v>385</v>
      </c>
      <c r="D826" s="20" t="s">
        <v>752</v>
      </c>
      <c r="E826" s="21">
        <v>1000</v>
      </c>
      <c r="F826" s="1" t="s">
        <v>68</v>
      </c>
      <c r="G826" s="25" t="s">
        <v>174</v>
      </c>
      <c r="H826" s="1" t="s">
        <v>175</v>
      </c>
      <c r="I826" s="1" t="s">
        <v>176</v>
      </c>
      <c r="J826" s="57">
        <v>0</v>
      </c>
      <c r="K826" s="24">
        <v>45351.563356481478</v>
      </c>
      <c r="L826" s="23">
        <v>-7246</v>
      </c>
      <c r="O826" s="51">
        <v>300</v>
      </c>
      <c r="P826" s="30">
        <v>3</v>
      </c>
      <c r="Q826" s="30">
        <v>100.00000000000004</v>
      </c>
    </row>
    <row r="827" spans="2:17" x14ac:dyDescent="0.25">
      <c r="B827" s="42" t="s">
        <v>169</v>
      </c>
      <c r="C827" s="42" t="s">
        <v>385</v>
      </c>
      <c r="D827" s="20" t="s">
        <v>717</v>
      </c>
      <c r="E827" s="21">
        <v>5600</v>
      </c>
      <c r="F827" s="1" t="s">
        <v>68</v>
      </c>
      <c r="G827" s="25" t="s">
        <v>133</v>
      </c>
      <c r="H827" s="1" t="s">
        <v>134</v>
      </c>
      <c r="I827" s="1" t="s">
        <v>115</v>
      </c>
      <c r="J827" s="57">
        <v>0</v>
      </c>
      <c r="K827" s="24">
        <v>45352.328344907408</v>
      </c>
      <c r="L827" s="23">
        <v>91300</v>
      </c>
      <c r="O827" s="51">
        <v>2400</v>
      </c>
      <c r="P827" s="30">
        <v>2</v>
      </c>
      <c r="Q827" s="30">
        <v>800.00000000000034</v>
      </c>
    </row>
    <row r="828" spans="2:17" x14ac:dyDescent="0.25">
      <c r="B828" s="42" t="s">
        <v>169</v>
      </c>
      <c r="C828" s="42" t="s">
        <v>385</v>
      </c>
      <c r="D828" s="20" t="s">
        <v>717</v>
      </c>
      <c r="E828" s="21">
        <v>698</v>
      </c>
      <c r="F828" s="1" t="s">
        <v>145</v>
      </c>
      <c r="G828" s="25" t="s">
        <v>146</v>
      </c>
      <c r="H828" s="1" t="s">
        <v>147</v>
      </c>
      <c r="I828" s="1" t="s">
        <v>148</v>
      </c>
      <c r="J828" s="57">
        <v>0</v>
      </c>
      <c r="K828" s="24">
        <v>45352.3283912037</v>
      </c>
      <c r="L828" s="23">
        <v>90</v>
      </c>
      <c r="O828" s="51">
        <v>144</v>
      </c>
      <c r="P828" s="30">
        <v>4</v>
      </c>
      <c r="Q828" s="30">
        <v>122.00000000000001</v>
      </c>
    </row>
    <row r="829" spans="2:17" x14ac:dyDescent="0.25">
      <c r="B829" s="42" t="s">
        <v>169</v>
      </c>
      <c r="C829" s="42" t="s">
        <v>411</v>
      </c>
      <c r="D829" s="20" t="s">
        <v>718</v>
      </c>
      <c r="E829" s="21">
        <v>30</v>
      </c>
      <c r="F829" s="1" t="s">
        <v>68</v>
      </c>
      <c r="G829" s="25" t="s">
        <v>773</v>
      </c>
      <c r="H829" s="1" t="s">
        <v>180</v>
      </c>
      <c r="I829" s="1" t="s">
        <v>154</v>
      </c>
      <c r="J829" s="57">
        <v>0</v>
      </c>
      <c r="K829" s="24">
        <v>45352.328414351854</v>
      </c>
      <c r="L829" s="23">
        <v>410</v>
      </c>
      <c r="O829" s="51">
        <v>100</v>
      </c>
      <c r="P829" s="30">
        <v>0</v>
      </c>
      <c r="Q829" s="30">
        <v>30</v>
      </c>
    </row>
    <row r="830" spans="2:17" x14ac:dyDescent="0.25">
      <c r="B830" s="42" t="s">
        <v>169</v>
      </c>
      <c r="C830" s="42" t="s">
        <v>621</v>
      </c>
      <c r="D830" s="20" t="s">
        <v>719</v>
      </c>
      <c r="E830" s="21">
        <v>40</v>
      </c>
      <c r="F830" s="1" t="s">
        <v>137</v>
      </c>
      <c r="G830" s="25" t="s">
        <v>141</v>
      </c>
      <c r="H830" s="1" t="s">
        <v>142</v>
      </c>
      <c r="I830" s="1" t="s">
        <v>140</v>
      </c>
      <c r="J830" s="57">
        <v>0</v>
      </c>
      <c r="K830" s="24">
        <v>45352.3284375</v>
      </c>
      <c r="L830" s="23">
        <v>4770</v>
      </c>
      <c r="O830" s="51">
        <v>10</v>
      </c>
      <c r="P830" s="30">
        <v>4</v>
      </c>
      <c r="Q830" s="30">
        <v>0</v>
      </c>
    </row>
    <row r="831" spans="2:17" x14ac:dyDescent="0.25">
      <c r="B831" s="42" t="s">
        <v>169</v>
      </c>
      <c r="C831" s="42" t="s">
        <v>621</v>
      </c>
      <c r="D831" s="20" t="s">
        <v>719</v>
      </c>
      <c r="E831" s="21">
        <v>1200</v>
      </c>
      <c r="F831" s="1" t="s">
        <v>68</v>
      </c>
      <c r="G831" s="25" t="s">
        <v>113</v>
      </c>
      <c r="H831" s="1" t="s">
        <v>114</v>
      </c>
      <c r="I831" s="1" t="s">
        <v>115</v>
      </c>
      <c r="J831" s="57">
        <v>0</v>
      </c>
      <c r="K831" s="24">
        <v>45352.328460648147</v>
      </c>
      <c r="L831" s="23">
        <v>41900</v>
      </c>
      <c r="O831" s="51">
        <v>2400</v>
      </c>
      <c r="P831" s="30">
        <v>0</v>
      </c>
      <c r="Q831" s="30">
        <v>1200</v>
      </c>
    </row>
    <row r="832" spans="2:17" x14ac:dyDescent="0.25">
      <c r="B832" s="42" t="s">
        <v>169</v>
      </c>
      <c r="C832" s="42" t="s">
        <v>763</v>
      </c>
      <c r="D832" s="20" t="s">
        <v>720</v>
      </c>
      <c r="E832" s="21">
        <v>500</v>
      </c>
      <c r="F832" s="1" t="s">
        <v>145</v>
      </c>
      <c r="G832" s="25" t="s">
        <v>151</v>
      </c>
      <c r="H832" s="1" t="s">
        <v>147</v>
      </c>
      <c r="I832" s="1" t="s">
        <v>148</v>
      </c>
      <c r="J832" s="57">
        <v>0</v>
      </c>
      <c r="K832" s="24">
        <v>45352.328472222223</v>
      </c>
      <c r="L832" s="23">
        <v>868</v>
      </c>
      <c r="O832" s="51">
        <v>144</v>
      </c>
      <c r="P832" s="30">
        <v>3</v>
      </c>
      <c r="Q832" s="30">
        <v>68.000000000000014</v>
      </c>
    </row>
    <row r="833" spans="2:18" x14ac:dyDescent="0.25">
      <c r="B833" s="42" t="s">
        <v>169</v>
      </c>
      <c r="C833" s="42" t="s">
        <v>763</v>
      </c>
      <c r="D833" s="20" t="s">
        <v>720</v>
      </c>
      <c r="E833" s="21">
        <v>30</v>
      </c>
      <c r="F833" s="1" t="s">
        <v>68</v>
      </c>
      <c r="G833" s="25" t="s">
        <v>772</v>
      </c>
      <c r="H833" s="1" t="s">
        <v>160</v>
      </c>
      <c r="I833" s="1" t="s">
        <v>154</v>
      </c>
      <c r="J833" s="57">
        <v>0</v>
      </c>
      <c r="K833" s="24">
        <v>45352.328483796293</v>
      </c>
      <c r="L833" s="23">
        <v>104</v>
      </c>
      <c r="O833" s="51">
        <v>4</v>
      </c>
      <c r="P833" s="30">
        <v>7</v>
      </c>
      <c r="Q833" s="30">
        <v>2</v>
      </c>
    </row>
    <row r="834" spans="2:18" x14ac:dyDescent="0.25">
      <c r="B834" s="42" t="s">
        <v>169</v>
      </c>
      <c r="C834" s="42" t="s">
        <v>763</v>
      </c>
      <c r="D834" s="20" t="s">
        <v>720</v>
      </c>
      <c r="E834" s="21">
        <v>1000</v>
      </c>
      <c r="F834" s="1" t="s">
        <v>68</v>
      </c>
      <c r="G834" s="25" t="s">
        <v>152</v>
      </c>
      <c r="H834" s="1" t="s">
        <v>153</v>
      </c>
      <c r="I834" s="1" t="s">
        <v>154</v>
      </c>
      <c r="J834" s="57">
        <v>0</v>
      </c>
      <c r="K834" s="24">
        <v>45352.328506944446</v>
      </c>
      <c r="L834" s="23">
        <v>5888</v>
      </c>
      <c r="O834" s="51">
        <v>24</v>
      </c>
      <c r="P834" s="30">
        <v>41</v>
      </c>
      <c r="Q834" s="30">
        <v>15.999999999999943</v>
      </c>
    </row>
    <row r="835" spans="2:18" x14ac:dyDescent="0.25">
      <c r="B835" s="42" t="s">
        <v>169</v>
      </c>
      <c r="C835" s="42" t="s">
        <v>764</v>
      </c>
      <c r="D835" s="20" t="s">
        <v>721</v>
      </c>
      <c r="E835" s="21">
        <v>5000</v>
      </c>
      <c r="F835" s="1" t="s">
        <v>68</v>
      </c>
      <c r="G835" s="25" t="s">
        <v>156</v>
      </c>
      <c r="H835" s="1" t="s">
        <v>157</v>
      </c>
      <c r="I835" s="1" t="s">
        <v>154</v>
      </c>
      <c r="J835" s="57">
        <v>0</v>
      </c>
      <c r="K835" s="24">
        <v>45352.328541666669</v>
      </c>
      <c r="L835" s="23">
        <v>18620</v>
      </c>
      <c r="O835" s="51">
        <v>440</v>
      </c>
      <c r="P835" s="30">
        <v>11</v>
      </c>
      <c r="Q835" s="30">
        <v>159.99999999999986</v>
      </c>
      <c r="R835" s="76"/>
    </row>
    <row r="836" spans="2:18" ht="45" x14ac:dyDescent="0.25">
      <c r="B836" s="42" t="s">
        <v>314</v>
      </c>
      <c r="C836" s="71" t="s">
        <v>724</v>
      </c>
      <c r="D836" s="1">
        <v>2113</v>
      </c>
      <c r="E836" s="1">
        <v>2500</v>
      </c>
      <c r="F836" s="1" t="s">
        <v>68</v>
      </c>
      <c r="G836" s="35" t="s">
        <v>156</v>
      </c>
      <c r="H836" s="1" t="s">
        <v>157</v>
      </c>
      <c r="I836" s="1" t="s">
        <v>154</v>
      </c>
      <c r="K836" s="24">
        <v>45352.37127314815</v>
      </c>
      <c r="O836" s="51">
        <v>440</v>
      </c>
      <c r="P836" s="30">
        <v>5</v>
      </c>
      <c r="Q836" s="30">
        <v>299.99999999999994</v>
      </c>
      <c r="R836" s="76"/>
    </row>
    <row r="837" spans="2:18" ht="45" x14ac:dyDescent="0.25">
      <c r="B837" s="42" t="s">
        <v>314</v>
      </c>
      <c r="C837" s="71" t="s">
        <v>724</v>
      </c>
      <c r="D837" s="1">
        <v>2113</v>
      </c>
      <c r="E837" s="1">
        <v>1000</v>
      </c>
      <c r="F837" s="1" t="s">
        <v>68</v>
      </c>
      <c r="G837" s="35" t="s">
        <v>190</v>
      </c>
      <c r="H837" s="1" t="s">
        <v>191</v>
      </c>
      <c r="I837" s="1" t="s">
        <v>154</v>
      </c>
      <c r="K837" s="24">
        <v>45352.371354166666</v>
      </c>
      <c r="O837" s="51">
        <v>2000</v>
      </c>
      <c r="P837" s="30">
        <v>0</v>
      </c>
      <c r="Q837" s="30">
        <v>1000</v>
      </c>
    </row>
    <row r="838" spans="2:18" x14ac:dyDescent="0.25">
      <c r="B838" s="42" t="s">
        <v>314</v>
      </c>
      <c r="C838" s="25" t="s">
        <v>716</v>
      </c>
      <c r="D838" s="1">
        <v>2111</v>
      </c>
      <c r="E838" s="1">
        <v>2</v>
      </c>
      <c r="F838" s="1" t="s">
        <v>68</v>
      </c>
      <c r="G838" s="35" t="s">
        <v>423</v>
      </c>
      <c r="H838" s="1" t="s">
        <v>192</v>
      </c>
      <c r="K838" s="24">
        <v>45352.371932870374</v>
      </c>
      <c r="O838" s="51">
        <v>40</v>
      </c>
      <c r="P838" s="30">
        <v>0</v>
      </c>
      <c r="Q838" s="30">
        <v>2</v>
      </c>
    </row>
    <row r="839" spans="2:18" x14ac:dyDescent="0.25">
      <c r="B839" s="42" t="s">
        <v>314</v>
      </c>
      <c r="C839" s="25" t="s">
        <v>716</v>
      </c>
      <c r="D839" s="1">
        <v>2111</v>
      </c>
      <c r="E839" s="1">
        <v>120</v>
      </c>
      <c r="F839" s="1" t="s">
        <v>68</v>
      </c>
      <c r="G839" s="35" t="s">
        <v>212</v>
      </c>
      <c r="H839" s="1" t="s">
        <v>213</v>
      </c>
      <c r="I839" s="1" t="s">
        <v>154</v>
      </c>
      <c r="K839" s="24">
        <v>45352.372048611112</v>
      </c>
      <c r="O839" s="51">
        <v>100</v>
      </c>
      <c r="P839" s="30">
        <v>1</v>
      </c>
      <c r="Q839" s="30">
        <v>19.999999999999996</v>
      </c>
    </row>
    <row r="840" spans="2:18" x14ac:dyDescent="0.25">
      <c r="B840" s="42" t="s">
        <v>314</v>
      </c>
      <c r="C840" s="25" t="s">
        <v>716</v>
      </c>
      <c r="D840" s="1">
        <v>2111</v>
      </c>
      <c r="E840" s="1">
        <v>250</v>
      </c>
      <c r="F840" s="1" t="s">
        <v>68</v>
      </c>
      <c r="G840" s="35" t="s">
        <v>165</v>
      </c>
      <c r="H840" s="1" t="s">
        <v>166</v>
      </c>
      <c r="K840" s="24">
        <v>45352.372777777775</v>
      </c>
      <c r="O840" s="51">
        <v>24</v>
      </c>
      <c r="P840" s="30">
        <v>10</v>
      </c>
      <c r="Q840" s="30">
        <v>9.9999999999999858</v>
      </c>
    </row>
    <row r="841" spans="2:18" x14ac:dyDescent="0.25">
      <c r="B841" s="42" t="s">
        <v>314</v>
      </c>
      <c r="C841" s="25" t="s">
        <v>716</v>
      </c>
      <c r="D841" s="1">
        <v>2111</v>
      </c>
      <c r="E841" s="1">
        <v>12000</v>
      </c>
      <c r="F841" s="1" t="s">
        <v>68</v>
      </c>
      <c r="G841" s="35" t="s">
        <v>133</v>
      </c>
      <c r="H841" s="1" t="s">
        <v>134</v>
      </c>
      <c r="I841" s="1" t="s">
        <v>115</v>
      </c>
      <c r="K841" s="24">
        <v>45352.372777777775</v>
      </c>
      <c r="O841" s="51">
        <v>2400</v>
      </c>
      <c r="P841" s="30">
        <v>5</v>
      </c>
      <c r="Q841" s="30">
        <v>0</v>
      </c>
    </row>
    <row r="842" spans="2:18" x14ac:dyDescent="0.25">
      <c r="B842" s="42" t="s">
        <v>314</v>
      </c>
      <c r="C842" s="25" t="s">
        <v>716</v>
      </c>
      <c r="D842" s="1">
        <v>2112</v>
      </c>
      <c r="E842" s="18">
        <v>2</v>
      </c>
      <c r="F842" s="1" t="s">
        <v>68</v>
      </c>
      <c r="G842" s="35" t="s">
        <v>193</v>
      </c>
      <c r="H842" s="1" t="s">
        <v>194</v>
      </c>
      <c r="K842" s="24">
        <v>45352.372789351852</v>
      </c>
      <c r="O842" s="51">
        <v>36</v>
      </c>
      <c r="P842" s="30">
        <v>0</v>
      </c>
      <c r="Q842" s="30">
        <v>2</v>
      </c>
    </row>
    <row r="843" spans="2:18" x14ac:dyDescent="0.25">
      <c r="B843" s="42" t="s">
        <v>314</v>
      </c>
      <c r="C843" s="25" t="s">
        <v>716</v>
      </c>
      <c r="D843" s="1">
        <v>2112</v>
      </c>
      <c r="E843" s="1">
        <v>120</v>
      </c>
      <c r="F843" s="1" t="s">
        <v>68</v>
      </c>
      <c r="G843" s="35" t="s">
        <v>420</v>
      </c>
      <c r="H843" s="1" t="s">
        <v>159</v>
      </c>
      <c r="I843" s="1" t="s">
        <v>154</v>
      </c>
      <c r="K843" s="24">
        <v>45352.372789351852</v>
      </c>
      <c r="O843" s="51">
        <v>60</v>
      </c>
      <c r="P843" s="30">
        <v>2</v>
      </c>
      <c r="Q843" s="30">
        <v>0</v>
      </c>
    </row>
    <row r="844" spans="2:18" x14ac:dyDescent="0.25">
      <c r="B844" s="42" t="s">
        <v>314</v>
      </c>
      <c r="C844" s="25" t="s">
        <v>716</v>
      </c>
      <c r="D844" s="1">
        <v>2119</v>
      </c>
      <c r="E844" s="1">
        <v>10</v>
      </c>
      <c r="F844" s="1" t="s">
        <v>68</v>
      </c>
      <c r="G844" s="35" t="s">
        <v>168</v>
      </c>
      <c r="H844" s="1" t="s">
        <v>166</v>
      </c>
      <c r="K844" s="24">
        <v>45352.372800925928</v>
      </c>
      <c r="O844" s="51">
        <v>12</v>
      </c>
      <c r="P844" s="30">
        <v>0</v>
      </c>
      <c r="Q844" s="30">
        <v>10</v>
      </c>
    </row>
    <row r="845" spans="2:18" x14ac:dyDescent="0.25">
      <c r="B845" s="42" t="s">
        <v>314</v>
      </c>
      <c r="C845" s="25" t="s">
        <v>716</v>
      </c>
      <c r="D845" s="1">
        <v>2119</v>
      </c>
      <c r="E845" s="1">
        <v>200</v>
      </c>
      <c r="F845" s="1" t="s">
        <v>68</v>
      </c>
      <c r="G845" s="35" t="s">
        <v>163</v>
      </c>
      <c r="H845" s="1" t="s">
        <v>164</v>
      </c>
      <c r="I845" s="1" t="s">
        <v>115</v>
      </c>
      <c r="K845" s="24">
        <v>45352.372800925928</v>
      </c>
      <c r="O845" s="51">
        <v>100</v>
      </c>
      <c r="P845" s="30">
        <v>2</v>
      </c>
      <c r="Q845" s="30">
        <v>0</v>
      </c>
    </row>
    <row r="846" spans="2:18" x14ac:dyDescent="0.25">
      <c r="B846" s="42" t="s">
        <v>314</v>
      </c>
      <c r="C846" s="25" t="s">
        <v>716</v>
      </c>
      <c r="D846" s="1">
        <v>2122</v>
      </c>
      <c r="E846" s="1">
        <v>130</v>
      </c>
      <c r="F846" s="1" t="s">
        <v>68</v>
      </c>
      <c r="G846" s="35" t="s">
        <v>161</v>
      </c>
      <c r="H846" s="1" t="s">
        <v>162</v>
      </c>
      <c r="I846" s="1" t="s">
        <v>115</v>
      </c>
      <c r="K846" s="24">
        <v>45352.372835648152</v>
      </c>
      <c r="O846" s="51">
        <v>200</v>
      </c>
      <c r="P846" s="30">
        <v>0</v>
      </c>
      <c r="Q846" s="30">
        <v>130</v>
      </c>
    </row>
    <row r="847" spans="2:18" x14ac:dyDescent="0.25">
      <c r="B847" s="42" t="s">
        <v>314</v>
      </c>
      <c r="C847" s="25" t="s">
        <v>716</v>
      </c>
      <c r="D847" s="1">
        <v>2120</v>
      </c>
      <c r="E847" s="1">
        <v>10000</v>
      </c>
      <c r="F847" s="1" t="s">
        <v>68</v>
      </c>
      <c r="G847" s="35" t="s">
        <v>117</v>
      </c>
      <c r="H847" s="1" t="s">
        <v>118</v>
      </c>
      <c r="I847" s="1" t="s">
        <v>115</v>
      </c>
      <c r="K847" s="24">
        <v>45352.373055555552</v>
      </c>
      <c r="O847" s="51">
        <v>1200</v>
      </c>
      <c r="P847" s="30">
        <v>8</v>
      </c>
      <c r="Q847" s="30">
        <v>400.00000000000068</v>
      </c>
    </row>
    <row r="848" spans="2:18" x14ac:dyDescent="0.25">
      <c r="B848" s="42" t="s">
        <v>314</v>
      </c>
      <c r="C848" s="25" t="s">
        <v>716</v>
      </c>
      <c r="D848" s="1">
        <v>2118</v>
      </c>
      <c r="E848" s="1">
        <v>144</v>
      </c>
      <c r="F848" s="1" t="s">
        <v>145</v>
      </c>
      <c r="G848" s="35" t="s">
        <v>150</v>
      </c>
      <c r="H848" s="1" t="s">
        <v>147</v>
      </c>
      <c r="I848" s="1" t="s">
        <v>148</v>
      </c>
      <c r="K848" s="24">
        <v>45352.373055555552</v>
      </c>
      <c r="O848" s="51">
        <v>144</v>
      </c>
      <c r="P848" s="30">
        <v>1</v>
      </c>
      <c r="Q848" s="30">
        <v>0</v>
      </c>
    </row>
    <row r="849" spans="1:17" x14ac:dyDescent="0.25">
      <c r="B849" s="42" t="s">
        <v>314</v>
      </c>
      <c r="C849" s="25" t="s">
        <v>716</v>
      </c>
      <c r="D849" s="1">
        <v>2117</v>
      </c>
      <c r="E849" s="1">
        <v>175</v>
      </c>
      <c r="F849" s="1" t="s">
        <v>137</v>
      </c>
      <c r="G849" s="35" t="s">
        <v>143</v>
      </c>
      <c r="H849" s="1" t="s">
        <v>144</v>
      </c>
      <c r="I849" s="1" t="s">
        <v>140</v>
      </c>
      <c r="K849" s="24">
        <v>45352.373067129629</v>
      </c>
      <c r="O849" s="51">
        <v>10</v>
      </c>
      <c r="P849" s="30">
        <v>17</v>
      </c>
      <c r="Q849" s="30">
        <v>5</v>
      </c>
    </row>
    <row r="850" spans="1:17" x14ac:dyDescent="0.25">
      <c r="B850" s="42" t="s">
        <v>314</v>
      </c>
      <c r="C850" s="25" t="s">
        <v>716</v>
      </c>
      <c r="D850" s="1">
        <v>2117</v>
      </c>
      <c r="E850" s="1">
        <v>4</v>
      </c>
      <c r="F850" s="1" t="s">
        <v>137</v>
      </c>
      <c r="G850" s="35" t="s">
        <v>141</v>
      </c>
      <c r="H850" s="1" t="s">
        <v>142</v>
      </c>
      <c r="I850" s="1" t="s">
        <v>140</v>
      </c>
      <c r="K850" s="24">
        <v>45352.373067129629</v>
      </c>
      <c r="O850" s="51">
        <v>10</v>
      </c>
      <c r="P850" s="30">
        <v>0</v>
      </c>
      <c r="Q850" s="30">
        <v>4</v>
      </c>
    </row>
    <row r="851" spans="1:17" x14ac:dyDescent="0.25">
      <c r="B851" s="42" t="s">
        <v>314</v>
      </c>
      <c r="C851" s="25" t="s">
        <v>716</v>
      </c>
      <c r="D851" s="1">
        <v>2115</v>
      </c>
      <c r="E851" s="1">
        <v>6</v>
      </c>
      <c r="F851" s="1" t="s">
        <v>68</v>
      </c>
      <c r="G851" s="35" t="s">
        <v>771</v>
      </c>
      <c r="H851" s="1" t="s">
        <v>158</v>
      </c>
      <c r="I851" s="1" t="s">
        <v>154</v>
      </c>
      <c r="K851" s="24">
        <v>45352.373090277775</v>
      </c>
      <c r="O851" s="51">
        <v>24</v>
      </c>
      <c r="P851" s="30">
        <v>0</v>
      </c>
      <c r="Q851" s="30">
        <v>6</v>
      </c>
    </row>
    <row r="852" spans="1:17" x14ac:dyDescent="0.25">
      <c r="B852" s="42" t="s">
        <v>314</v>
      </c>
      <c r="C852" s="25" t="s">
        <v>716</v>
      </c>
      <c r="D852" s="1">
        <v>2115</v>
      </c>
      <c r="E852" s="1">
        <v>3700</v>
      </c>
      <c r="F852" s="1" t="s">
        <v>68</v>
      </c>
      <c r="G852" s="35" t="s">
        <v>131</v>
      </c>
      <c r="H852" s="1" t="s">
        <v>132</v>
      </c>
      <c r="I852" s="1" t="s">
        <v>115</v>
      </c>
      <c r="K852" s="24">
        <v>45352.373229166667</v>
      </c>
      <c r="O852" s="51">
        <v>3000</v>
      </c>
      <c r="P852" s="30">
        <v>1</v>
      </c>
      <c r="Q852" s="30">
        <v>700.00000000000023</v>
      </c>
    </row>
    <row r="853" spans="1:17" x14ac:dyDescent="0.25">
      <c r="B853" s="42" t="s">
        <v>314</v>
      </c>
      <c r="C853" s="25" t="s">
        <v>716</v>
      </c>
      <c r="D853" s="1">
        <v>2121</v>
      </c>
      <c r="E853" s="1">
        <v>12000</v>
      </c>
      <c r="F853" s="1" t="s">
        <v>68</v>
      </c>
      <c r="G853" s="35" t="s">
        <v>113</v>
      </c>
      <c r="H853" s="1" t="s">
        <v>114</v>
      </c>
      <c r="I853" s="1" t="s">
        <v>115</v>
      </c>
      <c r="K853" s="24">
        <v>45352.373437499999</v>
      </c>
      <c r="O853" s="51">
        <v>2400</v>
      </c>
      <c r="P853" s="30">
        <v>5</v>
      </c>
      <c r="Q853" s="30">
        <v>0</v>
      </c>
    </row>
    <row r="854" spans="1:17" x14ac:dyDescent="0.25">
      <c r="B854" s="42" t="s">
        <v>314</v>
      </c>
      <c r="C854" s="25" t="s">
        <v>716</v>
      </c>
      <c r="D854" s="1">
        <v>2121</v>
      </c>
      <c r="E854" s="1">
        <v>500</v>
      </c>
      <c r="F854" s="1" t="s">
        <v>68</v>
      </c>
      <c r="G854" s="35" t="s">
        <v>125</v>
      </c>
      <c r="H854" s="1" t="s">
        <v>126</v>
      </c>
      <c r="I854" s="1" t="s">
        <v>115</v>
      </c>
      <c r="K854" s="24">
        <v>45352.373449074075</v>
      </c>
      <c r="O854" s="51">
        <v>1200</v>
      </c>
      <c r="P854" s="30">
        <v>0</v>
      </c>
      <c r="Q854" s="30">
        <v>500</v>
      </c>
    </row>
    <row r="855" spans="1:17" x14ac:dyDescent="0.25">
      <c r="B855" s="42" t="s">
        <v>314</v>
      </c>
      <c r="C855" s="25" t="s">
        <v>716</v>
      </c>
      <c r="D855" s="1">
        <v>2114</v>
      </c>
      <c r="E855" s="1">
        <v>240</v>
      </c>
      <c r="F855" s="1" t="s">
        <v>68</v>
      </c>
      <c r="G855" s="35" t="s">
        <v>174</v>
      </c>
      <c r="H855" s="1" t="s">
        <v>175</v>
      </c>
      <c r="I855" s="1" t="s">
        <v>176</v>
      </c>
      <c r="K855" s="24">
        <v>45352.373449074075</v>
      </c>
      <c r="O855" s="51">
        <v>300</v>
      </c>
      <c r="P855" s="30">
        <v>0</v>
      </c>
      <c r="Q855" s="30">
        <v>240</v>
      </c>
    </row>
    <row r="856" spans="1:17" x14ac:dyDescent="0.25">
      <c r="B856" s="42" t="s">
        <v>314</v>
      </c>
      <c r="C856" s="25" t="s">
        <v>716</v>
      </c>
      <c r="D856" s="1">
        <v>2114</v>
      </c>
      <c r="E856" s="1">
        <v>10</v>
      </c>
      <c r="F856" s="1" t="s">
        <v>68</v>
      </c>
      <c r="G856" s="35" t="s">
        <v>772</v>
      </c>
      <c r="H856" s="1" t="s">
        <v>160</v>
      </c>
      <c r="I856" s="1" t="s">
        <v>154</v>
      </c>
      <c r="K856" s="24">
        <v>45352.373449074075</v>
      </c>
      <c r="O856" s="51">
        <v>4</v>
      </c>
      <c r="P856" s="30">
        <v>2</v>
      </c>
      <c r="Q856" s="30">
        <v>2</v>
      </c>
    </row>
    <row r="857" spans="1:17" x14ac:dyDescent="0.25">
      <c r="B857" s="42" t="s">
        <v>314</v>
      </c>
      <c r="C857" s="25" t="s">
        <v>716</v>
      </c>
      <c r="D857" s="1">
        <v>2114</v>
      </c>
      <c r="E857" s="1">
        <v>50</v>
      </c>
      <c r="F857" s="1" t="s">
        <v>68</v>
      </c>
      <c r="G857" s="35" t="s">
        <v>773</v>
      </c>
      <c r="H857" s="1" t="s">
        <v>180</v>
      </c>
      <c r="I857" s="1" t="s">
        <v>154</v>
      </c>
      <c r="K857" s="24">
        <v>45352.373460648145</v>
      </c>
      <c r="O857" s="51">
        <v>100</v>
      </c>
      <c r="P857" s="30">
        <v>0</v>
      </c>
      <c r="Q857" s="30">
        <v>50</v>
      </c>
    </row>
    <row r="858" spans="1:17" x14ac:dyDescent="0.25">
      <c r="B858" s="42" t="s">
        <v>314</v>
      </c>
      <c r="C858" s="25" t="s">
        <v>716</v>
      </c>
      <c r="D858" s="1">
        <v>2110</v>
      </c>
      <c r="E858" s="1">
        <v>36</v>
      </c>
      <c r="F858" s="1" t="s">
        <v>68</v>
      </c>
      <c r="G858" s="35" t="s">
        <v>177</v>
      </c>
      <c r="H858" s="1" t="s">
        <v>178</v>
      </c>
      <c r="K858" s="24">
        <v>45352.373460648145</v>
      </c>
      <c r="O858" s="51">
        <v>4</v>
      </c>
      <c r="P858" s="30">
        <v>9</v>
      </c>
      <c r="Q858" s="30">
        <v>0</v>
      </c>
    </row>
    <row r="859" spans="1:17" x14ac:dyDescent="0.25">
      <c r="A859" s="1" t="s">
        <v>786</v>
      </c>
      <c r="B859" s="42" t="s">
        <v>314</v>
      </c>
      <c r="C859" s="20">
        <v>41219425</v>
      </c>
      <c r="D859" s="20" t="s">
        <v>787</v>
      </c>
      <c r="E859" s="21">
        <v>12000</v>
      </c>
      <c r="F859" s="1" t="s">
        <v>68</v>
      </c>
      <c r="G859" s="25" t="s">
        <v>133</v>
      </c>
      <c r="H859" s="1" t="s">
        <v>134</v>
      </c>
      <c r="I859" s="1" t="s">
        <v>115</v>
      </c>
      <c r="J859" s="57">
        <v>0</v>
      </c>
      <c r="K859" s="24">
        <v>45352.662499999999</v>
      </c>
      <c r="L859" s="23">
        <v>79300</v>
      </c>
      <c r="O859" s="51">
        <v>2400</v>
      </c>
      <c r="P859" s="30">
        <v>5</v>
      </c>
      <c r="Q859" s="30">
        <v>0</v>
      </c>
    </row>
    <row r="860" spans="1:17" x14ac:dyDescent="0.25">
      <c r="A860" s="1" t="s">
        <v>786</v>
      </c>
      <c r="B860" s="42" t="s">
        <v>314</v>
      </c>
      <c r="C860" s="20">
        <v>41219425</v>
      </c>
      <c r="D860" s="20" t="s">
        <v>787</v>
      </c>
      <c r="E860" s="21">
        <v>250</v>
      </c>
      <c r="F860" s="1" t="s">
        <v>68</v>
      </c>
      <c r="G860" s="25" t="s">
        <v>165</v>
      </c>
      <c r="H860" s="1" t="s">
        <v>166</v>
      </c>
      <c r="J860" s="57">
        <v>0</v>
      </c>
      <c r="K860" s="24">
        <v>45352.662592592591</v>
      </c>
      <c r="L860" s="23">
        <v>1602</v>
      </c>
      <c r="O860" s="51">
        <v>24</v>
      </c>
      <c r="P860" s="30">
        <v>10</v>
      </c>
      <c r="Q860" s="30">
        <v>9.9999999999999858</v>
      </c>
    </row>
    <row r="861" spans="1:17" x14ac:dyDescent="0.25">
      <c r="A861" s="1" t="s">
        <v>786</v>
      </c>
      <c r="B861" s="42" t="s">
        <v>314</v>
      </c>
      <c r="C861" s="20">
        <v>41219425</v>
      </c>
      <c r="D861" s="20" t="s">
        <v>787</v>
      </c>
      <c r="E861" s="21">
        <v>120</v>
      </c>
      <c r="F861" s="1" t="s">
        <v>68</v>
      </c>
      <c r="G861" s="25" t="s">
        <v>212</v>
      </c>
      <c r="H861" s="1" t="s">
        <v>213</v>
      </c>
      <c r="I861" s="1" t="s">
        <v>154</v>
      </c>
      <c r="J861" s="57">
        <v>0</v>
      </c>
      <c r="K861" s="24">
        <v>45352.662615740737</v>
      </c>
      <c r="L861" s="23">
        <v>5060</v>
      </c>
      <c r="O861" s="51">
        <v>100</v>
      </c>
      <c r="P861" s="30">
        <v>1</v>
      </c>
      <c r="Q861" s="30">
        <v>19.999999999999996</v>
      </c>
    </row>
    <row r="862" spans="1:17" x14ac:dyDescent="0.25">
      <c r="A862" s="1" t="s">
        <v>786</v>
      </c>
      <c r="B862" s="42" t="s">
        <v>314</v>
      </c>
      <c r="C862" s="20">
        <v>41219425</v>
      </c>
      <c r="D862" s="20" t="s">
        <v>787</v>
      </c>
      <c r="E862" s="21">
        <v>2</v>
      </c>
      <c r="F862" s="1" t="s">
        <v>68</v>
      </c>
      <c r="G862" s="25" t="s">
        <v>423</v>
      </c>
      <c r="H862" s="1" t="s">
        <v>192</v>
      </c>
      <c r="J862" s="57">
        <v>0</v>
      </c>
      <c r="K862" s="24">
        <v>45352.662638888891</v>
      </c>
      <c r="L862" s="23">
        <v>84</v>
      </c>
      <c r="O862" s="51">
        <v>40</v>
      </c>
      <c r="P862" s="30">
        <v>0</v>
      </c>
      <c r="Q862" s="30">
        <v>2</v>
      </c>
    </row>
    <row r="863" spans="1:17" x14ac:dyDescent="0.25">
      <c r="A863" s="1" t="s">
        <v>786</v>
      </c>
      <c r="B863" s="42" t="s">
        <v>314</v>
      </c>
      <c r="C863" s="20">
        <v>41218860</v>
      </c>
      <c r="D863" s="20" t="s">
        <v>788</v>
      </c>
      <c r="E863" s="21">
        <v>2</v>
      </c>
      <c r="F863" s="1" t="s">
        <v>68</v>
      </c>
      <c r="G863" s="25" t="s">
        <v>193</v>
      </c>
      <c r="H863" s="1" t="s">
        <v>194</v>
      </c>
      <c r="J863" s="57">
        <v>0</v>
      </c>
      <c r="K863" s="24">
        <v>45352.662662037037</v>
      </c>
      <c r="L863" s="23">
        <v>2</v>
      </c>
      <c r="O863" s="51">
        <v>36</v>
      </c>
      <c r="P863" s="30">
        <v>0</v>
      </c>
      <c r="Q863" s="30">
        <v>2</v>
      </c>
    </row>
    <row r="864" spans="1:17" x14ac:dyDescent="0.25">
      <c r="A864" s="1" t="s">
        <v>786</v>
      </c>
      <c r="B864" s="42" t="s">
        <v>314</v>
      </c>
      <c r="C864" s="20">
        <v>41218860</v>
      </c>
      <c r="D864" s="20" t="s">
        <v>788</v>
      </c>
      <c r="E864" s="21">
        <v>120</v>
      </c>
      <c r="F864" s="1" t="s">
        <v>68</v>
      </c>
      <c r="G864" s="25" t="s">
        <v>420</v>
      </c>
      <c r="H864" s="1" t="s">
        <v>159</v>
      </c>
      <c r="I864" s="1" t="s">
        <v>154</v>
      </c>
      <c r="J864" s="57">
        <v>0</v>
      </c>
      <c r="K864" s="24">
        <v>45352.662685185183</v>
      </c>
      <c r="L864" s="23">
        <v>4300</v>
      </c>
      <c r="O864" s="51">
        <v>60</v>
      </c>
      <c r="P864" s="30">
        <v>2</v>
      </c>
      <c r="Q864" s="30">
        <v>0</v>
      </c>
    </row>
    <row r="865" spans="1:18" x14ac:dyDescent="0.25">
      <c r="A865" s="1" t="s">
        <v>786</v>
      </c>
      <c r="B865" s="42" t="s">
        <v>314</v>
      </c>
      <c r="C865" s="20">
        <v>41219252</v>
      </c>
      <c r="D865" s="20" t="s">
        <v>789</v>
      </c>
      <c r="E865" s="21">
        <v>1000</v>
      </c>
      <c r="F865" s="1" t="s">
        <v>68</v>
      </c>
      <c r="G865" s="25" t="s">
        <v>190</v>
      </c>
      <c r="H865" s="1" t="s">
        <v>191</v>
      </c>
      <c r="I865" s="1" t="s">
        <v>154</v>
      </c>
      <c r="J865" s="57">
        <v>0</v>
      </c>
      <c r="K865" s="24">
        <v>45352.66269675926</v>
      </c>
      <c r="L865" s="23">
        <v>29000</v>
      </c>
      <c r="O865" s="51">
        <v>2000</v>
      </c>
      <c r="P865" s="30">
        <v>0</v>
      </c>
      <c r="Q865" s="30">
        <v>1000</v>
      </c>
    </row>
    <row r="866" spans="1:18" x14ac:dyDescent="0.25">
      <c r="A866" s="1" t="s">
        <v>786</v>
      </c>
      <c r="B866" s="42" t="s">
        <v>314</v>
      </c>
      <c r="C866" s="20">
        <v>41219252</v>
      </c>
      <c r="D866" s="20" t="s">
        <v>789</v>
      </c>
      <c r="E866" s="21">
        <v>2500</v>
      </c>
      <c r="F866" s="1" t="s">
        <v>68</v>
      </c>
      <c r="G866" s="25" t="s">
        <v>156</v>
      </c>
      <c r="H866" s="1" t="s">
        <v>157</v>
      </c>
      <c r="I866" s="1" t="s">
        <v>154</v>
      </c>
      <c r="J866" s="57">
        <v>0</v>
      </c>
      <c r="K866" s="24">
        <v>45352.662731481483</v>
      </c>
      <c r="L866" s="23">
        <v>16120</v>
      </c>
      <c r="O866" s="51">
        <v>440</v>
      </c>
      <c r="P866" s="30">
        <v>5</v>
      </c>
      <c r="Q866" s="30">
        <v>299.99999999999994</v>
      </c>
      <c r="R866" s="76"/>
    </row>
    <row r="867" spans="1:18" x14ac:dyDescent="0.25">
      <c r="A867" s="1" t="s">
        <v>786</v>
      </c>
      <c r="B867" s="42" t="s">
        <v>314</v>
      </c>
      <c r="C867" s="20">
        <v>41219949</v>
      </c>
      <c r="D867" s="20" t="s">
        <v>790</v>
      </c>
      <c r="E867" s="21">
        <v>240</v>
      </c>
      <c r="F867" s="1" t="s">
        <v>68</v>
      </c>
      <c r="G867" s="25" t="s">
        <v>174</v>
      </c>
      <c r="H867" s="1" t="s">
        <v>175</v>
      </c>
      <c r="I867" s="1" t="s">
        <v>176</v>
      </c>
      <c r="J867" s="57">
        <v>0</v>
      </c>
      <c r="K867" s="24">
        <v>45352.662777777776</v>
      </c>
      <c r="L867" s="23">
        <v>-7486</v>
      </c>
      <c r="O867" s="51">
        <v>300</v>
      </c>
      <c r="P867" s="30">
        <v>0</v>
      </c>
      <c r="Q867" s="30">
        <v>240</v>
      </c>
    </row>
    <row r="868" spans="1:18" x14ac:dyDescent="0.25">
      <c r="A868" s="1" t="s">
        <v>786</v>
      </c>
      <c r="B868" s="42" t="s">
        <v>314</v>
      </c>
      <c r="C868" s="20">
        <v>41219949</v>
      </c>
      <c r="D868" s="20" t="s">
        <v>790</v>
      </c>
      <c r="E868" s="21">
        <v>50</v>
      </c>
      <c r="F868" s="1" t="s">
        <v>68</v>
      </c>
      <c r="G868" s="25" t="s">
        <v>773</v>
      </c>
      <c r="H868" s="1" t="s">
        <v>180</v>
      </c>
      <c r="I868" s="1" t="s">
        <v>154</v>
      </c>
      <c r="J868" s="57">
        <v>0</v>
      </c>
      <c r="K868" s="24">
        <v>45352.662812499999</v>
      </c>
      <c r="L868" s="23">
        <v>360</v>
      </c>
      <c r="O868" s="51">
        <v>100</v>
      </c>
      <c r="P868" s="30">
        <v>0</v>
      </c>
      <c r="Q868" s="30">
        <v>50</v>
      </c>
    </row>
    <row r="869" spans="1:18" x14ac:dyDescent="0.25">
      <c r="A869" s="1" t="s">
        <v>786</v>
      </c>
      <c r="B869" s="42" t="s">
        <v>314</v>
      </c>
      <c r="C869" s="20">
        <v>41219949</v>
      </c>
      <c r="D869" s="20" t="s">
        <v>790</v>
      </c>
      <c r="E869" s="21">
        <v>10</v>
      </c>
      <c r="F869" s="1" t="s">
        <v>68</v>
      </c>
      <c r="G869" s="25" t="s">
        <v>772</v>
      </c>
      <c r="H869" s="1" t="s">
        <v>160</v>
      </c>
      <c r="I869" s="1" t="s">
        <v>154</v>
      </c>
      <c r="J869" s="57">
        <v>0</v>
      </c>
      <c r="K869" s="24">
        <v>45352.662824074076</v>
      </c>
      <c r="L869" s="23">
        <v>94</v>
      </c>
      <c r="O869" s="51">
        <v>4</v>
      </c>
      <c r="P869" s="30">
        <v>2</v>
      </c>
      <c r="Q869" s="30">
        <v>2</v>
      </c>
    </row>
    <row r="870" spans="1:18" x14ac:dyDescent="0.25">
      <c r="A870" s="1" t="s">
        <v>786</v>
      </c>
      <c r="B870" s="42" t="s">
        <v>314</v>
      </c>
      <c r="C870" s="20">
        <v>41218896</v>
      </c>
      <c r="D870" s="20" t="s">
        <v>791</v>
      </c>
      <c r="E870" s="21">
        <v>3700</v>
      </c>
      <c r="F870" s="1" t="s">
        <v>68</v>
      </c>
      <c r="G870" s="25" t="s">
        <v>131</v>
      </c>
      <c r="H870" s="1" t="s">
        <v>132</v>
      </c>
      <c r="I870" s="1" t="s">
        <v>115</v>
      </c>
      <c r="J870" s="57">
        <v>0</v>
      </c>
      <c r="K870" s="24">
        <v>45352.662835648145</v>
      </c>
      <c r="L870" s="23">
        <v>27500</v>
      </c>
      <c r="O870" s="51">
        <v>3000</v>
      </c>
      <c r="P870" s="30">
        <v>1</v>
      </c>
      <c r="Q870" s="30">
        <v>700.00000000000023</v>
      </c>
    </row>
    <row r="871" spans="1:18" x14ac:dyDescent="0.25">
      <c r="A871" s="1" t="s">
        <v>786</v>
      </c>
      <c r="B871" s="42" t="s">
        <v>314</v>
      </c>
      <c r="C871" s="20">
        <v>41218896</v>
      </c>
      <c r="D871" s="20" t="s">
        <v>791</v>
      </c>
      <c r="E871" s="21">
        <v>6</v>
      </c>
      <c r="F871" s="1" t="s">
        <v>68</v>
      </c>
      <c r="G871" s="25" t="s">
        <v>771</v>
      </c>
      <c r="H871" s="1" t="s">
        <v>158</v>
      </c>
      <c r="I871" s="1" t="s">
        <v>154</v>
      </c>
      <c r="J871" s="57">
        <v>0</v>
      </c>
      <c r="K871" s="24">
        <v>45352.662847222222</v>
      </c>
      <c r="L871" s="23">
        <v>123</v>
      </c>
      <c r="O871" s="51">
        <v>24</v>
      </c>
      <c r="P871" s="30">
        <v>0</v>
      </c>
      <c r="Q871" s="30">
        <v>6</v>
      </c>
    </row>
    <row r="872" spans="1:18" x14ac:dyDescent="0.25">
      <c r="A872" s="1" t="s">
        <v>786</v>
      </c>
      <c r="B872" s="42" t="s">
        <v>314</v>
      </c>
      <c r="C872" s="20">
        <v>41219694</v>
      </c>
      <c r="D872" s="20" t="s">
        <v>792</v>
      </c>
      <c r="E872" s="21">
        <v>175</v>
      </c>
      <c r="F872" s="1" t="s">
        <v>137</v>
      </c>
      <c r="G872" s="25" t="s">
        <v>143</v>
      </c>
      <c r="H872" s="1" t="s">
        <v>144</v>
      </c>
      <c r="I872" s="1" t="s">
        <v>140</v>
      </c>
      <c r="J872" s="57">
        <v>0</v>
      </c>
      <c r="K872" s="24">
        <v>45352.662858796299</v>
      </c>
      <c r="L872" s="23">
        <v>1710</v>
      </c>
      <c r="O872" s="51">
        <v>10</v>
      </c>
      <c r="P872" s="30">
        <v>17</v>
      </c>
      <c r="Q872" s="30">
        <v>5</v>
      </c>
    </row>
    <row r="873" spans="1:18" x14ac:dyDescent="0.25">
      <c r="A873" s="1" t="s">
        <v>786</v>
      </c>
      <c r="B873" s="42" t="s">
        <v>314</v>
      </c>
      <c r="C873" s="20">
        <v>41219694</v>
      </c>
      <c r="D873" s="20" t="s">
        <v>792</v>
      </c>
      <c r="E873" s="21">
        <v>4</v>
      </c>
      <c r="F873" s="1" t="s">
        <v>137</v>
      </c>
      <c r="G873" s="25" t="s">
        <v>141</v>
      </c>
      <c r="H873" s="1" t="s">
        <v>142</v>
      </c>
      <c r="I873" s="1" t="s">
        <v>140</v>
      </c>
      <c r="J873" s="57">
        <v>0</v>
      </c>
      <c r="K873" s="24">
        <v>45352.662870370368</v>
      </c>
      <c r="L873" s="23">
        <v>4766</v>
      </c>
      <c r="O873" s="51">
        <v>10</v>
      </c>
      <c r="P873" s="30">
        <v>0</v>
      </c>
      <c r="Q873" s="30">
        <v>4</v>
      </c>
    </row>
    <row r="874" spans="1:18" x14ac:dyDescent="0.25">
      <c r="A874" s="1" t="s">
        <v>786</v>
      </c>
      <c r="B874" s="42" t="s">
        <v>314</v>
      </c>
      <c r="C874" s="20">
        <v>41217314</v>
      </c>
      <c r="D874" s="20" t="s">
        <v>793</v>
      </c>
      <c r="E874" s="21">
        <v>144</v>
      </c>
      <c r="F874" s="1" t="s">
        <v>145</v>
      </c>
      <c r="G874" s="25" t="s">
        <v>150</v>
      </c>
      <c r="H874" s="1" t="s">
        <v>147</v>
      </c>
      <c r="I874" s="1" t="s">
        <v>148</v>
      </c>
      <c r="J874" s="57">
        <v>0</v>
      </c>
      <c r="K874" s="24">
        <v>45352.662881944445</v>
      </c>
      <c r="L874" s="23">
        <v>2658</v>
      </c>
      <c r="O874" s="51">
        <v>144</v>
      </c>
      <c r="P874" s="30">
        <v>1</v>
      </c>
      <c r="Q874" s="30">
        <v>0</v>
      </c>
    </row>
    <row r="875" spans="1:18" x14ac:dyDescent="0.25">
      <c r="A875" s="1" t="s">
        <v>786</v>
      </c>
      <c r="B875" s="42" t="s">
        <v>314</v>
      </c>
      <c r="C875" s="20">
        <v>41219951</v>
      </c>
      <c r="D875" s="20" t="s">
        <v>794</v>
      </c>
      <c r="E875" s="21">
        <v>10</v>
      </c>
      <c r="F875" s="1" t="s">
        <v>68</v>
      </c>
      <c r="G875" s="25" t="s">
        <v>168</v>
      </c>
      <c r="H875" s="1" t="s">
        <v>166</v>
      </c>
      <c r="J875" s="57">
        <v>0</v>
      </c>
      <c r="K875" s="24">
        <v>45352.662893518522</v>
      </c>
      <c r="L875" s="23">
        <v>1108</v>
      </c>
      <c r="O875" s="51">
        <v>12</v>
      </c>
      <c r="P875" s="30">
        <v>0</v>
      </c>
      <c r="Q875" s="30">
        <v>10</v>
      </c>
    </row>
    <row r="876" spans="1:18" x14ac:dyDescent="0.25">
      <c r="A876" s="1" t="s">
        <v>786</v>
      </c>
      <c r="B876" s="42" t="s">
        <v>314</v>
      </c>
      <c r="C876" s="20">
        <v>41219951</v>
      </c>
      <c r="D876" s="20" t="s">
        <v>794</v>
      </c>
      <c r="E876" s="21">
        <v>200</v>
      </c>
      <c r="F876" s="1" t="s">
        <v>68</v>
      </c>
      <c r="G876" s="25" t="s">
        <v>163</v>
      </c>
      <c r="H876" s="1" t="s">
        <v>164</v>
      </c>
      <c r="I876" s="1" t="s">
        <v>115</v>
      </c>
      <c r="J876" s="57">
        <v>0</v>
      </c>
      <c r="K876" s="24">
        <v>45352.662905092591</v>
      </c>
      <c r="L876" s="23">
        <v>1800</v>
      </c>
      <c r="O876" s="51">
        <v>100</v>
      </c>
      <c r="P876" s="30">
        <v>2</v>
      </c>
      <c r="Q876" s="30">
        <v>0</v>
      </c>
    </row>
    <row r="877" spans="1:18" x14ac:dyDescent="0.25">
      <c r="A877" s="1" t="s">
        <v>786</v>
      </c>
      <c r="B877" s="42" t="s">
        <v>314</v>
      </c>
      <c r="C877" s="20">
        <v>41217777</v>
      </c>
      <c r="D877" s="20" t="s">
        <v>795</v>
      </c>
      <c r="E877" s="21">
        <v>10000</v>
      </c>
      <c r="F877" s="1" t="s">
        <v>68</v>
      </c>
      <c r="G877" s="25" t="s">
        <v>117</v>
      </c>
      <c r="H877" s="1" t="s">
        <v>118</v>
      </c>
      <c r="I877" s="1" t="s">
        <v>115</v>
      </c>
      <c r="J877" s="57">
        <v>0</v>
      </c>
      <c r="K877" s="24">
        <v>45352.662916666668</v>
      </c>
      <c r="L877" s="23">
        <v>600</v>
      </c>
      <c r="O877" s="51">
        <v>1200</v>
      </c>
      <c r="P877" s="30">
        <v>8</v>
      </c>
      <c r="Q877" s="30">
        <v>400.00000000000068</v>
      </c>
    </row>
    <row r="878" spans="1:18" x14ac:dyDescent="0.25">
      <c r="A878" s="1" t="s">
        <v>786</v>
      </c>
      <c r="B878" s="42" t="s">
        <v>314</v>
      </c>
      <c r="C878" s="20">
        <v>41220015</v>
      </c>
      <c r="D878" s="20" t="s">
        <v>796</v>
      </c>
      <c r="E878" s="21">
        <v>12000</v>
      </c>
      <c r="F878" s="1" t="s">
        <v>68</v>
      </c>
      <c r="G878" s="25" t="s">
        <v>113</v>
      </c>
      <c r="H878" s="1" t="s">
        <v>114</v>
      </c>
      <c r="I878" s="1" t="s">
        <v>115</v>
      </c>
      <c r="J878" s="57">
        <v>0</v>
      </c>
      <c r="K878" s="24">
        <v>45352.662951388891</v>
      </c>
      <c r="L878" s="23">
        <v>29900</v>
      </c>
      <c r="O878" s="51">
        <v>2400</v>
      </c>
      <c r="P878" s="30">
        <v>5</v>
      </c>
      <c r="Q878" s="30">
        <v>0</v>
      </c>
    </row>
    <row r="879" spans="1:18" x14ac:dyDescent="0.25">
      <c r="A879" s="1" t="s">
        <v>786</v>
      </c>
      <c r="B879" s="42" t="s">
        <v>314</v>
      </c>
      <c r="C879" s="20">
        <v>41220015</v>
      </c>
      <c r="D879" s="20" t="s">
        <v>796</v>
      </c>
      <c r="E879" s="21">
        <v>500</v>
      </c>
      <c r="F879" s="1" t="s">
        <v>68</v>
      </c>
      <c r="G879" s="25" t="s">
        <v>125</v>
      </c>
      <c r="H879" s="1" t="s">
        <v>126</v>
      </c>
      <c r="I879" s="1" t="s">
        <v>115</v>
      </c>
      <c r="J879" s="57">
        <v>0</v>
      </c>
      <c r="K879" s="24">
        <v>45352.662962962961</v>
      </c>
      <c r="L879" s="23">
        <v>10800</v>
      </c>
      <c r="O879" s="51">
        <v>1200</v>
      </c>
      <c r="P879" s="30">
        <v>0</v>
      </c>
      <c r="Q879" s="30">
        <v>500</v>
      </c>
    </row>
    <row r="880" spans="1:18" x14ac:dyDescent="0.25">
      <c r="A880" s="1" t="s">
        <v>786</v>
      </c>
      <c r="B880" s="42" t="s">
        <v>314</v>
      </c>
      <c r="C880" s="20">
        <v>41217485</v>
      </c>
      <c r="D880" s="20" t="s">
        <v>797</v>
      </c>
      <c r="E880" s="21">
        <v>130</v>
      </c>
      <c r="F880" s="1" t="s">
        <v>68</v>
      </c>
      <c r="G880" s="25" t="s">
        <v>161</v>
      </c>
      <c r="H880" s="1" t="s">
        <v>162</v>
      </c>
      <c r="I880" s="1" t="s">
        <v>115</v>
      </c>
      <c r="J880" s="57">
        <v>0</v>
      </c>
      <c r="K880" s="24">
        <v>45352.662986111114</v>
      </c>
      <c r="L880" s="23">
        <v>656</v>
      </c>
      <c r="O880" s="51">
        <v>200</v>
      </c>
      <c r="P880" s="30">
        <v>0</v>
      </c>
      <c r="Q880" s="30">
        <v>130</v>
      </c>
    </row>
    <row r="881" spans="2:18" x14ac:dyDescent="0.25">
      <c r="B881" s="42" t="s">
        <v>798</v>
      </c>
      <c r="C881" s="20" t="s">
        <v>67</v>
      </c>
      <c r="D881" s="20" t="s">
        <v>67</v>
      </c>
      <c r="E881" s="21">
        <v>4000</v>
      </c>
      <c r="F881" s="1" t="s">
        <v>68</v>
      </c>
      <c r="G881" s="42" t="s">
        <v>174</v>
      </c>
      <c r="H881" s="1" t="s">
        <v>175</v>
      </c>
      <c r="I881" s="1" t="s">
        <v>176</v>
      </c>
      <c r="J881" s="30">
        <v>1</v>
      </c>
      <c r="K881" s="24">
        <v>45355.693865740737</v>
      </c>
      <c r="L881" s="23">
        <v>-3486</v>
      </c>
      <c r="M881" s="1" t="s">
        <v>799</v>
      </c>
      <c r="O881" s="51">
        <v>12</v>
      </c>
      <c r="P881" s="30">
        <v>333</v>
      </c>
      <c r="Q881" s="30">
        <v>3.9999999999997726</v>
      </c>
      <c r="R881" s="76"/>
    </row>
    <row r="882" spans="2:18" x14ac:dyDescent="0.25">
      <c r="B882" s="42" t="s">
        <v>800</v>
      </c>
      <c r="C882" s="20" t="s">
        <v>67</v>
      </c>
      <c r="D882" s="20" t="s">
        <v>67</v>
      </c>
      <c r="E882" s="21">
        <v>2500</v>
      </c>
      <c r="F882" s="1" t="s">
        <v>137</v>
      </c>
      <c r="G882" s="25" t="s">
        <v>138</v>
      </c>
      <c r="H882" s="1" t="s">
        <v>139</v>
      </c>
      <c r="I882" s="1" t="s">
        <v>140</v>
      </c>
      <c r="J882" s="30">
        <v>1</v>
      </c>
      <c r="K882" s="24">
        <v>45355.681307870371</v>
      </c>
      <c r="L882" s="23">
        <v>2510</v>
      </c>
      <c r="M882" s="1" t="s">
        <v>801</v>
      </c>
      <c r="O882" s="51">
        <v>10</v>
      </c>
      <c r="P882" s="30">
        <v>250</v>
      </c>
      <c r="Q882" s="73">
        <v>0</v>
      </c>
    </row>
    <row r="883" spans="2:18" x14ac:dyDescent="0.25">
      <c r="B883" s="20">
        <v>6</v>
      </c>
      <c r="C883" s="20">
        <v>41219432</v>
      </c>
      <c r="D883" s="20" t="s">
        <v>765</v>
      </c>
      <c r="E883" s="21">
        <v>1600</v>
      </c>
      <c r="F883" s="1" t="s">
        <v>68</v>
      </c>
      <c r="G883" s="25" t="s">
        <v>181</v>
      </c>
      <c r="H883" s="1" t="s">
        <v>182</v>
      </c>
      <c r="I883" s="1" t="s">
        <v>115</v>
      </c>
      <c r="J883" s="57">
        <v>0</v>
      </c>
      <c r="K883" s="24">
        <v>45356.530497685184</v>
      </c>
      <c r="L883" s="23">
        <v>7800</v>
      </c>
      <c r="O883" s="51">
        <v>2400</v>
      </c>
      <c r="P883" s="30">
        <v>0</v>
      </c>
      <c r="Q883" s="73">
        <v>1600</v>
      </c>
    </row>
    <row r="884" spans="2:18" x14ac:dyDescent="0.25">
      <c r="B884" s="20">
        <v>6</v>
      </c>
      <c r="C884" s="20">
        <v>41219432</v>
      </c>
      <c r="D884" s="20" t="s">
        <v>765</v>
      </c>
      <c r="E884" s="21">
        <v>600</v>
      </c>
      <c r="F884" s="1" t="s">
        <v>68</v>
      </c>
      <c r="G884" s="1" t="s">
        <v>117</v>
      </c>
      <c r="H884" s="1" t="s">
        <v>118</v>
      </c>
      <c r="I884" s="1" t="s">
        <v>115</v>
      </c>
      <c r="J884" s="57">
        <v>0</v>
      </c>
      <c r="K884" s="24">
        <v>45356.530740740738</v>
      </c>
      <c r="L884" s="23">
        <v>0</v>
      </c>
      <c r="O884" s="51">
        <v>1200</v>
      </c>
      <c r="P884" s="30">
        <v>0</v>
      </c>
      <c r="Q884" s="30">
        <v>600</v>
      </c>
    </row>
    <row r="885" spans="2:18" x14ac:dyDescent="0.25">
      <c r="B885" s="20">
        <v>6</v>
      </c>
      <c r="C885" s="20">
        <v>41220183</v>
      </c>
      <c r="D885" s="20" t="s">
        <v>766</v>
      </c>
      <c r="E885" s="21">
        <v>2000</v>
      </c>
      <c r="F885" s="1" t="s">
        <v>68</v>
      </c>
      <c r="G885" s="1" t="s">
        <v>113</v>
      </c>
      <c r="H885" s="1" t="s">
        <v>114</v>
      </c>
      <c r="I885" s="1" t="s">
        <v>115</v>
      </c>
      <c r="J885" s="57">
        <v>0</v>
      </c>
      <c r="K885" s="24">
        <v>45356.530844907407</v>
      </c>
      <c r="L885" s="23">
        <v>27900</v>
      </c>
      <c r="O885" s="51">
        <v>2400</v>
      </c>
      <c r="P885" s="30">
        <v>0</v>
      </c>
      <c r="Q885" s="30">
        <v>2000</v>
      </c>
    </row>
    <row r="886" spans="2:18" x14ac:dyDescent="0.25">
      <c r="B886" s="20">
        <v>6</v>
      </c>
      <c r="C886" s="20">
        <v>41220183</v>
      </c>
      <c r="D886" s="20" t="s">
        <v>767</v>
      </c>
      <c r="E886" s="21">
        <v>2000</v>
      </c>
      <c r="G886" s="1" t="s">
        <v>113</v>
      </c>
      <c r="H886" s="1" t="s">
        <v>114</v>
      </c>
      <c r="I886" s="1" t="s">
        <v>115</v>
      </c>
      <c r="J886" s="57">
        <v>0</v>
      </c>
      <c r="K886" s="24">
        <v>45356.722627314812</v>
      </c>
      <c r="L886" s="23">
        <v>25900</v>
      </c>
      <c r="O886" s="51">
        <v>2400</v>
      </c>
      <c r="P886" s="30">
        <v>0</v>
      </c>
      <c r="Q886" s="30">
        <v>2000</v>
      </c>
    </row>
    <row r="887" spans="2:18" x14ac:dyDescent="0.25">
      <c r="B887" s="20">
        <v>6</v>
      </c>
      <c r="C887" s="20">
        <v>41220281</v>
      </c>
      <c r="D887" s="20" t="s">
        <v>768</v>
      </c>
      <c r="E887" s="21">
        <v>5000</v>
      </c>
      <c r="F887" s="1" t="s">
        <v>68</v>
      </c>
      <c r="G887" s="1" t="s">
        <v>156</v>
      </c>
      <c r="H887" s="1" t="s">
        <v>157</v>
      </c>
      <c r="I887" s="1" t="s">
        <v>154</v>
      </c>
      <c r="J887" s="57">
        <v>0</v>
      </c>
      <c r="K887" s="24">
        <v>45356.722673611112</v>
      </c>
      <c r="L887" s="23">
        <v>11120</v>
      </c>
      <c r="O887" s="51">
        <v>440</v>
      </c>
      <c r="P887" s="30">
        <v>11</v>
      </c>
      <c r="Q887" s="30">
        <v>159.99999999999986</v>
      </c>
    </row>
    <row r="888" spans="2:18" x14ac:dyDescent="0.25">
      <c r="B888" s="20">
        <v>6</v>
      </c>
      <c r="C888" s="20">
        <v>41220281</v>
      </c>
      <c r="D888" s="20" t="s">
        <v>768</v>
      </c>
      <c r="E888" s="21">
        <v>10</v>
      </c>
      <c r="F888" s="1" t="s">
        <v>68</v>
      </c>
      <c r="G888" s="1" t="s">
        <v>193</v>
      </c>
      <c r="H888" s="1" t="s">
        <v>194</v>
      </c>
      <c r="J888" s="57">
        <v>0</v>
      </c>
      <c r="K888" s="24">
        <v>45356.722719907404</v>
      </c>
      <c r="L888" s="23">
        <v>-8</v>
      </c>
      <c r="O888" s="51">
        <v>36</v>
      </c>
      <c r="P888" s="30">
        <v>0</v>
      </c>
      <c r="Q888" s="30">
        <v>10</v>
      </c>
    </row>
    <row r="889" spans="2:18" x14ac:dyDescent="0.25">
      <c r="B889" s="20">
        <v>6</v>
      </c>
      <c r="C889" s="20">
        <v>41220289</v>
      </c>
      <c r="D889" s="20" t="s">
        <v>769</v>
      </c>
      <c r="E889" s="21">
        <v>30</v>
      </c>
      <c r="F889" s="1" t="s">
        <v>68</v>
      </c>
      <c r="G889" s="25" t="s">
        <v>772</v>
      </c>
      <c r="H889" s="1" t="s">
        <v>160</v>
      </c>
      <c r="I889" s="1" t="s">
        <v>154</v>
      </c>
      <c r="J889" s="57">
        <v>0</v>
      </c>
      <c r="K889" s="24">
        <v>45356.72278935185</v>
      </c>
      <c r="L889" s="23">
        <v>64</v>
      </c>
      <c r="O889" s="51">
        <v>4</v>
      </c>
      <c r="P889" s="30">
        <v>7</v>
      </c>
      <c r="Q889" s="30">
        <v>2</v>
      </c>
    </row>
  </sheetData>
  <autoFilter ref="A1:K889" xr:uid="{3EFB4FEA-6566-4A08-BBD4-A6959652A9F1}">
    <filterColumn colId="4">
      <customFilters>
        <customFilter operator="notEqual" val=" "/>
      </customFilters>
    </filterColumn>
  </autoFilter>
  <pageMargins left="0.25" right="0.25" top="0.75" bottom="0.75" header="0.3" footer="0.3"/>
  <pageSetup paperSize="9" scale="38" orientation="landscape" horizontalDpi="360" verticalDpi="360" r:id="rId1"/>
  <colBreaks count="1" manualBreakCount="1">
    <brk id="2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</vt:i4>
      </vt:variant>
    </vt:vector>
  </HeadingPairs>
  <TitlesOfParts>
    <vt:vector size="11" baseType="lpstr">
      <vt:lpstr>PRINT</vt:lpstr>
      <vt:lpstr>set</vt:lpstr>
      <vt:lpstr>cap</vt:lpstr>
      <vt:lpstr>COPYPO</vt:lpstr>
      <vt:lpstr>XFILES</vt:lpstr>
      <vt:lpstr>XMAIL</vt:lpstr>
      <vt:lpstr>XLABEL</vt:lpstr>
      <vt:lpstr>clip</vt:lpstr>
      <vt:lpstr>x</vt:lpstr>
      <vt:lpstr>x!Área_de_impresión</vt:lpstr>
      <vt:lpstr>XLABEL!Área_de_impresión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 casas</dc:creator>
  <cp:lastModifiedBy>jaime casas</cp:lastModifiedBy>
  <cp:lastPrinted>2024-02-01T20:55:03Z</cp:lastPrinted>
  <dcterms:created xsi:type="dcterms:W3CDTF">2023-12-15T17:56:22Z</dcterms:created>
  <dcterms:modified xsi:type="dcterms:W3CDTF">2024-04-12T21:50:31Z</dcterms:modified>
</cp:coreProperties>
</file>