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celec\Desktop\"/>
    </mc:Choice>
  </mc:AlternateContent>
  <xr:revisionPtr revIDLastSave="0" documentId="13_ncr:1_{22554ABE-5FB6-4B16-9C01-3A8B771CEB77}" xr6:coauthVersionLast="47" xr6:coauthVersionMax="47" xr10:uidLastSave="{00000000-0000-0000-0000-000000000000}"/>
  <bookViews>
    <workbookView xWindow="-120" yWindow="-120" windowWidth="20730" windowHeight="11040" activeTab="2" xr2:uid="{178E965E-FF98-4B44-84FF-F2AA2F4C89A9}"/>
  </bookViews>
  <sheets>
    <sheet name="PRINT" sheetId="2" r:id="rId1"/>
    <sheet name="MOVEFILES" sheetId="4" r:id="rId2"/>
    <sheet name="MAIL" sheetId="5" r:id="rId3"/>
    <sheet name="LABELPRINT" sheetId="6" r:id="rId4"/>
    <sheet name="set" sheetId="1" r:id="rId5"/>
    <sheet name="CNSMBLS" sheetId="7" r:id="rId6"/>
  </sheets>
  <functionGroups builtInGroupCount="19"/>
  <definedNames>
    <definedName name="_xlnm.Print_Area" localSheetId="3">LABELPRINT!$A$1:$P$3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5" l="1"/>
  <c r="J4" i="5"/>
  <c r="J5" i="5"/>
  <c r="J6" i="5"/>
  <c r="J7" i="5"/>
  <c r="J8" i="5"/>
  <c r="J9" i="5"/>
  <c r="J10" i="5"/>
  <c r="J2" i="5" l="1"/>
  <c r="K8" i="5" l="1"/>
  <c r="K9" i="5"/>
  <c r="K10" i="5"/>
  <c r="K11" i="5"/>
  <c r="J3" i="5" l="1"/>
  <c r="AA10" i="2" l="1"/>
  <c r="X10" i="2"/>
</calcChain>
</file>

<file path=xl/sharedStrings.xml><?xml version="1.0" encoding="utf-8"?>
<sst xmlns="http://schemas.openxmlformats.org/spreadsheetml/2006/main" count="152" uniqueCount="123">
  <si>
    <t>x</t>
  </si>
  <si>
    <t>y</t>
  </si>
  <si>
    <t>ScreenResolutionY</t>
  </si>
  <si>
    <t>ScreenResolutionX</t>
  </si>
  <si>
    <t>MOUSE</t>
  </si>
  <si>
    <t>DELAY</t>
  </si>
  <si>
    <t>TAB</t>
  </si>
  <si>
    <t>TEXT</t>
  </si>
  <si>
    <t>PASTE</t>
  </si>
  <si>
    <t>COPY</t>
  </si>
  <si>
    <t>SELECTTEXT</t>
  </si>
  <si>
    <t>WINSELECT</t>
  </si>
  <si>
    <t>OPENEDGEAPPONSPECIFICLINK</t>
  </si>
  <si>
    <t>TERMINATEAPP</t>
  </si>
  <si>
    <t xml:space="preserve"> mouse &amp; window &amp; delay sequence loop COMMANDS: OPENEDGEAPPONSPECIFICLINK
DELAY
MOUSE
MOUSE
TAB
COPY
PASTE
TEXT
SELECTTEXT
TERMINATEAPP
</t>
  </si>
  <si>
    <t>SETCLIPBOARDWITFILENAME</t>
  </si>
  <si>
    <t>ENTER</t>
  </si>
  <si>
    <t>APPACTIVATE</t>
  </si>
  <si>
    <t>mem append on shhet, row</t>
  </si>
  <si>
    <t>APPENDCLIPBOARDTOMEMSHEET</t>
  </si>
  <si>
    <t>SETCLIPBOARD</t>
  </si>
  <si>
    <t>Caifsa Simona Barba 8520 Fracc: Villahermosa CP: 32510 Cd. Juarez, Chihuahua Mexico_x000D_
ABRASIVOS INDUSTRIALES DE LA FRONTERA SA DE CV_x000D_
AIF850703080_x000D_
601-General de Lay Personas Morales._x000D_
Tel: (655) 617-3305_x000D_
Cilente: SEGURIDAD GLOBAL INDUSTRIAL SA DE CV_x000D_
Domicilio: MANUEL CLOUTHIER 351 A_x000D_
OC: SG 14_x000D_
Cludad: Juárez Codigo Cantidad Unidad Unidad_x000D_
Tipo de Comprobante:_x000D_
Ingreso_x000D_
Factura: FV-38068_x000D_
Fecha: 27/May/2020 08:25:46_x000D_
Lugar de expedición: 32510 Uso del CFDI: G01 Adquisición de_x000D_
mercancias_x000D_
RFC: SGIOS1014T18_x000D_
Codigo:2091D_x000D_
Colonia: MARIA ISABEL_x000D_
Teléfono: 208 76 26_x000D_
CP: 32560_x000D_
Estado: Chihuahua_x000D_
Pals: México_x000D_
Descripción_x000D_
Valor unit Descuento_x000D_
Impuestos_x000D_
Importe_x000D_
SAT_x000D_
F1000 24000.0000_x000D_
PIEZA_x000D_
THET Flow Claw_x000D_
0500 GRIPIT24_x000D_
40A1_x000D_
arno_x000D_
50.48_x000D_
50.00_x000D_
Prod521191500-Abrasivos y medios de_x000D_
IVA_x000D_
Importa: 1843.20_x000D_
$11.520.00_x000D_
Total con letra: TRECE MIL TRESCIENTOS SESENTA Y TRES DOLARES 20/100 USD_x000D_
Tipo Relación:_x000D_
Subtotal:_x000D_
11,520.00_x000D_
Descuentos:_x000D_
1.843. 20 $13,363.20_x000D_
Total:_x000D_
Impuestos Trasladados:_x000D_
Método de Payo: PPD-Pago en_x000D_
parcialidades o alferido_x000D_
Forma de Pago: Moneda: USD Dolar americano_x000D_
99- Por definir_x000D_
Este documento es una representación impresa de un CFDI_x000D_
Scrie del Certificado del emisor:_x000D_
00001000000502859717_x000D_
Folio Fiscal: 550AE9D3-8F58-47CB-A7FF-2F2360118CF3_x000D_
No. de serle del Certificado del SAT:_x000D_
00001000000404486374_x000D_
Fecha y hora de certificación: 2020-05-27T09:25:54_x000D_
NO122_x000D_
Firma de conformidad_x000D_
TODA DEVOLUCION DE MATERIAL TENDRA UN CARGO DEL 20% DE SU IMPORTE MAS IVA Selis algital del CFDI_x000D_
Versión del comprobante 3.3_x000D_
Sello del SAT_x000D_
Cadena original det complemento del certificación digital dci SAT_x000D_
Hoja_x000D_
1_x000D_
DOLARES</t>
  </si>
  <si>
    <t>PRINTFILES</t>
  </si>
  <si>
    <t>I/O</t>
  </si>
  <si>
    <t>FOLDER TXT</t>
  </si>
  <si>
    <t>P6</t>
  </si>
  <si>
    <t>PLANTAS</t>
  </si>
  <si>
    <t>SELLADAS</t>
  </si>
  <si>
    <t>OPENPDF</t>
  </si>
  <si>
    <t>COMMANDS</t>
  </si>
  <si>
    <t>PRINT</t>
  </si>
  <si>
    <t>IMPRIMIR</t>
  </si>
  <si>
    <t>CANTIDAD DE COPIAS</t>
  </si>
  <si>
    <t>RUN</t>
  </si>
  <si>
    <t>CANTIDAD DE COPIAS POR NOMBRE DE ARCHIVO</t>
  </si>
  <si>
    <t>PO</t>
  </si>
  <si>
    <t>IN-STRING</t>
  </si>
  <si>
    <t>selene.dominguez@segisa.com.mx; eduardo.zapata@segisa.com.mx</t>
  </si>
  <si>
    <t>jcasas@sigadgroup.com; ijcasas00@gmail.com</t>
  </si>
  <si>
    <t>address</t>
  </si>
  <si>
    <t>DBLCLK TO EMAIL</t>
  </si>
  <si>
    <t>HOJAS</t>
  </si>
  <si>
    <t>TONER</t>
  </si>
  <si>
    <t>PLUMON NEGRO</t>
  </si>
  <si>
    <t>jcasas@sigadgroup.com; asierra@sigadgroup.com</t>
  </si>
  <si>
    <t>TITLES MAIL</t>
  </si>
  <si>
    <t>TITLES LABEL</t>
  </si>
  <si>
    <t>IFFILENAMEINSTRING</t>
  </si>
  <si>
    <t>FACTURA</t>
  </si>
  <si>
    <t>ENDIF</t>
  </si>
  <si>
    <t>REMISION</t>
  </si>
  <si>
    <t>STEP PROCESS</t>
  </si>
  <si>
    <t xml:space="preserve"> CAPTURE</t>
  </si>
  <si>
    <t>WARNINGS</t>
  </si>
  <si>
    <t>IMPACT</t>
  </si>
  <si>
    <t>GIVE A 'BULTO'</t>
  </si>
  <si>
    <t>OCR CAPTURE</t>
  </si>
  <si>
    <t>PROEG</t>
  </si>
  <si>
    <t>eduardo zapata &lt;eduardo.zapata@segisa.com.mx&gt;</t>
  </si>
  <si>
    <t>Edgar Sierra &lt;esierra@sigadgroup.com&gt;,</t>
  </si>
  <si>
    <t>Angel Sierra &lt;asierra@sigadgroup.com&gt;</t>
  </si>
  <si>
    <t>selene dominguez &lt;selene.dominguez@segisa.com.mx&gt;,</t>
  </si>
  <si>
    <t>Jesus Chacon &lt;jesus.chacon@segisa.com.mx&gt;,</t>
  </si>
  <si>
    <t>Aida Mendoza &lt;aida.mendoza@segisa.com.mx&gt;,</t>
  </si>
  <si>
    <t>Jaime Casas &lt;jcasas@sigadgroup.com&gt;,</t>
  </si>
  <si>
    <t>nancy ayala &lt;nancy.ayala@segisa.com.mx&gt;</t>
  </si>
  <si>
    <t>print list</t>
  </si>
  <si>
    <t>C:\Users\Miscelec\Downloads\SEGISA\ENTREGAS\CARPETA 20240320 TIEMPO 144102 P6 ENTREGA\SELLADAS\</t>
  </si>
  <si>
    <t>PUSH PDF FILES JOBS CUANDO SE GENERA LOS FOLDERS MUEVE LOS ARCHIVOS</t>
  </si>
  <si>
    <t>PUSH SCANNED TO DESTINE</t>
  </si>
  <si>
    <t>renglon de correos apunta al indexado de escaneos</t>
  </si>
  <si>
    <t>aida.mendoza@segisa.com.mx; nancy.ayala@segisa.com.mx; ingresos.almacen@segisa.com.mx</t>
  </si>
  <si>
    <t>SALIO +3 EMA</t>
  </si>
  <si>
    <t>jcasas@sigadgroup.com; asierra@sigadgroup.com; eduardo.zapata@segisa.com.mx; selene.dominguez@segisa.com.mx; esierra@sigadgroup.com</t>
  </si>
  <si>
    <t>BULTO</t>
  </si>
  <si>
    <t>BOX</t>
  </si>
  <si>
    <t>PARTY</t>
  </si>
  <si>
    <t>DISPENSADOR GUANTES DE NITRILO TALLA XL</t>
  </si>
  <si>
    <t xml:space="preserve">DISPENSADOR GUANTES DE NITRILO </t>
  </si>
  <si>
    <t>NITRILO Y LENTE</t>
  </si>
  <si>
    <t>P4</t>
  </si>
  <si>
    <t>stock</t>
  </si>
  <si>
    <t>Anexo imágenes escaneadas de facturas firmadas del llegue… Gracias</t>
  </si>
  <si>
    <t xml:space="preserve"> reata y silvato</t>
  </si>
  <si>
    <t>Anexo imágenes escaneadas de facturas firmadas del entrego… Gracias</t>
  </si>
  <si>
    <t xml:space="preserve">LIJA </t>
  </si>
  <si>
    <t>desmoldante</t>
  </si>
  <si>
    <t>chi</t>
  </si>
  <si>
    <t>aida.mendoza@segisa.com.mx; nancy.ayala@segisa.com.mx; ingresos.almacen@segisa.com.mx;adriana.perez@segisa.com.mx</t>
  </si>
  <si>
    <t xml:space="preserve"> ingresos.almacen@segisa.com.mx;adriana.perez@segisa.com.mx</t>
  </si>
  <si>
    <t>PRINT ICONO</t>
  </si>
  <si>
    <t>PUG T9</t>
  </si>
  <si>
    <t xml:space="preserve">lija36, respaldo6x6 </t>
  </si>
  <si>
    <t>NOTE</t>
  </si>
  <si>
    <t>=MOVEFILES!J11</t>
  </si>
  <si>
    <t>cinta offiland</t>
  </si>
  <si>
    <t>Pieza</t>
  </si>
  <si>
    <t>CHI_L120_L220_L320</t>
  </si>
  <si>
    <t>CARPETA 20241025 TIEMPO 150331 CHI_L120_L220_L320 ENTREGA</t>
  </si>
  <si>
    <t>lente</t>
  </si>
  <si>
    <t>RESPALDO 5-5,8</t>
  </si>
  <si>
    <t>CARPETA 20241104 TIEMPO 140652 RESPALDO 5-5,8 LLEGADA</t>
  </si>
  <si>
    <t>C:\Users\Miscelec\Downloads\SEGISA\LLEGADAS\CARPETA 20241104 TIEMPO 140652 RESPALDO 5-5,8 LLEGADA\</t>
  </si>
  <si>
    <t>C:\Users\Miscelec\Downloads\SEGISA\LLEGADAS\CARPETA 20241104 TIEMPO 140652 RESPALDO 5-5,8 LLEGADA\SELLADAS\</t>
  </si>
  <si>
    <t>CARPETA 20241106 TIEMPO 112807 P4 ENTREGA</t>
  </si>
  <si>
    <t>C:\Users\Miscelec\Downloads\SEGISA\ENTREGAS\CARPETA 20241106 TIEMPO 112807 P4 ENTREGA\</t>
  </si>
  <si>
    <t>C:\Users\Miscelec\Downloads\SEGISA\ENTREGAS\CARPETA 20241106 TIEMPO 112807 P4 ENTREGA\SELLADAS\</t>
  </si>
  <si>
    <t>CARPETA 20241107 TIEMPO 113708 P4 ENTREGA</t>
  </si>
  <si>
    <t>C:\Users\Miscelec\Downloads\SEGISA\ENTREGAS\CARPETA 20241107 TIEMPO 113708 P4 ENTREGA\</t>
  </si>
  <si>
    <t>C:\Users\Miscelec\Downloads\SEGISA\ENTREGAS\CARPETA 20241107 TIEMPO 113708 P4 ENTREGA\SELLADAS\</t>
  </si>
  <si>
    <t>81066</t>
  </si>
  <si>
    <t>CHALECO VERDE NEON RESCATISTA</t>
  </si>
  <si>
    <t>SXKW18</t>
  </si>
  <si>
    <t>MANGAS 18" POLIESTER ALTA TEMPERATURA</t>
  </si>
  <si>
    <t>brocha2,chaleco,manga</t>
  </si>
  <si>
    <t>CARPETA 20241108 TIEMPO 153852 brocha2,chaleco,manga LLEGADA</t>
  </si>
  <si>
    <t>C:\Users\Miscelec\Downloads\SEGISA\LLEGADAS\CARPETA 20241108 TIEMPO 153852 brocha2,chaleco,manga LLEGADA\</t>
  </si>
  <si>
    <t>C:\Users\Miscelec\Downloads\SEGISA\LLEGADAS\CARPETA 20241108 TIEMPO 153852 brocha2,chaleco,manga LLEGADA\SELLADAS\</t>
  </si>
  <si>
    <t>2218</t>
  </si>
  <si>
    <t>2219</t>
  </si>
  <si>
    <t>CARPETA 20241111 TIEMPO 123153 P4 ENTREGA</t>
  </si>
  <si>
    <t>C:\Users\Miscelec\Downloads\SEGISA\ENTREGAS\CARPETA 20241111 TIEMPO 123153 P4 ENTREGA\</t>
  </si>
  <si>
    <t>C:\Users\Miscelec\Downloads\SEGISA\ENTREGAS\CARPETA 20241111 TIEMPO 123153 P4 ENTREGA\SELLADAS\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</si>
</sst>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d/yy\ h:mm\ AM/PM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2"/>
      <name val="Calibri"/>
      <family val="2"/>
      <scheme val="minor"/>
    </font>
    <font>
      <u/>
      <sz val="11"/>
      <color theme="2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0" fillId="2" borderId="1" xfId="0" applyFill="1" applyBorder="1"/>
    <xf numFmtId="1" fontId="0" fillId="2" borderId="1" xfId="0" applyNumberFormat="1" applyFill="1" applyBorder="1"/>
    <xf numFmtId="0" fontId="0" fillId="3" borderId="1" xfId="0" applyFill="1" applyBorder="1"/>
    <xf numFmtId="1" fontId="0" fillId="0" borderId="1" xfId="0" applyNumberFormat="1" applyBorder="1" applyAlignment="1">
      <alignment horizontal="left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1" fillId="4" borderId="2" xfId="1" applyFill="1" applyBorder="1" applyAlignment="1">
      <alignment wrapText="1"/>
    </xf>
    <xf numFmtId="1" fontId="0" fillId="0" borderId="2" xfId="0" applyNumberFormat="1" applyBorder="1" applyAlignment="1">
      <alignment horizontal="left"/>
    </xf>
    <xf numFmtId="0" fontId="0" fillId="0" borderId="2" xfId="0" applyBorder="1"/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8" borderId="1" xfId="0" applyFill="1" applyBorder="1"/>
    <xf numFmtId="0" fontId="3" fillId="0" borderId="0" xfId="0" applyFont="1"/>
    <xf numFmtId="0" fontId="4" fillId="0" borderId="0" xfId="1" applyFont="1" applyFill="1" applyBorder="1"/>
    <xf numFmtId="0" fontId="0" fillId="0" borderId="3" xfId="0" applyBorder="1"/>
    <xf numFmtId="0" fontId="1" fillId="0" borderId="0" xfId="1"/>
    <xf numFmtId="0" fontId="0" fillId="7" borderId="4" xfId="0" applyFill="1" applyBorder="1"/>
    <xf numFmtId="0" fontId="0" fillId="0" borderId="0" xfId="0" quotePrefix="1"/>
    <xf numFmtId="3" fontId="0" fillId="0" borderId="0" xfId="0" applyNumberFormat="1"/>
    <xf numFmtId="164" fontId="0" fillId="0" borderId="0" xfId="0" applyNumberFormat="1"/>
    <xf numFmtId="0" fontId="0" fillId="10" borderId="1" xfId="0" applyFill="1" applyBorder="1"/>
    <xf numFmtId="0" fontId="0" fillId="11" borderId="1" xfId="0" applyFill="1" applyBorder="1"/>
    <xf numFmtId="0" fontId="0" fillId="0" borderId="5" xfId="0" applyBorder="1"/>
    <xf numFmtId="0" fontId="5" fillId="0" borderId="5" xfId="0" applyFont="1" applyBorder="1" applyAlignment="1">
      <alignment horizontal="left" vertical="center"/>
    </xf>
    <xf numFmtId="0" fontId="0" fillId="12" borderId="0" xfId="0" applyFill="1"/>
    <xf numFmtId="0" fontId="5" fillId="0" borderId="7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1" fillId="0" borderId="0" xfId="1" applyFill="1" applyBorder="1"/>
    <xf numFmtId="0" fontId="5" fillId="0" borderId="0" xfId="0" applyFont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0" fillId="0" borderId="4" xfId="0" applyBorder="1"/>
    <xf numFmtId="0" fontId="0" fillId="6" borderId="9" xfId="0" applyFill="1" applyBorder="1"/>
    <xf numFmtId="0" fontId="0" fillId="7" borderId="0" xfId="0" applyFill="1"/>
    <xf numFmtId="0" fontId="0" fillId="5" borderId="0" xfId="0" applyFill="1"/>
    <xf numFmtId="0" fontId="0" fillId="9" borderId="0" xfId="0" applyFill="1"/>
    <xf numFmtId="0" fontId="1" fillId="0" borderId="0" xfId="1" applyBorder="1"/>
    <xf numFmtId="0" fontId="0" fillId="5" borderId="4" xfId="0" applyFill="1" applyBorder="1"/>
    <xf numFmtId="0" fontId="0" fillId="5" borderId="1" xfId="0" quotePrefix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ida.mendoza@segisa.com.mx;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21AD6-7AB8-4B4D-9ABA-CB4DFCA0282D}">
  <sheetPr codeName="Hoja2"/>
  <dimension ref="D1:AA10"/>
  <sheetViews>
    <sheetView workbookViewId="0">
      <selection activeCell="L15" sqref="L15"/>
    </sheetView>
  </sheetViews>
  <sheetFormatPr baseColWidth="10" defaultRowHeight="15" x14ac:dyDescent="0.25"/>
  <cols>
    <col min="1" max="2" width="2.7109375" customWidth="1"/>
    <col min="3" max="3" width="9" customWidth="1"/>
    <col min="4" max="4" width="6.140625" customWidth="1"/>
    <col min="5" max="7" width="2.140625" customWidth="1"/>
    <col min="9" max="13" width="2.140625" customWidth="1"/>
    <col min="14" max="14" width="29.5703125" customWidth="1"/>
    <col min="15" max="15" width="2.5703125" customWidth="1"/>
    <col min="16" max="16" width="2.5703125" style="21" customWidth="1"/>
    <col min="17" max="17" width="2.5703125" customWidth="1"/>
    <col min="18" max="20" width="2.5703125" style="22" customWidth="1"/>
    <col min="21" max="21" width="2.5703125" customWidth="1"/>
    <col min="22" max="22" width="34.7109375" customWidth="1"/>
  </cols>
  <sheetData>
    <row r="1" spans="4:27" x14ac:dyDescent="0.25">
      <c r="H1" s="22" t="s">
        <v>66</v>
      </c>
      <c r="W1" s="22"/>
    </row>
    <row r="2" spans="4:27" ht="15.75" customHeight="1" x14ac:dyDescent="0.25">
      <c r="D2" s="20"/>
    </row>
    <row r="3" spans="4:27" x14ac:dyDescent="0.25">
      <c r="D3" s="20"/>
    </row>
    <row r="10" spans="4:27" x14ac:dyDescent="0.25">
      <c r="X10">
        <f>55-42</f>
        <v>13</v>
      </c>
      <c r="AA10">
        <f>20000/72</f>
        <v>277.77777777777777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54066-C876-49AE-9058-BCF23063DCCB}">
  <sheetPr codeName="Hoja4"/>
  <dimension ref="A1:L13"/>
  <sheetViews>
    <sheetView workbookViewId="0">
      <selection activeCell="J6" sqref="J6"/>
    </sheetView>
  </sheetViews>
  <sheetFormatPr baseColWidth="10" defaultRowHeight="15" x14ac:dyDescent="0.25"/>
  <cols>
    <col min="1" max="1" width="3.7109375" customWidth="1"/>
    <col min="2" max="3" width="8.42578125" customWidth="1"/>
    <col min="4" max="4" width="14.7109375" bestFit="1" customWidth="1"/>
    <col min="5" max="5" width="8.85546875" bestFit="1" customWidth="1"/>
    <col min="6" max="6" width="7.85546875" customWidth="1"/>
    <col min="7" max="7" width="2" customWidth="1"/>
    <col min="8" max="8" width="2.85546875" customWidth="1"/>
    <col min="9" max="9" width="7.7109375" customWidth="1"/>
    <col min="10" max="10" width="106.140625" customWidth="1"/>
    <col min="11" max="11" width="13.140625" customWidth="1"/>
  </cols>
  <sheetData>
    <row r="1" spans="1:12" x14ac:dyDescent="0.25">
      <c r="A1" s="23" t="s">
        <v>23</v>
      </c>
      <c r="B1" s="11" t="s">
        <v>26</v>
      </c>
      <c r="C1" s="11" t="s">
        <v>26</v>
      </c>
      <c r="D1" s="11" t="s">
        <v>26</v>
      </c>
      <c r="E1" s="11"/>
      <c r="F1" s="11"/>
      <c r="G1" s="36" t="s">
        <v>24</v>
      </c>
      <c r="H1" s="36" t="s">
        <v>27</v>
      </c>
      <c r="I1" s="37" t="s">
        <v>68</v>
      </c>
      <c r="J1" s="34" t="s">
        <v>69</v>
      </c>
      <c r="K1" s="19" t="s">
        <v>45</v>
      </c>
      <c r="L1" t="s">
        <v>93</v>
      </c>
    </row>
    <row r="2" spans="1:12" x14ac:dyDescent="0.25">
      <c r="A2" s="1" t="s">
        <v>84</v>
      </c>
      <c r="B2" s="12" t="s">
        <v>87</v>
      </c>
      <c r="C2" s="12" t="s">
        <v>25</v>
      </c>
      <c r="D2" s="12" t="s">
        <v>80</v>
      </c>
      <c r="E2" s="1" t="s">
        <v>97</v>
      </c>
      <c r="F2" s="1"/>
      <c r="G2" s="36" t="s">
        <v>120</v>
      </c>
      <c r="H2" s="36" t="s">
        <v>27</v>
      </c>
      <c r="I2" s="38" t="s">
        <v>102</v>
      </c>
      <c r="J2" s="18" t="s">
        <v>103</v>
      </c>
      <c r="K2" t="s">
        <v>101</v>
      </c>
    </row>
    <row r="3" spans="1:12" x14ac:dyDescent="0.25">
      <c r="A3" s="1" t="s">
        <v>82</v>
      </c>
      <c r="B3" s="1" t="s">
        <v>95</v>
      </c>
      <c r="C3" t="s">
        <v>86</v>
      </c>
      <c r="D3" t="s">
        <v>114</v>
      </c>
      <c r="F3" s="12"/>
      <c r="G3" s="36" t="s">
        <v>115</v>
      </c>
      <c r="H3" s="36" t="s">
        <v>27</v>
      </c>
      <c r="I3" t="s">
        <v>105</v>
      </c>
      <c r="J3" t="s">
        <v>106</v>
      </c>
      <c r="K3" t="s">
        <v>104</v>
      </c>
    </row>
    <row r="4" spans="1:12" x14ac:dyDescent="0.25">
      <c r="H4" s="35"/>
      <c r="I4" s="38" t="s">
        <v>108</v>
      </c>
      <c r="J4" t="s">
        <v>109</v>
      </c>
      <c r="K4" t="s">
        <v>107</v>
      </c>
    </row>
    <row r="5" spans="1:12" x14ac:dyDescent="0.25">
      <c r="B5" t="s">
        <v>91</v>
      </c>
      <c r="I5" t="s">
        <v>116</v>
      </c>
      <c r="J5" t="s">
        <v>117</v>
      </c>
      <c r="K5" t="s">
        <v>115</v>
      </c>
    </row>
    <row r="6" spans="1:12" x14ac:dyDescent="0.25">
      <c r="B6" t="s">
        <v>78</v>
      </c>
      <c r="I6" t="s">
        <v>121</v>
      </c>
      <c r="J6" t="s">
        <v>122</v>
      </c>
      <c r="K6" t="s">
        <v>120</v>
      </c>
    </row>
    <row r="7" spans="1:12" x14ac:dyDescent="0.25">
      <c r="B7" t="s">
        <v>77</v>
      </c>
      <c r="K7" t="s">
        <v>98</v>
      </c>
    </row>
    <row r="8" spans="1:12" x14ac:dyDescent="0.25">
      <c r="B8" s="1" t="s">
        <v>83</v>
      </c>
      <c r="I8" s="18"/>
    </row>
    <row r="9" spans="1:12" x14ac:dyDescent="0.25">
      <c r="B9" s="12" t="s">
        <v>85</v>
      </c>
      <c r="I9" s="18"/>
    </row>
    <row r="10" spans="1:12" x14ac:dyDescent="0.25">
      <c r="B10" s="24" t="s">
        <v>79</v>
      </c>
      <c r="I10" s="18"/>
    </row>
    <row r="11" spans="1:12" x14ac:dyDescent="0.25">
      <c r="B11" t="s">
        <v>99</v>
      </c>
      <c r="I11" s="18"/>
    </row>
    <row r="12" spans="1:12" x14ac:dyDescent="0.25">
      <c r="B12" t="s">
        <v>100</v>
      </c>
      <c r="I12" s="18"/>
    </row>
    <row r="13" spans="1:12" x14ac:dyDescent="0.25">
      <c r="B13" t="s">
        <v>92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784D7-3219-4E36-A471-3B3F77D5706D}">
  <sheetPr codeName="Hoja5"/>
  <dimension ref="A1:K22"/>
  <sheetViews>
    <sheetView tabSelected="1" workbookViewId="0">
      <selection activeCell="L15" sqref="L15"/>
    </sheetView>
  </sheetViews>
  <sheetFormatPr baseColWidth="10" defaultRowHeight="15" x14ac:dyDescent="0.25"/>
  <cols>
    <col min="1" max="8" width="0.5703125" customWidth="1"/>
    <col min="9" max="9" width="30.85546875" customWidth="1"/>
    <col min="10" max="10" width="110.140625" customWidth="1"/>
    <col min="11" max="11" width="12.7109375" customWidth="1"/>
  </cols>
  <sheetData>
    <row r="1" spans="1:11" x14ac:dyDescent="0.25">
      <c r="A1" s="15"/>
      <c r="B1" s="15"/>
      <c r="C1" s="15"/>
      <c r="D1" s="15"/>
      <c r="E1" s="15"/>
      <c r="F1" s="15"/>
      <c r="G1" s="15"/>
      <c r="H1" s="15"/>
      <c r="I1" s="12" t="s">
        <v>39</v>
      </c>
      <c r="J1" s="13" t="s">
        <v>40</v>
      </c>
      <c r="K1" s="39" t="s">
        <v>46</v>
      </c>
    </row>
    <row r="2" spans="1:11" x14ac:dyDescent="0.25">
      <c r="A2" s="15"/>
      <c r="B2" s="15"/>
      <c r="C2" s="16"/>
      <c r="D2" s="15"/>
      <c r="E2" s="15" t="s">
        <v>44</v>
      </c>
      <c r="F2" s="15"/>
      <c r="G2" s="15"/>
      <c r="H2" s="15"/>
      <c r="I2" s="10" t="s">
        <v>73</v>
      </c>
      <c r="J2" s="13" t="str">
        <f>MOVEFILES!J2</f>
        <v>C:\Users\Miscelec\Downloads\SEGISA\LLEGADAS\CARPETA 20241104 TIEMPO 140652 RESPALDO 5-5,8 LLEGADA\SELLADAS\</v>
      </c>
      <c r="K2" s="36" t="s">
        <v>101</v>
      </c>
    </row>
    <row r="3" spans="1:11" x14ac:dyDescent="0.25">
      <c r="A3" s="15"/>
      <c r="B3" s="15"/>
      <c r="C3" s="15"/>
      <c r="D3" s="15"/>
      <c r="E3" s="15" t="s">
        <v>67</v>
      </c>
      <c r="F3" s="15"/>
      <c r="G3" s="15"/>
      <c r="H3" s="15"/>
      <c r="I3" t="s">
        <v>88</v>
      </c>
      <c r="J3" s="13" t="str">
        <f>MOVEFILES!J3</f>
        <v>C:\Users\Miscelec\Downloads\SEGISA\ENTREGAS\CARPETA 20241106 TIEMPO 112807 P4 ENTREGA\SELLADAS\</v>
      </c>
      <c r="K3" s="36" t="s">
        <v>104</v>
      </c>
    </row>
    <row r="4" spans="1:11" x14ac:dyDescent="0.25">
      <c r="A4" s="15"/>
      <c r="B4" s="15"/>
      <c r="C4" s="15"/>
      <c r="D4" s="15"/>
      <c r="E4" s="15" t="s">
        <v>67</v>
      </c>
      <c r="F4" s="15"/>
      <c r="G4" s="15"/>
      <c r="H4" s="15"/>
      <c r="I4" t="s">
        <v>72</v>
      </c>
      <c r="J4" s="13" t="str">
        <f>MOVEFILES!J4</f>
        <v>C:\Users\Miscelec\Downloads\SEGISA\ENTREGAS\CARPETA 20241107 TIEMPO 113708 P4 ENTREGA\SELLADAS\</v>
      </c>
      <c r="K4" s="36" t="s">
        <v>107</v>
      </c>
    </row>
    <row r="5" spans="1:11" x14ac:dyDescent="0.25">
      <c r="A5" s="15"/>
      <c r="B5" s="15"/>
      <c r="C5" s="15"/>
      <c r="D5" s="15"/>
      <c r="E5" s="15"/>
      <c r="F5" s="15"/>
      <c r="G5" s="15"/>
      <c r="H5" s="15"/>
      <c r="I5" s="17" t="s">
        <v>37</v>
      </c>
      <c r="J5" s="13" t="str">
        <f>MOVEFILES!J5</f>
        <v>C:\Users\Miscelec\Downloads\SEGISA\LLEGADAS\CARPETA 20241108 TIEMPO 153852 brocha2,chaleco,manga LLEGADA\SELLADAS\</v>
      </c>
      <c r="K5" s="36" t="s">
        <v>115</v>
      </c>
    </row>
    <row r="6" spans="1:11" x14ac:dyDescent="0.25">
      <c r="A6" s="15"/>
      <c r="B6" s="15"/>
      <c r="C6" s="15"/>
      <c r="D6" s="15"/>
      <c r="E6" s="15"/>
      <c r="F6" s="15"/>
      <c r="G6" s="15"/>
      <c r="H6" s="15"/>
      <c r="I6" s="27" t="s">
        <v>70</v>
      </c>
      <c r="J6" s="13" t="str">
        <f>MOVEFILES!J6</f>
        <v>C:\Users\Miscelec\Downloads\SEGISA\ENTREGAS\CARPETA 20241111 TIEMPO 123153 P4 ENTREGA\SELLADAS\</v>
      </c>
      <c r="K6" s="36" t="s">
        <v>120</v>
      </c>
    </row>
    <row r="7" spans="1:11" x14ac:dyDescent="0.25">
      <c r="A7" s="15"/>
      <c r="B7" s="15"/>
      <c r="C7" s="15"/>
      <c r="D7" s="15"/>
      <c r="E7" s="15"/>
      <c r="F7" s="15"/>
      <c r="G7" s="15"/>
      <c r="H7" s="15"/>
      <c r="I7" s="30" t="s">
        <v>71</v>
      </c>
      <c r="J7" s="13">
        <f>MOVEFILES!J7</f>
        <v>0</v>
      </c>
      <c r="K7" s="36" t="str">
        <f>MOVEFILES!K7</f>
        <v>CARPETA 20241025 TIEMPO 150331 CHI_L120_L220_L320 ENTREGA</v>
      </c>
    </row>
    <row r="8" spans="1:11" x14ac:dyDescent="0.25">
      <c r="A8" s="15"/>
      <c r="B8" s="15"/>
      <c r="C8" s="15"/>
      <c r="D8" s="15"/>
      <c r="E8" s="15"/>
      <c r="F8" s="15"/>
      <c r="G8" s="15"/>
      <c r="H8" s="15"/>
      <c r="J8" s="13">
        <f>MOVEFILES!J8</f>
        <v>0</v>
      </c>
      <c r="K8" s="36">
        <f>MOVEFILES!K8</f>
        <v>0</v>
      </c>
    </row>
    <row r="9" spans="1:11" x14ac:dyDescent="0.25">
      <c r="A9" s="15"/>
      <c r="B9" s="15"/>
      <c r="C9" s="15"/>
      <c r="D9" s="15"/>
      <c r="E9" s="15"/>
      <c r="F9" s="15"/>
      <c r="G9" s="15"/>
      <c r="H9" s="15"/>
      <c r="J9" s="13">
        <f>MOVEFILES!J9</f>
        <v>0</v>
      </c>
      <c r="K9" s="36">
        <f>MOVEFILES!K9</f>
        <v>0</v>
      </c>
    </row>
    <row r="10" spans="1:11" x14ac:dyDescent="0.25">
      <c r="A10" s="15"/>
      <c r="B10" s="15"/>
      <c r="C10" s="15"/>
      <c r="D10" s="15"/>
      <c r="E10" s="15"/>
      <c r="F10" s="15"/>
      <c r="G10" s="15"/>
      <c r="H10" s="15"/>
      <c r="I10" s="12" t="s">
        <v>38</v>
      </c>
      <c r="J10" s="13">
        <f>MOVEFILES!J10</f>
        <v>0</v>
      </c>
      <c r="K10" s="36">
        <f>MOVEFILES!K10</f>
        <v>0</v>
      </c>
    </row>
    <row r="11" spans="1:11" x14ac:dyDescent="0.25">
      <c r="A11" s="15"/>
      <c r="B11" s="15"/>
      <c r="C11" s="15"/>
      <c r="D11" s="15"/>
      <c r="E11" s="15"/>
      <c r="F11" s="15"/>
      <c r="G11" s="15"/>
      <c r="H11" s="15"/>
      <c r="J11" s="40" t="s">
        <v>94</v>
      </c>
      <c r="K11" s="36">
        <f>MOVEFILES!K11</f>
        <v>0</v>
      </c>
    </row>
    <row r="12" spans="1:11" ht="15" customHeight="1" x14ac:dyDescent="0.25">
      <c r="A12" s="15"/>
      <c r="B12" s="15"/>
      <c r="C12" s="15"/>
      <c r="D12" s="15"/>
      <c r="E12" s="15"/>
      <c r="F12" s="15"/>
      <c r="G12" s="15"/>
      <c r="H12" s="15"/>
      <c r="I12" t="s">
        <v>58</v>
      </c>
      <c r="J12" s="13"/>
      <c r="K12" s="13"/>
    </row>
    <row r="13" spans="1:11" x14ac:dyDescent="0.25">
      <c r="A13" s="15"/>
      <c r="B13" s="15"/>
      <c r="C13" s="15"/>
      <c r="D13" s="15"/>
      <c r="E13" s="15"/>
      <c r="F13" s="15"/>
      <c r="G13" s="15"/>
      <c r="H13" s="15"/>
      <c r="I13" s="1" t="s">
        <v>59</v>
      </c>
      <c r="J13" s="13"/>
      <c r="K13" s="36"/>
    </row>
    <row r="14" spans="1:11" x14ac:dyDescent="0.25">
      <c r="A14" s="15"/>
      <c r="B14" s="15"/>
      <c r="C14" s="15"/>
      <c r="D14" s="15"/>
      <c r="E14" s="15"/>
      <c r="F14" s="15"/>
      <c r="G14" s="15"/>
      <c r="H14" s="15"/>
      <c r="I14" s="1" t="s">
        <v>60</v>
      </c>
      <c r="J14" s="13"/>
      <c r="K14" s="36"/>
    </row>
    <row r="15" spans="1:11" x14ac:dyDescent="0.25">
      <c r="A15" s="15"/>
      <c r="B15" s="15"/>
      <c r="C15" s="15"/>
      <c r="D15" s="15"/>
      <c r="E15" s="15"/>
      <c r="F15" s="15"/>
      <c r="G15" s="15"/>
      <c r="H15" s="15"/>
      <c r="I15" s="1" t="s">
        <v>61</v>
      </c>
      <c r="J15" s="13"/>
      <c r="K15" s="36"/>
    </row>
    <row r="16" spans="1:11" x14ac:dyDescent="0.25">
      <c r="A16" s="15"/>
      <c r="B16" s="15"/>
      <c r="C16" s="15"/>
      <c r="D16" s="15"/>
      <c r="E16" s="15"/>
      <c r="F16" s="15"/>
      <c r="G16" s="15"/>
      <c r="H16" s="15"/>
      <c r="I16" s="1" t="s">
        <v>62</v>
      </c>
      <c r="J16" s="13"/>
      <c r="K16" s="36"/>
    </row>
    <row r="17" spans="1:10" x14ac:dyDescent="0.25">
      <c r="A17" s="15"/>
      <c r="B17" s="15"/>
      <c r="C17" s="15"/>
      <c r="D17" s="15"/>
      <c r="E17" s="15"/>
      <c r="F17" s="15"/>
      <c r="G17" s="15"/>
      <c r="H17" s="15"/>
      <c r="I17" s="1" t="s">
        <v>63</v>
      </c>
      <c r="J17" s="12"/>
    </row>
    <row r="18" spans="1:10" x14ac:dyDescent="0.25">
      <c r="A18" s="15"/>
      <c r="B18" s="15"/>
      <c r="C18" s="15"/>
      <c r="D18" s="15"/>
      <c r="E18" s="15"/>
      <c r="F18" s="15"/>
      <c r="G18" s="15"/>
      <c r="H18" s="15"/>
      <c r="I18" s="1" t="s">
        <v>64</v>
      </c>
      <c r="J18" s="12"/>
    </row>
    <row r="19" spans="1:10" x14ac:dyDescent="0.25">
      <c r="A19" s="15"/>
      <c r="B19" s="15"/>
      <c r="C19" s="15"/>
      <c r="D19" s="15"/>
      <c r="E19" s="15"/>
      <c r="F19" s="15"/>
      <c r="G19" s="15"/>
      <c r="H19" s="15"/>
      <c r="I19" s="1" t="s">
        <v>65</v>
      </c>
      <c r="J19" s="12"/>
    </row>
    <row r="20" spans="1:10" x14ac:dyDescent="0.25">
      <c r="A20" s="15"/>
      <c r="B20" s="15"/>
      <c r="C20" s="15"/>
      <c r="D20" s="15"/>
      <c r="E20" s="15"/>
      <c r="F20" s="15"/>
      <c r="G20" s="15"/>
      <c r="H20" s="15"/>
      <c r="I20" s="33" t="s">
        <v>89</v>
      </c>
    </row>
    <row r="21" spans="1:10" x14ac:dyDescent="0.25">
      <c r="A21" s="15"/>
      <c r="B21" s="15"/>
      <c r="C21" s="15"/>
      <c r="D21" s="15"/>
      <c r="E21" s="15"/>
      <c r="F21" s="15"/>
      <c r="G21" s="15"/>
      <c r="H21" s="15"/>
    </row>
    <row r="22" spans="1:10" x14ac:dyDescent="0.25">
      <c r="A22" s="15"/>
      <c r="B22" s="15"/>
      <c r="C22" s="15"/>
      <c r="D22" s="15"/>
      <c r="E22" s="15"/>
      <c r="F22" s="15"/>
      <c r="G22" s="15"/>
      <c r="H22" s="15"/>
    </row>
  </sheetData>
  <sortState xmlns:xlrd2="http://schemas.microsoft.com/office/spreadsheetml/2017/richdata2" ref="A1:A19">
    <sortCondition ref="A1:A19"/>
  </sortState>
  <hyperlinks>
    <hyperlink ref="I7" r:id="rId1" display="aida.mendoza@segisa.com.mx;" xr:uid="{9D3059E6-40F9-4701-B8E7-A01E511DBCE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AA6A8-FD29-443E-A78A-7097A943A5C1}">
  <sheetPr codeName="Hoja3"/>
  <dimension ref="A1:P57"/>
  <sheetViews>
    <sheetView view="pageBreakPreview" zoomScale="60" zoomScaleNormal="100" workbookViewId="0">
      <selection activeCell="F27" sqref="F27"/>
    </sheetView>
  </sheetViews>
  <sheetFormatPr baseColWidth="10" defaultRowHeight="15" x14ac:dyDescent="0.25"/>
  <cols>
    <col min="1" max="1" width="13.42578125" customWidth="1"/>
    <col min="2" max="2" width="21.5703125" customWidth="1"/>
    <col min="3" max="3" width="10.5703125" bestFit="1" customWidth="1"/>
    <col min="4" max="4" width="12" customWidth="1"/>
    <col min="5" max="5" width="0.42578125" hidden="1" customWidth="1"/>
    <col min="6" max="6" width="31.140625" customWidth="1"/>
    <col min="7" max="7" width="64.140625" customWidth="1"/>
    <col min="8" max="8" width="1.42578125" hidden="1" customWidth="1"/>
    <col min="9" max="10" width="3.28515625" hidden="1" customWidth="1"/>
    <col min="11" max="11" width="13" customWidth="1"/>
    <col min="12" max="12" width="15.7109375" hidden="1" customWidth="1"/>
    <col min="13" max="13" width="0.28515625" customWidth="1"/>
    <col min="14" max="14" width="11.28515625" customWidth="1"/>
    <col min="15" max="15" width="7.42578125" customWidth="1"/>
    <col min="16" max="16" width="10.7109375" customWidth="1"/>
    <col min="17" max="17" width="15.7109375" customWidth="1"/>
  </cols>
  <sheetData>
    <row r="1" spans="1:16" ht="15.75" customHeight="1" x14ac:dyDescent="0.25">
      <c r="A1" s="26" t="s">
        <v>120</v>
      </c>
      <c r="B1" s="26"/>
      <c r="C1" s="26"/>
      <c r="D1" s="26"/>
      <c r="E1" s="26"/>
      <c r="F1" s="26"/>
      <c r="G1" s="26"/>
      <c r="H1" s="31"/>
      <c r="I1" s="31"/>
      <c r="J1" s="31"/>
      <c r="K1" s="26" t="s">
        <v>81</v>
      </c>
      <c r="L1" s="26"/>
      <c r="M1" s="26"/>
      <c r="N1" s="26" t="s">
        <v>74</v>
      </c>
      <c r="O1" s="26" t="s">
        <v>75</v>
      </c>
      <c r="P1" s="26" t="s">
        <v>76</v>
      </c>
    </row>
    <row r="2" spans="1:16" ht="15.75" customHeight="1" x14ac:dyDescent="0.25">
      <c r="A2" s="26">
        <v>11505</v>
      </c>
      <c r="B2" s="26">
        <v>41221321</v>
      </c>
      <c r="C2" s="26" t="s">
        <v>118</v>
      </c>
      <c r="D2" s="26">
        <v>25</v>
      </c>
      <c r="E2" s="26" t="s">
        <v>96</v>
      </c>
      <c r="F2" s="26" t="s">
        <v>110</v>
      </c>
      <c r="G2" s="26" t="s">
        <v>111</v>
      </c>
      <c r="H2" s="31"/>
      <c r="I2" s="31">
        <v>0</v>
      </c>
      <c r="J2" s="31">
        <v>45607.521793981483</v>
      </c>
      <c r="K2" s="26">
        <v>75</v>
      </c>
      <c r="L2" s="26"/>
      <c r="M2" s="26"/>
      <c r="N2" s="26">
        <v>40</v>
      </c>
      <c r="O2" s="26">
        <v>0</v>
      </c>
      <c r="P2" s="26">
        <v>25</v>
      </c>
    </row>
    <row r="3" spans="1:16" ht="15.75" customHeight="1" x14ac:dyDescent="0.25">
      <c r="A3" s="26">
        <v>11505</v>
      </c>
      <c r="B3" s="26">
        <v>41221876</v>
      </c>
      <c r="C3" s="26" t="s">
        <v>119</v>
      </c>
      <c r="D3" s="26">
        <v>72</v>
      </c>
      <c r="E3" s="26" t="s">
        <v>96</v>
      </c>
      <c r="F3" s="26" t="s">
        <v>112</v>
      </c>
      <c r="G3" s="26" t="s">
        <v>113</v>
      </c>
      <c r="H3" s="31"/>
      <c r="I3" s="31">
        <v>0</v>
      </c>
      <c r="J3" s="31">
        <v>45607.521817129629</v>
      </c>
      <c r="K3" s="26">
        <v>120</v>
      </c>
      <c r="L3" s="26"/>
      <c r="M3" s="26"/>
      <c r="N3" s="26">
        <v>96</v>
      </c>
      <c r="O3" s="26">
        <v>0</v>
      </c>
      <c r="P3" s="26">
        <v>72</v>
      </c>
    </row>
    <row r="4" spans="1:16" ht="15.75" customHeight="1" x14ac:dyDescent="0.25">
      <c r="A4" s="26"/>
      <c r="B4" s="26"/>
      <c r="C4" s="26"/>
      <c r="D4" s="26"/>
      <c r="E4" s="26"/>
      <c r="F4" s="26"/>
      <c r="G4" s="26"/>
      <c r="H4" s="31"/>
      <c r="I4" s="31"/>
      <c r="J4" s="31"/>
      <c r="K4" s="26"/>
      <c r="L4" s="26"/>
      <c r="M4" s="26"/>
      <c r="N4" s="26"/>
      <c r="O4" s="26"/>
      <c r="P4" s="26"/>
    </row>
    <row r="5" spans="1:16" ht="15.75" customHeight="1" x14ac:dyDescent="0.25">
      <c r="A5" s="26"/>
      <c r="B5" s="26"/>
      <c r="C5" s="26"/>
      <c r="D5" s="26"/>
      <c r="E5" s="26"/>
      <c r="F5" s="26"/>
      <c r="G5" s="26"/>
      <c r="H5" s="31"/>
      <c r="I5" s="31"/>
      <c r="J5" s="31"/>
      <c r="K5" s="26"/>
      <c r="L5" s="26"/>
      <c r="M5" s="26"/>
      <c r="N5" s="26"/>
      <c r="O5" s="26"/>
      <c r="P5" s="26"/>
    </row>
    <row r="6" spans="1:16" ht="15.75" customHeight="1" x14ac:dyDescent="0.25">
      <c r="A6" s="26"/>
      <c r="B6" s="26"/>
      <c r="C6" s="26"/>
      <c r="D6" s="26"/>
      <c r="E6" s="26"/>
      <c r="F6" s="26"/>
      <c r="G6" s="26"/>
      <c r="H6" s="31"/>
      <c r="I6" s="31"/>
      <c r="J6" s="31"/>
      <c r="K6" s="26"/>
      <c r="L6" s="26"/>
      <c r="M6" s="26"/>
      <c r="N6" s="26"/>
      <c r="O6" s="26"/>
      <c r="P6" s="26"/>
    </row>
    <row r="7" spans="1:16" ht="15.75" customHeight="1" x14ac:dyDescent="0.25">
      <c r="A7" s="26"/>
      <c r="B7" s="26"/>
      <c r="C7" s="26"/>
      <c r="D7" s="26"/>
      <c r="E7" s="26"/>
      <c r="F7" s="26"/>
      <c r="G7" s="26"/>
      <c r="H7" s="31"/>
      <c r="I7" s="31"/>
      <c r="J7" s="31"/>
      <c r="K7" s="26"/>
      <c r="L7" s="26"/>
      <c r="M7" s="26"/>
      <c r="N7" s="26"/>
      <c r="O7" s="26"/>
      <c r="P7" s="26"/>
    </row>
    <row r="8" spans="1:16" ht="15.75" customHeight="1" x14ac:dyDescent="0.25">
      <c r="A8" s="26"/>
      <c r="B8" s="26"/>
      <c r="C8" s="26"/>
      <c r="D8" s="26"/>
      <c r="E8" s="26"/>
      <c r="F8" s="26"/>
      <c r="G8" s="26"/>
      <c r="H8" s="31"/>
      <c r="I8" s="31"/>
      <c r="J8" s="31"/>
      <c r="K8" s="26"/>
      <c r="L8" s="26"/>
      <c r="M8" s="26"/>
      <c r="N8" s="26"/>
      <c r="O8" s="26"/>
      <c r="P8" s="26"/>
    </row>
    <row r="9" spans="1:16" ht="15.75" customHeight="1" x14ac:dyDescent="0.25">
      <c r="A9" s="26"/>
      <c r="B9" s="26"/>
      <c r="C9" s="26"/>
      <c r="D9" s="26"/>
      <c r="E9" s="26"/>
      <c r="F9" s="26"/>
      <c r="G9" s="26"/>
      <c r="H9" s="31"/>
      <c r="I9" s="31"/>
      <c r="J9" s="31"/>
      <c r="K9" s="26"/>
      <c r="L9" s="26"/>
      <c r="M9" s="26"/>
      <c r="N9" s="26"/>
      <c r="O9" s="26"/>
      <c r="P9" s="26"/>
    </row>
    <row r="10" spans="1:16" ht="15.75" customHeight="1" x14ac:dyDescent="0.25">
      <c r="A10" s="26"/>
      <c r="B10" s="26"/>
      <c r="C10" s="26"/>
      <c r="D10" s="26"/>
      <c r="E10" s="26"/>
      <c r="F10" s="26"/>
      <c r="G10" s="26"/>
      <c r="H10" s="31"/>
      <c r="I10" s="31"/>
      <c r="J10" s="31"/>
      <c r="K10" s="26"/>
      <c r="L10" s="26"/>
      <c r="M10" s="26"/>
      <c r="N10" s="26"/>
      <c r="O10" s="26"/>
      <c r="P10" s="26"/>
    </row>
    <row r="11" spans="1:16" ht="15.75" customHeight="1" x14ac:dyDescent="0.25">
      <c r="A11" s="26"/>
      <c r="B11" s="26"/>
      <c r="C11" s="26"/>
      <c r="D11" s="26"/>
      <c r="E11" s="26"/>
      <c r="F11" s="26"/>
      <c r="G11" s="26"/>
      <c r="H11" s="31"/>
      <c r="I11" s="31"/>
      <c r="J11" s="31"/>
      <c r="K11" s="26"/>
      <c r="L11" s="26"/>
      <c r="M11" s="26"/>
      <c r="N11" s="26"/>
      <c r="O11" s="26"/>
      <c r="P11" s="26"/>
    </row>
    <row r="12" spans="1:16" ht="15.75" customHeight="1" x14ac:dyDescent="0.25">
      <c r="A12" s="26"/>
      <c r="B12" s="26"/>
      <c r="C12" s="26"/>
      <c r="D12" s="26"/>
      <c r="E12" s="26"/>
      <c r="F12" s="26"/>
      <c r="G12" s="26"/>
      <c r="H12" s="31"/>
      <c r="I12" s="31"/>
      <c r="J12" s="31"/>
      <c r="K12" s="26"/>
      <c r="L12" s="26"/>
      <c r="M12" s="26"/>
      <c r="N12" s="26"/>
      <c r="O12" s="26"/>
      <c r="P12" s="26"/>
    </row>
    <row r="13" spans="1:16" ht="15.75" customHeight="1" x14ac:dyDescent="0.25">
      <c r="A13" s="26"/>
      <c r="B13" s="26"/>
      <c r="C13" s="26"/>
      <c r="D13" s="26"/>
      <c r="E13" s="26"/>
      <c r="F13" s="26"/>
      <c r="G13" s="26"/>
      <c r="H13" s="31"/>
      <c r="I13" s="31"/>
      <c r="J13" s="31"/>
      <c r="K13" s="26"/>
      <c r="L13" s="26"/>
      <c r="M13" s="26"/>
      <c r="N13" s="26"/>
      <c r="O13" s="26"/>
      <c r="P13" s="26"/>
    </row>
    <row r="14" spans="1:16" ht="15.75" customHeight="1" x14ac:dyDescent="0.25">
      <c r="A14" s="26"/>
      <c r="B14" s="26"/>
      <c r="C14" s="26"/>
      <c r="D14" s="26"/>
      <c r="E14" s="26"/>
      <c r="F14" s="26"/>
      <c r="G14" s="26"/>
      <c r="H14" s="31"/>
      <c r="I14" s="31"/>
      <c r="J14" s="31"/>
      <c r="K14" s="26"/>
      <c r="L14" s="26"/>
      <c r="M14" s="26"/>
      <c r="N14" s="26"/>
      <c r="O14" s="26"/>
      <c r="P14" s="26"/>
    </row>
    <row r="15" spans="1:16" ht="15.75" customHeight="1" x14ac:dyDescent="0.25">
      <c r="A15" s="26"/>
      <c r="B15" s="26"/>
      <c r="C15" s="26"/>
      <c r="D15" s="26"/>
      <c r="E15" s="26"/>
      <c r="F15" s="26"/>
      <c r="G15" s="26"/>
      <c r="H15" s="31"/>
      <c r="I15" s="31"/>
      <c r="J15" s="31"/>
      <c r="K15" s="26"/>
      <c r="L15" s="26"/>
      <c r="M15" s="26"/>
      <c r="N15" s="26"/>
      <c r="O15" s="26"/>
      <c r="P15" s="26"/>
    </row>
    <row r="16" spans="1:16" ht="15.75" customHeight="1" x14ac:dyDescent="0.25">
      <c r="A16" s="26"/>
      <c r="B16" s="26"/>
      <c r="C16" s="26"/>
      <c r="D16" s="26"/>
      <c r="E16" s="26"/>
      <c r="F16" s="26"/>
      <c r="G16" s="26"/>
      <c r="H16" s="31"/>
      <c r="I16" s="31"/>
      <c r="J16" s="31"/>
      <c r="K16" s="26"/>
      <c r="L16" s="26"/>
      <c r="M16" s="26"/>
      <c r="N16" s="26"/>
      <c r="O16" s="26"/>
      <c r="P16" s="26"/>
    </row>
    <row r="17" spans="1:16" ht="15.75" customHeight="1" x14ac:dyDescent="0.25">
      <c r="A17" s="26"/>
      <c r="B17" s="26"/>
      <c r="C17" s="26"/>
      <c r="D17" s="26"/>
      <c r="E17" s="26"/>
      <c r="F17" s="26"/>
      <c r="G17" s="26"/>
      <c r="H17" s="31"/>
      <c r="I17" s="31"/>
      <c r="J17" s="31"/>
      <c r="K17" s="26"/>
      <c r="L17" s="26"/>
      <c r="M17" s="26"/>
      <c r="N17" s="26"/>
      <c r="O17" s="26"/>
      <c r="P17" s="26"/>
    </row>
    <row r="18" spans="1:16" ht="15.75" customHeight="1" x14ac:dyDescent="0.25">
      <c r="A18" s="26"/>
      <c r="B18" s="26"/>
      <c r="C18" s="26"/>
      <c r="D18" s="26"/>
      <c r="E18" s="26"/>
      <c r="F18" s="26"/>
      <c r="G18" s="26"/>
      <c r="H18" s="31"/>
      <c r="I18" s="31"/>
      <c r="J18" s="31"/>
      <c r="K18" s="26"/>
      <c r="L18" s="26"/>
      <c r="M18" s="26"/>
      <c r="N18" s="26"/>
      <c r="O18" s="26"/>
      <c r="P18" s="26"/>
    </row>
    <row r="19" spans="1:16" ht="15.75" customHeight="1" x14ac:dyDescent="0.25">
      <c r="A19" s="26"/>
      <c r="B19" s="26"/>
      <c r="C19" s="26"/>
      <c r="D19" s="26"/>
      <c r="E19" s="26"/>
      <c r="F19" s="26"/>
      <c r="G19" s="26"/>
      <c r="H19" s="31"/>
      <c r="I19" s="31"/>
      <c r="J19" s="31"/>
      <c r="K19" s="26"/>
      <c r="L19" s="26"/>
      <c r="M19" s="26"/>
      <c r="N19" s="26"/>
      <c r="O19" s="26"/>
      <c r="P19" s="26"/>
    </row>
    <row r="20" spans="1:16" ht="15.75" customHeight="1" x14ac:dyDescent="0.25">
      <c r="A20" s="26"/>
      <c r="B20" s="26"/>
      <c r="C20" s="26"/>
      <c r="D20" s="26"/>
      <c r="E20" s="26"/>
      <c r="F20" s="26"/>
      <c r="G20" s="26"/>
      <c r="H20" s="31"/>
      <c r="I20" s="31"/>
      <c r="J20" s="31"/>
      <c r="K20" s="26"/>
      <c r="L20" s="26"/>
      <c r="M20" s="26"/>
      <c r="N20" s="26"/>
      <c r="O20" s="26"/>
      <c r="P20" s="26"/>
    </row>
    <row r="21" spans="1:16" ht="15.75" customHeight="1" x14ac:dyDescent="0.25">
      <c r="A21" s="26"/>
      <c r="B21" s="26"/>
      <c r="C21" s="26"/>
      <c r="D21" s="26"/>
      <c r="E21" s="26"/>
      <c r="F21" s="26"/>
      <c r="G21" s="26"/>
      <c r="H21" s="31"/>
      <c r="I21" s="31"/>
      <c r="J21" s="31"/>
      <c r="K21" s="26"/>
      <c r="L21" s="26"/>
      <c r="M21" s="26"/>
      <c r="N21" s="26"/>
      <c r="O21" s="26"/>
      <c r="P21" s="26"/>
    </row>
    <row r="22" spans="1:16" ht="16.5" customHeight="1" x14ac:dyDescent="0.25">
      <c r="A22" s="28"/>
      <c r="B22" s="28"/>
      <c r="C22" s="29"/>
      <c r="D22" s="29"/>
      <c r="E22" s="29"/>
      <c r="F22" s="29"/>
      <c r="G22" s="29"/>
      <c r="H22" s="31"/>
      <c r="I22" s="31"/>
      <c r="J22" s="31"/>
      <c r="K22" s="26"/>
      <c r="L22" s="26"/>
      <c r="M22" s="26"/>
      <c r="N22" s="26"/>
      <c r="O22" s="26"/>
      <c r="P22" s="26"/>
    </row>
    <row r="23" spans="1:16" ht="16.5" customHeight="1" x14ac:dyDescent="0.25">
      <c r="A23" s="32"/>
      <c r="B23" s="32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</row>
    <row r="24" spans="1:16" ht="16.5" customHeight="1" x14ac:dyDescent="0.25">
      <c r="A24" s="26"/>
      <c r="B24" s="26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  <row r="25" spans="1:16" ht="16.5" customHeight="1" x14ac:dyDescent="0.25">
      <c r="A25" s="25"/>
      <c r="B25" s="25"/>
    </row>
    <row r="26" spans="1:16" ht="16.5" customHeight="1" x14ac:dyDescent="0.25">
      <c r="A26" s="25"/>
      <c r="B26" s="25"/>
    </row>
    <row r="27" spans="1:16" ht="16.5" customHeight="1" x14ac:dyDescent="0.25">
      <c r="A27" s="25"/>
      <c r="B27" s="25"/>
    </row>
    <row r="28" spans="1:16" ht="16.5" customHeight="1" x14ac:dyDescent="0.25">
      <c r="A28" s="25"/>
      <c r="B28" s="25"/>
    </row>
    <row r="29" spans="1:16" ht="16.5" customHeight="1" x14ac:dyDescent="0.25">
      <c r="A29" s="25"/>
      <c r="B29" s="25"/>
    </row>
    <row r="30" spans="1:16" ht="16.5" customHeight="1" x14ac:dyDescent="0.25">
      <c r="A30" s="25"/>
      <c r="B30" s="25"/>
    </row>
    <row r="31" spans="1:16" ht="16.5" customHeight="1" x14ac:dyDescent="0.25">
      <c r="A31" s="25"/>
      <c r="B31" s="25"/>
    </row>
    <row r="32" spans="1:16" ht="16.5" customHeight="1" x14ac:dyDescent="0.25">
      <c r="A32" s="25"/>
      <c r="B32" s="25"/>
    </row>
    <row r="33" spans="1:2" ht="16.5" customHeight="1" x14ac:dyDescent="0.25">
      <c r="A33" s="25"/>
      <c r="B33" s="25"/>
    </row>
    <row r="34" spans="1:2" ht="16.5" customHeight="1" x14ac:dyDescent="0.25">
      <c r="A34" s="25"/>
      <c r="B34" s="25"/>
    </row>
    <row r="35" spans="1:2" ht="16.5" customHeight="1" x14ac:dyDescent="0.25">
      <c r="A35" s="25"/>
      <c r="B35" s="25"/>
    </row>
    <row r="36" spans="1:2" ht="16.5" customHeight="1" x14ac:dyDescent="0.25">
      <c r="A36" s="25"/>
      <c r="B36" s="25"/>
    </row>
    <row r="37" spans="1:2" ht="16.5" customHeight="1" x14ac:dyDescent="0.25">
      <c r="A37" s="25"/>
      <c r="B37" s="25"/>
    </row>
    <row r="38" spans="1:2" ht="16.5" customHeight="1" x14ac:dyDescent="0.25">
      <c r="A38" s="25"/>
      <c r="B38" s="25"/>
    </row>
    <row r="39" spans="1:2" ht="16.5" customHeight="1" x14ac:dyDescent="0.25">
      <c r="A39" s="25"/>
      <c r="B39" s="25"/>
    </row>
    <row r="40" spans="1:2" ht="16.5" customHeight="1" x14ac:dyDescent="0.25">
      <c r="A40" s="25"/>
      <c r="B40" s="25"/>
    </row>
    <row r="41" spans="1:2" ht="16.5" customHeight="1" x14ac:dyDescent="0.25">
      <c r="A41" s="25"/>
      <c r="B41" s="25"/>
    </row>
    <row r="42" spans="1:2" ht="16.5" customHeight="1" x14ac:dyDescent="0.25">
      <c r="A42" s="25"/>
      <c r="B42" s="25"/>
    </row>
    <row r="43" spans="1:2" ht="16.5" customHeight="1" x14ac:dyDescent="0.25">
      <c r="A43" s="25"/>
      <c r="B43" s="25"/>
    </row>
    <row r="44" spans="1:2" ht="16.5" customHeight="1" x14ac:dyDescent="0.25">
      <c r="A44" s="25"/>
      <c r="B44" s="25"/>
    </row>
    <row r="45" spans="1:2" ht="16.5" customHeight="1" x14ac:dyDescent="0.25">
      <c r="A45" s="25"/>
      <c r="B45" s="25"/>
    </row>
    <row r="46" spans="1:2" ht="16.5" customHeight="1" x14ac:dyDescent="0.25">
      <c r="A46" s="25"/>
      <c r="B46" s="25"/>
    </row>
    <row r="47" spans="1:2" ht="16.5" customHeight="1" x14ac:dyDescent="0.25"/>
    <row r="48" spans="1:2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</sheetData>
  <phoneticPr fontId="2" type="noConversion"/>
  <pageMargins left="0.23622047244094491" right="0.23622047244094491" top="0" bottom="0.74803149606299213" header="0.31496062992125984" footer="0.31496062992125984"/>
  <pageSetup paperSize="9" scale="50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4417-8D53-443D-A386-0A558FE2F5C2}">
  <sheetPr codeName="Hoja1"/>
  <dimension ref="A1:M134"/>
  <sheetViews>
    <sheetView workbookViewId="0">
      <selection activeCell="A4" sqref="A4"/>
    </sheetView>
  </sheetViews>
  <sheetFormatPr baseColWidth="10" defaultRowHeight="15" x14ac:dyDescent="0.25"/>
  <cols>
    <col min="1" max="1" width="53.85546875" bestFit="1" customWidth="1"/>
    <col min="2" max="3" width="12.7109375" customWidth="1"/>
    <col min="4" max="4" width="6" customWidth="1"/>
    <col min="5" max="5" width="6.85546875" customWidth="1"/>
    <col min="6" max="6" width="6.5703125" customWidth="1"/>
    <col min="7" max="7" width="7.5703125" customWidth="1"/>
    <col min="8" max="8" width="30.85546875" bestFit="1" customWidth="1"/>
    <col min="9" max="9" width="10.42578125" customWidth="1"/>
  </cols>
  <sheetData>
    <row r="1" spans="1:13" ht="16.5" customHeight="1" x14ac:dyDescent="0.25">
      <c r="A1" s="6" t="s">
        <v>14</v>
      </c>
      <c r="B1" s="4" t="s">
        <v>0</v>
      </c>
      <c r="C1" s="4" t="s">
        <v>1</v>
      </c>
      <c r="D1" s="2" t="s">
        <v>3</v>
      </c>
      <c r="E1" s="2" t="s">
        <v>2</v>
      </c>
      <c r="F1" s="8" t="s">
        <v>33</v>
      </c>
      <c r="G1" s="13" t="s">
        <v>18</v>
      </c>
      <c r="H1" s="14" t="s">
        <v>29</v>
      </c>
      <c r="I1" s="13" t="s">
        <v>34</v>
      </c>
      <c r="J1" s="12" t="s">
        <v>36</v>
      </c>
      <c r="K1" s="12" t="s">
        <v>36</v>
      </c>
    </row>
    <row r="2" spans="1:13" x14ac:dyDescent="0.25">
      <c r="A2" t="s">
        <v>28</v>
      </c>
      <c r="B2" s="1"/>
      <c r="C2" s="1"/>
      <c r="D2" s="2">
        <v>1366</v>
      </c>
      <c r="E2" s="3">
        <v>768</v>
      </c>
      <c r="F2" s="9"/>
      <c r="G2" s="12">
        <v>2</v>
      </c>
      <c r="H2" s="1" t="s">
        <v>17</v>
      </c>
      <c r="I2" s="12">
        <v>2</v>
      </c>
      <c r="J2" s="12" t="s">
        <v>48</v>
      </c>
      <c r="K2" t="s">
        <v>50</v>
      </c>
      <c r="L2">
        <v>2</v>
      </c>
      <c r="M2">
        <v>0</v>
      </c>
    </row>
    <row r="3" spans="1:13" x14ac:dyDescent="0.25">
      <c r="A3" t="s">
        <v>5</v>
      </c>
      <c r="B3">
        <v>500</v>
      </c>
      <c r="H3" s="1" t="s">
        <v>19</v>
      </c>
      <c r="I3" s="12">
        <v>1</v>
      </c>
      <c r="J3" s="12" t="s">
        <v>35</v>
      </c>
    </row>
    <row r="4" spans="1:13" x14ac:dyDescent="0.25">
      <c r="A4" s="1" t="s">
        <v>4</v>
      </c>
      <c r="B4" s="1">
        <v>56131.734992679354</v>
      </c>
      <c r="C4">
        <v>8106.54296875</v>
      </c>
      <c r="D4" t="s">
        <v>90</v>
      </c>
      <c r="F4" s="10"/>
      <c r="G4" s="1"/>
      <c r="H4" s="1" t="s">
        <v>9</v>
      </c>
    </row>
    <row r="5" spans="1:13" x14ac:dyDescent="0.25">
      <c r="A5" s="1"/>
      <c r="B5" s="1"/>
      <c r="C5" s="1"/>
      <c r="D5" s="1"/>
      <c r="E5" s="1"/>
      <c r="F5" s="10"/>
      <c r="G5" s="1"/>
      <c r="H5" s="1" t="s">
        <v>9</v>
      </c>
    </row>
    <row r="6" spans="1:13" x14ac:dyDescent="0.25">
      <c r="A6" t="s">
        <v>5</v>
      </c>
      <c r="B6">
        <v>2222</v>
      </c>
      <c r="C6" s="1"/>
      <c r="D6" s="1"/>
      <c r="E6" s="1"/>
      <c r="F6" s="10"/>
      <c r="G6" s="1"/>
      <c r="H6" s="1"/>
    </row>
    <row r="7" spans="1:13" x14ac:dyDescent="0.25">
      <c r="A7" s="1" t="s">
        <v>4</v>
      </c>
      <c r="B7" s="1">
        <v>6716.6178623718888</v>
      </c>
      <c r="C7" s="1">
        <v>51625.87890625</v>
      </c>
      <c r="D7" s="1" t="s">
        <v>31</v>
      </c>
      <c r="E7" s="5"/>
      <c r="F7" s="10"/>
      <c r="G7" s="1"/>
      <c r="H7" s="1" t="s">
        <v>5</v>
      </c>
    </row>
    <row r="8" spans="1:13" x14ac:dyDescent="0.25">
      <c r="F8" s="10"/>
      <c r="G8" s="1"/>
      <c r="H8" s="1" t="s">
        <v>16</v>
      </c>
    </row>
    <row r="9" spans="1:13" x14ac:dyDescent="0.25">
      <c r="A9" s="1"/>
      <c r="B9" s="1"/>
      <c r="C9" s="1"/>
      <c r="D9" s="1"/>
      <c r="E9" s="1"/>
      <c r="F9" s="10"/>
      <c r="G9" s="1"/>
      <c r="H9" s="1" t="s">
        <v>4</v>
      </c>
      <c r="I9" t="s">
        <v>47</v>
      </c>
    </row>
    <row r="10" spans="1:13" x14ac:dyDescent="0.25">
      <c r="B10" s="1">
        <v>54260.677159590043</v>
      </c>
      <c r="C10">
        <v>7765.21484375</v>
      </c>
      <c r="D10" t="s">
        <v>30</v>
      </c>
      <c r="E10" s="1"/>
      <c r="F10" s="10"/>
      <c r="G10" s="1"/>
      <c r="H10" s="1" t="s">
        <v>12</v>
      </c>
      <c r="I10" t="s">
        <v>28</v>
      </c>
    </row>
    <row r="11" spans="1:13" x14ac:dyDescent="0.25">
      <c r="B11" s="1">
        <v>6380.786969253294</v>
      </c>
      <c r="C11" s="1">
        <v>25002.28515625</v>
      </c>
      <c r="D11" s="1" t="s">
        <v>32</v>
      </c>
      <c r="E11" s="1"/>
      <c r="F11" s="10"/>
      <c r="G11" s="1"/>
      <c r="H11" s="1" t="s">
        <v>12</v>
      </c>
      <c r="I11" s="1" t="s">
        <v>4</v>
      </c>
    </row>
    <row r="12" spans="1:13" x14ac:dyDescent="0.25">
      <c r="B12" s="1">
        <v>6716.6178623718888</v>
      </c>
      <c r="C12" s="1">
        <v>51625.87890625</v>
      </c>
      <c r="D12" s="1" t="s">
        <v>31</v>
      </c>
      <c r="E12" s="1"/>
      <c r="F12" s="10"/>
      <c r="G12" s="1"/>
      <c r="H12" s="1" t="s">
        <v>28</v>
      </c>
      <c r="I12" s="1" t="s">
        <v>4</v>
      </c>
    </row>
    <row r="13" spans="1:13" x14ac:dyDescent="0.25">
      <c r="B13" s="1"/>
      <c r="C13" s="1"/>
      <c r="D13" s="1"/>
      <c r="F13" s="10"/>
      <c r="G13" s="1"/>
      <c r="H13" s="1" t="s">
        <v>8</v>
      </c>
      <c r="I13" s="1" t="s">
        <v>4</v>
      </c>
    </row>
    <row r="14" spans="1:13" x14ac:dyDescent="0.25">
      <c r="B14" s="1">
        <v>16695.592972181552</v>
      </c>
      <c r="C14" s="1">
        <v>341.328125</v>
      </c>
      <c r="D14" s="1"/>
      <c r="E14" s="5"/>
      <c r="F14" s="10"/>
      <c r="G14" s="1"/>
      <c r="H14" s="1" t="s">
        <v>22</v>
      </c>
      <c r="I14" s="1" t="s">
        <v>49</v>
      </c>
    </row>
    <row r="15" spans="1:13" x14ac:dyDescent="0.25">
      <c r="B15" s="1"/>
      <c r="C15" s="1"/>
      <c r="D15" s="1"/>
      <c r="E15" s="1"/>
      <c r="F15" s="10"/>
      <c r="G15" s="1"/>
      <c r="H15" s="1" t="s">
        <v>10</v>
      </c>
      <c r="I15" s="1" t="s">
        <v>4</v>
      </c>
    </row>
    <row r="16" spans="1:13" x14ac:dyDescent="0.25">
      <c r="A16" s="1"/>
      <c r="B16" s="1"/>
      <c r="C16" s="1"/>
      <c r="D16" s="1"/>
      <c r="E16" s="1"/>
      <c r="F16" s="10"/>
      <c r="G16" s="1"/>
      <c r="H16" s="1" t="s">
        <v>20</v>
      </c>
    </row>
    <row r="17" spans="1:8" x14ac:dyDescent="0.25">
      <c r="A17" s="1"/>
      <c r="B17" s="1"/>
      <c r="C17" s="1"/>
      <c r="D17" s="1"/>
      <c r="E17" s="1"/>
      <c r="F17" s="10"/>
      <c r="G17" s="1"/>
      <c r="H17" s="1" t="s">
        <v>15</v>
      </c>
    </row>
    <row r="18" spans="1:8" x14ac:dyDescent="0.25">
      <c r="A18" s="1"/>
      <c r="B18" s="1"/>
      <c r="C18" s="1"/>
      <c r="D18" s="1"/>
      <c r="E18" s="1"/>
      <c r="F18" s="10"/>
      <c r="G18" s="1"/>
      <c r="H18" s="1" t="s">
        <v>15</v>
      </c>
    </row>
    <row r="19" spans="1:8" x14ac:dyDescent="0.25">
      <c r="A19" s="1"/>
      <c r="B19" s="1"/>
      <c r="C19" s="1"/>
      <c r="D19" s="1"/>
      <c r="E19" s="1"/>
      <c r="F19" s="10"/>
      <c r="G19" s="1"/>
      <c r="H19" s="1" t="s">
        <v>6</v>
      </c>
    </row>
    <row r="20" spans="1:8" x14ac:dyDescent="0.25">
      <c r="A20" s="1"/>
      <c r="B20" s="1"/>
      <c r="C20" s="1"/>
      <c r="D20" s="1"/>
      <c r="E20" s="1"/>
      <c r="F20" s="10"/>
      <c r="G20" s="1"/>
      <c r="H20" s="1" t="s">
        <v>13</v>
      </c>
    </row>
    <row r="21" spans="1:8" x14ac:dyDescent="0.25">
      <c r="A21" s="1"/>
      <c r="B21" s="1"/>
      <c r="C21" s="1"/>
      <c r="D21" s="1"/>
      <c r="E21" s="1"/>
      <c r="F21" s="10"/>
      <c r="G21" s="1"/>
      <c r="H21" s="1" t="s">
        <v>7</v>
      </c>
    </row>
    <row r="22" spans="1:8" x14ac:dyDescent="0.25">
      <c r="A22" s="1"/>
      <c r="B22" s="1"/>
      <c r="C22" s="1"/>
      <c r="D22" s="1"/>
      <c r="E22" s="1"/>
      <c r="F22" s="10"/>
      <c r="G22" s="1"/>
      <c r="H22" s="1" t="s">
        <v>11</v>
      </c>
    </row>
    <row r="23" spans="1:8" x14ac:dyDescent="0.25">
      <c r="A23" s="1"/>
      <c r="B23" s="1"/>
      <c r="C23" s="1"/>
      <c r="D23" s="1"/>
      <c r="F23" s="10"/>
    </row>
    <row r="24" spans="1:8" x14ac:dyDescent="0.25">
      <c r="A24" s="1"/>
      <c r="B24" s="1"/>
      <c r="C24" s="1"/>
      <c r="D24" s="1"/>
      <c r="E24" s="1"/>
      <c r="F24" s="10"/>
    </row>
    <row r="25" spans="1:8" x14ac:dyDescent="0.25">
      <c r="A25" s="1"/>
      <c r="B25" s="1"/>
      <c r="C25" s="1"/>
      <c r="D25" s="1"/>
      <c r="E25" s="1"/>
      <c r="F25" s="10"/>
    </row>
    <row r="26" spans="1:8" x14ac:dyDescent="0.25">
      <c r="A26" s="1"/>
      <c r="B26" s="1"/>
      <c r="C26" s="1"/>
      <c r="D26" s="1"/>
      <c r="E26" s="1"/>
      <c r="F26" s="10"/>
    </row>
    <row r="27" spans="1:8" x14ac:dyDescent="0.25">
      <c r="A27" s="1"/>
      <c r="B27" s="1"/>
      <c r="C27" s="1"/>
      <c r="D27" s="1"/>
      <c r="E27" s="1"/>
      <c r="F27" s="10"/>
    </row>
    <row r="28" spans="1:8" x14ac:dyDescent="0.25">
      <c r="A28" s="1"/>
      <c r="B28" s="1"/>
      <c r="C28" s="1"/>
      <c r="D28" s="1"/>
      <c r="E28" s="1"/>
      <c r="F28" s="10"/>
    </row>
    <row r="37" spans="9:9" x14ac:dyDescent="0.25">
      <c r="I37" s="7"/>
    </row>
    <row r="134" spans="9:9" ht="409.5" x14ac:dyDescent="0.25">
      <c r="I134" s="7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EF78-EF24-4A88-9253-38C4FCB6A3A5}">
  <sheetPr codeName="Hoja6"/>
  <dimension ref="A1:F4"/>
  <sheetViews>
    <sheetView workbookViewId="0">
      <selection activeCell="E5" sqref="E5"/>
    </sheetView>
  </sheetViews>
  <sheetFormatPr baseColWidth="10" defaultRowHeight="15" x14ac:dyDescent="0.25"/>
  <sheetData>
    <row r="1" spans="1:6" x14ac:dyDescent="0.25">
      <c r="D1" t="s">
        <v>51</v>
      </c>
      <c r="E1" t="s">
        <v>54</v>
      </c>
    </row>
    <row r="2" spans="1:6" x14ac:dyDescent="0.25">
      <c r="A2" t="s">
        <v>41</v>
      </c>
      <c r="B2">
        <v>10</v>
      </c>
      <c r="D2" t="s">
        <v>56</v>
      </c>
      <c r="E2" t="s">
        <v>57</v>
      </c>
    </row>
    <row r="3" spans="1:6" x14ac:dyDescent="0.25">
      <c r="A3" t="s">
        <v>43</v>
      </c>
      <c r="B3">
        <v>1</v>
      </c>
    </row>
    <row r="4" spans="1:6" x14ac:dyDescent="0.25">
      <c r="A4" t="s">
        <v>42</v>
      </c>
      <c r="B4">
        <v>0.25</v>
      </c>
      <c r="D4" t="s">
        <v>52</v>
      </c>
      <c r="E4" t="s">
        <v>53</v>
      </c>
      <c r="F4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PRINT</vt:lpstr>
      <vt:lpstr>MOVEFILES</vt:lpstr>
      <vt:lpstr>MAIL</vt:lpstr>
      <vt:lpstr>LABELPRINT</vt:lpstr>
      <vt:lpstr>set</vt:lpstr>
      <vt:lpstr>CNSMBLS</vt:lpstr>
      <vt:lpstr>LABELPRINT!Área_de_impresión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casas</dc:creator>
  <cp:lastModifiedBy>jaime casas</cp:lastModifiedBy>
  <cp:lastPrinted>2024-11-11T17:33:26Z</cp:lastPrinted>
  <dcterms:created xsi:type="dcterms:W3CDTF">2023-12-15T17:56:22Z</dcterms:created>
  <dcterms:modified xsi:type="dcterms:W3CDTF">2024-11-11T20:15:01Z</dcterms:modified>
</cp:coreProperties>
</file>